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CALL SHEET" sheetId="2" state="visible" r:id="rId2"/>
    <sheet name="FINANCIAL CREDITORS" sheetId="3" state="visible" r:id="rId3"/>
    <sheet name="_BOOK" sheetId="4" state="hidden" r:id="rId4"/>
    <sheet name="Assumptions" sheetId="5" state="hidden" r:id="rId5"/>
  </sheets>
  <definedNames>
    <definedName name="_xlnm._FilterDatabase" localSheetId="1" hidden="1">'CALL SHEET'!$A$1:$BA$555</definedName>
    <definedName name="_xlnm._FilterDatabase" localSheetId="2" hidden="1">'FINANCIAL CREDITORS'!$A$1:$BA$451</definedName>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8">
    <font>
      <name val="Calibri"/>
      <family val="2"/>
      <color theme="1"/>
      <sz val="11"/>
      <scheme val="minor"/>
    </font>
    <font>
      <b val="1"/>
      <color rgb="00FFFFFF"/>
    </font>
    <font>
      <b val="1"/>
    </font>
    <font>
      <color rgb="000563C1"/>
      <u val="single"/>
    </font>
    <font>
      <i val="1"/>
      <color rgb="009C0006"/>
    </font>
    <font>
      <b val="1"/>
      <color rgb="001F3A5F"/>
      <sz val="16"/>
    </font>
    <font>
      <i val="1"/>
      <color rgb="00666666"/>
    </font>
    <font>
      <b val="1"/>
      <sz val="12"/>
    </font>
  </fonts>
  <fills count="16">
    <fill>
      <patternFill/>
    </fill>
    <fill>
      <patternFill patternType="gray125"/>
    </fill>
    <fill>
      <patternFill patternType="solid">
        <fgColor rgb="001F3A5F"/>
      </patternFill>
    </fill>
    <fill>
      <patternFill patternType="solid">
        <fgColor rgb="00FFF4D6"/>
      </patternFill>
    </fill>
    <fill>
      <patternFill patternType="solid">
        <fgColor rgb="00F6F0FA"/>
      </patternFill>
    </fill>
    <fill>
      <patternFill patternType="solid">
        <fgColor rgb="00E6EEF8"/>
      </patternFill>
    </fill>
    <fill>
      <patternFill patternType="solid">
        <fgColor rgb="00E8F1E8"/>
      </patternFill>
    </fill>
    <fill>
      <patternFill patternType="solid">
        <fgColor rgb="00F3F3F3"/>
      </patternFill>
    </fill>
    <fill>
      <patternFill patternType="solid">
        <fgColor rgb="00E2EFDA"/>
      </patternFill>
    </fill>
    <fill>
      <patternFill patternType="solid">
        <fgColor rgb="00EDEDED"/>
      </patternFill>
    </fill>
    <fill>
      <patternFill patternType="solid">
        <fgColor rgb="00FFEB9C"/>
      </patternFill>
    </fill>
    <fill>
      <patternFill patternType="solid">
        <fgColor rgb="00F8CBAD"/>
      </patternFill>
    </fill>
    <fill>
      <patternFill patternType="solid">
        <fgColor rgb="00C6EFCE"/>
      </patternFill>
    </fill>
    <fill>
      <patternFill patternType="solid">
        <fgColor rgb="00FF9999"/>
      </patternFill>
    </fill>
    <fill>
      <patternFill patternType="solid">
        <fgColor rgb="00FFC7CE"/>
      </patternFill>
    </fill>
    <fill>
      <patternFill patternType="solid">
        <fgColor rgb="00FFF2CC"/>
      </patternFill>
    </fill>
  </fills>
  <borders count="2">
    <border>
      <left/>
      <right/>
      <top/>
      <bottom/>
      <diagonal/>
    </border>
    <border>
      <bottom style="thin">
        <color rgb="00D9D9D9"/>
      </bottom>
    </border>
  </borders>
  <cellStyleXfs count="1">
    <xf numFmtId="0" fontId="0" fillId="0" borderId="0"/>
  </cellStyleXfs>
  <cellXfs count="43">
    <xf numFmtId="0" fontId="0" fillId="0" borderId="0" pivotButton="0" quotePrefix="0" xfId="0"/>
    <xf numFmtId="0" fontId="5" fillId="0" borderId="0" pivotButton="0" quotePrefix="0" xfId="0"/>
    <xf numFmtId="0" fontId="6" fillId="0" borderId="0" pivotButton="0" quotePrefix="0" xfId="0"/>
    <xf numFmtId="0" fontId="1" fillId="2" borderId="0" pivotButton="0" quotePrefix="0" xfId="0"/>
    <xf numFmtId="1" fontId="7" fillId="0" borderId="0" pivotButton="0" quotePrefix="0" xfId="0"/>
    <xf numFmtId="3" fontId="0" fillId="0" borderId="0" pivotButton="0" quotePrefix="0" xfId="0"/>
    <xf numFmtId="165" fontId="0" fillId="0" borderId="0" pivotButton="0" quotePrefix="0" xfId="0"/>
    <xf numFmtId="3" fontId="7" fillId="0" borderId="0" pivotButton="0" quotePrefix="0" xfId="0"/>
    <xf numFmtId="0" fontId="2" fillId="0" borderId="0" pivotButton="0" quotePrefix="0" xfId="0"/>
    <xf numFmtId="3" fontId="2" fillId="0" borderId="0" pivotButton="0" quotePrefix="0" xfId="0"/>
    <xf numFmtId="0" fontId="0" fillId="12" borderId="0" pivotButton="0" quotePrefix="0" xfId="0"/>
    <xf numFmtId="0" fontId="0" fillId="8" borderId="0" pivotButton="0" quotePrefix="0" xfId="0"/>
    <xf numFmtId="0" fontId="0" fillId="10" borderId="0" pivotButton="0" quotePrefix="0" xfId="0"/>
    <xf numFmtId="0" fontId="0" fillId="14" borderId="0" pivotButton="0" quotePrefix="0" xfId="0"/>
    <xf numFmtId="0" fontId="0" fillId="9" borderId="0" pivotButton="0" quotePrefix="0" xfId="0"/>
    <xf numFmtId="0" fontId="1" fillId="2" borderId="0" applyAlignment="1" pivotButton="0" quotePrefix="0" xfId="0">
      <alignment vertical="center" wrapText="1"/>
    </xf>
    <xf numFmtId="0" fontId="2" fillId="0" borderId="1" pivotButton="0" quotePrefix="0" xfId="0"/>
    <xf numFmtId="3" fontId="0" fillId="0" borderId="1" pivotButton="0" quotePrefix="0" xfId="0"/>
    <xf numFmtId="0" fontId="0" fillId="0" borderId="1" pivotButton="0" quotePrefix="0" xfId="0"/>
    <xf numFmtId="0" fontId="0" fillId="3" borderId="1" pivotButton="0" quotePrefix="0" xfId="0"/>
    <xf numFmtId="165" fontId="0" fillId="3" borderId="1" pivotButton="0" quotePrefix="0" xfId="0"/>
    <xf numFmtId="0" fontId="0" fillId="4" borderId="1" pivotButton="0" quotePrefix="0" xfId="0"/>
    <xf numFmtId="3" fontId="0" fillId="5" borderId="1" pivotButton="0" quotePrefix="0" xfId="0"/>
    <xf numFmtId="0" fontId="2" fillId="8" borderId="1" applyAlignment="1" pivotButton="0" quotePrefix="0" xfId="0">
      <alignment horizontal="center"/>
    </xf>
    <xf numFmtId="9" fontId="0" fillId="5" borderId="1" pivotButton="0" quotePrefix="0" xfId="0"/>
    <xf numFmtId="164" fontId="0" fillId="5" borderId="1" pivotButton="0" quotePrefix="0" xfId="0"/>
    <xf numFmtId="0" fontId="0" fillId="5" borderId="1" pivotButton="0" quotePrefix="0" xfId="0"/>
    <xf numFmtId="3" fontId="2" fillId="5" borderId="1" pivotButton="0" quotePrefix="0" xfId="0"/>
    <xf numFmtId="0" fontId="0" fillId="6" borderId="1" pivotButton="0" quotePrefix="0" xfId="0"/>
    <xf numFmtId="0" fontId="3" fillId="6" borderId="1" pivotButton="0" quotePrefix="0" xfId="0"/>
    <xf numFmtId="0" fontId="0" fillId="7" borderId="1" pivotButton="0" quotePrefix="0" xfId="0"/>
    <xf numFmtId="3" fontId="0" fillId="7" borderId="1" pivotButton="0" quotePrefix="0" xfId="0"/>
    <xf numFmtId="0" fontId="2" fillId="9" borderId="1" applyAlignment="1" pivotButton="0" quotePrefix="0" xfId="0">
      <alignment horizontal="center"/>
    </xf>
    <xf numFmtId="0" fontId="0" fillId="10" borderId="1" pivotButton="0" quotePrefix="0" xfId="0"/>
    <xf numFmtId="0" fontId="0" fillId="11" borderId="1" pivotButton="0" quotePrefix="0" xfId="0"/>
    <xf numFmtId="0" fontId="2" fillId="12" borderId="1" applyAlignment="1" pivotButton="0" quotePrefix="0" xfId="0">
      <alignment horizontal="center"/>
    </xf>
    <xf numFmtId="0" fontId="0" fillId="13" borderId="1" pivotButton="0" quotePrefix="0" xfId="0"/>
    <xf numFmtId="0" fontId="4" fillId="0" borderId="1" pivotButton="0" quotePrefix="0" xfId="0"/>
    <xf numFmtId="0" fontId="2" fillId="10" borderId="1" applyAlignment="1" pivotButton="0" quotePrefix="0" xfId="0">
      <alignment horizontal="center"/>
    </xf>
    <xf numFmtId="0" fontId="2" fillId="14" borderId="1" applyAlignment="1" pivotButton="0" quotePrefix="0" xfId="0">
      <alignment horizontal="center"/>
    </xf>
    <xf numFmtId="0" fontId="7" fillId="0" borderId="0" pivotButton="0" quotePrefix="0" xfId="0"/>
    <xf numFmtId="9" fontId="0" fillId="15" borderId="0" pivotButton="0" quotePrefix="0" xfId="0"/>
    <xf numFmtId="0" fontId="0" fillId="15" borderId="0" pivotButton="0" quotePrefix="0" xfId="0"/>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marquesadmjudicial.com.br/sgc/download.php?file=files/processo_documento/processo_documento19270817122025_1_.pdf&amp;nome=Rela&#231;&#227;o Nominal de Credores AJ" TargetMode="External" Id="rId1" /><Relationship Type="http://schemas.openxmlformats.org/officeDocument/2006/relationships/hyperlink" Target="https://scalzilliaj.com.br/sgc/download.php?file=files/processo_documento/processo_documento09514021082025_1_.pdf&amp;nome=04 - Rela&#231;&#227;o de credores das Recuperandas" TargetMode="External" Id="rId2" /><Relationship Type="http://schemas.openxmlformats.org/officeDocument/2006/relationships/hyperlink" Target="https://assistjud.com.br/wp-content/uploads/elementor/forms/65098c80a5824.pdf" TargetMode="External" Id="rId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5" /><Relationship Type="http://schemas.openxmlformats.org/officeDocument/2006/relationships/hyperlink" Target="https://scalzilliaj.com.br/sgc/download.php?file=files/processo_documento/processo_documento09514021082025_1_.pdf&amp;nome=04 - Rela&#231;&#227;o de credores das Recuperandas" TargetMode="External" Id="rId6" /><Relationship Type="http://schemas.openxmlformats.org/officeDocument/2006/relationships/hyperlink" Target="https://lrflideres.com.br/wp-content/plugins/download-attachments/includes/download.php?id=6051" TargetMode="External" Id="rId7" /><Relationship Type="http://schemas.openxmlformats.org/officeDocument/2006/relationships/hyperlink" Target="https://recuperasolucoes.com/wp-content/plugins/download-attachments/includes/download.php?id=1597" TargetMode="External" Id="rId8"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9" /><Relationship Type="http://schemas.openxmlformats.org/officeDocument/2006/relationships/hyperlink" Target="https://diligence.adm.br/wp-content/uploads/2025/06/Edital-1a-Lista-de-Credores.pdf" TargetMode="External" Id="rId10" /><Relationship Type="http://schemas.openxmlformats.org/officeDocument/2006/relationships/hyperlink" Target="https://lrflideres.com.br/wp-content/plugins/download-attachments/includes/download.php?id=6051" TargetMode="External" Id="rId11" /><Relationship Type="http://schemas.openxmlformats.org/officeDocument/2006/relationships/hyperlink" Target="https://inova-aj.com.br/wp-content/uploads/2026/08/1a-Relacao-de-Credores-Real.pdf" TargetMode="External" Id="rId12" /><Relationship Type="http://schemas.openxmlformats.org/officeDocument/2006/relationships/hyperlink" Target="https://violet-wolf-754008.hostingersite.com/wp-content/uploads/2022/10/Primeiro-Edital-de-Credores-Integral-com-creditos.pdf" TargetMode="External" Id="rId13" /><Relationship Type="http://schemas.openxmlformats.org/officeDocument/2006/relationships/hyperlink" Target="https://stenius.com.br/wp-content/uploads/2026/06/EDITAL-GRUPO-3E.pdf" TargetMode="External" Id="rId14" /><Relationship Type="http://schemas.openxmlformats.org/officeDocument/2006/relationships/hyperlink" Target="https://lrflideres.com.br/wp-content/plugins/download-attachments/includes/download.php?id=6879" TargetMode="External" Id="rId15" /><Relationship Type="http://schemas.openxmlformats.org/officeDocument/2006/relationships/hyperlink" Target="https://lrflideres.com.br/wp-content/plugins/download-attachments/includes/download.php?id=4023" TargetMode="External" Id="rId1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7"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9" /><Relationship Type="http://schemas.openxmlformats.org/officeDocument/2006/relationships/hyperlink" Target="https://recuperasolucoes.com/wp-content/plugins/download-attachments/includes/download.php?id=1597" TargetMode="External" Id="rId20" /><Relationship Type="http://schemas.openxmlformats.org/officeDocument/2006/relationships/hyperlink" Target="https://stenius.com.br/wp-content/uploads/2026/06/EDITAL-GRUPO-3E.pdf" TargetMode="External" Id="rId21" /><Relationship Type="http://schemas.openxmlformats.org/officeDocument/2006/relationships/hyperlink" Target="https://credibilita.com.br/wp-content/uploads/2025/09/Relacao-Credores-29.04.2026.pdf" TargetMode="External" Id="rId22" /><Relationship Type="http://schemas.openxmlformats.org/officeDocument/2006/relationships/hyperlink" Target="https://credibilita.com.br/wp-content/uploads/2025/09/Relacao-Credores-29.04.2026.pdf" TargetMode="External" Id="rId23" /><Relationship Type="http://schemas.openxmlformats.org/officeDocument/2006/relationships/hyperlink" Target="https://scalzilliaj.com.br/sgc/download.php?file=files/processo_documento/processo_documento13183320052026_1_.pdf&amp;nome=10 - QGC Provis&#243;rio - atualizado at&#233; Maio de 2026" TargetMode="External" Id="rId24" /><Relationship Type="http://schemas.openxmlformats.org/officeDocument/2006/relationships/hyperlink" Target="https://inova-aj.com.br/wp-content/uploads/2026/08/1a-Relacao-de-Credores-Real.pdf" TargetMode="External" Id="rId25" /><Relationship Type="http://schemas.openxmlformats.org/officeDocument/2006/relationships/hyperlink" Target="https://vtladm.com.br/wp-content/uploads/2026/06/02-&#8211;-Relacao-de-Credores-&#8211;-NAIR-AKICO-KAWAKAMI-MORIOKA-E-OUTROS.pdf" TargetMode="External" Id="rId26" /><Relationship Type="http://schemas.openxmlformats.org/officeDocument/2006/relationships/hyperlink" Target="http://bernardobicalho.com.br/login/app/documents/Rela%C3%A7%C3%A3o%20de%20Credores/6.%20RVC-%20Nutricium%20-%20simplificada.pdf" TargetMode="External" Id="rId27"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8" /><Relationship Type="http://schemas.openxmlformats.org/officeDocument/2006/relationships/hyperlink" Target="https://credibilita.com.br/wp-content/uploads/2025/09/Relacao-Credores-29.04.2026.pdf" TargetMode="External" Id="rId29" /><Relationship Type="http://schemas.openxmlformats.org/officeDocument/2006/relationships/hyperlink" Target="https://lrflideres.com.br/wp-content/plugins/download-attachments/includes/download.php?id=5589" TargetMode="External" Id="rId30" /><Relationship Type="http://schemas.openxmlformats.org/officeDocument/2006/relationships/hyperlink" Target="https://lrflideres.com.br/wp-content/plugins/download-attachments/includes/download.php?id=6879" TargetMode="External" Id="rId31" /><Relationship Type="http://schemas.openxmlformats.org/officeDocument/2006/relationships/hyperlink" Target="https://lrflideres.com.br/wp-content/plugins/download-attachments/includes/download.php?id=6879" TargetMode="External" Id="rId32" /><Relationship Type="http://schemas.openxmlformats.org/officeDocument/2006/relationships/hyperlink" Target="https://scalzilliaj.com.br/sgc/download.php?file=files/processo_documento/processo_documento13183320052026_1_.pdf&amp;nome=10 - QGC Provis&#243;rio - atualizado at&#233; Maio de 2026" TargetMode="External" Id="rId3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4" /><Relationship Type="http://schemas.openxmlformats.org/officeDocument/2006/relationships/hyperlink" Target="https://stenius.com.br/wp-content/uploads/2026/06/EDITAL-GRUPO-3E.pdf" TargetMode="External" Id="rId35" /><Relationship Type="http://schemas.openxmlformats.org/officeDocument/2006/relationships/hyperlink" Target="https://credibilita.com.br/wp-content/uploads/2025/09/Relacao-Credores-29.04.2026.pdf" TargetMode="External" Id="rId36" /><Relationship Type="http://schemas.openxmlformats.org/officeDocument/2006/relationships/hyperlink" Target="https://lrflideres.com.br/wp-content/plugins/download-attachments/includes/download.php?id=4023" TargetMode="External" Id="rId37" /><Relationship Type="http://schemas.openxmlformats.org/officeDocument/2006/relationships/hyperlink" Target="https://stenius.com.br/wp-content/uploads/2026/06/EDITAL-GRUPO-3E.pdf" TargetMode="External" Id="rId38" /><Relationship Type="http://schemas.openxmlformats.org/officeDocument/2006/relationships/hyperlink" Target="https://scalzilliaj.com.br/sgc/download.php?file=files/processo_documento/processo_documento09514021082025_1_.pdf&amp;nome=04 - Rela&#231;&#227;o de credores das Recuperandas" TargetMode="External" Id="rId39" /><Relationship Type="http://schemas.openxmlformats.org/officeDocument/2006/relationships/hyperlink" Target="https://inova-aj.com.br/wp-content/uploads/2026/08/1a-Relacao-de-Credores-Real.pdf" TargetMode="External" Id="rId40" /><Relationship Type="http://schemas.openxmlformats.org/officeDocument/2006/relationships/hyperlink" Target="https://assistjud.com.br/wp-content/uploads/elementor/forms/65098c80a5824.pdf" TargetMode="External" Id="rId4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2" /><Relationship Type="http://schemas.openxmlformats.org/officeDocument/2006/relationships/hyperlink" Target="https://credibilita.com.br/wp-content/uploads/2025/09/Relacao-Credores-29.04.2026.pdf" TargetMode="External" Id="rId43" /><Relationship Type="http://schemas.openxmlformats.org/officeDocument/2006/relationships/hyperlink" Target="https://cataliseaj.com.br/sgc/download.php?file=files/processo_documento/processo_documento15092204102024_1_.pdf&amp;nome=02. RELA&#199;&#195;O DE CREDORES" TargetMode="External" Id="rId44" /><Relationship Type="http://schemas.openxmlformats.org/officeDocument/2006/relationships/hyperlink" Target="https://ajruiz.com.br/sites/default/files/public/arquivos-processos/2026-06/alto_uruguai_qgc_junho.2026.pdf" TargetMode="External" Id="rId45"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46" /><Relationship Type="http://schemas.openxmlformats.org/officeDocument/2006/relationships/hyperlink" Target="https://stenius.com.br/wp-content/uploads/2026/06/EDITAL-GRUPO-3E.pdf" TargetMode="External" Id="rId4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8" /><Relationship Type="http://schemas.openxmlformats.org/officeDocument/2006/relationships/hyperlink" Target="https://lrflideres.com.br/wp-content/plugins/download-attachments/includes/download.php?id=5828" TargetMode="External" Id="rId49" /><Relationship Type="http://schemas.openxmlformats.org/officeDocument/2006/relationships/hyperlink" Target="https://scalzilliaj.com.br/sgc/download.php?file=files/processo_documento/processo_documento09514021082025_1_.pdf&amp;nome=04 - Rela&#231;&#227;o de credores das Recuperandas" TargetMode="External" Id="rId50" /><Relationship Type="http://schemas.openxmlformats.org/officeDocument/2006/relationships/hyperlink" Target="https://credibilita.com.br/wp-content/uploads/2025/09/Relacao-Credores-29.04.2026.pdf" TargetMode="External" Id="rId51" /><Relationship Type="http://schemas.openxmlformats.org/officeDocument/2006/relationships/hyperlink" Target="https://marquesadmjudicial.com.br/sgc/download.php?file=files/processo_documento/processo_documento15232121112024_1_.pdf&amp;nome=Rela&#231;&#227;o de Credores" TargetMode="External" Id="rId52" /><Relationship Type="http://schemas.openxmlformats.org/officeDocument/2006/relationships/hyperlink" Target="https://lrflideres.com.br/wp-content/plugins/download-attachments/includes/download.php?id=4023" TargetMode="External" Id="rId53" /><Relationship Type="http://schemas.openxmlformats.org/officeDocument/2006/relationships/hyperlink" Target="https://stenius.com.br/wp-content/uploads/2026/06/EDITAL-GRUPO-3E.pdf" TargetMode="External" Id="rId54" /><Relationship Type="http://schemas.openxmlformats.org/officeDocument/2006/relationships/hyperlink" Target="https://lrflideres.com.br/wp-content/plugins/download-attachments/includes/download.php?id=4023" TargetMode="External" Id="rId55"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56" /><Relationship Type="http://schemas.openxmlformats.org/officeDocument/2006/relationships/hyperlink" Target="https://ajruiz.com.br/sites/default/files/public/arquivos-processos/2023-11/4_relacao_de_credores_analitica_art._51_iii_da_lre.pdf" TargetMode="External" Id="rId57" /><Relationship Type="http://schemas.openxmlformats.org/officeDocument/2006/relationships/hyperlink" Target="https://lrflideres.com.br/wp-content/plugins/download-attachments/includes/download.php?id=6879" TargetMode="External" Id="rId58" /><Relationship Type="http://schemas.openxmlformats.org/officeDocument/2006/relationships/hyperlink" Target="https://marquesadmjudicial.com.br/sgc/download.php?file=files/processo_documento/processo_documento18581929042026_1_.pdf&amp;nome=3&#186; Edital - Rela&#231;&#227;o de Credores e PRJ" TargetMode="External" Id="rId59"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60" /><Relationship Type="http://schemas.openxmlformats.org/officeDocument/2006/relationships/hyperlink" Target="https://lrflideres.com.br/wp-content/plugins/download-attachments/includes/download.php?id=5589" TargetMode="External" Id="rId61" /><Relationship Type="http://schemas.openxmlformats.org/officeDocument/2006/relationships/hyperlink" Target="https://stenius.com.br/wp-content/uploads/2026/07/EDITAL-1-RELACAO-DE-CREDORES-GRUPO-GE.pdf" TargetMode="External" Id="rId62" /><Relationship Type="http://schemas.openxmlformats.org/officeDocument/2006/relationships/hyperlink" Target="https://stenius.com.br/wp-content/uploads/2026/06/EDITAL-GRUPO-3E.pdf" TargetMode="External" Id="rId63" /><Relationship Type="http://schemas.openxmlformats.org/officeDocument/2006/relationships/hyperlink" Target="https://scalzilliaj.com.br/sgc/download.php?file=files/processo_documento/processo_documento09514021082025_1_.pdf&amp;nome=04 - Rela&#231;&#227;o de credores das Recuperandas" TargetMode="External" Id="rId64" /><Relationship Type="http://schemas.openxmlformats.org/officeDocument/2006/relationships/hyperlink" Target="https://scalzilliaj.com.br/sgc/download.php?file=files/processo_documento/processo_documento09514021082025_1_.pdf&amp;nome=04 - Rela&#231;&#227;o de credores das Recuperandas" TargetMode="External" Id="rId65" /><Relationship Type="http://schemas.openxmlformats.org/officeDocument/2006/relationships/hyperlink" Target="https://stenius.com.br/wp-content/uploads/2026/06/EDITAL-GRUPO-3E.pdf" TargetMode="External" Id="rId66" /><Relationship Type="http://schemas.openxmlformats.org/officeDocument/2006/relationships/hyperlink" Target="https://ajruiz.com.br/sites/default/files/public/arquivos-processos/2023-11/4_relacao_de_credores_analitica_art._51_iii_da_lre.pdf" TargetMode="External" Id="rId67" /><Relationship Type="http://schemas.openxmlformats.org/officeDocument/2006/relationships/hyperlink" Target="https://lrflideres.com.br/wp-content/plugins/download-attachments/includes/download.php?id=6879" TargetMode="External" Id="rId68" /><Relationship Type="http://schemas.openxmlformats.org/officeDocument/2006/relationships/hyperlink" Target="https://rlg-aj.com.br/wp-content/uploads/2024/11/07.-Rela&#231;&#227;o-de-credores.pdf" TargetMode="External" Id="rId69" /><Relationship Type="http://schemas.openxmlformats.org/officeDocument/2006/relationships/hyperlink" Target="https://credibilita.com.br/wp-content/uploads/2025/09/Relacao-Credores-29.04.2026.pdf" TargetMode="External" Id="rId70" /><Relationship Type="http://schemas.openxmlformats.org/officeDocument/2006/relationships/hyperlink" Target="https://vivanteaj.com.br/wp-content/uploads/2024/11/1a-lista-de-credores-JA-Santos.pdf" TargetMode="External" Id="rId71"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72" /><Relationship Type="http://schemas.openxmlformats.org/officeDocument/2006/relationships/hyperlink" Target="https://stenius.com.br/wp-content/uploads/2026/06/EDITAL-GRUPO-3E.pdf" TargetMode="External" Id="rId7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74" /><Relationship Type="http://schemas.openxmlformats.org/officeDocument/2006/relationships/hyperlink" Target="https://diligence.adm.br/wp-content/plugins/download-attachments/includes/download.php?id=4599" TargetMode="External" Id="rId75" /><Relationship Type="http://schemas.openxmlformats.org/officeDocument/2006/relationships/hyperlink" Target="https://inova-aj.com.br/wp-content/uploads/2026/08/1a-Relacao-de-Credores-Real.pdf" TargetMode="External" Id="rId76" /><Relationship Type="http://schemas.openxmlformats.org/officeDocument/2006/relationships/hyperlink" Target="https://lrflideres.com.br/wp-content/plugins/download-attachments/includes/download.php?id=4023" TargetMode="External" Id="rId77" /><Relationship Type="http://schemas.openxmlformats.org/officeDocument/2006/relationships/hyperlink" Target="https://rlg-aj.com.br/wp-content/uploads/2024/11/07.-Rela&#231;&#227;o-de-credores.pdf" TargetMode="External" Id="rId78" /><Relationship Type="http://schemas.openxmlformats.org/officeDocument/2006/relationships/hyperlink" Target="https://rlg-aj.com.br/wp-content/uploads/2024/11/07.-Rela&#231;&#227;o-de-credores.pdf" TargetMode="External" Id="rId79" /><Relationship Type="http://schemas.openxmlformats.org/officeDocument/2006/relationships/hyperlink" Target="https://lrflideres.com.br/wp-content/plugins/download-attachments/includes/download.php?id=6879" TargetMode="External" Id="rId80" /><Relationship Type="http://schemas.openxmlformats.org/officeDocument/2006/relationships/hyperlink" Target="https://lrflideres.com.br/wp-content/plugins/download-attachments/includes/download.php?id=6879" TargetMode="External" Id="rId81" /><Relationship Type="http://schemas.openxmlformats.org/officeDocument/2006/relationships/hyperlink" Target="https://stenius.com.br/wp-content/uploads/2026/06/EDITAL-GRUPO-3E.pdf" TargetMode="External" Id="rId82" /><Relationship Type="http://schemas.openxmlformats.org/officeDocument/2006/relationships/hyperlink" Target="https://assistjud.com.br/wp-content/uploads/elementor/forms/65098c80a5824.pdf" TargetMode="External" Id="rId83" /><Relationship Type="http://schemas.openxmlformats.org/officeDocument/2006/relationships/hyperlink" Target="https://ajruiz.com.br/sites/default/files/public/arquivos-processos/2026-06/alto_uruguai_qgc_junho.2026.pdf" TargetMode="External" Id="rId84" /><Relationship Type="http://schemas.openxmlformats.org/officeDocument/2006/relationships/hyperlink" Target="https://diligence.adm.br/wp-content/plugins/download-attachments/includes/download.php?id=4599" TargetMode="External" Id="rId8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86" /><Relationship Type="http://schemas.openxmlformats.org/officeDocument/2006/relationships/hyperlink" Target="https://stenius.com.br/wp-content/uploads/2026/06/EDITAL-GRUPO-3E.pdf" TargetMode="External" Id="rId87" /><Relationship Type="http://schemas.openxmlformats.org/officeDocument/2006/relationships/hyperlink" Target="https://lrflideres.com.br/wp-content/plugins/download-attachments/includes/download.php?id=5589" TargetMode="External" Id="rId8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89" /><Relationship Type="http://schemas.openxmlformats.org/officeDocument/2006/relationships/hyperlink" Target="https://scalzilliaj.com.br/sgc/download.php?file=files/processo_documento/processo_documento09514021082025_1_.pdf&amp;nome=04 - Rela&#231;&#227;o de credores das Recuperandas" TargetMode="External" Id="rId90"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91" /><Relationship Type="http://schemas.openxmlformats.org/officeDocument/2006/relationships/hyperlink" Target="https://lrflideres.com.br/wp-content/plugins/download-attachments/includes/download.php?id=5589" TargetMode="External" Id="rId92" /><Relationship Type="http://schemas.openxmlformats.org/officeDocument/2006/relationships/hyperlink" Target="https://rlg-aj.com.br/wp-content/uploads/2024/11/07.-Rela&#231;&#227;o-de-credores.pdf" TargetMode="External" Id="rId9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4" /><Relationship Type="http://schemas.openxmlformats.org/officeDocument/2006/relationships/hyperlink" Target="https://credibilita.com.br/wp-content/uploads/2025/09/Relacao-Credores-29.04.2026.pdf" TargetMode="External" Id="rId95"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96" /><Relationship Type="http://schemas.openxmlformats.org/officeDocument/2006/relationships/hyperlink" Target="https://assistjud.com.br/wp-content/uploads/elementor/forms/65098c80a5824.pdf" TargetMode="External" Id="rId97" /><Relationship Type="http://schemas.openxmlformats.org/officeDocument/2006/relationships/hyperlink" Target="https://stenius.com.br/wp-content/uploads/2026/06/EDITAL-GRUPO-3E.pdf" TargetMode="External" Id="rId9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00" /><Relationship Type="http://schemas.openxmlformats.org/officeDocument/2006/relationships/hyperlink" Target="https://ajruiz.com.br/sites/default/files/public/arquivos-processos/2023-11/4_relacao_de_credores_analitica_art._51_iii_da_lre.pdf" TargetMode="External" Id="rId101" /><Relationship Type="http://schemas.openxmlformats.org/officeDocument/2006/relationships/hyperlink" Target="https://assistjud.com.br/wp-content/uploads/elementor/forms/65098c80a5824.pdf" TargetMode="External" Id="rId102" /><Relationship Type="http://schemas.openxmlformats.org/officeDocument/2006/relationships/hyperlink" Target="https://cataliseaj.com.br/sgc/download.php?file=files/processo_documento/processo_documento15092204102024_1_.pdf&amp;nome=02. RELA&#199;&#195;O DE CREDORES" TargetMode="External" Id="rId10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04" /><Relationship Type="http://schemas.openxmlformats.org/officeDocument/2006/relationships/hyperlink" Target="https://bugarimecoelho.com.br/ws/media-library/b6b7ea42b9fa2afe30bc728fe00cd5c6/07---edital-do-processamento-da-recuperacao-judicial.pdf" TargetMode="External" Id="rId105" /><Relationship Type="http://schemas.openxmlformats.org/officeDocument/2006/relationships/hyperlink" Target="https://credibilita.com.br/wp-content/uploads/2025/09/Relacao-Credores-29.04.2026.pdf" TargetMode="External" Id="rId10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07" /><Relationship Type="http://schemas.openxmlformats.org/officeDocument/2006/relationships/hyperlink" Target="https://stenius.com.br/wp-content/uploads/2026/06/EDITAL-GRUPO-3E.pdf" TargetMode="External" Id="rId108" /><Relationship Type="http://schemas.openxmlformats.org/officeDocument/2006/relationships/hyperlink" Target="https://marquesadmjudicial.com.br/sgc/download.php?file=files/processo_documento/processo_documento17040729052024_1_.pdf&amp;nome=Rela&#231;&#227;o Nominal de Credores AJ-Sint&#233;tica" TargetMode="External" Id="rId109" /><Relationship Type="http://schemas.openxmlformats.org/officeDocument/2006/relationships/hyperlink" Target="https://scalzilliaj.com.br/sgc/download.php?file=files/processo_documento/processo_documento09514021082025_1_.pdf&amp;nome=04 - Rela&#231;&#227;o de credores das Recuperandas" TargetMode="External" Id="rId110" /><Relationship Type="http://schemas.openxmlformats.org/officeDocument/2006/relationships/hyperlink" Target="https://scalzilliaj.com.br/sgc/download.php?file=files/processo_documento/processo_documento09514021082025_1_.pdf&amp;nome=04 - Rela&#231;&#227;o de credores das Recuperandas" TargetMode="External" Id="rId111" /><Relationship Type="http://schemas.openxmlformats.org/officeDocument/2006/relationships/hyperlink" Target="https://stenius.com.br/wp-content/uploads/2026/06/EDITAL-GRUPO-3E.pdf" TargetMode="External" Id="rId11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13" /><Relationship Type="http://schemas.openxmlformats.org/officeDocument/2006/relationships/hyperlink" Target="https://lrflideres.com.br/wp-content/plugins/download-attachments/includes/download.php?id=6879" TargetMode="External" Id="rId114" /><Relationship Type="http://schemas.openxmlformats.org/officeDocument/2006/relationships/hyperlink" Target="https://assistjud.com.br/wp-content/uploads/elementor/forms/65098c80a5824.pdf" TargetMode="External" Id="rId11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16"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1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18" /><Relationship Type="http://schemas.openxmlformats.org/officeDocument/2006/relationships/hyperlink" Target="https://stenius.com.br/wp-content/uploads/2026/06/EDITAL-GRUPO-3E.pdf" TargetMode="External" Id="rId119" /><Relationship Type="http://schemas.openxmlformats.org/officeDocument/2006/relationships/hyperlink" Target="https://rlg-aj.com.br/wp-content/uploads/2024/11/07.-Rela&#231;&#227;o-de-credores.pdf" TargetMode="External" Id="rId120" /><Relationship Type="http://schemas.openxmlformats.org/officeDocument/2006/relationships/hyperlink" Target="https://marquesadmjudicial.com.br/sgc/download.php?file=files/processo_documento/processo_documento17040729052024_1_.pdf&amp;nome=Rela&#231;&#227;o Nominal de Credores AJ-Sint&#233;tica" TargetMode="External" Id="rId121"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22" /><Relationship Type="http://schemas.openxmlformats.org/officeDocument/2006/relationships/hyperlink" Target="https://marquesadmjudicial.com.br/sgc/download.php?file=files/processo_documento/processo_documento17040729052024_1_.pdf&amp;nome=Rela&#231;&#227;o Nominal de Credores AJ-Sint&#233;tica" TargetMode="External" Id="rId123" /><Relationship Type="http://schemas.openxmlformats.org/officeDocument/2006/relationships/hyperlink" Target="https://ajruiz.com.br/sites/default/files/public/arquivos-processos/2023-11/4_relacao_de_credores_analitica_art._51_iii_da_lre.pdf" TargetMode="External" Id="rId124" /><Relationship Type="http://schemas.openxmlformats.org/officeDocument/2006/relationships/hyperlink" Target="https://stenius.com.br/wp-content/uploads/2026/08/1&#176;-EDITAL-GRUPO-TENDAS.pdf" TargetMode="External" Id="rId125" /><Relationship Type="http://schemas.openxmlformats.org/officeDocument/2006/relationships/hyperlink" Target="https://stenius.com.br/wp-content/uploads/2026/06/EDITAL-GRUPO-3E.pdf" TargetMode="External" Id="rId126" /><Relationship Type="http://schemas.openxmlformats.org/officeDocument/2006/relationships/hyperlink" Target="https://stenius.com.br/wp-content/uploads/2026/08/1&#176;-EDITAL-GRUPO-TENDAS.pdf" TargetMode="External" Id="rId127" /><Relationship Type="http://schemas.openxmlformats.org/officeDocument/2006/relationships/hyperlink" Target="https://ajruiz.com.br/sites/default/files/public/arquivos-processos/2026-06/alto_uruguai_qgc_junho.2026.pdf" TargetMode="External" Id="rId128" /><Relationship Type="http://schemas.openxmlformats.org/officeDocument/2006/relationships/hyperlink" Target="https://cataliseaj.com.br/sgc/download.php?file=files/processo_documento/processo_documento15092204102024_1_.pdf&amp;nome=02. RELA&#199;&#195;O DE CREDORES" TargetMode="External" Id="rId129" /><Relationship Type="http://schemas.openxmlformats.org/officeDocument/2006/relationships/hyperlink" Target="https://marquesadmjudicial.com.br/sgc/download.php?file=files/processo_documento/processo_documento17040729052024_1_.pdf&amp;nome=Rela&#231;&#227;o Nominal de Credores AJ-Sint&#233;tica" TargetMode="External" Id="rId13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31" /><Relationship Type="http://schemas.openxmlformats.org/officeDocument/2006/relationships/hyperlink" Target="https://inova-aj.com.br/wp-content/uploads/2026/08/1a-Relacao-de-Credores-Real.pdf" TargetMode="External" Id="rId13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33" /><Relationship Type="http://schemas.openxmlformats.org/officeDocument/2006/relationships/hyperlink" Target="https://lrflideres.com.br/wp-content/plugins/download-attachments/includes/download.php?id=5589" TargetMode="External" Id="rId13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35" /><Relationship Type="http://schemas.openxmlformats.org/officeDocument/2006/relationships/hyperlink" Target="https://scalzilliaj.com.br/sgc/download.php?file=files/processo_documento/processo_documento09514021082025_1_.pdf&amp;nome=04 - Rela&#231;&#227;o de credores das Recuperandas" TargetMode="External" Id="rId136" /><Relationship Type="http://schemas.openxmlformats.org/officeDocument/2006/relationships/hyperlink" Target="https://ajruiz.com.br/sites/default/files/public/arquivos-processos/2026-08/qgc_azeplast_julho_2026.pdf" TargetMode="External" Id="rId137"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38" /><Relationship Type="http://schemas.openxmlformats.org/officeDocument/2006/relationships/hyperlink" Target="https://rlg-aj.com.br/wp-content/uploads/2024/11/07.-Rela&#231;&#227;o-de-credores.pdf" TargetMode="External" Id="rId139" /><Relationship Type="http://schemas.openxmlformats.org/officeDocument/2006/relationships/hyperlink" Target="https://stenius.com.br/wp-content/uploads/2026/06/EDITAL-GRUPO-3E.pdf" TargetMode="External" Id="rId140" /><Relationship Type="http://schemas.openxmlformats.org/officeDocument/2006/relationships/hyperlink" Target="https://scalzilliaj.com.br/sgc/download.php?file=files/processo_documento/processo_documento09514021082025_1_.pdf&amp;nome=04 - Rela&#231;&#227;o de credores das Recuperandas" TargetMode="External" Id="rId141" /><Relationship Type="http://schemas.openxmlformats.org/officeDocument/2006/relationships/hyperlink" Target="https://rlg-aj.com.br/wp-content/uploads/2024/11/07.-Rela&#231;&#227;o-de-credores.pdf" TargetMode="External" Id="rId142" /><Relationship Type="http://schemas.openxmlformats.org/officeDocument/2006/relationships/hyperlink" Target="https://marquesadmjudicial.com.br/sgc/download.php?file=files/processo_documento/processo_documento20014127022025_1_.pdf&amp;nome=Rela&#231;&#227;o Nominal de Credores" TargetMode="External" Id="rId143" /><Relationship Type="http://schemas.openxmlformats.org/officeDocument/2006/relationships/hyperlink" Target="https://stenius.com.br/wp-content/uploads/2026/06/EDITAL-GRUPO-3E.pdf" TargetMode="External" Id="rId144" /><Relationship Type="http://schemas.openxmlformats.org/officeDocument/2006/relationships/hyperlink" Target="https://scalzilliaj.com.br/sgc/download.php?file=files/processo_documento/processo_documento09514021082025_1_.pdf&amp;nome=04 - Rela&#231;&#227;o de credores das Recuperandas" TargetMode="External" Id="rId145" /><Relationship Type="http://schemas.openxmlformats.org/officeDocument/2006/relationships/hyperlink" Target="https://marquesadmjudicial.com.br/sgc/download.php?file=files/processo_documento/processo_documento11370527032026_1_.pdf&amp;nome=Quadro Geral de Credores (QGC) -AJ Anterior" TargetMode="External" Id="rId14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47" /><Relationship Type="http://schemas.openxmlformats.org/officeDocument/2006/relationships/hyperlink" Target="https://diligence.adm.br/wp-content/plugins/download-attachments/includes/download.php?id=4599" TargetMode="External" Id="rId148" /><Relationship Type="http://schemas.openxmlformats.org/officeDocument/2006/relationships/hyperlink" Target="https://rlg-aj.com.br/wp-content/uploads/2024/11/07.-Rela&#231;&#227;o-de-credores.pdf" TargetMode="External" Id="rId149" /><Relationship Type="http://schemas.openxmlformats.org/officeDocument/2006/relationships/hyperlink" Target="https://stenius.com.br/wp-content/uploads/2026/06/EDITAL-GRUPO-3E.pdf" TargetMode="External" Id="rId150" /><Relationship Type="http://schemas.openxmlformats.org/officeDocument/2006/relationships/hyperlink" Target="https://lrflideres.com.br/wp-content/plugins/download-attachments/includes/download.php?id=6879" TargetMode="External" Id="rId151"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152" /><Relationship Type="http://schemas.openxmlformats.org/officeDocument/2006/relationships/hyperlink" Target="https://marquesadmjudicial.com.br/sgc/download.php?file=files/processo_documento/processo_documento10074612042024_1_.pdf&amp;nome=2&#186; Edital-Rela&#231;&#227;o de Credores AJ e PRJ" TargetMode="External" Id="rId153"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54" /><Relationship Type="http://schemas.openxmlformats.org/officeDocument/2006/relationships/hyperlink" Target="https://lrflideres.com.br/wp-content/plugins/download-attachments/includes/download.php?id=5589" TargetMode="External" Id="rId155" /><Relationship Type="http://schemas.openxmlformats.org/officeDocument/2006/relationships/hyperlink" Target="https://stenius.com.br/wp-content/uploads/2026/06/EDITAL-GRUPO-3E.pdf" TargetMode="External" Id="rId156" /><Relationship Type="http://schemas.openxmlformats.org/officeDocument/2006/relationships/hyperlink" Target="https://lrflideres.com.br/wp-content/plugins/download-attachments/includes/download.php?id=4023" TargetMode="External" Id="rId15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58" /><Relationship Type="http://schemas.openxmlformats.org/officeDocument/2006/relationships/hyperlink" Target="https://lrflideres.com.br/wp-content/plugins/download-attachments/includes/download.php?id=4023" TargetMode="External" Id="rId159" /><Relationship Type="http://schemas.openxmlformats.org/officeDocument/2006/relationships/hyperlink" Target="https://stenius.com.br/wp-content/uploads/2026/06/EDITAL-GRUPO-3E.pdf" TargetMode="External" Id="rId160" /><Relationship Type="http://schemas.openxmlformats.org/officeDocument/2006/relationships/hyperlink" Target="https://diligence.adm.br/wp-content/plugins/download-attachments/includes/download.php?id=4579" TargetMode="External" Id="rId161" /><Relationship Type="http://schemas.openxmlformats.org/officeDocument/2006/relationships/hyperlink" Target="https://scalzilliaj.com.br/sgc/download.php?file=files/processo_documento/processo_documento09514021082025_1_.pdf&amp;nome=04 - Rela&#231;&#227;o de credores das Recuperandas" TargetMode="External" Id="rId162" /><Relationship Type="http://schemas.openxmlformats.org/officeDocument/2006/relationships/hyperlink" Target="https://marquesadmjudicial.com.br/sgc/download.php?file=files/processo_documento/processo_documento10074612042024_1_.pdf&amp;nome=2&#186; Edital-Rela&#231;&#227;o de Credores AJ e PRJ" TargetMode="External" Id="rId163" /><Relationship Type="http://schemas.openxmlformats.org/officeDocument/2006/relationships/hyperlink" Target="https://assistjud.com.br/wp-content/uploads/elementor/forms/65098c80a5824.pdf" TargetMode="External" Id="rId164" /><Relationship Type="http://schemas.openxmlformats.org/officeDocument/2006/relationships/hyperlink" Target="https://ajruiz.com.br/sites/default/files/public/arquivos-processos/2023-11/4_relacao_de_credores_analitica_art._51_iii_da_lre.pdf" TargetMode="External" Id="rId165"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66" /><Relationship Type="http://schemas.openxmlformats.org/officeDocument/2006/relationships/hyperlink" Target="https://ajruiz.com.br/sites/default/files/public/arquivos-processos/2026-01/safrasul_relacao_de_credores_recuperanda.pdf" TargetMode="External" Id="rId167" /><Relationship Type="http://schemas.openxmlformats.org/officeDocument/2006/relationships/hyperlink" Target="https://marquesadmjudicial.com.br/sgc/download.php?file=files/processo_documento/processo_documento20014127022025_1_.pdf&amp;nome=Rela&#231;&#227;o Nominal de Credores" TargetMode="External" Id="rId168" /><Relationship Type="http://schemas.openxmlformats.org/officeDocument/2006/relationships/hyperlink" Target="https://cataliseaj.com.br/sgc/download.php?file=files/processo_documento/processo_documento15092204102024_1_.pdf&amp;nome=02. RELA&#199;&#195;O DE CREDORES" TargetMode="External" Id="rId169" /><Relationship Type="http://schemas.openxmlformats.org/officeDocument/2006/relationships/hyperlink" Target="https://ajruiz.com.br/sites/default/files/public/arquivos-processos/2026-08/qgc_azeplast_julho_2026.pdf" TargetMode="External" Id="rId170"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17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72" /><Relationship Type="http://schemas.openxmlformats.org/officeDocument/2006/relationships/hyperlink" Target="https://credibilita.com.br/wp-content/uploads/2025/09/Relacao-Credores-29.04.2026.pdf" TargetMode="External" Id="rId173" /><Relationship Type="http://schemas.openxmlformats.org/officeDocument/2006/relationships/hyperlink" Target="https://stenius.com.br/wp-content/uploads/2026/06/EDITAL-GRUPO-3E.pdf" TargetMode="External" Id="rId174" /><Relationship Type="http://schemas.openxmlformats.org/officeDocument/2006/relationships/hyperlink" Target="https://marquesadmjudicial.com.br/sgc/download.php?file=files/processo_documento/processo_documento17040729052024_1_.pdf&amp;nome=Rela&#231;&#227;o Nominal de Credores AJ-Sint&#233;tica" TargetMode="External" Id="rId17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76" /><Relationship Type="http://schemas.openxmlformats.org/officeDocument/2006/relationships/hyperlink" Target="https://marquesadmjudicial.com.br/sgc/download.php?file=files/processo_documento/processo_documento20014127022025_1_.pdf&amp;nome=Rela&#231;&#227;o Nominal de Credores" TargetMode="External" Id="rId177" /><Relationship Type="http://schemas.openxmlformats.org/officeDocument/2006/relationships/hyperlink" Target="https://lrflideres.com.br/wp-content/plugins/download-attachments/includes/download.php?id=4023" TargetMode="External" Id="rId178" /><Relationship Type="http://schemas.openxmlformats.org/officeDocument/2006/relationships/hyperlink" Target="https://scalzilliaj.com.br/sgc/download.php?file=files/processo_documento/processo_documento10141405032024_1_.pdf&amp;nome=10 - Edital do art. 7&#186;, &#167;2&#186; da Lei 11.101/2005 (segunda lista de credores)" TargetMode="External" Id="rId179" /><Relationship Type="http://schemas.openxmlformats.org/officeDocument/2006/relationships/hyperlink" Target="https://scalzilliaj.com.br/sgc/download.php?file=files/processo_documento/processo_documento15542620022025_1_.pdf&amp;nome=11 - Rela&#231;&#227;o de credores - art. 7&#186;, &#167;2&#186;, da LREF" TargetMode="External" Id="rId180" /><Relationship Type="http://schemas.openxmlformats.org/officeDocument/2006/relationships/hyperlink" Target="https://stenius.com.br/wp-content/uploads/2026/06/EDITAL-GRUPO-3E.pdf" TargetMode="External" Id="rId181" /><Relationship Type="http://schemas.openxmlformats.org/officeDocument/2006/relationships/hyperlink" Target="https://ajruiz.com.br/sites/default/files/public/arquivos-processos/2023-11/4_relacao_de_credores_analitica_art._51_iii_da_lre.pdf" TargetMode="External" Id="rId182" /><Relationship Type="http://schemas.openxmlformats.org/officeDocument/2006/relationships/hyperlink" Target="https://stenius.com.br/wp-content/uploads/2026/06/EDITAL-GRUPO-3E.pdf" TargetMode="External" Id="rId183" /><Relationship Type="http://schemas.openxmlformats.org/officeDocument/2006/relationships/hyperlink" Target="https://stenius.com.br/wp-content/uploads/2026/06/EDITAL-GRUPO-3E.pdf" TargetMode="External" Id="rId184"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85" /><Relationship Type="http://schemas.openxmlformats.org/officeDocument/2006/relationships/hyperlink" Target="https://lrflideres.com.br/wp-content/plugins/download-attachments/includes/download.php?id=4023" TargetMode="External" Id="rId186" /><Relationship Type="http://schemas.openxmlformats.org/officeDocument/2006/relationships/hyperlink" Target="https://scalzilliaj.com.br/sgc/download.php?file=files/processo_documento/processo_documento09514021082025_1_.pdf&amp;nome=04 - Rela&#231;&#227;o de credores das Recuperandas" TargetMode="External" Id="rId18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88"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89"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90" /><Relationship Type="http://schemas.openxmlformats.org/officeDocument/2006/relationships/hyperlink" Target="https://lrflideres.com.br/wp-content/plugins/download-attachments/includes/download.php?id=5589" TargetMode="External" Id="rId191" /><Relationship Type="http://schemas.openxmlformats.org/officeDocument/2006/relationships/hyperlink" Target="https://lrflideres.com.br/wp-content/plugins/download-attachments/includes/download.php?id=4023" TargetMode="External" Id="rId192" /><Relationship Type="http://schemas.openxmlformats.org/officeDocument/2006/relationships/hyperlink" Target="https://scalzilliaj.com.br/sgc/download.php?file=files/processo_documento/processo_documento09514021082025_1_.pdf&amp;nome=04 - Rela&#231;&#227;o de credores das Recuperandas" TargetMode="External" Id="rId19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94" /><Relationship Type="http://schemas.openxmlformats.org/officeDocument/2006/relationships/hyperlink" Target="https://credibilita.com.br/wp-content/uploads/2025/09/Relacao-Credores-29.04.2026.pdf" TargetMode="External" Id="rId195" /><Relationship Type="http://schemas.openxmlformats.org/officeDocument/2006/relationships/hyperlink" Target="https://credibilita.com.br/wp-content/uploads/2025/09/Relacao-Credores-29.04.2026.pdf" TargetMode="External" Id="rId19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97" /><Relationship Type="http://schemas.openxmlformats.org/officeDocument/2006/relationships/hyperlink" Target="https://lrflideres.com.br/wp-content/uploads/2022/08/4.-EDITAL-2a-LISTA-DE-CREDORES.pdf" TargetMode="External" Id="rId198" /><Relationship Type="http://schemas.openxmlformats.org/officeDocument/2006/relationships/hyperlink" Target="https://scalzilliaj.com.br/sgc/download.php?file=files/processo_documento/processo_documento09514021082025_1_.pdf&amp;nome=04 - Rela&#231;&#227;o de credores das Recuperandas" TargetMode="External" Id="rId199" /><Relationship Type="http://schemas.openxmlformats.org/officeDocument/2006/relationships/hyperlink" Target="https://stenius.com.br/wp-content/uploads/2026/06/EDITAL-GRUPO-3E.pdf" TargetMode="External" Id="rId200"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201" /><Relationship Type="http://schemas.openxmlformats.org/officeDocument/2006/relationships/hyperlink" Target="https://lrflideres.com.br/wp-content/plugins/download-attachments/includes/download.php?id=6252" TargetMode="External" Id="rId202" /><Relationship Type="http://schemas.openxmlformats.org/officeDocument/2006/relationships/hyperlink" Target="https://lrflideres.com.br/wp-content/plugins/download-attachments/includes/download.php?id=4023" TargetMode="External" Id="rId20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04"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05" /><Relationship Type="http://schemas.openxmlformats.org/officeDocument/2006/relationships/hyperlink" Target="https://stenius.com.br/wp-content/uploads/2026/06/EDITAL-GRUPO-3E.pdf" TargetMode="External" Id="rId206" /><Relationship Type="http://schemas.openxmlformats.org/officeDocument/2006/relationships/hyperlink" Target="https://marquesadmjudicial.com.br/sgc/download.php?file=files/processo_documento/processo_documento20014127022025_1_.pdf&amp;nome=Rela&#231;&#227;o Nominal de Credores" TargetMode="External" Id="rId207" /><Relationship Type="http://schemas.openxmlformats.org/officeDocument/2006/relationships/hyperlink" Target="https://ajruiz.com.br/sites/default/files/public/arquivos-processos/2026-01/safrasul_relacao_de_credores_recuperanda.pdf" TargetMode="External" Id="rId208" /><Relationship Type="http://schemas.openxmlformats.org/officeDocument/2006/relationships/hyperlink" Target="https://lrflideres.com.br/wp-content/uploads/2022/08/4.-EDITAL-2a-LISTA-DE-CREDORES.pdf" TargetMode="External" Id="rId209" /><Relationship Type="http://schemas.openxmlformats.org/officeDocument/2006/relationships/hyperlink" Target="https://stenius.com.br/wp-content/uploads/2026/06/EDITAL-GRUPO-3E.pdf" TargetMode="External" Id="rId210" /><Relationship Type="http://schemas.openxmlformats.org/officeDocument/2006/relationships/hyperlink" Target="https://assistjud.com.br/wp-content/uploads/elementor/forms/65098c80a5824.pdf" TargetMode="External" Id="rId211" /><Relationship Type="http://schemas.openxmlformats.org/officeDocument/2006/relationships/hyperlink" Target="https://credibilita.com.br/wp-content/uploads/2025/09/Relacao-Credores-29.04.2026.pdf" TargetMode="External" Id="rId212" /><Relationship Type="http://schemas.openxmlformats.org/officeDocument/2006/relationships/hyperlink" Target="https://stenius.com.br/wp-content/uploads/2026/06/EDITAL-GRUPO-3E.pdf" TargetMode="External" Id="rId213" /><Relationship Type="http://schemas.openxmlformats.org/officeDocument/2006/relationships/hyperlink" Target="https://marquesadmjudicial.com.br/sgc/download.php?file=files/processo_documento/processo_documento20014127022025_1_.pdf&amp;nome=Rela&#231;&#227;o Nominal de Credores" TargetMode="External" Id="rId214" /><Relationship Type="http://schemas.openxmlformats.org/officeDocument/2006/relationships/hyperlink" Target="https://scalzilliaj.com.br/sgc/download.php?file=files/processo_documento/processo_documento09514021082025_1_.pdf&amp;nome=04 - Rela&#231;&#227;o de credores das Recuperandas" TargetMode="External" Id="rId215"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216" /><Relationship Type="http://schemas.openxmlformats.org/officeDocument/2006/relationships/hyperlink" Target="https://stenius.com.br/wp-content/uploads/2026/06/EDITAL-GRUPO-3E.pdf" TargetMode="External" Id="rId217" /><Relationship Type="http://schemas.openxmlformats.org/officeDocument/2006/relationships/hyperlink" Target="https://stenius.com.br/wp-content/uploads/2026/06/EDITAL-GRUPO-3E.pdf" TargetMode="External" Id="rId218" /><Relationship Type="http://schemas.openxmlformats.org/officeDocument/2006/relationships/hyperlink" Target="https://cataliseaj.com.br/sgc/download.php?file=files/processo_documento/processo_documento15092204102024_1_.pdf&amp;nome=02. RELA&#199;&#195;O DE CREDORES" TargetMode="External" Id="rId219" /><Relationship Type="http://schemas.openxmlformats.org/officeDocument/2006/relationships/hyperlink" Target="https://inova-aj.com.br/wp-content/uploads/2026/08/1a-Relacao-de-Credores-Real.pdf" TargetMode="External" Id="rId220" /><Relationship Type="http://schemas.openxmlformats.org/officeDocument/2006/relationships/hyperlink" Target="https://ajruiz.com.br/sites/default/files/public/arquivos-processos/2024-04/relacao_de_credores_recuperanda_1.pdf" TargetMode="External" Id="rId221" /><Relationship Type="http://schemas.openxmlformats.org/officeDocument/2006/relationships/hyperlink" Target="https://credibilita.com.br/wp-content/uploads/2025/09/Relacao-Credores-29.04.2026.pdf" TargetMode="External" Id="rId222" /><Relationship Type="http://schemas.openxmlformats.org/officeDocument/2006/relationships/hyperlink" Target="https://marquesadmjudicial.com.br/sgc/download.php?file=files/processo_documento/processo_documento15232121112024_1_.pdf&amp;nome=Rela&#231;&#227;o de Credores" TargetMode="External" Id="rId223"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224" /><Relationship Type="http://schemas.openxmlformats.org/officeDocument/2006/relationships/hyperlink" Target="https://stenius.com.br/wp-content/uploads/2026/06/EDITAL-GRUPO-3E.pdf" TargetMode="External" Id="rId225" /><Relationship Type="http://schemas.openxmlformats.org/officeDocument/2006/relationships/hyperlink" Target="https://lrflideres.com.br/wp-content/plugins/download-attachments/includes/download.php?id=4023" TargetMode="External" Id="rId226" /><Relationship Type="http://schemas.openxmlformats.org/officeDocument/2006/relationships/hyperlink" Target="https://recuperacaojudicial.squarespace.com/s/RJ-Credimoveis-QGC-01082025.pdf" TargetMode="External" Id="rId227" /><Relationship Type="http://schemas.openxmlformats.org/officeDocument/2006/relationships/hyperlink" Target="https://stenius.com.br/wp-content/uploads/2026/06/EDITAL-GRUPO-3E.pdf" TargetMode="External" Id="rId228" /><Relationship Type="http://schemas.openxmlformats.org/officeDocument/2006/relationships/hyperlink" Target="https://diligence.adm.br/wp-content/plugins/download-attachments/includes/download.php?id=4599" TargetMode="External" Id="rId229" /><Relationship Type="http://schemas.openxmlformats.org/officeDocument/2006/relationships/hyperlink" Target="https://credibilita.com.br/wp-content/uploads/2025/09/Relacao-Credores-29.04.2026.pdf" TargetMode="External" Id="rId230" /><Relationship Type="http://schemas.openxmlformats.org/officeDocument/2006/relationships/hyperlink" Target="https://lrflideres.com.br/wp-content/plugins/download-attachments/includes/download.php?id=4023" TargetMode="External" Id="rId231" /><Relationship Type="http://schemas.openxmlformats.org/officeDocument/2006/relationships/hyperlink" Target="https://bugarimecoelho.com.br/ws/media-library/b6b7ea42b9fa2afe30bc728fe00cd5c6/07---edital-do-processamento-da-recuperacao-judicial.pdf" TargetMode="External" Id="rId232" /><Relationship Type="http://schemas.openxmlformats.org/officeDocument/2006/relationships/hyperlink" Target="https://lrflideres.com.br/wp-content/plugins/download-attachments/includes/download.php?id=4023" TargetMode="External" Id="rId233" /><Relationship Type="http://schemas.openxmlformats.org/officeDocument/2006/relationships/hyperlink" Target="https://credibilita.com.br/wp-content/uploads/2025/09/Relacao-Credores-29.04.2026.pdf" TargetMode="External" Id="rId234" /><Relationship Type="http://schemas.openxmlformats.org/officeDocument/2006/relationships/hyperlink" Target="https://ajruiz.com.br/sites/default/files/public/arquivos-processos/2023-11/4_relacao_de_credores_analitica_art._51_iii_da_lre.pdf" TargetMode="External" Id="rId235" /><Relationship Type="http://schemas.openxmlformats.org/officeDocument/2006/relationships/hyperlink" Target="https://ajruiz.com.br/sites/default/files/public/arquivos-processos/2023-11/4_relacao_de_credores_analitica_art._51_iii_da_lre.pdf" TargetMode="External" Id="rId236" /><Relationship Type="http://schemas.openxmlformats.org/officeDocument/2006/relationships/hyperlink" Target="https://scalzilliaj.com.br/sgc/download.php?file=files/processo_documento/processo_documento09514021082025_1_.pdf&amp;nome=04 - Rela&#231;&#227;o de credores das Recuperandas" TargetMode="External" Id="rId237" /><Relationship Type="http://schemas.openxmlformats.org/officeDocument/2006/relationships/hyperlink" Target="https://marquesadmjudicial.com.br/sgc/download.php?file=files/processo_documento/processo_documento17040729052024_1_.pdf&amp;nome=Rela&#231;&#227;o Nominal de Credores AJ-Sint&#233;tica" TargetMode="External" Id="rId238" /><Relationship Type="http://schemas.openxmlformats.org/officeDocument/2006/relationships/hyperlink" Target="https://ajruiz.com.br/sites/default/files/public/arquivos-processos/2026-01/safrasul_relacao_de_credores_recuperanda.pdf" TargetMode="External" Id="rId239" /><Relationship Type="http://schemas.openxmlformats.org/officeDocument/2006/relationships/hyperlink" Target="https://lrflideres.com.br/wp-content/plugins/download-attachments/includes/download.php?id=6879" TargetMode="External" Id="rId240" /><Relationship Type="http://schemas.openxmlformats.org/officeDocument/2006/relationships/hyperlink" Target="https://rlg-aj.com.br/wp-content/uploads/2024/11/07.-Rela&#231;&#227;o-de-credores.pdf" TargetMode="External" Id="rId241" /><Relationship Type="http://schemas.openxmlformats.org/officeDocument/2006/relationships/hyperlink" Target="https://scalzilliaj.com.br/sgc/download.php?file=files/processo_documento/processo_documento09514021082025_1_.pdf&amp;nome=04 - Rela&#231;&#227;o de credores das Recuperandas" TargetMode="External" Id="rId242"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243" /><Relationship Type="http://schemas.openxmlformats.org/officeDocument/2006/relationships/hyperlink" Target="https://stenius.com.br/wp-content/uploads/2026/06/EDITAL-GRUPO-3E.pdf" TargetMode="External" Id="rId244" /><Relationship Type="http://schemas.openxmlformats.org/officeDocument/2006/relationships/hyperlink" Target="https://credibilita.com.br/wp-content/uploads/2025/09/Relacao-Credores-29.04.2026.pdf" TargetMode="External" Id="rId245" /><Relationship Type="http://schemas.openxmlformats.org/officeDocument/2006/relationships/hyperlink" Target="https://marquesadmjudicial.com.br/sgc/download.php?file=files/processo_documento/processo_documento19270817122025_1_.pdf&amp;nome=Rela&#231;&#227;o Nominal de Credores AJ" TargetMode="External" Id="rId246"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247" /><Relationship Type="http://schemas.openxmlformats.org/officeDocument/2006/relationships/hyperlink" Target="https://credibilita.com.br/wp-content/uploads/2025/09/Relacao-Credores-29.04.2026.pdf" TargetMode="External" Id="rId248" /><Relationship Type="http://schemas.openxmlformats.org/officeDocument/2006/relationships/hyperlink" Target="https://scalzilliaj.com.br/sgc/download.php?file=files/processo_documento/processo_documento15542620022025_1_.pdf&amp;nome=11 - Rela&#231;&#227;o de credores - art. 7&#186;, &#167;2&#186;, da LREF" TargetMode="External" Id="rId249" /><Relationship Type="http://schemas.openxmlformats.org/officeDocument/2006/relationships/hyperlink" Target="https://lrflideres.com.br/wp-content/plugins/download-attachments/includes/download.php?id=4023" TargetMode="External" Id="rId250" /><Relationship Type="http://schemas.openxmlformats.org/officeDocument/2006/relationships/hyperlink" Target="https://lrflideres.com.br/wp-content/plugins/download-attachments/includes/download.php?id=6273" TargetMode="External" Id="rId25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52" /><Relationship Type="http://schemas.openxmlformats.org/officeDocument/2006/relationships/hyperlink" Target="https://lrflideres.com.br/wp-content/plugins/download-attachments/includes/download.php?id=4023" TargetMode="External" Id="rId253" /><Relationship Type="http://schemas.openxmlformats.org/officeDocument/2006/relationships/hyperlink" Target="https://stenius.com.br/wp-content/uploads/2026/06/EDITAL-GRUPO-3E.pdf" TargetMode="External" Id="rId254"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255" /><Relationship Type="http://schemas.openxmlformats.org/officeDocument/2006/relationships/hyperlink" Target="https://marquesadmjudicial.com.br/sgc/download.php?file=files/processo_documento/processo_documento17040729052024_1_.pdf&amp;nome=Rela&#231;&#227;o Nominal de Credores AJ-Sint&#233;tica" TargetMode="External" Id="rId256" /><Relationship Type="http://schemas.openxmlformats.org/officeDocument/2006/relationships/hyperlink" Target="https://stenius.com.br/wp-content/uploads/2026/06/EDITAL-GRUPO-3E.pdf" TargetMode="External" Id="rId257"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258" /><Relationship Type="http://schemas.openxmlformats.org/officeDocument/2006/relationships/hyperlink" Target="https://stenius.com.br/wp-content/uploads/2026/06/EDITAL-GRUPO-3E.pdf" TargetMode="External" Id="rId259" /><Relationship Type="http://schemas.openxmlformats.org/officeDocument/2006/relationships/hyperlink" Target="https://recuperacaojudicial.squarespace.com/s/RJ-Credimoveis-QGC-01082025.pdf" TargetMode="External" Id="rId260" /><Relationship Type="http://schemas.openxmlformats.org/officeDocument/2006/relationships/hyperlink" Target="https://stenius.com.br/wp-content/uploads/2026/06/EDITAL-GRUPO-3E.pdf" TargetMode="External" Id="rId261" /><Relationship Type="http://schemas.openxmlformats.org/officeDocument/2006/relationships/hyperlink" Target="https://stenius.com.br/wp-content/uploads/2026/06/EDITAL-GRUPO-3E.pdf" TargetMode="External" Id="rId262" /><Relationship Type="http://schemas.openxmlformats.org/officeDocument/2006/relationships/hyperlink" Target="https://marquesadmjudicial.com.br/sgc/download.php?file=files/processo_documento/processo_documento17040729052024_1_.pdf&amp;nome=Rela&#231;&#227;o Nominal de Credores AJ-Sint&#233;tica" TargetMode="External" Id="rId263" /><Relationship Type="http://schemas.openxmlformats.org/officeDocument/2006/relationships/hyperlink" Target="http://recuperacaojudicial.squarespace.com/s/LISTA-DE-CREDORES-CONSOLIDADA-ATE-04102024.pdf" TargetMode="External" Id="rId264" /><Relationship Type="http://schemas.openxmlformats.org/officeDocument/2006/relationships/hyperlink" Target="https://scalzilliaj.com.br/sgc/download.php?file=files/processo_documento/processo_documento15542620022025_1_.pdf&amp;nome=11 - Rela&#231;&#227;o de credores - art. 7&#186;, &#167;2&#186;, da LREF" TargetMode="External" Id="rId265" /><Relationship Type="http://schemas.openxmlformats.org/officeDocument/2006/relationships/hyperlink" Target="https://rlg-aj.com.br/wp-content/uploads/2024/11/07.-Rela&#231;&#227;o-de-credores.pdf" TargetMode="External" Id="rId266" /><Relationship Type="http://schemas.openxmlformats.org/officeDocument/2006/relationships/hyperlink" Target="https://lrflideres.com.br/wp-content/plugins/download-attachments/includes/download.php?id=6051" TargetMode="External" Id="rId267" /><Relationship Type="http://schemas.openxmlformats.org/officeDocument/2006/relationships/hyperlink" Target="https://ajruiz.com.br/sites/default/files/public/arquivos-processos/2024-04/relacao_de_credores_recuperanda_1.pdf" TargetMode="External" Id="rId268" /><Relationship Type="http://schemas.openxmlformats.org/officeDocument/2006/relationships/hyperlink" Target="https://lrflideres.com.br/wp-content/plugins/download-attachments/includes/download.php?id=6879" TargetMode="External" Id="rId269" /><Relationship Type="http://schemas.openxmlformats.org/officeDocument/2006/relationships/hyperlink" Target="https://lrflideres.com.br/wp-content/plugins/download-attachments/includes/download.php?id=4023" TargetMode="External" Id="rId270" /><Relationship Type="http://schemas.openxmlformats.org/officeDocument/2006/relationships/hyperlink" Target="https://stenius.com.br/wp-content/uploads/2026/06/EDITAL-GRUPO-3E.pdf" TargetMode="External" Id="rId271"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72" /><Relationship Type="http://schemas.openxmlformats.org/officeDocument/2006/relationships/hyperlink" Target="https://stenius.com.br/wp-content/uploads/2026/06/EDITAL-GRUPO-3E.pdf" TargetMode="External" Id="rId273" /><Relationship Type="http://schemas.openxmlformats.org/officeDocument/2006/relationships/hyperlink" Target="https://ajruiz.com.br/sites/default/files/public/arquivos-processos/2024-04/relacao_de_credores_recuperanda_1.pdf" TargetMode="External" Id="rId274" /><Relationship Type="http://schemas.openxmlformats.org/officeDocument/2006/relationships/hyperlink" Target="https://marquesadmjudicial.com.br/sgc/download.php?file=files/processo_documento/processo_documento17040729052024_1_.pdf&amp;nome=Rela&#231;&#227;o Nominal de Credores AJ-Sint&#233;tica" TargetMode="External" Id="rId275"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276" /><Relationship Type="http://schemas.openxmlformats.org/officeDocument/2006/relationships/hyperlink" Target="https://stenius.com.br/wp-content/uploads/2026/06/EDITAL-GRUPO-3E.pdf" TargetMode="External" Id="rId27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78" /><Relationship Type="http://schemas.openxmlformats.org/officeDocument/2006/relationships/hyperlink" Target="https://marquesadmjudicial.com.br/sgc/download.php?file=files/processo_documento/processo_documento17040729052024_1_.pdf&amp;nome=Rela&#231;&#227;o Nominal de Credores AJ-Sint&#233;tica" TargetMode="External" Id="rId279" /><Relationship Type="http://schemas.openxmlformats.org/officeDocument/2006/relationships/hyperlink" Target="https://scalzilliaj.com.br/sgc/download.php?file=files/processo_documento/processo_documento09514021082025_1_.pdf&amp;nome=04 - Rela&#231;&#227;o de credores das Recuperandas" TargetMode="External" Id="rId280" /><Relationship Type="http://schemas.openxmlformats.org/officeDocument/2006/relationships/hyperlink" Target="https://rlg-aj.com.br/wp-content/uploads/2024/11/07.-Rela&#231;&#227;o-de-credores.pdf" TargetMode="External" Id="rId281" /><Relationship Type="http://schemas.openxmlformats.org/officeDocument/2006/relationships/hyperlink" Target="https://ajruiz.com.br/sites/default/files/public/arquivos-processos/2026-08/qgc_azeplast_julho_2026.pdf" TargetMode="External" Id="rId282" /><Relationship Type="http://schemas.openxmlformats.org/officeDocument/2006/relationships/hyperlink" Target="https://stenius.com.br/wp-content/uploads/2026/06/EDITAL-GRUPO-3E.pdf" TargetMode="External" Id="rId283" /><Relationship Type="http://schemas.openxmlformats.org/officeDocument/2006/relationships/hyperlink" Target="https://recuperacaojudicial.squarespace.com/s/EDITAL-COM-A-2-LISTA-DE-CREDORES-E-INFORMANDO-A-APRESENTACO-DO-PRJ_1532.pdf" TargetMode="External" Id="rId284" /><Relationship Type="http://schemas.openxmlformats.org/officeDocument/2006/relationships/hyperlink" Target="https://rlg-aj.com.br/wp-content/uploads/2024/11/07.-Rela&#231;&#227;o-de-credores.pdf" TargetMode="External" Id="rId285" /><Relationship Type="http://schemas.openxmlformats.org/officeDocument/2006/relationships/hyperlink" Target="https://cataliseaj.com.br/sgc/download.php?file=files/processo_documento/processo_documento15092204102024_1_.pdf&amp;nome=02. RELA&#199;&#195;O DE CREDORES" TargetMode="External" Id="rId286" /><Relationship Type="http://schemas.openxmlformats.org/officeDocument/2006/relationships/hyperlink" Target="https://recuperacaojudicial.squarespace.com/s/RJ-Credimoveis-QGC-01082025.pdf" TargetMode="External" Id="rId287"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288"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289" /><Relationship Type="http://schemas.openxmlformats.org/officeDocument/2006/relationships/hyperlink" Target="https://ajruiz.com.br/sites/default/files/public/arquivos-processos/2024-04/relacao_de_credores_recuperanda_1.pdf" TargetMode="External" Id="rId290" /><Relationship Type="http://schemas.openxmlformats.org/officeDocument/2006/relationships/hyperlink" Target="https://diligence.adm.br/wp-content/uploads/2025/06/Edital-1a-Lista-de-Credores.pdf" TargetMode="External" Id="rId291" /><Relationship Type="http://schemas.openxmlformats.org/officeDocument/2006/relationships/hyperlink" Target="https://stenius.com.br/wp-content/uploads/2026/06/EDITAL-GRUPO-3E.pdf" TargetMode="External" Id="rId292" /><Relationship Type="http://schemas.openxmlformats.org/officeDocument/2006/relationships/hyperlink" Target="https://marquesadmjudicial.com.br/sgc/download.php?file=files/processo_documento/processo_documento11370527032026_1_.pdf&amp;nome=Quadro Geral de Credores (QGC) -AJ Anterior" TargetMode="External" Id="rId293" /><Relationship Type="http://schemas.openxmlformats.org/officeDocument/2006/relationships/hyperlink" Target="https://lrflideres.com.br/wp-content/plugins/download-attachments/includes/download.php?id=6252" TargetMode="External" Id="rId294" /><Relationship Type="http://schemas.openxmlformats.org/officeDocument/2006/relationships/hyperlink" Target="https://stenius.com.br/wp-content/uploads/2026/06/EDITAL-GRUPO-3E.pdf" TargetMode="External" Id="rId295" /><Relationship Type="http://schemas.openxmlformats.org/officeDocument/2006/relationships/hyperlink" Target="https://rlg-aj.com.br/wp-content/uploads/2024/11/07.-Rela&#231;&#227;o-de-credores.pdf" TargetMode="External" Id="rId296" /><Relationship Type="http://schemas.openxmlformats.org/officeDocument/2006/relationships/hyperlink" Target="https://lrflideres.com.br/wp-content/plugins/download-attachments/includes/download.php?id=4023" TargetMode="External" Id="rId29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98" /><Relationship Type="http://schemas.openxmlformats.org/officeDocument/2006/relationships/hyperlink" Target="https://ajruiz.com.br/sites/default/files/public/arquivos-processos/2023-11/4_relacao_de_credores_analitica_art._51_iii_da_lre.pdf" TargetMode="External" Id="rId299" /><Relationship Type="http://schemas.openxmlformats.org/officeDocument/2006/relationships/hyperlink" Target="https://vtladm.com.br/wp-content/uploads/2024/04/09-&#8211;-EDITAL-DE-CONVOCACAO-DE-CREDORES-&#8211;-Frigorifico-Alfa-Industria-e-Comercio-de-Carnes-e-Derivados-Ltda.-e-Ctx-Logistica-Transporte-E-Locacoes-Ltda.pdf" TargetMode="External" Id="rId300" /><Relationship Type="http://schemas.openxmlformats.org/officeDocument/2006/relationships/hyperlink" Target="https://stenius.com.br/wp-content/uploads/2026/06/EDITAL-GRUPO-3E.pdf" TargetMode="External" Id="rId301" /><Relationship Type="http://schemas.openxmlformats.org/officeDocument/2006/relationships/hyperlink" Target="https://marquesadmjudicial.com.br/sgc/download.php?file=files/processo_documento/processo_documento18581929042026_1_.pdf&amp;nome=3&#186; Edital - Rela&#231;&#227;o de Credores e PRJ" TargetMode="External" Id="rId302" /><Relationship Type="http://schemas.openxmlformats.org/officeDocument/2006/relationships/hyperlink" Target="https://ajruiz.com.br/sites/default/files/public/arquivos-processos/2024-04/relacao_de_credores_recuperanda_1.pdf" TargetMode="External" Id="rId303" /><Relationship Type="http://schemas.openxmlformats.org/officeDocument/2006/relationships/hyperlink" Target="https://stenius.com.br/wp-content/uploads/2026/06/EDITAL-GRUPO-3E.pdf" TargetMode="External" Id="rId304" /><Relationship Type="http://schemas.openxmlformats.org/officeDocument/2006/relationships/hyperlink" Target="https://stenius.com.br/wp-content/uploads/2026/06/EDITAL-GRUPO-3E.pdf" TargetMode="External" Id="rId305" /><Relationship Type="http://schemas.openxmlformats.org/officeDocument/2006/relationships/hyperlink" Target="https://bbsadvogados.com.br/wp-content/uploads/2025/04/Equipseg-Edital-Relacao-de-Credores-da-Administradora-Judicial-art.-7o2o-da-LRF.pdf" TargetMode="External" Id="rId306" /><Relationship Type="http://schemas.openxmlformats.org/officeDocument/2006/relationships/hyperlink" Target="https://credibilita.com.br/wp-content/uploads/2025/09/Relacao-Credores-29.04.2026.pdf" TargetMode="External" Id="rId307" /><Relationship Type="http://schemas.openxmlformats.org/officeDocument/2006/relationships/hyperlink" Target="https://scalzilliaj.com.br/sgc/download.php?file=files/processo_documento/processo_documento09514021082025_1_.pdf&amp;nome=04 - Rela&#231;&#227;o de credores das Recuperandas" TargetMode="External" Id="rId308" /><Relationship Type="http://schemas.openxmlformats.org/officeDocument/2006/relationships/hyperlink" Target="https://lrflideres.com.br/wp-content/plugins/download-attachments/includes/download.php?id=4023" TargetMode="External" Id="rId309" /><Relationship Type="http://schemas.openxmlformats.org/officeDocument/2006/relationships/hyperlink" Target="https://stenius.com.br/wp-content/uploads/2026/06/EDITAL-GRUPO-3E.pdf" TargetMode="External" Id="rId310" /><Relationship Type="http://schemas.openxmlformats.org/officeDocument/2006/relationships/hyperlink" Target="https://marquesadmjudicial.com.br/sgc/download.php?file=files/processo_documento/processo_documento17040729052024_1_.pdf&amp;nome=Rela&#231;&#227;o Nominal de Credores AJ-Sint&#233;tica" TargetMode="External" Id="rId311" /><Relationship Type="http://schemas.openxmlformats.org/officeDocument/2006/relationships/hyperlink" Target="https://realbrasil.com.br/wp-content/uploads/2018/06/2_LISTA-DE-CREDORES-DA-RECUPERANDA_ROQUE.pdf" TargetMode="External" Id="rId312" /><Relationship Type="http://schemas.openxmlformats.org/officeDocument/2006/relationships/hyperlink" Target="https://ajruiz.com.br/sites/default/files/public/arquivos-processos/2024-04/relacao_de_credores_recuperanda_1.pdf" TargetMode="External" Id="rId313" /><Relationship Type="http://schemas.openxmlformats.org/officeDocument/2006/relationships/hyperlink" Target="https://ajruiz.com.br/sites/default/files/public/arquivos-processos/2024-04/relacao_de_credores_recuperanda_1.pdf" TargetMode="External" Id="rId31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15" /><Relationship Type="http://schemas.openxmlformats.org/officeDocument/2006/relationships/hyperlink" Target="https://credibilita.com.br/wp-content/uploads/2025/09/Relacao-Credores-29.04.2026.pdf" TargetMode="External" Id="rId316" /><Relationship Type="http://schemas.openxmlformats.org/officeDocument/2006/relationships/hyperlink" Target="https://scalzilliaj.com.br/sgc/download.php?file=files/processo_documento/processo_documento09514021082025_1_.pdf&amp;nome=04 - Rela&#231;&#227;o de credores das Recuperandas" TargetMode="External" Id="rId317" /><Relationship Type="http://schemas.openxmlformats.org/officeDocument/2006/relationships/hyperlink" Target="https://marquesadmjudicial.com.br/sgc/download.php?file=files/processo_documento/processo_documento20014127022025_1_.pdf&amp;nome=Rela&#231;&#227;o Nominal de Credores" TargetMode="External" Id="rId318" /><Relationship Type="http://schemas.openxmlformats.org/officeDocument/2006/relationships/hyperlink" Target="https://administradorajudicialgs.com.br/wp-content/uploads/2024/12/relacao-de-credores-da-falida.pdf" TargetMode="External" Id="rId319" /><Relationship Type="http://schemas.openxmlformats.org/officeDocument/2006/relationships/hyperlink" Target="https://marquesadmjudicial.com.br/sgc/download.php?file=files/processo_documento/processo_documento20014127022025_1_.pdf&amp;nome=Rela&#231;&#227;o Nominal de Credores" TargetMode="External" Id="rId320" /><Relationship Type="http://schemas.openxmlformats.org/officeDocument/2006/relationships/hyperlink" Target="https://lrflideres.com.br/wp-content/plugins/download-attachments/includes/download.php?id=5589" TargetMode="External" Id="rId321" /><Relationship Type="http://schemas.openxmlformats.org/officeDocument/2006/relationships/hyperlink" Target="https://lrflideres.com.br/wp-content/plugins/download-attachments/includes/download.php?id=5589" TargetMode="External" Id="rId322" /><Relationship Type="http://schemas.openxmlformats.org/officeDocument/2006/relationships/hyperlink" Target="https://marquesadmjudicial.com.br/sgc/download.php?file=files/processo_documento/processo_documento11370527032026_1_.pdf&amp;nome=Quadro Geral de Credores (QGC) -AJ Anterior" TargetMode="External" Id="rId32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24" /><Relationship Type="http://schemas.openxmlformats.org/officeDocument/2006/relationships/hyperlink" Target="https://violet-wolf-754008.hostingersite.com/wp-content/uploads/recuperacoes-judiciais/Ebramec/2o-Edital-de-Credores.pdf" TargetMode="External" Id="rId325" /><Relationship Type="http://schemas.openxmlformats.org/officeDocument/2006/relationships/hyperlink" Target="https://lrflideres.com.br/wp-content/plugins/download-attachments/includes/download.php?id=7418" TargetMode="External" Id="rId326" /><Relationship Type="http://schemas.openxmlformats.org/officeDocument/2006/relationships/hyperlink" Target="https://assistjud.com.br/wp-content/uploads/elementor/forms/65098c80a5824.pdf" TargetMode="External" Id="rId327"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328" /><Relationship Type="http://schemas.openxmlformats.org/officeDocument/2006/relationships/hyperlink" Target="https://marquesadmjudicial.com.br/sgc/download.php?file=files/processo_documento/processo_documento17040729052024_1_.pdf&amp;nome=Rela&#231;&#227;o Nominal de Credores AJ-Sint&#233;tica" TargetMode="External" Id="rId329" /><Relationship Type="http://schemas.openxmlformats.org/officeDocument/2006/relationships/hyperlink" Target="https://inova-aj.com.br/wp-content/uploads/2026/08/1a-Relacao-de-Credores-Real.pdf" TargetMode="External" Id="rId330" /><Relationship Type="http://schemas.openxmlformats.org/officeDocument/2006/relationships/hyperlink" Target="https://diligence.adm.br/wp-content/uploads/2025/06/Edital-1a-Lista-de-Credores.pdf" TargetMode="External" Id="rId331" /><Relationship Type="http://schemas.openxmlformats.org/officeDocument/2006/relationships/hyperlink" Target="https://lrflideres.com.br/wp-content/plugins/download-attachments/includes/download.php?id=6252" TargetMode="External" Id="rId332"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33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34" /><Relationship Type="http://schemas.openxmlformats.org/officeDocument/2006/relationships/hyperlink" Target="https://scalzilliaj.com.br/sgc/download.php?file=files/processo_documento/processo_documento09514021082025_1_.pdf&amp;nome=04 - Rela&#231;&#227;o de credores das Recuperandas" TargetMode="External" Id="rId335"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36"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37" /><Relationship Type="http://schemas.openxmlformats.org/officeDocument/2006/relationships/hyperlink" Target="https://lrflideres.com.br/wp-content/plugins/download-attachments/includes/download.php?id=4023" TargetMode="External" Id="rId338" /><Relationship Type="http://schemas.openxmlformats.org/officeDocument/2006/relationships/hyperlink" Target="https://scalzilliaj.com.br/sgc/download.php?file=files/processo_documento/processo_documento15542620022025_1_.pdf&amp;nome=11 - Rela&#231;&#227;o de credores - art. 7&#186;, &#167;2&#186;, da LREF" TargetMode="External" Id="rId339" /><Relationship Type="http://schemas.openxmlformats.org/officeDocument/2006/relationships/hyperlink" Target="https://ajruiz.com.br/sites/default/files/public/arquivos-processos/2026-08/qgc_azeplast_julho_2026.pdf" TargetMode="External" Id="rId340" /><Relationship Type="http://schemas.openxmlformats.org/officeDocument/2006/relationships/hyperlink" Target="https://lrflideres.com.br/wp-content/plugins/download-attachments/includes/download.php?id=4023" TargetMode="External" Id="rId341" /><Relationship Type="http://schemas.openxmlformats.org/officeDocument/2006/relationships/hyperlink" Target="https://lrflideres.com.br/wp-content/plugins/download-attachments/includes/download.php?id=4023" TargetMode="External" Id="rId342" /><Relationship Type="http://schemas.openxmlformats.org/officeDocument/2006/relationships/hyperlink" Target="https://cataliseaj.com.br/sgc/download.php?file=files/processo_documento/processo_documento15092204102024_1_.pdf&amp;nome=02. RELA&#199;&#195;O DE CREDORES" TargetMode="External" Id="rId343" /><Relationship Type="http://schemas.openxmlformats.org/officeDocument/2006/relationships/hyperlink" Target="https://credibilita.com.br/wp-content/uploads/2025/09/Relacao-Credores-29.04.2026.pdf" TargetMode="External" Id="rId344" /><Relationship Type="http://schemas.openxmlformats.org/officeDocument/2006/relationships/hyperlink" Target="https://credibilita.com.br/wp-content/uploads/2025/09/Relacao-Credores-29.04.2026.pdf" TargetMode="External" Id="rId345"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346" /><Relationship Type="http://schemas.openxmlformats.org/officeDocument/2006/relationships/hyperlink" Target="https://administradorajudicialgs.com.br/wp-content/uploads/2023/08/advogados-sgrott-doc-22-relacao-de-credores-do-administrador-judicial-classe-iii-05-02-14.pdf" TargetMode="External" Id="rId347" /><Relationship Type="http://schemas.openxmlformats.org/officeDocument/2006/relationships/hyperlink" Target="https://rlg-aj.com.br/wp-content/uploads/2024/11/07.-Rela&#231;&#227;o-de-credores.pdf" TargetMode="External" Id="rId348" /><Relationship Type="http://schemas.openxmlformats.org/officeDocument/2006/relationships/hyperlink" Target="https://lrflideres.com.br/wp-content/plugins/download-attachments/includes/download.php?id=5589" TargetMode="External" Id="rId349" /><Relationship Type="http://schemas.openxmlformats.org/officeDocument/2006/relationships/hyperlink" Target="https://cdn.dol.com.br/img/attachmentinline/940000/6publicacao-2-edital-art-7-parag-2-da-lei-11101-20009467060.pdf?xid=3272528" TargetMode="External" Id="rId350" /><Relationship Type="http://schemas.openxmlformats.org/officeDocument/2006/relationships/hyperlink" Target="https://lrflideres.com.br/wp-content/plugins/download-attachments/includes/download.php?id=5589" TargetMode="External" Id="rId351" /><Relationship Type="http://schemas.openxmlformats.org/officeDocument/2006/relationships/hyperlink" Target="http://bernardobicalho.com.br/login/app/documents/Rela%C3%A7%C3%A3o%20de%20Credores/6.%20RVC-%20Nutricium%20-%20simplificada.pdf" TargetMode="External" Id="rId352" /><Relationship Type="http://schemas.openxmlformats.org/officeDocument/2006/relationships/hyperlink" Target="https://scalzilliaj.com.br/sgc/download.php?file=files/processo_documento/processo_documento09514021082025_1_.pdf&amp;nome=04 - Rela&#231;&#227;o de credores das Recuperandas" TargetMode="External" Id="rId353" /><Relationship Type="http://schemas.openxmlformats.org/officeDocument/2006/relationships/hyperlink" Target="https://credibilita.com.br/wp-content/uploads/2025/09/Relacao-Credores-29.04.2026.pdf" TargetMode="External" Id="rId354" /><Relationship Type="http://schemas.openxmlformats.org/officeDocument/2006/relationships/hyperlink" Target="https://lrflideres.com.br/wp-content/plugins/download-attachments/includes/download.php?id=4023" TargetMode="External" Id="rId355" /><Relationship Type="http://schemas.openxmlformats.org/officeDocument/2006/relationships/hyperlink" Target="https://cataliseaj.com.br/sgc/download.php?file=files/processo_documento/processo_documento15092204102024_1_.pdf&amp;nome=02. RELA&#199;&#195;O DE CREDORES" TargetMode="External" Id="rId356" /><Relationship Type="http://schemas.openxmlformats.org/officeDocument/2006/relationships/hyperlink" Target="https://recuperacaojudicial.squarespace.com/s/RJ-Credimoveis-QGC-01082025.pdf" TargetMode="External" Id="rId357" /><Relationship Type="http://schemas.openxmlformats.org/officeDocument/2006/relationships/hyperlink" Target="http://recuperacaojudicial.squarespace.com/s/LISTA-DE-CREDORES-CONSOLIDADA-ATE-04102024.pdf" TargetMode="External" Id="rId358" /><Relationship Type="http://schemas.openxmlformats.org/officeDocument/2006/relationships/hyperlink" Target="https://administradorajudicialgs.com.br/wp-content/uploads/2023/08/advogados-sgrott-doc-22-relacao-de-credores-do-administrador-judicial-classe-iii-05-02-14.pdf" TargetMode="External" Id="rId359" /><Relationship Type="http://schemas.openxmlformats.org/officeDocument/2006/relationships/hyperlink" Target="https://lrflideres.com.br/wp-content/plugins/download-attachments/includes/download.php?id=4023" TargetMode="External" Id="rId360" /><Relationship Type="http://schemas.openxmlformats.org/officeDocument/2006/relationships/hyperlink" Target="https://lrflideres.com.br/wp-content/plugins/download-attachments/includes/download.php?id=4023" TargetMode="External" Id="rId361"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362" /><Relationship Type="http://schemas.openxmlformats.org/officeDocument/2006/relationships/hyperlink" Target="https://lrflideres.com.br/wp-content/plugins/download-attachments/includes/download.php?id=4023" TargetMode="External" Id="rId363" /><Relationship Type="http://schemas.openxmlformats.org/officeDocument/2006/relationships/hyperlink" Target="https://scalzilliaj.com.br/sgc/download.php?file=files/processo_documento/processo_documento09514021082025_1_.pdf&amp;nome=04 - Rela&#231;&#227;o de credores das Recuperandas" TargetMode="External" Id="rId364"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65" /><Relationship Type="http://schemas.openxmlformats.org/officeDocument/2006/relationships/hyperlink" Target="https://lrflideres.com.br/wp-content/plugins/download-attachments/includes/download.php?id=6879" TargetMode="External" Id="rId366" /><Relationship Type="http://schemas.openxmlformats.org/officeDocument/2006/relationships/hyperlink" Target="https://lrflideres.com.br/wp-content/plugins/download-attachments/includes/download.php?id=4023" TargetMode="External" Id="rId36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68" /><Relationship Type="http://schemas.openxmlformats.org/officeDocument/2006/relationships/hyperlink" Target="https://scalzilliaj.com.br/sgc/download.php?file=files/processo_documento/processo_documento09514021082025_1_.pdf&amp;nome=04 - Rela&#231;&#227;o de credores das Recuperandas" TargetMode="External" Id="rId369" /><Relationship Type="http://schemas.openxmlformats.org/officeDocument/2006/relationships/hyperlink" Target="https://administradorajudicialgs.com.br/wp-content/uploads/2023/08/advogados-sgrott-doc-22-relacao-de-credores-do-administrador-judicial-classe-iii-05-02-14.pdf" TargetMode="External" Id="rId370" /><Relationship Type="http://schemas.openxmlformats.org/officeDocument/2006/relationships/hyperlink" Target="https://lrflideres.com.br/wp-content/plugins/download-attachments/includes/download.php?id=5828" TargetMode="External" Id="rId371" /><Relationship Type="http://schemas.openxmlformats.org/officeDocument/2006/relationships/hyperlink" Target="https://recuperacaojudicial.squarespace.com/s/RJ-Credimoveis-QGC-01082025.pdf" TargetMode="External" Id="rId372"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37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74" /><Relationship Type="http://schemas.openxmlformats.org/officeDocument/2006/relationships/hyperlink" Target="https://marquesadmjudicial.com.br/sgc/download.php?file=files/processo_documento/processo_documento17040729052024_1_.pdf&amp;nome=Rela&#231;&#227;o Nominal de Credores AJ-Sint&#233;tica" TargetMode="External" Id="rId375" /><Relationship Type="http://schemas.openxmlformats.org/officeDocument/2006/relationships/hyperlink" Target="https://lrflideres.com.br/wp-content/plugins/download-attachments/includes/download.php?id=4023" TargetMode="External" Id="rId376" /><Relationship Type="http://schemas.openxmlformats.org/officeDocument/2006/relationships/hyperlink" Target="https://scalzilliaj.com.br/sgc/download.php?file=files/processo_documento/processo_documento09514021082025_1_.pdf&amp;nome=04 - Rela&#231;&#227;o de credores das Recuperandas" TargetMode="External" Id="rId377" /><Relationship Type="http://schemas.openxmlformats.org/officeDocument/2006/relationships/hyperlink" Target="https://marquesadmjudicial.com.br/sgc/download.php?file=files/processo_documento/processo_documento17040729052024_1_.pdf&amp;nome=Rela&#231;&#227;o Nominal de Credores AJ-Sint&#233;tica" TargetMode="External" Id="rId378" /><Relationship Type="http://schemas.openxmlformats.org/officeDocument/2006/relationships/hyperlink" Target="https://ajruiz.com.br/sites/default/files/public/arquivos-processos/2024-04/relacao_de_credores_recuperanda_1.pdf" TargetMode="External" Id="rId379" /><Relationship Type="http://schemas.openxmlformats.org/officeDocument/2006/relationships/hyperlink" Target="https://ajruiz.com.br/sites/default/files/public/arquivos-processos/2024-04/relacao_de_credores_recuperanda_1.pdf" TargetMode="External" Id="rId380" /><Relationship Type="http://schemas.openxmlformats.org/officeDocument/2006/relationships/hyperlink" Target="https://ajruiz.com.br/sites/default/files/public/arquivos-processos/2026-08/qgc_azeplast_julho_2026.pdf" TargetMode="External" Id="rId381" /><Relationship Type="http://schemas.openxmlformats.org/officeDocument/2006/relationships/hyperlink" Target="https://administradorajudicialgs.com.br/wp-content/uploads/2024/12/relacao-de-credores-da-falida.pdf" TargetMode="External" Id="rId382" /><Relationship Type="http://schemas.openxmlformats.org/officeDocument/2006/relationships/hyperlink" Target="https://lrflideres.com.br/wp-content/plugins/download-attachments/includes/download.php?id=6273" TargetMode="External" Id="rId383" /><Relationship Type="http://schemas.openxmlformats.org/officeDocument/2006/relationships/hyperlink" Target="https://credibilita.com.br/wp-content/uploads/2025/09/Relacao-Credores-29.04.2026.pdf" TargetMode="External" Id="rId384"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8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86" /><Relationship Type="http://schemas.openxmlformats.org/officeDocument/2006/relationships/hyperlink" Target="https://scalzilliaj.com.br/sgc/download.php?file=files/processo_documento/processo_documento09514021082025_1_.pdf&amp;nome=04 - Rela&#231;&#227;o de credores das Recuperandas" TargetMode="External" Id="rId387" /><Relationship Type="http://schemas.openxmlformats.org/officeDocument/2006/relationships/hyperlink" Target="https://lrflideres.com.br/wp-content/plugins/download-attachments/includes/download.php?id=4023" TargetMode="External" Id="rId388" /><Relationship Type="http://schemas.openxmlformats.org/officeDocument/2006/relationships/hyperlink" Target="https://marquesadmjudicial.com.br/sgc/download.php?file=files/processo_documento/processo_documento17040729052024_1_.pdf&amp;nome=Rela&#231;&#227;o Nominal de Credores AJ-Sint&#233;tica" TargetMode="External" Id="rId389" /><Relationship Type="http://schemas.openxmlformats.org/officeDocument/2006/relationships/hyperlink" Target="https://scalzilliaj.com.br/sgc/download.php?file=files/processo_documento/processo_documento09514021082025_1_.pdf&amp;nome=04 - Rela&#231;&#227;o de credores das Recuperandas" TargetMode="External" Id="rId390" /><Relationship Type="http://schemas.openxmlformats.org/officeDocument/2006/relationships/hyperlink" Target="https://scalzilliaj.com.br/sgc/download.php?file=files/processo_documento/processo_documento09514021082025_1_.pdf&amp;nome=04 - Rela&#231;&#227;o de credores das Recuperandas" TargetMode="External" Id="rId391" /><Relationship Type="http://schemas.openxmlformats.org/officeDocument/2006/relationships/hyperlink" Target="https://ajruiz.com.br/sites/default/files/public/arquivos-processos/2024-04/relacao_de_credores_recuperanda_1.pdf" TargetMode="External" Id="rId392" /><Relationship Type="http://schemas.openxmlformats.org/officeDocument/2006/relationships/hyperlink" Target="https://cataliseaj.com.br/sgc/download.php?file=files/processo_documento/processo_documento15092204102024_1_.pdf&amp;nome=02. RELA&#199;&#195;O DE CREDORES" TargetMode="External" Id="rId393" /><Relationship Type="http://schemas.openxmlformats.org/officeDocument/2006/relationships/hyperlink" Target="https://scalzilliaj.com.br/sgc/download.php?file=files/processo_documento/processo_documento09514021082025_1_.pdf&amp;nome=04 - Rela&#231;&#227;o de credores das Recuperandas" TargetMode="External" Id="rId39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95" /><Relationship Type="http://schemas.openxmlformats.org/officeDocument/2006/relationships/hyperlink" Target="https://ajruiz.com.br/sites/default/files/public/arquivos-processos/2026-08/qgc_azeplast_julho_2026.pdf" TargetMode="External" Id="rId396"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39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98" /><Relationship Type="http://schemas.openxmlformats.org/officeDocument/2006/relationships/hyperlink" Target="https://ajruiz.com.br/sites/default/files/public/arquivos-processos/2023-11/4_relacao_de_credores_analitica_art._51_iii_da_lre.pdf" TargetMode="External" Id="rId399" /><Relationship Type="http://schemas.openxmlformats.org/officeDocument/2006/relationships/hyperlink" Target="https://recuperacaojudicial.squarespace.com/s/4-RJCTREditalda2ListadeCredoresnovembro2019.pdf" TargetMode="External" Id="rId400"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401" /><Relationship Type="http://schemas.openxmlformats.org/officeDocument/2006/relationships/hyperlink" Target="https://credibilita.com.br/wp-content/uploads/2025/09/Relacao-Credores-29.04.2026.pdf" TargetMode="External" Id="rId402" /><Relationship Type="http://schemas.openxmlformats.org/officeDocument/2006/relationships/hyperlink" Target="https://lrflideres.com.br/wp-content/plugins/download-attachments/includes/download.php?id=6252" TargetMode="External" Id="rId40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0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05" /><Relationship Type="http://schemas.openxmlformats.org/officeDocument/2006/relationships/hyperlink" Target="https://acfb.com.br/wp-content/uploads/2026/06/Relacao_de_Credores_Pneus_-_SITE.pdf" TargetMode="External" Id="rId406" /><Relationship Type="http://schemas.openxmlformats.org/officeDocument/2006/relationships/hyperlink" Target="https://lrflideres.com.br/wp-content/plugins/download-attachments/includes/download.php?id=7418" TargetMode="External" Id="rId407" /><Relationship Type="http://schemas.openxmlformats.org/officeDocument/2006/relationships/hyperlink" Target="http://recuperacaojudicial.squarespace.com/s/LISTA-DE-CREDORES-CONSOLIDADA-ATE-04102024.pdf" TargetMode="External" Id="rId408"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409" /><Relationship Type="http://schemas.openxmlformats.org/officeDocument/2006/relationships/hyperlink" Target="https://ajruiz.com.br/sites/default/files/public/arquivos-processos/2026-06/alto_uruguai_qgc_junho.2026.pdf" TargetMode="External" Id="rId410" /><Relationship Type="http://schemas.openxmlformats.org/officeDocument/2006/relationships/hyperlink" Target="https://ricardobiancardi.com.br/wp-content/uploads/2024/12/Edital-1-relacao-de-credores-pub.-02.12.24-.pdf" TargetMode="External" Id="rId411" /><Relationship Type="http://schemas.openxmlformats.org/officeDocument/2006/relationships/hyperlink" Target="https://assistjud.com.br/wp-content/uploads/elementor/forms/65098c80a5824.pdf" TargetMode="External" Id="rId412" /><Relationship Type="http://schemas.openxmlformats.org/officeDocument/2006/relationships/hyperlink" Target="https://administradorajudicialgs.com.br/wp-content/uploads/2024/12/relacao-de-credores-da-falida.pdf" TargetMode="External" Id="rId413" /><Relationship Type="http://schemas.openxmlformats.org/officeDocument/2006/relationships/hyperlink" Target="https://scalzilliaj.com.br/sgc/download.php?file=files/processo_documento/processo_documento09514021082025_1_.pdf&amp;nome=04 - Rela&#231;&#227;o de credores das Recuperandas" TargetMode="External" Id="rId414" /><Relationship Type="http://schemas.openxmlformats.org/officeDocument/2006/relationships/hyperlink" Target="https://ricardobiancardi.com.br/wp-content/uploads/2024/12/Edital-1-relacao-de-credores-pub.-02.12.24-.pdf" TargetMode="External" Id="rId415" /><Relationship Type="http://schemas.openxmlformats.org/officeDocument/2006/relationships/hyperlink" Target="https://lrflideres.com.br/wp-content/plugins/download-attachments/includes/download.php?id=7418" TargetMode="External" Id="rId416" /><Relationship Type="http://schemas.openxmlformats.org/officeDocument/2006/relationships/hyperlink" Target="http://recuperacaojudicial.squarespace.com/s/LISTA-DE-CREDORES-CONSOLIDADA-ATE-04102024.pdf" TargetMode="External" Id="rId417"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18" /><Relationship Type="http://schemas.openxmlformats.org/officeDocument/2006/relationships/hyperlink" Target="https://lrflideres.com.br/wp-content/plugins/download-attachments/includes/download.php?id=4023" TargetMode="External" Id="rId419" /><Relationship Type="http://schemas.openxmlformats.org/officeDocument/2006/relationships/hyperlink" Target="https://diligence.adm.br/wp-content/plugins/download-attachments/includes/download.php?id=4599" TargetMode="External" Id="rId42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21" /><Relationship Type="http://schemas.openxmlformats.org/officeDocument/2006/relationships/hyperlink" Target="https://scalzilliaj.com.br/sgc/download.php?file=files/processo_documento/processo_documento09514021082025_1_.pdf&amp;nome=04 - Rela&#231;&#227;o de credores das Recuperandas" TargetMode="External" Id="rId422" /><Relationship Type="http://schemas.openxmlformats.org/officeDocument/2006/relationships/hyperlink" Target="https://ajruiz.com.br/sites/default/files/public/arquivos-processos/2024-04/relacao_de_credores_recuperanda_1.pdf" TargetMode="External" Id="rId423" /><Relationship Type="http://schemas.openxmlformats.org/officeDocument/2006/relationships/hyperlink" Target="https://lrflideres.com.br/wp-content/plugins/download-attachments/includes/download.php?id=4023" TargetMode="External" Id="rId424" /><Relationship Type="http://schemas.openxmlformats.org/officeDocument/2006/relationships/hyperlink" Target="https://marquesadmjudicial.com.br/sgc/download.php?file=files/processo_documento/processo_documento09444722082025_1_.pdf&amp;nome=2&#176; Edital - Rela&#231;&#227;o de Credores AJ e PRJ" TargetMode="External" Id="rId425" /><Relationship Type="http://schemas.openxmlformats.org/officeDocument/2006/relationships/hyperlink" Target="https://recuperacaojudicial.squarespace.com/s/RJ-Credimoveis-QGC-01082025.pdf" TargetMode="External" Id="rId426" /><Relationship Type="http://schemas.openxmlformats.org/officeDocument/2006/relationships/hyperlink" Target="https://administradorajudicialgs.com.br/wp-content/uploads/2024/12/relacao-de-credores-da-falida.pdf" TargetMode="External" Id="rId427" /><Relationship Type="http://schemas.openxmlformats.org/officeDocument/2006/relationships/hyperlink" Target="https://scalzilliaj.com.br/sgc/download.php?file=files/processo_documento/processo_documento09514021082025_1_.pdf&amp;nome=04 - Rela&#231;&#227;o de credores das Recuperandas" TargetMode="External" Id="rId428" /><Relationship Type="http://schemas.openxmlformats.org/officeDocument/2006/relationships/hyperlink" Target="https://scalzilliaj.com.br/sgc/download.php?file=files/processo_documento/processo_documento15542620022025_1_.pdf&amp;nome=11 - Rela&#231;&#227;o de credores - art. 7&#186;, &#167;2&#186;, da LREF" TargetMode="External" Id="rId429" /><Relationship Type="http://schemas.openxmlformats.org/officeDocument/2006/relationships/hyperlink" Target="https://scalzilliaj.com.br/sgc/download.php?file=files/processo_documento/processo_documento09514021082025_1_.pdf&amp;nome=04 - Rela&#231;&#227;o de credores das Recuperandas" TargetMode="External" Id="rId430" /><Relationship Type="http://schemas.openxmlformats.org/officeDocument/2006/relationships/hyperlink" Target="https://recuperacaojudicial.squarespace.com/s/RJ-Credimoveis-QGC-01082025.pdf" TargetMode="External" Id="rId431" /><Relationship Type="http://schemas.openxmlformats.org/officeDocument/2006/relationships/hyperlink" Target="https://recuperacaojudicial.squarespace.com/s/RJ-Credimoveis-QGC-01082025.pdf" TargetMode="External" Id="rId432" /><Relationship Type="http://schemas.openxmlformats.org/officeDocument/2006/relationships/hyperlink" Target="https://recuperacaojudicial.squarespace.com/s/RJ-Credimoveis-QGC-01082025.pdf" TargetMode="External" Id="rId433" /><Relationship Type="http://schemas.openxmlformats.org/officeDocument/2006/relationships/hyperlink" Target="https://scalzilliaj.com.br/sgc/download.php?file=files/processo_documento/processo_documento09514021082025_1_.pdf&amp;nome=04 - Rela&#231;&#227;o de credores das Recuperandas" TargetMode="External" Id="rId434" /><Relationship Type="http://schemas.openxmlformats.org/officeDocument/2006/relationships/hyperlink" Target="https://scalzilliaj.com.br/sgc/download.php?file=files/processo_documento/processo_documento09514021082025_1_.pdf&amp;nome=04 - Rela&#231;&#227;o de credores das Recuperandas" TargetMode="External" Id="rId435" /><Relationship Type="http://schemas.openxmlformats.org/officeDocument/2006/relationships/hyperlink" Target="https://recuperacaojudicial.squarespace.com/s/RJ-Credimoveis-QGC-01082025.pdf" TargetMode="External" Id="rId436"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37" /><Relationship Type="http://schemas.openxmlformats.org/officeDocument/2006/relationships/hyperlink" Target="https://scalzilliaj.com.br/sgc/download.php?file=files/processo_documento/processo_documento09514021082025_1_.pdf&amp;nome=04 - Rela&#231;&#227;o de credores das Recuperandas" TargetMode="External" Id="rId438" /><Relationship Type="http://schemas.openxmlformats.org/officeDocument/2006/relationships/hyperlink" Target="https://recuperacaojudicial.squarespace.com/s/RJ-Credimoveis-QGC-01082025.pdf" TargetMode="External" Id="rId439" /><Relationship Type="http://schemas.openxmlformats.org/officeDocument/2006/relationships/hyperlink" Target="https://scalzilliaj.com.br/sgc/download.php?file=files/processo_documento/processo_documento09514021082025_1_.pdf&amp;nome=04 - Rela&#231;&#227;o de credores das Recuperandas" TargetMode="External" Id="rId440" /><Relationship Type="http://schemas.openxmlformats.org/officeDocument/2006/relationships/hyperlink" Target="https://realbrasil.com.br/wp-content/uploads/2018/06/2_LISTA-DE-CREDORES-DA-RECUPERANDA_ROQUE.pdf" TargetMode="External" Id="rId441" /><Relationship Type="http://schemas.openxmlformats.org/officeDocument/2006/relationships/hyperlink" Target="https://scalzilliaj.com.br/sgc/download.php?file=files/processo_documento/processo_documento09514021082025_1_.pdf&amp;nome=04 - Rela&#231;&#227;o de credores das Recuperandas" TargetMode="External" Id="rId442" /><Relationship Type="http://schemas.openxmlformats.org/officeDocument/2006/relationships/hyperlink" Target="https://ajruiz.com.br/sites/default/files/public/arquivos-processos/2023-11/4_relacao_de_credores_analitica_art._51_iii_da_lre.pdf" TargetMode="External" Id="rId443" /><Relationship Type="http://schemas.openxmlformats.org/officeDocument/2006/relationships/hyperlink" Target="https://scalzilliaj.com.br/sgc/download.php?file=files/processo_documento/processo_documento09514021082025_1_.pdf&amp;nome=04 - Rela&#231;&#227;o de credores das Recuperandas" TargetMode="External" Id="rId444" /><Relationship Type="http://schemas.openxmlformats.org/officeDocument/2006/relationships/hyperlink" Target="https://recuperacaojudicial.squarespace.com/s/RJ-Credimoveis-QGC-01082025.pdf" TargetMode="External" Id="rId445" /><Relationship Type="http://schemas.openxmlformats.org/officeDocument/2006/relationships/hyperlink" Target="https://violet-wolf-754008.hostingersite.com/wp-content/uploads/recuperacoes-judiciais/ever-ton/1&#186;-edital.pdf" TargetMode="External" Id="rId446" /><Relationship Type="http://schemas.openxmlformats.org/officeDocument/2006/relationships/hyperlink" Target="https://administradorajudicialgs.com.br/wp-content/uploads/2023/08/advogados-sgrott-doc-22-relacao-de-credores-do-administrador-judicial-classe-iii-05-02-14.pdf" TargetMode="External" Id="rId447" /><Relationship Type="http://schemas.openxmlformats.org/officeDocument/2006/relationships/hyperlink" Target="https://scalzilliaj.com.br/sgc/download.php?file=files/processo_documento/processo_documento09514021082025_1_.pdf&amp;nome=04 - Rela&#231;&#227;o de credores das Recuperandas" TargetMode="External" Id="rId448" /><Relationship Type="http://schemas.openxmlformats.org/officeDocument/2006/relationships/hyperlink" Target="https://recuperacaojudicial.squarespace.com/s/RJ-Grupo-Arnon-de-Melo-Lista-de-Credores-Consolidada-abril-2022.pdf" TargetMode="External" Id="rId449" /><Relationship Type="http://schemas.openxmlformats.org/officeDocument/2006/relationships/hyperlink" Target="https://scalzilliaj.com.br/sgc/download.php?file=files/processo_documento/processo_documento09514021082025_1_.pdf&amp;nome=04 - Rela&#231;&#227;o de credores das Recuperandas" TargetMode="External" Id="rId450" /><Relationship Type="http://schemas.openxmlformats.org/officeDocument/2006/relationships/hyperlink" Target="https://administradorajudicialgs.com.br/wp-content/uploads/2023/08/advogados-sgrott-doc-22-relacao-de-credores-do-administrador-judicial-classe-iii-05-02-14.pdf" TargetMode="External" Id="rId451" /><Relationship Type="http://schemas.openxmlformats.org/officeDocument/2006/relationships/hyperlink" Target="https://scalzilliaj.com.br/sgc/download.php?file=files/processo_documento/processo_documento09514021082025_1_.pdf&amp;nome=04 - Rela&#231;&#227;o de credores das Recuperandas" TargetMode="External" Id="rId452" /><Relationship Type="http://schemas.openxmlformats.org/officeDocument/2006/relationships/hyperlink" Target="https://administradorajudicialgs.com.br/wp-content/uploads/2024/12/relacao-de-credores-da-falida.pdf" TargetMode="External" Id="rId453" /><Relationship Type="http://schemas.openxmlformats.org/officeDocument/2006/relationships/hyperlink" Target="https://recuperacaojudicial.squarespace.com/s/RJ-Grupo-Arnon-de-Melo-Lista-de-Credores-Consolidada-abril-2022.pdf" TargetMode="External" Id="rId454" /><Relationship Type="http://schemas.openxmlformats.org/officeDocument/2006/relationships/hyperlink" Target="https://scalzilliaj.com.br/sgc/download.php?file=files/processo_documento/processo_documento09514021082025_1_.pdf&amp;nome=04 - Rela&#231;&#227;o de credores das Recuperandas" TargetMode="External" Id="rId455" /><Relationship Type="http://schemas.openxmlformats.org/officeDocument/2006/relationships/hyperlink" Target="https://administradorajudicialgs.com.br/wp-content/uploads/2024/12/relacao-de-credores-da-falida.pdf" TargetMode="External" Id="rId456" /><Relationship Type="http://schemas.openxmlformats.org/officeDocument/2006/relationships/hyperlink" Target="https://realbrasil.com.br/wp-content/uploads/2018/06/2_LISTA-DE-CREDORES-DA-RECUPERANDA_ROQUE.pdf" TargetMode="External" Id="rId457" /><Relationship Type="http://schemas.openxmlformats.org/officeDocument/2006/relationships/hyperlink" Target="https://recuperacaojudicial.squarespace.com/s/RJ-Credimoveis-QGC-01082025.pdf" TargetMode="External" Id="rId458" /><Relationship Type="http://schemas.openxmlformats.org/officeDocument/2006/relationships/hyperlink" Target="https://recuperacaojudicial.squarespace.com/s/RJ-Credimoveis-QGC-01082025.pdf" TargetMode="External" Id="rId459" /><Relationship Type="http://schemas.openxmlformats.org/officeDocument/2006/relationships/hyperlink" Target="https://administradorajudicialgs.com.br/wp-content/uploads/2023/08/doc-06-relacao-credores-do-administrador-judicial-10-02-2015.pdf" TargetMode="External" Id="rId460" /><Relationship Type="http://schemas.openxmlformats.org/officeDocument/2006/relationships/hyperlink" Target="https://lrflideres.com.br/wp-content/plugins/download-attachments/includes/download.php?id=5001" TargetMode="External" Id="rId461" /><Relationship Type="http://schemas.openxmlformats.org/officeDocument/2006/relationships/hyperlink" Target="http://bernardobicalho.com.br/login/app/documents/Rela%C3%A7%C3%A3o%20de%20Credores/6.%20RVC-%20Nutricium%20-%20simplificada.pdf" TargetMode="External" Id="rId462" /><Relationship Type="http://schemas.openxmlformats.org/officeDocument/2006/relationships/hyperlink" Target="https://recuperacaojudicial.squarespace.com/s/RJ-Credimoveis-QGC-01082025.pdf" TargetMode="External" Id="rId463" /><Relationship Type="http://schemas.openxmlformats.org/officeDocument/2006/relationships/hyperlink" Target="https://recuperacaojudicial.squarespace.com/s/RJ-Credimoveis-QGC-01082025.pdf" TargetMode="External" Id="rId464" /><Relationship Type="http://schemas.openxmlformats.org/officeDocument/2006/relationships/hyperlink" Target="https://scalzilliaj.com.br/sgc/download.php?file=files/processo_documento/processo_documento09514021082025_1_.pdf&amp;nome=04 - Rela&#231;&#227;o de credores das Recuperandas" TargetMode="External" Id="rId465" /><Relationship Type="http://schemas.openxmlformats.org/officeDocument/2006/relationships/hyperlink" Target="https://recuperacaojudicial.squarespace.com/s/RJ-Credimoveis-QGC-01082025.pdf" TargetMode="External" Id="rId466" /><Relationship Type="http://schemas.openxmlformats.org/officeDocument/2006/relationships/hyperlink" Target="https://scalzilliaj.com.br/sgc/download.php?file=files/processo_documento/processo_documento09514021082025_1_.pdf&amp;nome=04 - Rela&#231;&#227;o de credores das Recuperandas" TargetMode="External" Id="rId467" /><Relationship Type="http://schemas.openxmlformats.org/officeDocument/2006/relationships/hyperlink" Target="https://recuperacaojudicial.squarespace.com/s/RJ-Grupo-Arnon-de-Melo-Lista-de-Credores-Consolidada-abril-2022.pdf" TargetMode="External" Id="rId468" /><Relationship Type="http://schemas.openxmlformats.org/officeDocument/2006/relationships/hyperlink" Target="https://administradorajudicialgs.com.br/wp-content/uploads/2024/12/relacao-de-credores-da-falida.pdf" TargetMode="External" Id="rId469" /><Relationship Type="http://schemas.openxmlformats.org/officeDocument/2006/relationships/hyperlink" Target="https://recuperacaojudicial.squarespace.com/s/RJ-Credimoveis-QGC-01082025.pdf" TargetMode="External" Id="rId470" /><Relationship Type="http://schemas.openxmlformats.org/officeDocument/2006/relationships/hyperlink" Target="https://recuperacaojudicial.squarespace.com/s/RJ-Credimoveis-QGC-01082025.pdf" TargetMode="External" Id="rId471" /><Relationship Type="http://schemas.openxmlformats.org/officeDocument/2006/relationships/hyperlink" Target="https://scalzilliaj.com.br/sgc/download.php?file=files/processo_documento/processo_documento09514021082025_1_.pdf&amp;nome=04 - Rela&#231;&#227;o de credores das Recuperandas" TargetMode="External" Id="rId472" /><Relationship Type="http://schemas.openxmlformats.org/officeDocument/2006/relationships/hyperlink" Target="https://scalzilliaj.com.br/sgc/download.php?file=files/processo_documento/processo_documento09514021082025_1_.pdf&amp;nome=04 - Rela&#231;&#227;o de credores das Recuperandas" TargetMode="External" Id="rId473" /><Relationship Type="http://schemas.openxmlformats.org/officeDocument/2006/relationships/hyperlink" Target="https://diligence.adm.br/wp-content/plugins/download-attachments/includes/download.php?id=4599" TargetMode="External" Id="rId474" /><Relationship Type="http://schemas.openxmlformats.org/officeDocument/2006/relationships/hyperlink" Target="https://diligence.adm.br/wp-content/plugins/download-attachments/includes/download.php?id=4599" TargetMode="External" Id="rId475" /><Relationship Type="http://schemas.openxmlformats.org/officeDocument/2006/relationships/hyperlink" Target="https://recuperacaojudicial.squarespace.com/s/LISTA-DE-CREDORES-CONSOLIDADA-EM-11072025_6419.pdf" TargetMode="External" Id="rId476" /><Relationship Type="http://schemas.openxmlformats.org/officeDocument/2006/relationships/hyperlink" Target="https://recuperacaojudicial.squarespace.com/s/RJ-Credimoveis-QGC-01082025.pdf" TargetMode="External" Id="rId477" /><Relationship Type="http://schemas.openxmlformats.org/officeDocument/2006/relationships/hyperlink" Target="https://recuperacaojudicial.squarespace.com/s/RJ-Credimoveis-QGC-01082025.pdf" TargetMode="External" Id="rId478" /><Relationship Type="http://schemas.openxmlformats.org/officeDocument/2006/relationships/hyperlink" Target="https://lrflideres.com.br/wp-content/plugins/download-attachments/includes/download.php?id=5001" TargetMode="External" Id="rId479" /><Relationship Type="http://schemas.openxmlformats.org/officeDocument/2006/relationships/hyperlink" Target="https://recuperacaojudicial.squarespace.com/s/4-RJCTREditalda2ListadeCredoresnovembro2019.pdf" TargetMode="External" Id="rId480" /><Relationship Type="http://schemas.openxmlformats.org/officeDocument/2006/relationships/hyperlink" Target="https://lrflideres.com.br/wp-content/plugins/download-attachments/includes/download.php?id=5001" TargetMode="External" Id="rId481" /><Relationship Type="http://schemas.openxmlformats.org/officeDocument/2006/relationships/hyperlink" Target="https://recuperacaojudicial.squarespace.com/s/RJ-Credimoveis-QGC-01082025.pdf" TargetMode="External" Id="rId482" /><Relationship Type="http://schemas.openxmlformats.org/officeDocument/2006/relationships/hyperlink" Target="https://administradorajudicialgs.com.br/wp-content/uploads/2023/08/relacao-de-credores-empresa.pdf" TargetMode="External" Id="rId483" /><Relationship Type="http://schemas.openxmlformats.org/officeDocument/2006/relationships/hyperlink" Target="https://recuperacaojudicial.squarespace.com/s/RJ-Credimoveis-QGC-01082025.pdf" TargetMode="External" Id="rId484" /><Relationship Type="http://schemas.openxmlformats.org/officeDocument/2006/relationships/hyperlink" Target="https://ricardobiancardi.com.br/wp-content/uploads/2024/12/Edital-1-relacao-de-credores-pub.-02.12.24-.pdf" TargetMode="External" Id="rId485" /><Relationship Type="http://schemas.openxmlformats.org/officeDocument/2006/relationships/hyperlink" Target="https://administradorajudicialgs.com.br/wp-content/uploads/2024/12/relacao-de-credores-da-falida.pdf" TargetMode="External" Id="rId486" /><Relationship Type="http://schemas.openxmlformats.org/officeDocument/2006/relationships/hyperlink" Target="https://diligence.adm.br/wp-content/plugins/download-attachments/includes/download.php?id=4579" TargetMode="External" Id="rId487" /><Relationship Type="http://schemas.openxmlformats.org/officeDocument/2006/relationships/hyperlink" Target="https://recuperacaojudicial.squarespace.com/s/RJ-Credimoveis-QGC-01082025.pdf" TargetMode="External" Id="rId488" /><Relationship Type="http://schemas.openxmlformats.org/officeDocument/2006/relationships/hyperlink" Target="https://administradorajudicialgs.com.br/wp-content/uploads/2023/08/doc-06-relacao-credores-do-administrador-judicial-10-02-2015.pdf" TargetMode="External" Id="rId489" /><Relationship Type="http://schemas.openxmlformats.org/officeDocument/2006/relationships/hyperlink" Target="https://ricardobiancardi.com.br/wp-content/uploads/2024/12/Edital-1-relacao-de-credores-pub.-02.12.24-.pdf" TargetMode="External" Id="rId490" /><Relationship Type="http://schemas.openxmlformats.org/officeDocument/2006/relationships/hyperlink" Target="https://recuperacaojudicial.squarespace.com/s/4-RJCTREditalda2ListadeCredoresnovembro2019.pdf" TargetMode="External" Id="rId491" /><Relationship Type="http://schemas.openxmlformats.org/officeDocument/2006/relationships/hyperlink" Target="https://recuperacaojudicial.squarespace.com/s/RJ-Credimoveis-QGC-01082025.pdf" TargetMode="External" Id="rId492"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93" /><Relationship Type="http://schemas.openxmlformats.org/officeDocument/2006/relationships/hyperlink" Target="https://recuperacaojudicial.squarespace.com/s/RJ-Credimoveis-QGC-01082025.pdf" TargetMode="External" Id="rId494" /><Relationship Type="http://schemas.openxmlformats.org/officeDocument/2006/relationships/hyperlink" Target="https://ricardobiancardi.com.br/wp-content/uploads/2024/12/Edital-1-relacao-de-credores-pub.-02.12.24-.pdf" TargetMode="External" Id="rId495"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96" /><Relationship Type="http://schemas.openxmlformats.org/officeDocument/2006/relationships/hyperlink" Target="https://administradorajudicialgs.com.br/wp-content/uploads/2024/12/relacao-de-credores-da-falida.pdf" TargetMode="External" Id="rId497" /><Relationship Type="http://schemas.openxmlformats.org/officeDocument/2006/relationships/hyperlink" Target="https://recuperacaojudicial.squarespace.com/s/RJ-Credimoveis-QGC-01082025.pdf" TargetMode="External" Id="rId498" /><Relationship Type="http://schemas.openxmlformats.org/officeDocument/2006/relationships/hyperlink" Target="https://recuperacaojudicial.squarespace.com/s/RJ-Credimoveis-QGC-01082025.pdf" TargetMode="External" Id="rId499" /><Relationship Type="http://schemas.openxmlformats.org/officeDocument/2006/relationships/hyperlink" Target="https://realbrasil.com.br/wp-content/uploads/2017/05/Rela&#231;&#227;o-de-Credores_-Mastter-1.pdf" TargetMode="External" Id="rId500" /><Relationship Type="http://schemas.openxmlformats.org/officeDocument/2006/relationships/hyperlink" Target="https://ricardobiancardi.com.br/wp-content/uploads/2024/12/Edital-1-relacao-de-credores-pub.-02.12.24-.pdf" TargetMode="External" Id="rId501" /><Relationship Type="http://schemas.openxmlformats.org/officeDocument/2006/relationships/hyperlink" Target="https://recuperacaojudicial.squarespace.com/s/RJ-Credimoveis-QGC-01082025.pdf" TargetMode="External" Id="rId502" /><Relationship Type="http://schemas.openxmlformats.org/officeDocument/2006/relationships/hyperlink" Target="https://lrflideres.com.br/wp-content/plugins/download-attachments/includes/download.php?id=5001" TargetMode="External" Id="rId503" /><Relationship Type="http://schemas.openxmlformats.org/officeDocument/2006/relationships/hyperlink" Target="https://recuperacaojudicial.squarespace.com/s/RJ-Credimoveis-QGC-01082025.pdf" TargetMode="External" Id="rId504" /><Relationship Type="http://schemas.openxmlformats.org/officeDocument/2006/relationships/hyperlink" Target="https://realbrasil.com.br/wp-content/uploads/2019/02/LISTA-DE-CREDORES-DA-RECUPERANDA.pdf" TargetMode="External" Id="rId505" /><Relationship Type="http://schemas.openxmlformats.org/officeDocument/2006/relationships/hyperlink" Target="https://recuperacaojudicial.squarespace.com/s/RJ-Credimoveis-QGC-01082025.pdf" TargetMode="External" Id="rId506" /><Relationship Type="http://schemas.openxmlformats.org/officeDocument/2006/relationships/hyperlink" Target="https://administradorajudicialgs.com.br/wp-content/uploads/2024/12/relacao-de-credores-da-falida.pdf" TargetMode="External" Id="rId507" /><Relationship Type="http://schemas.openxmlformats.org/officeDocument/2006/relationships/hyperlink" Target="https://recuperacaojudicial.squarespace.com/s/RJ-Credimoveis-QGC-01082025.pdf" TargetMode="External" Id="rId508" /><Relationship Type="http://schemas.openxmlformats.org/officeDocument/2006/relationships/hyperlink" Target="https://recuperacaojudicial.squarespace.com/s/RJ-Credimoveis-QGC-01082025.pdf" TargetMode="External" Id="rId509" /><Relationship Type="http://schemas.openxmlformats.org/officeDocument/2006/relationships/hyperlink" Target="https://administradorajudicialgs.com.br/wp-content/uploads/2024/12/relacao-de-credores-da-falida.pdf" TargetMode="External" Id="rId510" /><Relationship Type="http://schemas.openxmlformats.org/officeDocument/2006/relationships/hyperlink" Target="https://recuperacaojudicial.squarespace.com/s/RJ-Credimoveis-QGC-01082025.pdf" TargetMode="External" Id="rId511" /><Relationship Type="http://schemas.openxmlformats.org/officeDocument/2006/relationships/hyperlink" Target="https://administradorajudicialgs.com.br/wp-content/uploads/2024/12/relacao-de-credores-da-falida.pdf" TargetMode="External" Id="rId512" /><Relationship Type="http://schemas.openxmlformats.org/officeDocument/2006/relationships/hyperlink" Target="https://administradorajudicialgs.com.br/wp-content/uploads/2024/12/relacao-de-credores-da-falida.pdf" TargetMode="External" Id="rId513" /><Relationship Type="http://schemas.openxmlformats.org/officeDocument/2006/relationships/hyperlink" Target="https://administradorajudicialgs.com.br/wp-content/uploads/2023/08/doc-06-relacao-credores-do-administrador-judicial-10-02-2015.pdf" TargetMode="External" Id="rId514" /><Relationship Type="http://schemas.openxmlformats.org/officeDocument/2006/relationships/hyperlink" Target="https://recuperacaojudicial.squarespace.com/s/RJ-Grupo-Arnon-de-Melo-Lista-de-Credores-Consolidada-abril-2022.pdf" TargetMode="External" Id="rId515" /><Relationship Type="http://schemas.openxmlformats.org/officeDocument/2006/relationships/hyperlink" Target="https://recuperacaojudicial.squarespace.com/s/RJ-Grupo-Arnon-de-Melo-Lista-de-Credores-Consolidada-abril-2022.pdf" TargetMode="External" Id="rId516" /><Relationship Type="http://schemas.openxmlformats.org/officeDocument/2006/relationships/hyperlink" Target="https://administradorajudicialgs.com.br/wp-content/uploads/2024/12/relacao-de-credores-da-falida.pdf" TargetMode="External" Id="rId517" /><Relationship Type="http://schemas.openxmlformats.org/officeDocument/2006/relationships/hyperlink" Target="https://administradorajudicialgs.com.br/wp-content/uploads/2023/08/doc-06-relacao-credores-do-administrador-judicial-10-02-2015.pdf" TargetMode="External" Id="rId518" /><Relationship Type="http://schemas.openxmlformats.org/officeDocument/2006/relationships/hyperlink" Target="https://administradorajudicialgs.com.br/wp-content/uploads/2024/12/relacao-de-credores-da-falida.pdf" TargetMode="External" Id="rId519" /><Relationship Type="http://schemas.openxmlformats.org/officeDocument/2006/relationships/hyperlink" Target="https://administradorajudicialgs.com.br/wp-content/uploads/2024/12/relacao-de-credores-da-falida.pdf" TargetMode="External" Id="rId520" /><Relationship Type="http://schemas.openxmlformats.org/officeDocument/2006/relationships/hyperlink" Target="https://recuperacaojudicial.squarespace.com/s/RJ-Grupo-Arnon-de-Melo-Lista-de-Credores-Consolidada-abril-2022.pdf" TargetMode="External" Id="rId521" /><Relationship Type="http://schemas.openxmlformats.org/officeDocument/2006/relationships/hyperlink" Target="https://administradorajudicialgs.com.br/wp-content/uploads/2023/08/edital-quadro-geral-de-credores.pdf" TargetMode="External" Id="rId522" /><Relationship Type="http://schemas.openxmlformats.org/officeDocument/2006/relationships/hyperlink" Target="https://recuperacaojudicial.squarespace.com/s/RJ-Credimoveis-QGC-01082025.pdf" TargetMode="External" Id="rId523" /><Relationship Type="http://schemas.openxmlformats.org/officeDocument/2006/relationships/hyperlink" Target="https://recuperacaojudicial.squarespace.com/s/RJ-Credimoveis-QGC-01082025.pdf" TargetMode="External" Id="rId524" /><Relationship Type="http://schemas.openxmlformats.org/officeDocument/2006/relationships/hyperlink" Target="https://recuperacaojudicial.squarespace.com/s/RJ-Credimoveis-QGC-01082025.pdf" TargetMode="External" Id="rId525" /><Relationship Type="http://schemas.openxmlformats.org/officeDocument/2006/relationships/hyperlink" Target="https://administradorajudicialgs.com.br/wp-content/uploads/2024/12/relacao-de-credores-da-falida.pdf" TargetMode="External" Id="rId526" /><Relationship Type="http://schemas.openxmlformats.org/officeDocument/2006/relationships/hyperlink" Target="https://diligence.adm.br/wp-content/plugins/download-attachments/includes/download.php?id=4579" TargetMode="External" Id="rId527" /><Relationship Type="http://schemas.openxmlformats.org/officeDocument/2006/relationships/hyperlink" Target="https://recuperacaojudicial.squarespace.com/s/RJ-Credimoveis-QGC-01082025.pdf" TargetMode="External" Id="rId528" /><Relationship Type="http://schemas.openxmlformats.org/officeDocument/2006/relationships/hyperlink" Target="https://recuperacaojudicial.squarespace.com/s/RJ-Credimoveis-QGC-01082025.pdf" TargetMode="External" Id="rId529" /><Relationship Type="http://schemas.openxmlformats.org/officeDocument/2006/relationships/hyperlink" Target="https://realbrasil.com.br/wp-content/uploads/2018/06/2_LISTA-DE-CREDORES-DA-RECUPERANDA_ROQUE.pdf" TargetMode="External" Id="rId530" /><Relationship Type="http://schemas.openxmlformats.org/officeDocument/2006/relationships/hyperlink" Target="https://recuperacaojudicial.squarespace.com/s/RJ-Grupo-Arnon-de-Melo-Lista-de-Credores-Consolidada-abril-2022.pdf" TargetMode="External" Id="rId531" /><Relationship Type="http://schemas.openxmlformats.org/officeDocument/2006/relationships/hyperlink" Target="https://recuperacaojudicial.squarespace.com/s/RJ-Credimoveis-QGC-01082025.pdf" TargetMode="External" Id="rId532"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33" /><Relationship Type="http://schemas.openxmlformats.org/officeDocument/2006/relationships/hyperlink" Target="https://recuperacaojudicial.squarespace.com/s/RJ-Grupo-Arnon-de-Melo-Lista-de-Credores-Consolidada-abril-2022.pdf" TargetMode="External" Id="rId534" /><Relationship Type="http://schemas.openxmlformats.org/officeDocument/2006/relationships/hyperlink" Target="https://recuperacaojudicial.squarespace.com/s/RJ-Credimoveis-QGC-01082025.pdf" TargetMode="External" Id="rId535" /><Relationship Type="http://schemas.openxmlformats.org/officeDocument/2006/relationships/hyperlink" Target="https://diligence.adm.br/wp-content/plugins/download-attachments/includes/download.php?id=4579" TargetMode="External" Id="rId536" /><Relationship Type="http://schemas.openxmlformats.org/officeDocument/2006/relationships/hyperlink" Target="https://recuperacaojudicial.squarespace.com/s/RJ-Credimoveis-QGC-01082025.pdf" TargetMode="External" Id="rId537" /><Relationship Type="http://schemas.openxmlformats.org/officeDocument/2006/relationships/hyperlink" Target="https://recuperacaojudicial.squarespace.com/s/RJ-Credimoveis-QGC-01082025.pdf" TargetMode="External" Id="rId538" /><Relationship Type="http://schemas.openxmlformats.org/officeDocument/2006/relationships/hyperlink" Target="https://recuperacaojudicial.squarespace.com/s/RJ-Grupo-Arnon-de-Melo-Lista-de-Credores-Consolidada-abril-2022.pdf" TargetMode="External" Id="rId539" /><Relationship Type="http://schemas.openxmlformats.org/officeDocument/2006/relationships/hyperlink" Target="https://recuperacaojudicial.squarespace.com/s/RJ-Credimoveis-QGC-01082025.pdf" TargetMode="External" Id="rId540"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41" /><Relationship Type="http://schemas.openxmlformats.org/officeDocument/2006/relationships/hyperlink" Target="https://recuperacaojudicial.squarespace.com/s/RJ-Grupo-Arnon-de-Melo-Lista-de-Credores-Consolidada-abril-2022.pdf" TargetMode="External" Id="rId542" /><Relationship Type="http://schemas.openxmlformats.org/officeDocument/2006/relationships/hyperlink" Target="https://lrflideres.com.br/wp-content/plugins/download-attachments/includes/download.php?id=5001" TargetMode="External" Id="rId543"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44" /><Relationship Type="http://schemas.openxmlformats.org/officeDocument/2006/relationships/hyperlink" Target="https://administradorajudicialgs.com.br/wp-content/uploads/2024/12/relacao-de-credores-da-falida.pdf" TargetMode="External" Id="rId545" /><Relationship Type="http://schemas.openxmlformats.org/officeDocument/2006/relationships/hyperlink" Target="https://administradorajudicialgs.com.br/wp-content/uploads/2024/12/relacao-de-credores-da-falida.pdf" TargetMode="External" Id="rId546" /><Relationship Type="http://schemas.openxmlformats.org/officeDocument/2006/relationships/hyperlink" Target="https://administradorajudicialgs.com.br/wp-content/uploads/2024/12/relacao-de-credores-da-falida.pdf" TargetMode="External" Id="rId547" /><Relationship Type="http://schemas.openxmlformats.org/officeDocument/2006/relationships/hyperlink" Target="https://administradorajudicialgs.com.br/wp-content/uploads/2024/12/relacao-de-credores-da-falida.pdf" TargetMode="External" Id="rId548" /><Relationship Type="http://schemas.openxmlformats.org/officeDocument/2006/relationships/hyperlink" Target="https://diligence.adm.br/wp-content/plugins/download-attachments/includes/download.php?id=4579" TargetMode="External" Id="rId549" /><Relationship Type="http://schemas.openxmlformats.org/officeDocument/2006/relationships/hyperlink" Target="https://administradorajudicialgs.com.br/wp-content/uploads/2024/12/relacao-de-credores-da-falida.pdf" TargetMode="External" Id="rId550" /><Relationship Type="http://schemas.openxmlformats.org/officeDocument/2006/relationships/hyperlink" Target="https://administradorajudicialgs.com.br/wp-content/uploads/2024/12/relacao-de-credores-da-falida.pdf" TargetMode="External" Id="rId551" /><Relationship Type="http://schemas.openxmlformats.org/officeDocument/2006/relationships/hyperlink" Target="https://administradorajudicialgs.com.br/wp-content/uploads/2024/12/relacao-de-credores-da-falida.pdf" TargetMode="External" Id="rId552" /><Relationship Type="http://schemas.openxmlformats.org/officeDocument/2006/relationships/hyperlink" Target="https://administradorajudicialgs.com.br/wp-content/uploads/2024/12/relacao-de-credores-da-falida.pdf" TargetMode="External" Id="rId553" /><Relationship Type="http://schemas.openxmlformats.org/officeDocument/2006/relationships/hyperlink" Target="https://administradorajudicialgs.com.br/wp-content/uploads/2024/12/relacao-de-credores-da-falida.pdf" TargetMode="External" Id="rId554" /></Relationships>
</file>

<file path=xl/worksheets/_rels/sheet3.xml.rels><Relationships xmlns="http://schemas.openxmlformats.org/package/2006/relationships"><Relationship Type="http://schemas.openxmlformats.org/officeDocument/2006/relationships/hyperlink" Target="https://scalzilliaj.com.br/sgc/download.php?file=files/processo_documento/processo_documento09514021082025_1_.pdf&amp;nome=04 - Rela&#231;&#227;o de credores das Recuperandas" TargetMode="External" Id="rId1" /><Relationship Type="http://schemas.openxmlformats.org/officeDocument/2006/relationships/hyperlink" Target="https://scalzilliaj.com.br/sgc/download.php?file=files/processo_documento/processo_documento09514021082025_1_.pdf&amp;nome=04 - Rela&#231;&#227;o de credores das Recuperandas" TargetMode="External" Id="rId2" /><Relationship Type="http://schemas.openxmlformats.org/officeDocument/2006/relationships/hyperlink" Target="https://scalzilliaj.com.br/sgc/download.php?file=files/processo_documento/processo_documento09514021082025_1_.pdf&amp;nome=04 - Rela&#231;&#227;o de credores das Recuperandas" TargetMode="External" Id="rId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 /><Relationship Type="http://schemas.openxmlformats.org/officeDocument/2006/relationships/hyperlink" Target="https://stenius.com.br/wp-content/uploads/2026/06/EDITAL-GRUPO-3E.pdf" TargetMode="External" Id="rId5" /><Relationship Type="http://schemas.openxmlformats.org/officeDocument/2006/relationships/hyperlink" Target="https://credibilita.com.br/wp-content/uploads/2025/09/Relacao-Credores-29.04.2026.pdf" TargetMode="External" Id="rId6" /><Relationship Type="http://schemas.openxmlformats.org/officeDocument/2006/relationships/hyperlink" Target="https://credibilita.com.br/wp-content/uploads/2025/09/Relacao-Credores-29.04.2026.pdf" TargetMode="External" Id="rId7" /><Relationship Type="http://schemas.openxmlformats.org/officeDocument/2006/relationships/hyperlink" Target="https://scalzilliaj.com.br/sgc/download.php?file=files/processo_documento/processo_documento09514021082025_1_.pdf&amp;nome=04 - Rela&#231;&#227;o de credores das Recuperandas" TargetMode="External" Id="rId8" /><Relationship Type="http://schemas.openxmlformats.org/officeDocument/2006/relationships/hyperlink" Target="https://stenius.com.br/wp-content/uploads/2026/06/EDITAL-GRUPO-3E.pdf" TargetMode="External" Id="rId9" /><Relationship Type="http://schemas.openxmlformats.org/officeDocument/2006/relationships/hyperlink" Target="https://credibilita.com.br/wp-content/uploads/2025/09/Relacao-Credores-29.04.2026.pdf" TargetMode="External" Id="rId10" /><Relationship Type="http://schemas.openxmlformats.org/officeDocument/2006/relationships/hyperlink" Target="https://scalzilliaj.com.br/sgc/download.php?file=files/processo_documento/processo_documento09514021082025_1_.pdf&amp;nome=04 - Rela&#231;&#227;o de credores das Recuperandas" TargetMode="External" Id="rId11" /><Relationship Type="http://schemas.openxmlformats.org/officeDocument/2006/relationships/hyperlink" Target="https://scalzilliaj.com.br/sgc/download.php?file=files/processo_documento/processo_documento09514021082025_1_.pdf&amp;nome=04 - Rela&#231;&#227;o de credores das Recuperandas" TargetMode="External" Id="rId12" /><Relationship Type="http://schemas.openxmlformats.org/officeDocument/2006/relationships/hyperlink" Target="https://assistjud.com.br/wp-content/uploads/elementor/forms/65098c80a5824.pdf" TargetMode="External" Id="rId13" /><Relationship Type="http://schemas.openxmlformats.org/officeDocument/2006/relationships/hyperlink" Target="https://stenius.com.br/wp-content/uploads/2026/06/EDITAL-GRUPO-3E.pdf" TargetMode="External" Id="rId14" /><Relationship Type="http://schemas.openxmlformats.org/officeDocument/2006/relationships/hyperlink" Target="https://scalzilliaj.com.br/sgc/download.php?file=files/processo_documento/processo_documento09514021082025_1_.pdf&amp;nome=04 - Rela&#231;&#227;o de credores das Recuperandas" TargetMode="External" Id="rId15" /><Relationship Type="http://schemas.openxmlformats.org/officeDocument/2006/relationships/hyperlink" Target="https://credibilita.com.br/wp-content/uploads/2025/09/Relacao-Credores-29.04.2026.pdf" TargetMode="External" Id="rId16" /><Relationship Type="http://schemas.openxmlformats.org/officeDocument/2006/relationships/hyperlink" Target="https://recuperasolucoes.com/wp-content/plugins/download-attachments/includes/download.php?id=1597" TargetMode="External" Id="rId17" /><Relationship Type="http://schemas.openxmlformats.org/officeDocument/2006/relationships/hyperlink" Target="https://stenius.com.br/wp-content/uploads/2026/06/EDITAL-GRUPO-3E.pdf" TargetMode="External" Id="rId18" /><Relationship Type="http://schemas.openxmlformats.org/officeDocument/2006/relationships/hyperlink" Target="https://scalzilliaj.com.br/sgc/download.php?file=files/processo_documento/processo_documento09514021082025_1_.pdf&amp;nome=04 - Rela&#231;&#227;o de credores das Recuperandas" TargetMode="External" Id="rId19" /><Relationship Type="http://schemas.openxmlformats.org/officeDocument/2006/relationships/hyperlink" Target="https://stenius.com.br/wp-content/uploads/2026/06/EDITAL-GRUPO-3E.pdf" TargetMode="External" Id="rId20" /><Relationship Type="http://schemas.openxmlformats.org/officeDocument/2006/relationships/hyperlink" Target="https://stenius.com.br/wp-content/uploads/2026/06/EDITAL-GRUPO-3E.pdf" TargetMode="External" Id="rId21" /><Relationship Type="http://schemas.openxmlformats.org/officeDocument/2006/relationships/hyperlink" Target="https://recuperasolucoes.com/wp-content/plugins/download-attachments/includes/download.php?id=1597" TargetMode="External" Id="rId22" /><Relationship Type="http://schemas.openxmlformats.org/officeDocument/2006/relationships/hyperlink" Target="https://stenius.com.br/wp-content/uploads/2026/06/EDITAL-GRUPO-3E.pdf" TargetMode="External" Id="rId23" /><Relationship Type="http://schemas.openxmlformats.org/officeDocument/2006/relationships/hyperlink" Target="https://credibilita.com.br/wp-content/uploads/2025/09/Relacao-Credores-29.04.2026.pdf" TargetMode="External" Id="rId24"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25" /><Relationship Type="http://schemas.openxmlformats.org/officeDocument/2006/relationships/hyperlink" Target="https://credibilita.com.br/wp-content/uploads/2025/09/Relacao-Credores-29.04.2026.pdf" TargetMode="External" Id="rId26" /><Relationship Type="http://schemas.openxmlformats.org/officeDocument/2006/relationships/hyperlink" Target="https://stenius.com.br/wp-content/uploads/2026/06/EDITAL-GRUPO-3E.pdf" TargetMode="External" Id="rId27" /><Relationship Type="http://schemas.openxmlformats.org/officeDocument/2006/relationships/hyperlink" Target="https://stenius.com.br/wp-content/uploads/2026/06/EDITAL-GRUPO-3E.pdf" TargetMode="External" Id="rId28" /><Relationship Type="http://schemas.openxmlformats.org/officeDocument/2006/relationships/hyperlink" Target="https://assistjud.com.br/wp-content/uploads/elementor/forms/65098c80a5824.pdf" TargetMode="External" Id="rId29" /><Relationship Type="http://schemas.openxmlformats.org/officeDocument/2006/relationships/hyperlink" Target="https://credibilita.com.br/wp-content/uploads/2025/09/Relacao-Credores-29.04.2026.pdf" TargetMode="External" Id="rId30" /><Relationship Type="http://schemas.openxmlformats.org/officeDocument/2006/relationships/hyperlink" Target="https://lrflideres.com.br/wp-content/plugins/download-attachments/includes/download.php?id=6273" TargetMode="External" Id="rId31" /><Relationship Type="http://schemas.openxmlformats.org/officeDocument/2006/relationships/hyperlink" Target="https://lrflideres.com.br/wp-content/plugins/download-attachments/includes/download.php?id=6051" TargetMode="External" Id="rId32" /><Relationship Type="http://schemas.openxmlformats.org/officeDocument/2006/relationships/hyperlink" Target="https://recuperasolucoes.com/wp-content/plugins/download-attachments/includes/download.php?id=1597" TargetMode="External" Id="rId33" /><Relationship Type="http://schemas.openxmlformats.org/officeDocument/2006/relationships/hyperlink" Target="https://credibilita.com.br/wp-content/uploads/2025/09/Relacao-Credores-29.04.2026.pdf" TargetMode="External" Id="rId34" /><Relationship Type="http://schemas.openxmlformats.org/officeDocument/2006/relationships/hyperlink" Target="https://credibilita.com.br/wp-content/uploads/2025/09/Relacao-Credores-29.04.2026.pdf" TargetMode="External" Id="rId35" /><Relationship Type="http://schemas.openxmlformats.org/officeDocument/2006/relationships/hyperlink" Target="https://ajruiz.com.br/sites/default/files/public/arquivos-processos/2026-01/safrasul_relacao_de_credores_recuperanda.pdf" TargetMode="External" Id="rId3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7" /><Relationship Type="http://schemas.openxmlformats.org/officeDocument/2006/relationships/hyperlink" Target="https://stenius.com.br/wp-content/uploads/2026/06/EDITAL-GRUPO-3E.pdf" TargetMode="External" Id="rId38" /><Relationship Type="http://schemas.openxmlformats.org/officeDocument/2006/relationships/hyperlink" Target="https://inova-aj.com.br/wp-content/uploads/2026/08/1a-Relacao-de-Credores-Real.pdf" TargetMode="External" Id="rId39"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40" /><Relationship Type="http://schemas.openxmlformats.org/officeDocument/2006/relationships/hyperlink" Target="https://marquesadmjudicial.com.br/sgc/download.php?file=files/processo_documento/processo_documento09391327032025_1_.pdf&amp;nome=Rela&#231;&#227;o Nominal de Credores AJ" TargetMode="External" Id="rId41" /><Relationship Type="http://schemas.openxmlformats.org/officeDocument/2006/relationships/hyperlink" Target="https://recuperasolucoes.com/wp-content/plugins/download-attachments/includes/download.php?id=1597" TargetMode="External" Id="rId42" /><Relationship Type="http://schemas.openxmlformats.org/officeDocument/2006/relationships/hyperlink" Target="https://lrflideres.com.br/wp-content/plugins/download-attachments/includes/download.php?id=4023" TargetMode="External" Id="rId43" /><Relationship Type="http://schemas.openxmlformats.org/officeDocument/2006/relationships/hyperlink" Target="https://lrflideres.com.br/wp-content/plugins/download-attachments/includes/download.php?id=6051" TargetMode="External" Id="rId44" /><Relationship Type="http://schemas.openxmlformats.org/officeDocument/2006/relationships/hyperlink" Target="https://stenius.com.br/wp-content/uploads/2026/06/EDITAL-GRUPO-3E.pdf" TargetMode="External" Id="rId45" /><Relationship Type="http://schemas.openxmlformats.org/officeDocument/2006/relationships/hyperlink" Target="https://scalzilliaj.com.br/sgc/download.php?file=files/processo_documento/processo_documento09514021082025_1_.pdf&amp;nome=04 - Rela&#231;&#227;o de credores das Recuperandas" TargetMode="External" Id="rId4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7" /><Relationship Type="http://schemas.openxmlformats.org/officeDocument/2006/relationships/hyperlink" Target="https://recuperasolucoes.com/wp-content/plugins/download-attachments/includes/download.php?id=1597" TargetMode="External" Id="rId48" /><Relationship Type="http://schemas.openxmlformats.org/officeDocument/2006/relationships/hyperlink" Target="https://stenius.com.br/wp-content/uploads/2026/07/EDITAL-1-RELACAO-DE-CREDORES-GRUPO-GE.pdf" TargetMode="External" Id="rId49" /><Relationship Type="http://schemas.openxmlformats.org/officeDocument/2006/relationships/hyperlink" Target="https://scalzilliaj.com.br/sgc/download.php?file=files/processo_documento/processo_documento09514021082025_1_.pdf&amp;nome=04 - Rela&#231;&#227;o de credores das Recuperandas" TargetMode="External" Id="rId50" /><Relationship Type="http://schemas.openxmlformats.org/officeDocument/2006/relationships/hyperlink" Target="https://lrflideres.com.br/wp-content/plugins/download-attachments/includes/download.php?id=7418" TargetMode="External" Id="rId51" /><Relationship Type="http://schemas.openxmlformats.org/officeDocument/2006/relationships/hyperlink" Target="https://stenius.com.br/wp-content/uploads/2026/06/EDITAL-GRUPO-3E.pdf" TargetMode="External" Id="rId52" /><Relationship Type="http://schemas.openxmlformats.org/officeDocument/2006/relationships/hyperlink" Target="https://ajruiz.com.br/sites/default/files/public/arquivos-processos/2026-01/safrasul_relacao_de_credores_recuperanda.pdf" TargetMode="External" Id="rId53" /><Relationship Type="http://schemas.openxmlformats.org/officeDocument/2006/relationships/hyperlink" Target="https://lrflideres.com.br/wp-content/plugins/download-attachments/includes/download.php?id=6252" TargetMode="External" Id="rId5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55" /><Relationship Type="http://schemas.openxmlformats.org/officeDocument/2006/relationships/hyperlink" Target="https://marquesadmjudicial.com.br/sgc/download.php?file=files/processo_documento/processo_documento09444722082025_1_.pdf&amp;nome=2&#176; Edital - Rela&#231;&#227;o de Credores AJ e PRJ" TargetMode="External" Id="rId56" /><Relationship Type="http://schemas.openxmlformats.org/officeDocument/2006/relationships/hyperlink" Target="https://recuperasolucoes.com/wp-content/plugins/download-attachments/includes/download.php?id=1597" TargetMode="External" Id="rId57" /><Relationship Type="http://schemas.openxmlformats.org/officeDocument/2006/relationships/hyperlink" Target="https://ajruiz.com.br/sites/default/files/public/arquivos-processos/2026-08/qgc_azeplast_julho_2026.pdf" TargetMode="External" Id="rId58" /><Relationship Type="http://schemas.openxmlformats.org/officeDocument/2006/relationships/hyperlink" Target="https://stenius.com.br/wp-content/uploads/2026/06/EDITAL-GRUPO-3E.pdf" TargetMode="External" Id="rId59" /><Relationship Type="http://schemas.openxmlformats.org/officeDocument/2006/relationships/hyperlink" Target="https://scalzilliaj.com.br/sgc/download.php?file=files/processo_documento/processo_documento09514021082025_1_.pdf&amp;nome=04 - Rela&#231;&#227;o de credores das Recuperandas" TargetMode="External" Id="rId60" /><Relationship Type="http://schemas.openxmlformats.org/officeDocument/2006/relationships/hyperlink" Target="https://lrflideres.com.br/wp-content/plugins/download-attachments/includes/download.php?id=4023" TargetMode="External" Id="rId61" /><Relationship Type="http://schemas.openxmlformats.org/officeDocument/2006/relationships/hyperlink" Target="https://ajruiz.com.br/sites/default/files/public/arquivos-processos/2023-11/4_relacao_de_credores_analitica_art._51_iii_da_lre.pdf" TargetMode="External" Id="rId62" /><Relationship Type="http://schemas.openxmlformats.org/officeDocument/2006/relationships/hyperlink" Target="https://vivanteaj.com.br/wp-content/uploads/2024/11/1a-lista-de-credores-JA-Santos.pdf" TargetMode="External" Id="rId63" /><Relationship Type="http://schemas.openxmlformats.org/officeDocument/2006/relationships/hyperlink" Target="https://marquesadmjudicial.com.br/sgc/download.php?file=files/processo_documento/processo_documento17040729052024_1_.pdf&amp;nome=Rela&#231;&#227;o Nominal de Credores AJ-Sint&#233;tica" TargetMode="External" Id="rId64" /><Relationship Type="http://schemas.openxmlformats.org/officeDocument/2006/relationships/hyperlink" Target="https://lrflideres.com.br/wp-content/plugins/download-attachments/includes/download.php?id=6879" TargetMode="External" Id="rId65" /><Relationship Type="http://schemas.openxmlformats.org/officeDocument/2006/relationships/hyperlink" Target="https://ajruiz.com.br/sites/default/files/public/arquivos-processos/2026-01/safrasul_relacao_de_credores_recuperanda.pdf" TargetMode="External" Id="rId66" /><Relationship Type="http://schemas.openxmlformats.org/officeDocument/2006/relationships/hyperlink" Target="https://assistjud.com.br/wp-content/uploads/elementor/forms/65098c80a5824.pdf" TargetMode="External" Id="rId67" /><Relationship Type="http://schemas.openxmlformats.org/officeDocument/2006/relationships/hyperlink" Target="https://lrflideres.com.br/wp-content/plugins/download-attachments/includes/download.php?id=6051" TargetMode="External" Id="rId68" /><Relationship Type="http://schemas.openxmlformats.org/officeDocument/2006/relationships/hyperlink" Target="https://diligence.adm.br/wp-content/uploads/2025/06/Edital-1a-Lista-de-Credores.pdf" TargetMode="External" Id="rId69" /><Relationship Type="http://schemas.openxmlformats.org/officeDocument/2006/relationships/hyperlink" Target="https://lrflideres.com.br/wp-content/plugins/download-attachments/includes/download.php?id=4023" TargetMode="External" Id="rId70"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71" /><Relationship Type="http://schemas.openxmlformats.org/officeDocument/2006/relationships/hyperlink" Target="https://lrflideres.com.br/wp-content/plugins/download-attachments/includes/download.php?id=7418" TargetMode="External" Id="rId72" /><Relationship Type="http://schemas.openxmlformats.org/officeDocument/2006/relationships/hyperlink" Target="https://diligence.adm.br/wp-content/uploads/2025/06/Edital-1a-Lista-de-Credores.pdf" TargetMode="External" Id="rId73" /><Relationship Type="http://schemas.openxmlformats.org/officeDocument/2006/relationships/hyperlink" Target="https://stenius.com.br/wp-content/uploads/2026/06/EDITAL-GRUPO-FAEL.pdf" TargetMode="External" Id="rId74" /><Relationship Type="http://schemas.openxmlformats.org/officeDocument/2006/relationships/hyperlink" Target="http://recuperacaojudicial.squarespace.com/s/LISTA-DE-CREDORES-CONSOLIDADA-ATE-04102024.pdf" TargetMode="External" Id="rId75" /><Relationship Type="http://schemas.openxmlformats.org/officeDocument/2006/relationships/hyperlink" Target="http://recuperacaojudicial.squarespace.com/s/LISTA-DE-CREDORES-CONSOLIDADA-ATE-04102024.pdf" TargetMode="External" Id="rId76" /><Relationship Type="http://schemas.openxmlformats.org/officeDocument/2006/relationships/hyperlink" Target="https://marquesadmjudicial.com.br/sgc/download.php?file=files/processo_documento/processo_documento20014127022025_1_.pdf&amp;nome=Rela&#231;&#227;o Nominal de Credores" TargetMode="External" Id="rId77" /><Relationship Type="http://schemas.openxmlformats.org/officeDocument/2006/relationships/hyperlink" Target="https://lrflideres.com.br/wp-content/plugins/download-attachments/includes/download.php?id=4023" TargetMode="External" Id="rId78" /><Relationship Type="http://schemas.openxmlformats.org/officeDocument/2006/relationships/hyperlink" Target="https://lrflideres.com.br/wp-content/plugins/download-attachments/includes/download.php?id=6051" TargetMode="External" Id="rId79" /><Relationship Type="http://schemas.openxmlformats.org/officeDocument/2006/relationships/hyperlink" Target="https://assistjud.com.br/wp-content/uploads/elementor/forms/65098c80a5824.pdf" TargetMode="External" Id="rId80" /><Relationship Type="http://schemas.openxmlformats.org/officeDocument/2006/relationships/hyperlink" Target="https://lrflideres.com.br/wp-content/plugins/download-attachments/includes/download.php?id=6252" TargetMode="External" Id="rId81" /><Relationship Type="http://schemas.openxmlformats.org/officeDocument/2006/relationships/hyperlink" Target="https://stenius.com.br/wp-content/uploads/2026/06/EDITAL-GRUPO-3E.pdf" TargetMode="External" Id="rId82" /><Relationship Type="http://schemas.openxmlformats.org/officeDocument/2006/relationships/hyperlink" Target="https://administradorajudicialgs.com.br/wp-content/uploads/2025/09/relacao-de-credores-forest-sa.pdf" TargetMode="External" Id="rId83" /><Relationship Type="http://schemas.openxmlformats.org/officeDocument/2006/relationships/hyperlink" Target="https://stenius.com.br/wp-content/uploads/2026/06/EDITAL-GRUPO-3E.pdf" TargetMode="External" Id="rId84" /><Relationship Type="http://schemas.openxmlformats.org/officeDocument/2006/relationships/hyperlink" Target="https://inova-aj.com.br/wp-content/uploads/2026/08/1a-Relacao-de-Credores-Real.pdf" TargetMode="External" Id="rId85" /><Relationship Type="http://schemas.openxmlformats.org/officeDocument/2006/relationships/hyperlink" Target="https://ajruiz.com.br/sites/default/files/public/arquivos-processos/2026-01/safrasul_relacao_de_credores_recuperanda.pdf" TargetMode="External" Id="rId86" /><Relationship Type="http://schemas.openxmlformats.org/officeDocument/2006/relationships/hyperlink" Target="https://stenius.com.br/wp-content/uploads/2026/06/EDITAL-GRUPO-3E.pdf" TargetMode="External" Id="rId87" /><Relationship Type="http://schemas.openxmlformats.org/officeDocument/2006/relationships/hyperlink" Target="https://inova-aj.com.br/wp-content/uploads/2026/08/1a-Relacao-de-Credores-Real.pdf" TargetMode="External" Id="rId8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89" /><Relationship Type="http://schemas.openxmlformats.org/officeDocument/2006/relationships/hyperlink" Target="https://stenius.com.br/wp-content/uploads/2026/06/EDITAL-GRUPO-3E.pdf" TargetMode="External" Id="rId90" /><Relationship Type="http://schemas.openxmlformats.org/officeDocument/2006/relationships/hyperlink" Target="https://inova-aj.com.br/wp-content/uploads/2026/08/1a-Relacao-de-Credores-Real.pdf" TargetMode="External" Id="rId91"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92" /><Relationship Type="http://schemas.openxmlformats.org/officeDocument/2006/relationships/hyperlink" Target="https://rlg-aj.com.br/wp-content/uploads/2024/11/07.-Rela&#231;&#227;o-de-credores.pdf" TargetMode="External" Id="rId93"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94" /><Relationship Type="http://schemas.openxmlformats.org/officeDocument/2006/relationships/hyperlink" Target="https://lrflideres.com.br/wp-content/plugins/download-attachments/includes/download.php?id=6252" TargetMode="External" Id="rId95" /><Relationship Type="http://schemas.openxmlformats.org/officeDocument/2006/relationships/hyperlink" Target="https://ajruiz.com.br/sites/default/files/public/arquivos-processos/2023-11/4_relacao_de_credores_analitica_art._51_iii_da_lre.pdf" TargetMode="External" Id="rId96" /><Relationship Type="http://schemas.openxmlformats.org/officeDocument/2006/relationships/hyperlink" Target="https://recuperasolucoes.com/wp-content/plugins/download-attachments/includes/download.php?id=1492" TargetMode="External" Id="rId97" /><Relationship Type="http://schemas.openxmlformats.org/officeDocument/2006/relationships/hyperlink" Target="https://marquesadmjudicial.com.br/sgc/download.php?file=files/processo_documento/processo_documento17040729052024_1_.pdf&amp;nome=Rela&#231;&#227;o Nominal de Credores AJ-Sint&#233;tica" TargetMode="External" Id="rId98" /><Relationship Type="http://schemas.openxmlformats.org/officeDocument/2006/relationships/hyperlink" Target="https://recuperacaojudicial.squarespace.com/s/RJ-Grupo-Arnon-de-Melo-Lista-de-Credores-Consolidada-abril-2022.pdf" TargetMode="External" Id="rId99" /><Relationship Type="http://schemas.openxmlformats.org/officeDocument/2006/relationships/hyperlink" Target="https://scalzilliaj.com.br/sgc/download.php?file=files/processo_documento/processo_documento09514021082025_1_.pdf&amp;nome=04 - Rela&#231;&#227;o de credores das Recuperandas" TargetMode="External" Id="rId100" /><Relationship Type="http://schemas.openxmlformats.org/officeDocument/2006/relationships/hyperlink" Target="https://marquesadmjudicial.com.br/sgc/download.php?file=files/processo_documento/processo_documento15232121112024_1_.pdf&amp;nome=Rela&#231;&#227;o de Credores" TargetMode="External" Id="rId101" /><Relationship Type="http://schemas.openxmlformats.org/officeDocument/2006/relationships/hyperlink" Target="https://credibilita.com.br/wp-content/uploads/2025/09/Relacao-Credores-29.04.2026.pdf" TargetMode="External" Id="rId10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03" /><Relationship Type="http://schemas.openxmlformats.org/officeDocument/2006/relationships/hyperlink" Target="https://ajruiz.com.br/sites/default/files/public/arquivos-processos/2026-08/qgc_azeplast_julho_2026.pdf" TargetMode="External" Id="rId104" /><Relationship Type="http://schemas.openxmlformats.org/officeDocument/2006/relationships/hyperlink" Target="https://stenius.com.br/wp-content/uploads/2026/06/EDITAL-GRUPO-3E.pdf" TargetMode="External" Id="rId105" /><Relationship Type="http://schemas.openxmlformats.org/officeDocument/2006/relationships/hyperlink" Target="https://assistjud.com.br/wp-content/uploads/elementor/forms/65098c80a5824.pdf" TargetMode="External" Id="rId10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07" /><Relationship Type="http://schemas.openxmlformats.org/officeDocument/2006/relationships/hyperlink" Target="https://lrflideres.com.br/wp-content/plugins/download-attachments/includes/download.php?id=4023" TargetMode="External" Id="rId108" /><Relationship Type="http://schemas.openxmlformats.org/officeDocument/2006/relationships/hyperlink" Target="https://ajruiz.com.br/sites/default/files/public/arquivos-processos/2026-06/alto_uruguai_qgc_junho.2026.pdf" TargetMode="External" Id="rId109" /><Relationship Type="http://schemas.openxmlformats.org/officeDocument/2006/relationships/hyperlink" Target="https://ajruiz.com.br/sites/default/files/public/arquivos-processos/2023-11/4_relacao_de_credores_analitica_art._51_iii_da_lre.pdf" TargetMode="External" Id="rId110"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111" /><Relationship Type="http://schemas.openxmlformats.org/officeDocument/2006/relationships/hyperlink" Target="https://recuperasolucoes.com/wp-content/plugins/download-attachments/includes/download.php?id=1597" TargetMode="External" Id="rId112" /><Relationship Type="http://schemas.openxmlformats.org/officeDocument/2006/relationships/hyperlink" Target="https://stenius.com.br/wp-content/uploads/2026/06/EDITAL-GRUPO-3E.pdf" TargetMode="External" Id="rId113" /><Relationship Type="http://schemas.openxmlformats.org/officeDocument/2006/relationships/hyperlink" Target="https://stenius.com.br/wp-content/uploads/2026/06/EDITAL-GRUPO-3E.pdf" TargetMode="External" Id="rId114" /><Relationship Type="http://schemas.openxmlformats.org/officeDocument/2006/relationships/hyperlink" Target="https://stenius.com.br/wp-content/uploads/2026/06/EDITAL-GRUPO-3E.pdf" TargetMode="External" Id="rId115" /><Relationship Type="http://schemas.openxmlformats.org/officeDocument/2006/relationships/hyperlink" Target="https://ajruiz.com.br/sites/default/files/public/arquivos-processos/2026-01/safrasul_relacao_de_credores_recuperanda.pdf" TargetMode="External" Id="rId116" /><Relationship Type="http://schemas.openxmlformats.org/officeDocument/2006/relationships/hyperlink" Target="https://recuperasolucoes.com/wp-content/plugins/download-attachments/includes/download.php?id=1597" TargetMode="External" Id="rId117" /><Relationship Type="http://schemas.openxmlformats.org/officeDocument/2006/relationships/hyperlink" Target="https://assistjud.com.br/wp-content/uploads/elementor/forms/65098c80a5824.pdf" TargetMode="External" Id="rId118" /><Relationship Type="http://schemas.openxmlformats.org/officeDocument/2006/relationships/hyperlink" Target="https://assistjud.com.br/wp-content/uploads/elementor/forms/65098c80a5824.pdf" TargetMode="External" Id="rId119"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20" /><Relationship Type="http://schemas.openxmlformats.org/officeDocument/2006/relationships/hyperlink" Target="https://cataliseaj.com.br/sgc/download.php?file=files/processo_documento/processo_documento15092204102024_1_.pdf&amp;nome=02. RELA&#199;&#195;O DE CREDORES" TargetMode="External" Id="rId121" /><Relationship Type="http://schemas.openxmlformats.org/officeDocument/2006/relationships/hyperlink" Target="https://assistjud.com.br/wp-content/uploads/elementor/forms/65098c80a5824.pdf" TargetMode="External" Id="rId122" /><Relationship Type="http://schemas.openxmlformats.org/officeDocument/2006/relationships/hyperlink" Target="https://ajruiz.com.br/sites/default/files/public/arquivos-processos/2026-06/alto_uruguai_qgc_junho.2026.pdf" TargetMode="External" Id="rId123" /><Relationship Type="http://schemas.openxmlformats.org/officeDocument/2006/relationships/hyperlink" Target="https://diligence.adm.br/wp-content/uploads/2025/06/Edital-1a-Lista-de-Credores.pdf" TargetMode="External" Id="rId124" /><Relationship Type="http://schemas.openxmlformats.org/officeDocument/2006/relationships/hyperlink" Target="https://recuperacaojudicial.squarespace.com/s/EDITAL-COM-A-2-LISTA-DE-CREDORES-E-INFORMANDO-A-APRESENTACO-DO-PRJ_1532.pdf" TargetMode="External" Id="rId125" /><Relationship Type="http://schemas.openxmlformats.org/officeDocument/2006/relationships/hyperlink" Target="https://diligence.adm.br/wp-content/uploads/2025/06/Edital-1a-Lista-de-Credores.pdf" TargetMode="External" Id="rId126" /><Relationship Type="http://schemas.openxmlformats.org/officeDocument/2006/relationships/hyperlink" Target="https://lrflideres.com.br/wp-content/plugins/download-attachments/includes/download.php?id=4023" TargetMode="External" Id="rId127"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28" /><Relationship Type="http://schemas.openxmlformats.org/officeDocument/2006/relationships/hyperlink" Target="https://recuperasolucoes.com/wp-content/plugins/download-attachments/includes/download.php?id=1597" TargetMode="External" Id="rId129" /><Relationship Type="http://schemas.openxmlformats.org/officeDocument/2006/relationships/hyperlink" Target="https://lrflideres.com.br/wp-content/plugins/download-attachments/includes/download.php?id=6051" TargetMode="External" Id="rId130" /><Relationship Type="http://schemas.openxmlformats.org/officeDocument/2006/relationships/hyperlink" Target="https://diligence.adm.br/wp-content/uploads/2025/06/Edital-1a-Lista-de-Credores.pdf" TargetMode="External" Id="rId131" /><Relationship Type="http://schemas.openxmlformats.org/officeDocument/2006/relationships/hyperlink" Target="https://ajruiz.com.br/sites/default/files/public/arquivos-processos/2023-11/4_relacao_de_credores_analitica_art._51_iii_da_lre.pdf" TargetMode="External" Id="rId132" /><Relationship Type="http://schemas.openxmlformats.org/officeDocument/2006/relationships/hyperlink" Target="https://ativosajce.com.br/admin/download.php?file=files/processo_documento/processo_documento14170815062026_1_.pdf&amp;nome=Rela&#231;&#227;o de Credores - Art. 52&#186; &#167; 1&#186;, da Lei n&#186; 11.101/2005 - 20/05/2026" TargetMode="External" Id="rId133"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134" /><Relationship Type="http://schemas.openxmlformats.org/officeDocument/2006/relationships/hyperlink" Target="https://ajruiz.com.br/sites/default/files/public/arquivos-processos/2026-01/safrasul_relacao_de_credores_recuperanda.pdf" TargetMode="External" Id="rId135" /><Relationship Type="http://schemas.openxmlformats.org/officeDocument/2006/relationships/hyperlink" Target="https://marquesadmjudicial.com.br/sgc/download.php?file=files/processo_documento/processo_documento18581929042026_1_.pdf&amp;nome=3&#186; Edital - Rela&#231;&#227;o de Credores e PRJ" TargetMode="External" Id="rId136" /><Relationship Type="http://schemas.openxmlformats.org/officeDocument/2006/relationships/hyperlink" Target="https://ajruiz.com.br/sites/default/files/public/arquivos-processos/2026-01/safrasul_relacao_de_credores_recuperanda.pdf" TargetMode="External" Id="rId137" /><Relationship Type="http://schemas.openxmlformats.org/officeDocument/2006/relationships/hyperlink" Target="https://rlg-aj.com.br/wp-content/uploads/2024/11/07.-Rela&#231;&#227;o-de-credores.pdf" TargetMode="External" Id="rId138" /><Relationship Type="http://schemas.openxmlformats.org/officeDocument/2006/relationships/hyperlink" Target="https://ajruiz.com.br/sites/default/files/public/arquivos-processos/2026-08/qgc_azeplast_julho_2026.pdf" TargetMode="External" Id="rId139" /><Relationship Type="http://schemas.openxmlformats.org/officeDocument/2006/relationships/hyperlink" Target="https://bugarimecoelho.com.br/ws/media-library/b6b7ea42b9fa2afe30bc728fe00cd5c6/07---edital-do-processamento-da-recuperacao-judicial.pdf" TargetMode="External" Id="rId140" /><Relationship Type="http://schemas.openxmlformats.org/officeDocument/2006/relationships/hyperlink" Target="https://credibilita.com.br/wp-content/uploads/2025/09/Relacao-Credores-29.04.2026.pdf" TargetMode="External" Id="rId141" /><Relationship Type="http://schemas.openxmlformats.org/officeDocument/2006/relationships/hyperlink" Target="https://lrflideres.com.br/wp-content/plugins/download-attachments/includes/download.php?id=7418" TargetMode="External" Id="rId142" /><Relationship Type="http://schemas.openxmlformats.org/officeDocument/2006/relationships/hyperlink" Target="https://recuperasolucoes.com/wp-content/plugins/download-attachments/includes/download.php?id=1597" TargetMode="External" Id="rId143" /><Relationship Type="http://schemas.openxmlformats.org/officeDocument/2006/relationships/hyperlink" Target="https://assistjud.com.br/wp-content/uploads/elementor/forms/65098c80a5824.pdf" TargetMode="External" Id="rId144" /><Relationship Type="http://schemas.openxmlformats.org/officeDocument/2006/relationships/hyperlink" Target="https://recuperasolucoes.com/wp-content/plugins/download-attachments/includes/download.php?id=1597" TargetMode="External" Id="rId145" /><Relationship Type="http://schemas.openxmlformats.org/officeDocument/2006/relationships/hyperlink" Target="https://scalzilliaj.com.br/sgc/download.php?file=files/processo_documento/processo_documento09514021082025_1_.pdf&amp;nome=04 - Rela&#231;&#227;o de credores das Recuperandas" TargetMode="External" Id="rId146" /><Relationship Type="http://schemas.openxmlformats.org/officeDocument/2006/relationships/hyperlink" Target="https://recuperasolucoes.com/wp-content/plugins/download-attachments/includes/download.php?id=1492" TargetMode="External" Id="rId147" /><Relationship Type="http://schemas.openxmlformats.org/officeDocument/2006/relationships/hyperlink" Target="https://recuperasolucoes.com/wp-content/plugins/download-attachments/includes/download.php?id=1597" TargetMode="External" Id="rId148" /><Relationship Type="http://schemas.openxmlformats.org/officeDocument/2006/relationships/hyperlink" Target="https://lrflideres.com.br/wp-content/plugins/download-attachments/includes/download.php?id=7418" TargetMode="External" Id="rId149" /><Relationship Type="http://schemas.openxmlformats.org/officeDocument/2006/relationships/hyperlink" Target="https://assistjud.com.br/wp-content/uploads/elementor/forms/65098c80a5824.pdf" TargetMode="External" Id="rId150" /><Relationship Type="http://schemas.openxmlformats.org/officeDocument/2006/relationships/hyperlink" Target="https://cataliseaj.com.br/sgc/download.php?file=files/processo_documento/processo_documento15092204102024_1_.pdf&amp;nome=02. RELA&#199;&#195;O DE CREDORES" TargetMode="External" Id="rId151" /><Relationship Type="http://schemas.openxmlformats.org/officeDocument/2006/relationships/hyperlink" Target="https://marquesadmjudicial.com.br/sgc/download.php?file=files/processo_documento/processo_documento19270817122025_1_.pdf&amp;nome=Rela&#231;&#227;o Nominal de Credores AJ" TargetMode="External" Id="rId152" /><Relationship Type="http://schemas.openxmlformats.org/officeDocument/2006/relationships/hyperlink" Target="https://stenius.com.br/wp-content/uploads/2026/07/EDITAL-1-RELACAO-DE-CREDORES-GRUPO-GE.pdf" TargetMode="External" Id="rId153" /><Relationship Type="http://schemas.openxmlformats.org/officeDocument/2006/relationships/hyperlink" Target="https://lrflideres.com.br/wp-content/plugins/download-attachments/includes/download.php?id=6273" TargetMode="External" Id="rId154" /><Relationship Type="http://schemas.openxmlformats.org/officeDocument/2006/relationships/hyperlink" Target="https://assistjud.com.br/wp-content/uploads/elementor/forms/65098c80a5824.pdf" TargetMode="External" Id="rId155" /><Relationship Type="http://schemas.openxmlformats.org/officeDocument/2006/relationships/hyperlink" Target="https://marquesadmjudicial.com.br/sgc/download.php?file=files/processo_documento/processo_documento17040729052024_1_.pdf&amp;nome=Rela&#231;&#227;o Nominal de Credores AJ-Sint&#233;tica" TargetMode="External" Id="rId156" /><Relationship Type="http://schemas.openxmlformats.org/officeDocument/2006/relationships/hyperlink" Target="https://vivanteaj.com.br/wp-content/uploads/2024/11/1a-lista-de-credores-JA-Santos.pdf" TargetMode="External" Id="rId157" /><Relationship Type="http://schemas.openxmlformats.org/officeDocument/2006/relationships/hyperlink" Target="https://marquesadmjudicial.com.br/sgc/download.php?file=files/processo_documento/processo_documento18581929042026_1_.pdf&amp;nome=3&#186; Edital - Rela&#231;&#227;o de Credores e PRJ" TargetMode="External" Id="rId158" /><Relationship Type="http://schemas.openxmlformats.org/officeDocument/2006/relationships/hyperlink" Target="https://recuperasolucoes.com/wp-content/plugins/download-attachments/includes/download.php?id=1597" TargetMode="External" Id="rId159" /><Relationship Type="http://schemas.openxmlformats.org/officeDocument/2006/relationships/hyperlink" Target="http://recuperacaojudicial.squarespace.com/s/LISTA-DE-CREDORES-CONSOLIDADA-ATE-04102024.pdf" TargetMode="External" Id="rId160" /><Relationship Type="http://schemas.openxmlformats.org/officeDocument/2006/relationships/hyperlink" Target="https://stenius.com.br/wp-content/uploads/2026/06/EDITAL-GRUPO-FAEL.pdf" TargetMode="External" Id="rId161" /><Relationship Type="http://schemas.openxmlformats.org/officeDocument/2006/relationships/hyperlink" Target="https://recuperasolucoes.com/wp-content/plugins/download-attachments/includes/download.php?id=1597" TargetMode="External" Id="rId162" /><Relationship Type="http://schemas.openxmlformats.org/officeDocument/2006/relationships/hyperlink" Target="https://assistjud.com.br/wp-content/uploads/elementor/forms/65098c80a5824.pdf" TargetMode="External" Id="rId163" /><Relationship Type="http://schemas.openxmlformats.org/officeDocument/2006/relationships/hyperlink" Target="https://ajruiz.com.br/sites/default/files/public/arquivos-processos/2026-01/safrasul_relacao_de_credores_recuperanda.pdf" TargetMode="External" Id="rId16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65" /><Relationship Type="http://schemas.openxmlformats.org/officeDocument/2006/relationships/hyperlink" Target="https://ajruiz.com.br/sites/default/files/public/arquivos-processos/2026-08/qgc_azeplast_julho_2026.pdf" TargetMode="External" Id="rId166" /><Relationship Type="http://schemas.openxmlformats.org/officeDocument/2006/relationships/hyperlink" Target="https://recuperasolucoes.com/wp-content/plugins/download-attachments/includes/download.php?id=1597" TargetMode="External" Id="rId167" /><Relationship Type="http://schemas.openxmlformats.org/officeDocument/2006/relationships/hyperlink" Target="https://lrflideres.com.br/wp-content/plugins/download-attachments/includes/download.php?id=7418" TargetMode="External" Id="rId168" /><Relationship Type="http://schemas.openxmlformats.org/officeDocument/2006/relationships/hyperlink" Target="https://marquesadmjudicial.com.br/sgc/download.php?file=files/processo_documento/processo_documento17040729052024_1_.pdf&amp;nome=Rela&#231;&#227;o Nominal de Credores AJ-Sint&#233;tica" TargetMode="External" Id="rId169"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170" /><Relationship Type="http://schemas.openxmlformats.org/officeDocument/2006/relationships/hyperlink" Target="https://vivanteaj.com.br/wp-content/uploads/2024/11/1a-lista-de-credores-JA-Santos.pdf" TargetMode="External" Id="rId171" /><Relationship Type="http://schemas.openxmlformats.org/officeDocument/2006/relationships/hyperlink" Target="https://ajruiz.com.br/sites/default/files/public/arquivos-processos/2023-11/4_relacao_de_credores_analitica_art._51_iii_da_lre.pdf" TargetMode="External" Id="rId172" /><Relationship Type="http://schemas.openxmlformats.org/officeDocument/2006/relationships/hyperlink" Target="https://marquesadmjudicial.com.br/sgc/download.php?file=files/processo_documento/processo_documento09444722082025_1_.pdf&amp;nome=2&#176; Edital - Rela&#231;&#227;o de Credores AJ e PRJ" TargetMode="External" Id="rId173" /><Relationship Type="http://schemas.openxmlformats.org/officeDocument/2006/relationships/hyperlink" Target="https://administradorajudicialgs.com.br/wp-content/uploads/2025/09/relacao-de-credores-forest-sa.pdf" TargetMode="External" Id="rId174" /><Relationship Type="http://schemas.openxmlformats.org/officeDocument/2006/relationships/hyperlink" Target="https://lrflideres.com.br/wp-content/plugins/download-attachments/includes/download.php?id=6879" TargetMode="External" Id="rId175" /><Relationship Type="http://schemas.openxmlformats.org/officeDocument/2006/relationships/hyperlink" Target="https://assistjud.com.br/wp-content/uploads/elementor/forms/65098c80a5824.pdf" TargetMode="External" Id="rId176" /><Relationship Type="http://schemas.openxmlformats.org/officeDocument/2006/relationships/hyperlink" Target="https://marquesadmjudicial.com.br/sgc/download.php?file=files/processo_documento/processo_documento17040729052024_1_.pdf&amp;nome=Rela&#231;&#227;o Nominal de Credores AJ-Sint&#233;tica" TargetMode="External" Id="rId177" /><Relationship Type="http://schemas.openxmlformats.org/officeDocument/2006/relationships/hyperlink" Target="https://stenius.com.br/wp-content/uploads/2026/08/1&#176;-EDITAL-GRUPO-TENDAS.pdf" TargetMode="External" Id="rId178" /><Relationship Type="http://schemas.openxmlformats.org/officeDocument/2006/relationships/hyperlink" Target="https://assistjud.com.br/wp-content/uploads/elementor/forms/65098c80a5824.pdf" TargetMode="External" Id="rId179" /><Relationship Type="http://schemas.openxmlformats.org/officeDocument/2006/relationships/hyperlink" Target="https://administradorajudicialgs.com.br/wp-content/uploads/2024/12/relacao-de-credores-da-falida.pdf" TargetMode="External" Id="rId180" /><Relationship Type="http://schemas.openxmlformats.org/officeDocument/2006/relationships/hyperlink" Target="https://recuperasolucoes.com/wp-content/plugins/download-attachments/includes/download.php?id=1597" TargetMode="External" Id="rId181" /><Relationship Type="http://schemas.openxmlformats.org/officeDocument/2006/relationships/hyperlink" Target="https://marquesadmjudicial.com.br/sgc/download.php?file=files/processo_documento/processo_documento15232121112024_1_.pdf&amp;nome=Rela&#231;&#227;o de Credores" TargetMode="External" Id="rId182" /><Relationship Type="http://schemas.openxmlformats.org/officeDocument/2006/relationships/hyperlink" Target="http://bernardobicalho.com.br/login/app/documents/Rela%C3%A7%C3%A3o%20de%20Credores/6.%20RVC-%20Nutricium%20-%20simplificada.pdf" TargetMode="External" Id="rId183" /><Relationship Type="http://schemas.openxmlformats.org/officeDocument/2006/relationships/hyperlink" Target="https://ajruiz.com.br/sites/default/files/public/arquivos-processos/2026-06/alto_uruguai_qgc_junho.2026.pdf" TargetMode="External" Id="rId184" /><Relationship Type="http://schemas.openxmlformats.org/officeDocument/2006/relationships/hyperlink" Target="https://bugarimecoelho.com.br/ws/media-library/b6b7ea42b9fa2afe30bc728fe00cd5c6/07---edital-do-processamento-da-recuperacao-judicial.pdf" TargetMode="External" Id="rId185" /><Relationship Type="http://schemas.openxmlformats.org/officeDocument/2006/relationships/hyperlink" Target="https://marquesadmjudicial.com.br/sgc/download.php?file=files/processo_documento/processo_documento17040729052024_1_.pdf&amp;nome=Rela&#231;&#227;o Nominal de Credores AJ-Sint&#233;tica" TargetMode="External" Id="rId186" /><Relationship Type="http://schemas.openxmlformats.org/officeDocument/2006/relationships/hyperlink" Target="https://marquesadmjudicial.com.br/sgc/download.php?file=files/processo_documento/processo_documento17040729052024_1_.pdf&amp;nome=Rela&#231;&#227;o Nominal de Credores AJ-Sint&#233;tica" TargetMode="External" Id="rId187" /><Relationship Type="http://schemas.openxmlformats.org/officeDocument/2006/relationships/hyperlink" Target="https://marquesadmjudicial.com.br/sgc/download.php?file=files/processo_documento/processo_documento09444722082025_1_.pdf&amp;nome=2&#176; Edital - Rela&#231;&#227;o de Credores AJ e PRJ" TargetMode="External" Id="rId188" /><Relationship Type="http://schemas.openxmlformats.org/officeDocument/2006/relationships/hyperlink" Target="https://stenius.com.br/wp-content/uploads/2026/06/EDITAL-GRUPO-FAEL.pdf" TargetMode="External" Id="rId189" /><Relationship Type="http://schemas.openxmlformats.org/officeDocument/2006/relationships/hyperlink" Target="https://recuperasolucoes.com/wp-content/plugins/download-attachments/includes/download.php?id=1492" TargetMode="External" Id="rId190" /><Relationship Type="http://schemas.openxmlformats.org/officeDocument/2006/relationships/hyperlink" Target="http://recuperacaojudicial.squarespace.com/s/LISTA-DE-CREDORES-CONSOLIDADA-ATE-04102024.pdf" TargetMode="External" Id="rId191"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192" /><Relationship Type="http://schemas.openxmlformats.org/officeDocument/2006/relationships/hyperlink" Target="https://ajruiz.com.br/sites/default/files/public/arquivos-processos/2026-01/safrasul_relacao_de_credores_recuperanda.pdf" TargetMode="External" Id="rId193" /><Relationship Type="http://schemas.openxmlformats.org/officeDocument/2006/relationships/hyperlink" Target="https://stenius.com.br/wp-content/uploads/2026/08/1&#176;-EDITAL-GRUPO-TENDAS.pdf" TargetMode="External" Id="rId194" /><Relationship Type="http://schemas.openxmlformats.org/officeDocument/2006/relationships/hyperlink" Target="http://bernardobicalho.com.br/login/app/documents/Rela%C3%A7%C3%A3o%20de%20Credores/6.%20RVC-%20Nutricium%20-%20simplificada.pdf" TargetMode="External" Id="rId19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96" /><Relationship Type="http://schemas.openxmlformats.org/officeDocument/2006/relationships/hyperlink" Target="https://diligence.adm.br/wp-content/uploads/2025/06/Edital-1a-Lista-de-Credores.pdf" TargetMode="External" Id="rId197" /><Relationship Type="http://schemas.openxmlformats.org/officeDocument/2006/relationships/hyperlink" Target="https://assistjud.com.br/wp-content/uploads/elementor/forms/65098c80a5824.pdf" TargetMode="External" Id="rId198" /><Relationship Type="http://schemas.openxmlformats.org/officeDocument/2006/relationships/hyperlink" Target="https://credibilita.com.br/wp-content/uploads/2025/09/Relacao-Credores-29.04.2026.pdf" TargetMode="External" Id="rId199" /><Relationship Type="http://schemas.openxmlformats.org/officeDocument/2006/relationships/hyperlink" Target="https://marquesadmjudicial.com.br/sgc/download.php?file=files/processo_documento/processo_documento17040729052024_1_.pdf&amp;nome=Rela&#231;&#227;o Nominal de Credores AJ-Sint&#233;tica" TargetMode="External" Id="rId200" /><Relationship Type="http://schemas.openxmlformats.org/officeDocument/2006/relationships/hyperlink" Target="https://recuperacaojudicial.squarespace.com/s/RJ-Credimoveis-QGC-01082025.pdf" TargetMode="External" Id="rId201" /><Relationship Type="http://schemas.openxmlformats.org/officeDocument/2006/relationships/hyperlink" Target="https://bugarimecoelho.com.br/ws/media-library/b6b7ea42b9fa2afe30bc728fe00cd5c6/07---edital-do-processamento-da-recuperacao-judicial.pdf" TargetMode="External" Id="rId202"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203" /><Relationship Type="http://schemas.openxmlformats.org/officeDocument/2006/relationships/hyperlink" Target="https://realbrasil.com.br/wp-content/uploads/2018/06/2_LISTA-DE-CREDORES-DA-RECUPERANDA_ROQUE.pdf" TargetMode="External" Id="rId204" /><Relationship Type="http://schemas.openxmlformats.org/officeDocument/2006/relationships/hyperlink" Target="https://marquesadmjudicial.com.br/sgc/download.php?file=files/processo_documento/processo_documento17040729052024_1_.pdf&amp;nome=Rela&#231;&#227;o Nominal de Credores AJ-Sint&#233;tica" TargetMode="External" Id="rId205" /><Relationship Type="http://schemas.openxmlformats.org/officeDocument/2006/relationships/hyperlink" Target="https://cataliseaj.com.br/sgc/download.php?file=files/processo_documento/processo_documento15092204102024_1_.pdf&amp;nome=02. RELA&#199;&#195;O DE CREDORES" TargetMode="External" Id="rId206" /><Relationship Type="http://schemas.openxmlformats.org/officeDocument/2006/relationships/hyperlink" Target="https://cataliseaj.com.br/sgc/download.php?file=files/processo_documento/processo_documento15092204102024_1_.pdf&amp;nome=02. RELA&#199;&#195;O DE CREDORES" TargetMode="External" Id="rId207" /><Relationship Type="http://schemas.openxmlformats.org/officeDocument/2006/relationships/hyperlink" Target="https://ajruiz.com.br/sites/default/files/public/arquivos-processos/2026-01/safrasul_relacao_de_credores_recuperanda.pdf" TargetMode="External" Id="rId208" /><Relationship Type="http://schemas.openxmlformats.org/officeDocument/2006/relationships/hyperlink" Target="https://stenius.com.br/wp-content/uploads/2026/06/EDITAL-GRUPO-3E.pdf" TargetMode="External" Id="rId209" /><Relationship Type="http://schemas.openxmlformats.org/officeDocument/2006/relationships/hyperlink" Target="https://stenius.com.br/wp-content/uploads/2026/06/EDITAL-GRUPO-3E.pdf" TargetMode="External" Id="rId210"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211" /><Relationship Type="http://schemas.openxmlformats.org/officeDocument/2006/relationships/hyperlink" Target="https://diligence.adm.br/wp-content/uploads/2025/06/Edital-1a-Lista-de-Credores.pdf" TargetMode="External" Id="rId212" /><Relationship Type="http://schemas.openxmlformats.org/officeDocument/2006/relationships/hyperlink" Target="https://lrflideres.com.br/wp-content/plugins/download-attachments/includes/download.php?id=6252" TargetMode="External" Id="rId213" /><Relationship Type="http://schemas.openxmlformats.org/officeDocument/2006/relationships/hyperlink" Target="https://scalzilliaj.com.br/sgc/download.php?file=files/processo_documento/processo_documento10141405032024_1_.pdf&amp;nome=10 - Edital do art. 7&#186;, &#167;2&#186; da Lei 11.101/2005 (segunda lista de credores)" TargetMode="External" Id="rId214"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215" /><Relationship Type="http://schemas.openxmlformats.org/officeDocument/2006/relationships/hyperlink" Target="https://marquesadmjudicial.com.br/sgc/download.php?file=files/processo_documento/processo_documento17040729052024_1_.pdf&amp;nome=Rela&#231;&#227;o Nominal de Credores AJ-Sint&#233;tica" TargetMode="External" Id="rId216" /><Relationship Type="http://schemas.openxmlformats.org/officeDocument/2006/relationships/hyperlink" Target="https://bugarimecoelho.com.br/ws/media-library/b6b7ea42b9fa2afe30bc728fe00cd5c6/07---edital-do-processamento-da-recuperacao-judicial.pdf" TargetMode="External" Id="rId217"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218" /><Relationship Type="http://schemas.openxmlformats.org/officeDocument/2006/relationships/hyperlink" Target="https://vivanteaj.com.br/wp-content/uploads/2024/11/1a-lista-de-credores-JA-Santos.pdf" TargetMode="External" Id="rId219" /><Relationship Type="http://schemas.openxmlformats.org/officeDocument/2006/relationships/hyperlink" Target="https://recuperasolucoes.com/wp-content/plugins/download-attachments/includes/download.php?id=1597" TargetMode="External" Id="rId220" /><Relationship Type="http://schemas.openxmlformats.org/officeDocument/2006/relationships/hyperlink" Target="https://ajruiz.com.br/sites/default/files/public/arquivos-processos/2023-11/4_relacao_de_credores_analitica_art._51_iii_da_lre.pdf" TargetMode="External" Id="rId221" /><Relationship Type="http://schemas.openxmlformats.org/officeDocument/2006/relationships/hyperlink" Target="https://ajruiz.com.br/sites/default/files/public/arquivos-processos/2026-08/qgc_azeplast_julho_2026.pdf" TargetMode="External" Id="rId222" /><Relationship Type="http://schemas.openxmlformats.org/officeDocument/2006/relationships/hyperlink" Target="https://lrflideres.com.br/wp-content/plugins/download-attachments/includes/download.php?id=4023" TargetMode="External" Id="rId223" /><Relationship Type="http://schemas.openxmlformats.org/officeDocument/2006/relationships/hyperlink" Target="https://credibilita.com.br/wp-content/uploads/2025/09/Relacao-Credores-29.04.2026.pdf" TargetMode="External" Id="rId22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25" /><Relationship Type="http://schemas.openxmlformats.org/officeDocument/2006/relationships/hyperlink" Target="https://recuperasolucoes.com/wp-content/plugins/download-attachments/includes/download.php?id=1597" TargetMode="External" Id="rId22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27" /><Relationship Type="http://schemas.openxmlformats.org/officeDocument/2006/relationships/hyperlink" Target="https://ajruiz.com.br/sites/default/files/public/arquivos-processos/2026-06/alto_uruguai_qgc_junho.2026.pdf" TargetMode="External" Id="rId228" /><Relationship Type="http://schemas.openxmlformats.org/officeDocument/2006/relationships/hyperlink" Target="https://diligence.adm.br/wp-content/uploads/2025/06/Edital-1a-Lista-de-Credores.pdf" TargetMode="External" Id="rId22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30"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231" /><Relationship Type="http://schemas.openxmlformats.org/officeDocument/2006/relationships/hyperlink" Target="https://assistjud.com.br/wp-content/uploads/elementor/forms/65098c80a5824.pdf" TargetMode="External" Id="rId232"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233" /><Relationship Type="http://schemas.openxmlformats.org/officeDocument/2006/relationships/hyperlink" Target="https://recuperacaojudicial.squarespace.com/s/RJ-Grupo-Arnon-de-Melo-Lista-de-Credores-Consolidada-abril-2022.pdf" TargetMode="External" Id="rId234" /><Relationship Type="http://schemas.openxmlformats.org/officeDocument/2006/relationships/hyperlink" Target="https://marquesadmjudicial.com.br/sgc/download.php?file=files/processo_documento/processo_documento17040729052024_1_.pdf&amp;nome=Rela&#231;&#227;o Nominal de Credores AJ-Sint&#233;tica" TargetMode="External" Id="rId235" /><Relationship Type="http://schemas.openxmlformats.org/officeDocument/2006/relationships/hyperlink" Target="https://lrflideres.com.br/wp-content/plugins/download-attachments/includes/download.php?id=6051" TargetMode="External" Id="rId236"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237" /><Relationship Type="http://schemas.openxmlformats.org/officeDocument/2006/relationships/hyperlink" Target="https://assistjud.com.br/wp-content/uploads/elementor/forms/65098c80a5824.pdf" TargetMode="External" Id="rId238" /><Relationship Type="http://schemas.openxmlformats.org/officeDocument/2006/relationships/hyperlink" Target="https://marquesadmjudicial.com.br/sgc/download.php?file=files/processo_documento/processo_documento15232121112024_1_.pdf&amp;nome=Rela&#231;&#227;o de Credores" TargetMode="External" Id="rId239" /><Relationship Type="http://schemas.openxmlformats.org/officeDocument/2006/relationships/hyperlink" Target="https://credibilita.com.br/wp-content/uploads/2025/09/Relacao-Credores-29.04.2026.pdf" TargetMode="External" Id="rId240" /><Relationship Type="http://schemas.openxmlformats.org/officeDocument/2006/relationships/hyperlink" Target="https://lrflideres.com.br/wp-content/plugins/download-attachments/includes/download.php?id=7418" TargetMode="External" Id="rId241" /><Relationship Type="http://schemas.openxmlformats.org/officeDocument/2006/relationships/hyperlink" Target="https://lrflideres.com.br/wp-content/plugins/download-attachments/includes/download.php?id=6252" TargetMode="External" Id="rId242" /><Relationship Type="http://schemas.openxmlformats.org/officeDocument/2006/relationships/hyperlink" Target="https://lrflideres.com.br/wp-content/plugins/download-attachments/includes/download.php?id=6252" TargetMode="External" Id="rId243"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244" /><Relationship Type="http://schemas.openxmlformats.org/officeDocument/2006/relationships/hyperlink" Target="https://bugarimecoelho.com.br/ws/media-library/b6b7ea42b9fa2afe30bc728fe00cd5c6/07---edital-do-processamento-da-recuperacao-judicial.pdf" TargetMode="External" Id="rId245" /><Relationship Type="http://schemas.openxmlformats.org/officeDocument/2006/relationships/hyperlink" Target="https://bugarimecoelho.com.br/ws/media-library/b6b7ea42b9fa2afe30bc728fe00cd5c6/07---edital-do-processamento-da-recuperacao-judicial.pdf" TargetMode="External" Id="rId246" /><Relationship Type="http://schemas.openxmlformats.org/officeDocument/2006/relationships/hyperlink" Target="https://vtladm.com.br/wp-content/uploads/2024/04/09-&#8211;-EDITAL-DE-CONVOCACAO-DE-CREDORES-&#8211;-Frigorifico-Alfa-Industria-e-Comercio-de-Carnes-e-Derivados-Ltda.-e-Ctx-Logistica-Transporte-E-Locacoes-Ltda.pdf" TargetMode="External" Id="rId247" /><Relationship Type="http://schemas.openxmlformats.org/officeDocument/2006/relationships/hyperlink" Target="https://stenius.com.br/wp-content/uploads/2026/06/EDITAL-GRUPO-3E.pdf" TargetMode="External" Id="rId248" /><Relationship Type="http://schemas.openxmlformats.org/officeDocument/2006/relationships/hyperlink" Target="https://vtladm.com.br/wp-content/uploads/2024/04/09-&#8211;-EDITAL-DE-CONVOCACAO-DE-CREDORES-&#8211;-Frigorifico-Alfa-Industria-e-Comercio-de-Carnes-e-Derivados-Ltda.-e-Ctx-Logistica-Transporte-E-Locacoes-Ltda.pdf" TargetMode="External" Id="rId24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50" /><Relationship Type="http://schemas.openxmlformats.org/officeDocument/2006/relationships/hyperlink" Target="https://lrflideres.com.br/wp-content/plugins/download-attachments/includes/download.php?id=6273" TargetMode="External" Id="rId251" /><Relationship Type="http://schemas.openxmlformats.org/officeDocument/2006/relationships/hyperlink" Target="https://assistjud.com.br/wp-content/uploads/elementor/forms/65098c80a5824.pdf" TargetMode="External" Id="rId252" /><Relationship Type="http://schemas.openxmlformats.org/officeDocument/2006/relationships/hyperlink" Target="http://bernardobicalho.com.br/login/app/documents/Rela%C3%A7%C3%A3o%20de%20Credores/6.%20RVC-%20Nutricium%20-%20simplificada.pdf" TargetMode="External" Id="rId253" /><Relationship Type="http://schemas.openxmlformats.org/officeDocument/2006/relationships/hyperlink" Target="https://diligence.adm.br/wp-content/plugins/download-attachments/includes/download.php?id=4599" TargetMode="External" Id="rId254" /><Relationship Type="http://schemas.openxmlformats.org/officeDocument/2006/relationships/hyperlink" Target="https://administradorajudicialgs.com.br/wp-content/uploads/2024/12/relacao-de-credores-da-falida.pdf" TargetMode="External" Id="rId25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56" /><Relationship Type="http://schemas.openxmlformats.org/officeDocument/2006/relationships/hyperlink" Target="https://assistjud.com.br/wp-content/uploads/elementor/forms/65098c80a5824.pdf" TargetMode="External" Id="rId257" /><Relationship Type="http://schemas.openxmlformats.org/officeDocument/2006/relationships/hyperlink" Target="https://marquesadmjudicial.com.br/sgc/download.php?file=files/processo_documento/processo_documento17040729052024_1_.pdf&amp;nome=Rela&#231;&#227;o Nominal de Credores AJ-Sint&#233;tica" TargetMode="External" Id="rId258" /><Relationship Type="http://schemas.openxmlformats.org/officeDocument/2006/relationships/hyperlink" Target="https://administradorajudicialgs.com.br/wp-content/uploads/2024/12/relacao-de-credores-da-falida.pdf" TargetMode="External" Id="rId259" /><Relationship Type="http://schemas.openxmlformats.org/officeDocument/2006/relationships/hyperlink" Target="https://ajruiz.com.br/sites/default/files/public/arquivos-processos/2026-06/alto_uruguai_qgc_junho.2026.pdf" TargetMode="External" Id="rId260" /><Relationship Type="http://schemas.openxmlformats.org/officeDocument/2006/relationships/hyperlink" Target="https://marquesadmjudicial.com.br/sgc/download.php?file=files/processo_documento/processo_documento17040729052024_1_.pdf&amp;nome=Rela&#231;&#227;o Nominal de Credores AJ-Sint&#233;tica" TargetMode="External" Id="rId26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62" /><Relationship Type="http://schemas.openxmlformats.org/officeDocument/2006/relationships/hyperlink" Target="https://lrflideres.com.br/wp-content/plugins/download-attachments/includes/download.php?id=6252" TargetMode="External" Id="rId263" /><Relationship Type="http://schemas.openxmlformats.org/officeDocument/2006/relationships/hyperlink" Target="https://marquesadmjudicial.com.br/sgc/download.php?file=files/processo_documento/processo_documento10074612042024_1_.pdf&amp;nome=2&#186; Edital-Rela&#231;&#227;o de Credores AJ e PRJ" TargetMode="External" Id="rId264" /><Relationship Type="http://schemas.openxmlformats.org/officeDocument/2006/relationships/hyperlink" Target="https://ajruiz.com.br/sites/default/files/public/arquivos-processos/2026-08/qgc_azeplast_julho_2026.pdf" TargetMode="External" Id="rId265" /><Relationship Type="http://schemas.openxmlformats.org/officeDocument/2006/relationships/hyperlink" Target="https://credibilita.com.br/wp-content/uploads/2025/09/Relacao-Credores-29.04.2026.pdf" TargetMode="External" Id="rId266" /><Relationship Type="http://schemas.openxmlformats.org/officeDocument/2006/relationships/hyperlink" Target="https://marquesadmjudicial.com.br/sgc/download.php?file=files/processo_documento/processo_documento17040729052024_1_.pdf&amp;nome=Rela&#231;&#227;o Nominal de Credores AJ-Sint&#233;tica" TargetMode="External" Id="rId267" /><Relationship Type="http://schemas.openxmlformats.org/officeDocument/2006/relationships/hyperlink" Target="https://administradorajudicialgs.com.br/wp-content/uploads/2023/08/advogados-sgrott-doc-22-relacao-de-credores-do-administrador-judicial-classe-iii-05-02-14.pdf" TargetMode="External" Id="rId268" /><Relationship Type="http://schemas.openxmlformats.org/officeDocument/2006/relationships/hyperlink" Target="https://credibilita.com.br/wp-content/uploads/2025/09/Relacao-Credores-29.04.2026.pdf" TargetMode="External" Id="rId269"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70" /><Relationship Type="http://schemas.openxmlformats.org/officeDocument/2006/relationships/hyperlink" Target="https://stenius.com.br/wp-content/uploads/2026/07/EDITAL-1-RELACAO-DE-CREDORES-GRUPO-GE.pdf" TargetMode="External" Id="rId271" /><Relationship Type="http://schemas.openxmlformats.org/officeDocument/2006/relationships/hyperlink" Target="https://marquesadmjudicial.com.br/sgc/download.php?file=files/processo_documento/processo_documento20014127022025_1_.pdf&amp;nome=Rela&#231;&#227;o Nominal de Credores" TargetMode="External" Id="rId272" /><Relationship Type="http://schemas.openxmlformats.org/officeDocument/2006/relationships/hyperlink" Target="https://administradorajudicialgs.com.br/wp-content/uploads/2024/12/relacao-de-credores-da-falida.pdf" TargetMode="External" Id="rId273" /><Relationship Type="http://schemas.openxmlformats.org/officeDocument/2006/relationships/hyperlink" Target="https://assistjud.com.br/wp-content/uploads/elementor/forms/65098c80a5824.pdf" TargetMode="External" Id="rId274" /><Relationship Type="http://schemas.openxmlformats.org/officeDocument/2006/relationships/hyperlink" Target="https://assistjud.com.br/wp-content/uploads/elementor/forms/65098c80a5824.pdf" TargetMode="External" Id="rId275" /><Relationship Type="http://schemas.openxmlformats.org/officeDocument/2006/relationships/hyperlink" Target="https://marquesadmjudicial.com.br/sgc/download.php?file=files/processo_documento/processo_documento15232121112024_1_.pdf&amp;nome=Rela&#231;&#227;o de Credores" TargetMode="External" Id="rId276"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277" /><Relationship Type="http://schemas.openxmlformats.org/officeDocument/2006/relationships/hyperlink" Target="https://scalzilliaj.com.br/sgc/download.php?file=files/processo_documento/processo_documento09514021082025_1_.pdf&amp;nome=04 - Rela&#231;&#227;o de credores das Recuperandas" TargetMode="External" Id="rId278"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279" /><Relationship Type="http://schemas.openxmlformats.org/officeDocument/2006/relationships/hyperlink" Target="https://marquesadmjudicial.com.br/sgc/download.php?file=files/processo_documento/processo_documento09391327032025_1_.pdf&amp;nome=Rela&#231;&#227;o Nominal de Credores AJ" TargetMode="External" Id="rId280" /><Relationship Type="http://schemas.openxmlformats.org/officeDocument/2006/relationships/hyperlink" Target="https://administradorajudicialgs.com.br/wp-content/uploads/2024/12/relacao-de-credores-da-falida.pdf" TargetMode="External" Id="rId281" /><Relationship Type="http://schemas.openxmlformats.org/officeDocument/2006/relationships/hyperlink" Target="https://marquesadmjudicial.com.br/sgc/download.php?file=files/processo_documento/processo_documento20014127022025_1_.pdf&amp;nome=Rela&#231;&#227;o Nominal de Credores" TargetMode="External" Id="rId282" /><Relationship Type="http://schemas.openxmlformats.org/officeDocument/2006/relationships/hyperlink" Target="https://cataliseaj.com.br/sgc/download.php?file=files/processo_documento/processo_documento15092204102024_1_.pdf&amp;nome=02. RELA&#199;&#195;O DE CREDORES" TargetMode="External" Id="rId283"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84" /><Relationship Type="http://schemas.openxmlformats.org/officeDocument/2006/relationships/hyperlink" Target="https://recuperacaojudicial.squarespace.com/s/RJ-Credimoveis-QGC-01082025.pdf" TargetMode="External" Id="rId285"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286" /><Relationship Type="http://schemas.openxmlformats.org/officeDocument/2006/relationships/hyperlink" Target="https://marquesadmjudicial.com.br/sgc/download.php?file=files/processo_documento/processo_documento17040729052024_1_.pdf&amp;nome=Rela&#231;&#227;o Nominal de Credores AJ-Sint&#233;tica" TargetMode="External" Id="rId287" /><Relationship Type="http://schemas.openxmlformats.org/officeDocument/2006/relationships/hyperlink" Target="https://stenius.com.br/wp-content/uploads/2026/08/1&#176;-EDITAL-GRUPO-TENDAS.pdf" TargetMode="External" Id="rId288" /><Relationship Type="http://schemas.openxmlformats.org/officeDocument/2006/relationships/hyperlink" Target="http://bernardobicalho.com.br/login/app/documents/Rela%C3%A7%C3%A3o%20de%20Credores/6.%20RVC-%20Nutricium%20-%20simplificada.pdf" TargetMode="External" Id="rId289" /><Relationship Type="http://schemas.openxmlformats.org/officeDocument/2006/relationships/hyperlink" Target="https://realbrasil.com.br/wp-content/uploads/2018/06/2_LISTA-DE-CREDORES-DA-RECUPERANDA_ROQUE.pdf" TargetMode="External" Id="rId290"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91" /><Relationship Type="http://schemas.openxmlformats.org/officeDocument/2006/relationships/hyperlink" Target="https://lrflideres.com.br/wp-content/uploads/2022/08/4.-EDITAL-2a-LISTA-DE-CREDORES.pdf" TargetMode="External" Id="rId292" /><Relationship Type="http://schemas.openxmlformats.org/officeDocument/2006/relationships/hyperlink" Target="https://lrflideres.com.br/wp-content/plugins/download-attachments/includes/download.php?id=7418" TargetMode="External" Id="rId293" /><Relationship Type="http://schemas.openxmlformats.org/officeDocument/2006/relationships/hyperlink" Target="https://assistjud.com.br/wp-content/uploads/elementor/forms/65098c80a5824.pdf" TargetMode="External" Id="rId294" /><Relationship Type="http://schemas.openxmlformats.org/officeDocument/2006/relationships/hyperlink" Target="https://administradorajudicialgs.com.br/wp-content/uploads/2024/12/relacao-de-credores-da-falida.pdf" TargetMode="External" Id="rId295"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296" /><Relationship Type="http://schemas.openxmlformats.org/officeDocument/2006/relationships/hyperlink" Target="https://recuperacaojudicial.squarespace.com/s/RJ-Credimoveis-QGC-01082025.pdf" TargetMode="External" Id="rId297"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98" /><Relationship Type="http://schemas.openxmlformats.org/officeDocument/2006/relationships/hyperlink" Target="https://lrflideres.com.br/wp-content/plugins/download-attachments/includes/download.php?id=6252" TargetMode="External" Id="rId299"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300" /><Relationship Type="http://schemas.openxmlformats.org/officeDocument/2006/relationships/hyperlink" Target="http://recuperacaojudicial.squarespace.com/s/LISTA-DE-CREDORES-CONSOLIDADA-ATE-04102024.pdf" TargetMode="External" Id="rId301" /><Relationship Type="http://schemas.openxmlformats.org/officeDocument/2006/relationships/hyperlink" Target="https://stenius.com.br/wp-content/uploads/2026/06/EDITAL-GRUPO-FAEL.pdf" TargetMode="External" Id="rId302" /><Relationship Type="http://schemas.openxmlformats.org/officeDocument/2006/relationships/hyperlink" Target="https://lrflideres.com.br/wp-content/plugins/download-attachments/includes/download.php?id=6273" TargetMode="External" Id="rId303"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304" /><Relationship Type="http://schemas.openxmlformats.org/officeDocument/2006/relationships/hyperlink" Target="https://lrflideres.com.br/wp-content/plugins/download-attachments/includes/download.php?id=6252" TargetMode="External" Id="rId305" /><Relationship Type="http://schemas.openxmlformats.org/officeDocument/2006/relationships/hyperlink" Target="https://lrflideres.com.br/wp-content/plugins/download-attachments/includes/download.php?id=6252" TargetMode="External" Id="rId306" /><Relationship Type="http://schemas.openxmlformats.org/officeDocument/2006/relationships/hyperlink" Target="https://diligence.adm.br/wp-content/uploads/2025/06/Edital-1a-Lista-de-Credores.pdf" TargetMode="External" Id="rId307" /><Relationship Type="http://schemas.openxmlformats.org/officeDocument/2006/relationships/hyperlink" Target="https://marquesadmjudicial.com.br/sgc/download.php?file=files/processo_documento/processo_documento17040729052024_1_.pdf&amp;nome=Rela&#231;&#227;o Nominal de Credores AJ-Sint&#233;tica" TargetMode="External" Id="rId308" /><Relationship Type="http://schemas.openxmlformats.org/officeDocument/2006/relationships/hyperlink" Target="https://ajruiz.com.br/sites/default/files/public/arquivos-processos/2026-06/alto_uruguai_qgc_junho.2026.pdf" TargetMode="External" Id="rId309" /><Relationship Type="http://schemas.openxmlformats.org/officeDocument/2006/relationships/hyperlink" Target="https://lrflideres.com.br/wp-content/plugins/download-attachments/includes/download.php?id=6252" TargetMode="External" Id="rId310"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311" /><Relationship Type="http://schemas.openxmlformats.org/officeDocument/2006/relationships/hyperlink" Target="https://diligence.adm.br/wp-content/plugins/download-attachments/includes/download.php?id=4579" TargetMode="External" Id="rId312"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13" /><Relationship Type="http://schemas.openxmlformats.org/officeDocument/2006/relationships/hyperlink" Target="https://lrflideres.com.br/wp-content/plugins/download-attachments/includes/download.php?id=6252" TargetMode="External" Id="rId314" /><Relationship Type="http://schemas.openxmlformats.org/officeDocument/2006/relationships/hyperlink" Target="https://administradorajudicialgs.com.br/wp-content/uploads/2024/12/relacao-de-credores-da-falida.pdf" TargetMode="External" Id="rId315" /><Relationship Type="http://schemas.openxmlformats.org/officeDocument/2006/relationships/hyperlink" Target="https://lrflideres.com.br/wp-content/plugins/download-attachments/includes/download.php?id=6252" TargetMode="External" Id="rId316"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317" /><Relationship Type="http://schemas.openxmlformats.org/officeDocument/2006/relationships/hyperlink" Target="https://bbsadvogados.com.br/wp-content/uploads/2025/04/Equipseg-Edital-Relacao-de-Credores-da-Administradora-Judicial-art.-7o2o-da-LRF.pdf" TargetMode="External" Id="rId318"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19" /><Relationship Type="http://schemas.openxmlformats.org/officeDocument/2006/relationships/hyperlink" Target="https://bugarimecoelho.com.br/ws/media-library/b6b7ea42b9fa2afe30bc728fe00cd5c6/07---edital-do-processamento-da-recuperacao-judicial.pdf" TargetMode="External" Id="rId320" /><Relationship Type="http://schemas.openxmlformats.org/officeDocument/2006/relationships/hyperlink" Target="https://ajruiz.com.br/sites/default/files/public/arquivos-processos/2026-06/alto_uruguai_qgc_junho.2026.pdf" TargetMode="External" Id="rId321" /><Relationship Type="http://schemas.openxmlformats.org/officeDocument/2006/relationships/hyperlink" Target="https://ajruiz.com.br/sites/default/files/public/arquivos-processos/2026-06/alto_uruguai_qgc_junho.2026.pdf" TargetMode="External" Id="rId322" /><Relationship Type="http://schemas.openxmlformats.org/officeDocument/2006/relationships/hyperlink" Target="https://marquesadmjudicial.com.br/sgc/download.php?file=files/processo_documento/processo_documento18581929042026_1_.pdf&amp;nome=3&#186; Edital - Rela&#231;&#227;o de Credores e PRJ" TargetMode="External" Id="rId323" /><Relationship Type="http://schemas.openxmlformats.org/officeDocument/2006/relationships/hyperlink" Target="https://ajruiz.com.br/sites/default/files/public/arquivos-processos/2026-08/qgc_azeplast_julho_2026.pdf" TargetMode="External" Id="rId324" /><Relationship Type="http://schemas.openxmlformats.org/officeDocument/2006/relationships/hyperlink" Target="https://administradorajudicialgs.com.br/wp-content/uploads/2024/12/relacao-de-credores-da-falida.pdf" TargetMode="External" Id="rId325" /><Relationship Type="http://schemas.openxmlformats.org/officeDocument/2006/relationships/hyperlink" Target="https://lrflideres.com.br/wp-content/plugins/download-attachments/includes/download.php?id=6252" TargetMode="External" Id="rId326" /><Relationship Type="http://schemas.openxmlformats.org/officeDocument/2006/relationships/hyperlink" Target="https://diligence.adm.br/wp-content/plugins/download-attachments/includes/download.php?id=4599" TargetMode="External" Id="rId327" /><Relationship Type="http://schemas.openxmlformats.org/officeDocument/2006/relationships/hyperlink" Target="https://marquesadmjudicial.com.br/sgc/download.php?file=files/processo_documento/processo_documento17040729052024_1_.pdf&amp;nome=Rela&#231;&#227;o Nominal de Credores AJ-Sint&#233;tica" TargetMode="External" Id="rId328" /><Relationship Type="http://schemas.openxmlformats.org/officeDocument/2006/relationships/hyperlink" Target="https://realbrasil.com.br/wp-content/uploads/2017/05/Rela&#231;&#227;o-de-Credores_-Mastter-1.pdf" TargetMode="External" Id="rId329" /><Relationship Type="http://schemas.openxmlformats.org/officeDocument/2006/relationships/hyperlink" Target="https://administradorajudicialgs.com.br/wp-content/uploads/2024/10/relacao-de-credores-e-verificacao-de-credito-2025.pdf" TargetMode="External" Id="rId330" /><Relationship Type="http://schemas.openxmlformats.org/officeDocument/2006/relationships/hyperlink" Target="https://administradorajudicialgs.com.br/wp-content/uploads/2023/08/edital-quadro-geral-de-credores.pdf" TargetMode="External" Id="rId331" /><Relationship Type="http://schemas.openxmlformats.org/officeDocument/2006/relationships/hyperlink" Target="https://assistjud.com.br/wp-content/uploads/elementor/forms/65098c80a5824.pdf" TargetMode="External" Id="rId332"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333" /><Relationship Type="http://schemas.openxmlformats.org/officeDocument/2006/relationships/hyperlink" Target="https://lrflideres.com.br/wp-content/plugins/download-attachments/includes/download.php?id=6252" TargetMode="External" Id="rId334" /><Relationship Type="http://schemas.openxmlformats.org/officeDocument/2006/relationships/hyperlink" Target="https://lrflideres.com.br/wp-content/plugins/download-attachments/includes/download.php?id=6252" TargetMode="External" Id="rId335" /><Relationship Type="http://schemas.openxmlformats.org/officeDocument/2006/relationships/hyperlink" Target="https://lrflideres.com.br/wp-content/plugins/download-attachments/includes/download.php?id=6252" TargetMode="External" Id="rId336" /><Relationship Type="http://schemas.openxmlformats.org/officeDocument/2006/relationships/hyperlink" Target="https://lrflideres.com.br/wp-content/plugins/download-attachments/includes/download.php?id=6252" TargetMode="External" Id="rId337" /><Relationship Type="http://schemas.openxmlformats.org/officeDocument/2006/relationships/hyperlink" Target="https://marquesadmjudicial.com.br/sgc/download.php?file=files/processo_documento/processo_documento11370527032026_1_.pdf&amp;nome=Quadro Geral de Credores (QGC) -AJ Anterior" TargetMode="External" Id="rId338"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339"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340" /><Relationship Type="http://schemas.openxmlformats.org/officeDocument/2006/relationships/hyperlink" Target="https://marquesadmjudicial.com.br/sgc/download.php?file=files/processo_documento/processo_documento19270817122025_1_.pdf&amp;nome=Rela&#231;&#227;o Nominal de Credores AJ" TargetMode="External" Id="rId341" /><Relationship Type="http://schemas.openxmlformats.org/officeDocument/2006/relationships/hyperlink" Target="https://credibilita.com.br/wp-content/uploads/2025/09/Relacao-Credores-29.04.2026.pdf" TargetMode="External" Id="rId342" /><Relationship Type="http://schemas.openxmlformats.org/officeDocument/2006/relationships/hyperlink" Target="https://administradorajudicialgs.com.br/wp-content/uploads/2024/12/relacao-de-credores-da-falida.pdf" TargetMode="External" Id="rId343" /><Relationship Type="http://schemas.openxmlformats.org/officeDocument/2006/relationships/hyperlink" Target="https://lrflideres.com.br/wp-content/plugins/download-attachments/includes/download.php?id=4023" TargetMode="External" Id="rId344" /><Relationship Type="http://schemas.openxmlformats.org/officeDocument/2006/relationships/hyperlink" Target="https://marquesadmjudicial.com.br/sgc/download.php?file=files/processo_documento/processo_documento17040729052024_1_.pdf&amp;nome=Rela&#231;&#227;o Nominal de Credores AJ-Sint&#233;tica" TargetMode="External" Id="rId345" /><Relationship Type="http://schemas.openxmlformats.org/officeDocument/2006/relationships/hyperlink" Target="https://vtladm.com.br/wp-content/uploads/2024/04/09-&#8211;-EDITAL-DE-CONVOCACAO-DE-CREDORES-&#8211;-Frigorifico-Alfa-Industria-e-Comercio-de-Carnes-e-Derivados-Ltda.-e-Ctx-Logistica-Transporte-E-Locacoes-Ltda.pdf" TargetMode="External" Id="rId346" /><Relationship Type="http://schemas.openxmlformats.org/officeDocument/2006/relationships/hyperlink" Target="https://lrflideres.com.br/wp-content/plugins/download-attachments/includes/download.php?id=7418" TargetMode="External" Id="rId347" /><Relationship Type="http://schemas.openxmlformats.org/officeDocument/2006/relationships/hyperlink" Target="https://marquesadmjudicial.com.br/sgc/download.php?file=files/processo_documento/processo_documento17040729052024_1_.pdf&amp;nome=Rela&#231;&#227;o Nominal de Credores AJ-Sint&#233;tica" TargetMode="External" Id="rId348"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49"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50" /><Relationship Type="http://schemas.openxmlformats.org/officeDocument/2006/relationships/hyperlink" Target="https://bbsadvogados.com.br/wp-content/uploads/2025/04/Equipseg-Edital-Relacao-de-Credores-da-Administradora-Judicial-art.-7o2o-da-LRF.pdf" TargetMode="External" Id="rId351" /><Relationship Type="http://schemas.openxmlformats.org/officeDocument/2006/relationships/hyperlink" Target="https://scalzilliaj.com.br/sgc/download.php?file=files/processo_documento/processo_documento10141405032024_1_.pdf&amp;nome=10 - Edital do art. 7&#186;, &#167;2&#186; da Lei 11.101/2005 (segunda lista de credores)" TargetMode="External" Id="rId352"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53" /><Relationship Type="http://schemas.openxmlformats.org/officeDocument/2006/relationships/hyperlink" Target="https://lrflideres.com.br/wp-content/plugins/download-attachments/includes/download.php?id=6252" TargetMode="External" Id="rId354" /><Relationship Type="http://schemas.openxmlformats.org/officeDocument/2006/relationships/hyperlink" Target="https://lrflideres.com.br/wp-content/plugins/download-attachments/includes/download.php?id=6252" TargetMode="External" Id="rId355" /><Relationship Type="http://schemas.openxmlformats.org/officeDocument/2006/relationships/hyperlink" Target="https://vtladm.com.br/wp-content/uploads/2024/04/09-&#8211;-EDITAL-DE-CONVOCACAO-DE-CREDORES-&#8211;-Frigorifico-Alfa-Industria-e-Comercio-de-Carnes-e-Derivados-Ltda.-e-Ctx-Logistica-Transporte-E-Locacoes-Ltda.pdf" TargetMode="External" Id="rId356"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357" /><Relationship Type="http://schemas.openxmlformats.org/officeDocument/2006/relationships/hyperlink" Target="https://diligence.adm.br/wp-content/uploads/2025/06/Edital-1a-Lista-de-Credores.pdf" TargetMode="External" Id="rId358" /><Relationship Type="http://schemas.openxmlformats.org/officeDocument/2006/relationships/hyperlink" Target="https://lrflideres.com.br/wp-content/plugins/download-attachments/includes/download.php?id=6252" TargetMode="External" Id="rId359" /><Relationship Type="http://schemas.openxmlformats.org/officeDocument/2006/relationships/hyperlink" Target="https://administradorajudicialgs.com.br/wp-content/uploads/2023/08/advogados-sgrott-doc-22-relacao-de-credores-do-administrador-judicial-classe-iii-05-02-14.pdf" TargetMode="External" Id="rId360" /><Relationship Type="http://schemas.openxmlformats.org/officeDocument/2006/relationships/hyperlink" Target="https://scalzilliaj.com.br/sgc/download.php?file=files/processo_documento/processo_documento09514021082025_1_.pdf&amp;nome=04 - Rela&#231;&#227;o de credores das Recuperandas" TargetMode="External" Id="rId361" /><Relationship Type="http://schemas.openxmlformats.org/officeDocument/2006/relationships/hyperlink" Target="https://lrflideres.com.br/wp-content/plugins/download-attachments/includes/download.php?id=6252" TargetMode="External" Id="rId36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63" /><Relationship Type="http://schemas.openxmlformats.org/officeDocument/2006/relationships/hyperlink" Target="https://lrflideres.com.br/wp-content/plugins/download-attachments/includes/download.php?id=6879" TargetMode="External" Id="rId364"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365" /><Relationship Type="http://schemas.openxmlformats.org/officeDocument/2006/relationships/hyperlink" Target="https://lrflideres.com.br/wp-content/plugins/download-attachments/includes/download.php?id=6252" TargetMode="External" Id="rId366" /><Relationship Type="http://schemas.openxmlformats.org/officeDocument/2006/relationships/hyperlink" Target="https://diligence.adm.br/wp-content/plugins/download-attachments/includes/download.php?id=4579" TargetMode="External" Id="rId367" /><Relationship Type="http://schemas.openxmlformats.org/officeDocument/2006/relationships/hyperlink" Target="https://ajruiz.com.br/sites/default/files/public/arquivos-processos/2026-06/alto_uruguai_qgc_junho.2026.pdf" TargetMode="External" Id="rId368" /><Relationship Type="http://schemas.openxmlformats.org/officeDocument/2006/relationships/hyperlink" Target="https://administradorajudicialgs.com.br/wp-content/uploads/2023/08/advogados-sgrott-doc-22-relacao-de-credores-do-administrador-judicial-classe-iii-05-02-14.pdf" TargetMode="External" Id="rId369"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370" /><Relationship Type="http://schemas.openxmlformats.org/officeDocument/2006/relationships/hyperlink" Target="https://realbrasil.com.br/wp-content/uploads/2017/05/Rela&#231;&#227;o-de-Credores_-Mastter-1.pdf" TargetMode="External" Id="rId371" /><Relationship Type="http://schemas.openxmlformats.org/officeDocument/2006/relationships/hyperlink" Target="https://marquesadmjudicial.com.br/sgc/download.php?file=files/processo_documento/processo_documento17040729052024_1_.pdf&amp;nome=Rela&#231;&#227;o Nominal de Credores AJ-Sint&#233;tica" TargetMode="External" Id="rId372"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73" /><Relationship Type="http://schemas.openxmlformats.org/officeDocument/2006/relationships/hyperlink" Target="https://lrflideres.com.br/wp-content/plugins/download-attachments/includes/download.php?id=6252" TargetMode="External" Id="rId374"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375"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376" /><Relationship Type="http://schemas.openxmlformats.org/officeDocument/2006/relationships/hyperlink" Target="http://recuperacaojudicial.squarespace.com/s/LISTA-DE-CREDORES-CONSOLIDADA-ATE-04102024.pdf" TargetMode="External" Id="rId377" /><Relationship Type="http://schemas.openxmlformats.org/officeDocument/2006/relationships/hyperlink" Target="https://bbsadvogados.com.br/wp-content/uploads/2025/04/Equipseg-Edital-Relacao-de-Credores-da-Administradora-Judicial-art.-7o2o-da-LRF.pdf" TargetMode="External" Id="rId378" /><Relationship Type="http://schemas.openxmlformats.org/officeDocument/2006/relationships/hyperlink" Target="https://ajruiz.com.br/sites/default/files/public/arquivos-processos/2026-06/alto_uruguai_qgc_junho.2026.pdf" TargetMode="External" Id="rId379"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380"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381" /><Relationship Type="http://schemas.openxmlformats.org/officeDocument/2006/relationships/hyperlink" Target="https://lrflideres.com.br/wp-content/plugins/download-attachments/includes/download.php?id=6252" TargetMode="External" Id="rId382" /><Relationship Type="http://schemas.openxmlformats.org/officeDocument/2006/relationships/hyperlink" Target="https://credibilita.com.br/wp-content/uploads/2025/09/Relacao-Credores-29.04.2026.pdf" TargetMode="External" Id="rId383" /><Relationship Type="http://schemas.openxmlformats.org/officeDocument/2006/relationships/hyperlink" Target="https://marquesadmjudicial.com.br/sgc/download.php?file=files/processo_documento/processo_documento09391327032025_1_.pdf&amp;nome=Rela&#231;&#227;o Nominal de Credores AJ" TargetMode="External" Id="rId384"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385"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86" /><Relationship Type="http://schemas.openxmlformats.org/officeDocument/2006/relationships/hyperlink" Target="https://marquesadmjudicial.com.br/sgc/download.php?file=files/processo_documento/processo_documento20014127022025_1_.pdf&amp;nome=Rela&#231;&#227;o Nominal de Credores" TargetMode="External" Id="rId387" /><Relationship Type="http://schemas.openxmlformats.org/officeDocument/2006/relationships/hyperlink" Target="https://bbsadvogados.com.br/wp-content/uploads/2025/04/Equipseg-Edital-Relacao-de-Credores-da-Administradora-Judicial-art.-7o2o-da-LRF.pdf" TargetMode="External" Id="rId388" /><Relationship Type="http://schemas.openxmlformats.org/officeDocument/2006/relationships/hyperlink" Target="http://recuperacaojudicial.squarespace.com/s/LISTA-DE-CREDORES-CONSOLIDADA-ATE-04102024.pdf" TargetMode="External" Id="rId389" /><Relationship Type="http://schemas.openxmlformats.org/officeDocument/2006/relationships/hyperlink" Target="https://recuperasolucoes.com/wp-content/plugins/download-attachments/includes/download.php?id=1492" TargetMode="External" Id="rId390" /><Relationship Type="http://schemas.openxmlformats.org/officeDocument/2006/relationships/hyperlink" Target="https://realbrasil.com.br/wp-content/uploads/2018/06/2_LISTA-DE-CREDORES-DA-RECUPERANDA_ROQUE.pdf" TargetMode="External" Id="rId391" /><Relationship Type="http://schemas.openxmlformats.org/officeDocument/2006/relationships/hyperlink" Target="https://lrflideres.com.br/wp-content/plugins/download-attachments/includes/download.php?id=6252" TargetMode="External" Id="rId392" /><Relationship Type="http://schemas.openxmlformats.org/officeDocument/2006/relationships/hyperlink" Target="https://recuperacaojudicial.squarespace.com/s/RJ-Grupo-Arnon-de-Melo-Lista-de-Credores-Consolidada-abril-2022.pdf" TargetMode="External" Id="rId393" /><Relationship Type="http://schemas.openxmlformats.org/officeDocument/2006/relationships/hyperlink" Target="https://diligence.adm.br/wp-content/plugins/download-attachments/includes/download.php?id=6284" TargetMode="External" Id="rId394" /><Relationship Type="http://schemas.openxmlformats.org/officeDocument/2006/relationships/hyperlink" Target="https://inova-aj.com.br/wp-content/uploads/2026/08/1a-Relacao-de-Credores-Real.pdf" TargetMode="External" Id="rId395" /><Relationship Type="http://schemas.openxmlformats.org/officeDocument/2006/relationships/hyperlink" Target="https://lrflideres.com.br/wp-content/uploads/2023/01/4.-EDITAL-2a-LISTA-DE-CREDORES-1.pdf" TargetMode="External" Id="rId396" /><Relationship Type="http://schemas.openxmlformats.org/officeDocument/2006/relationships/hyperlink" Target="https://lrflideres.com.br/wp-content/plugins/download-attachments/includes/download.php?id=6252" TargetMode="External" Id="rId397" /><Relationship Type="http://schemas.openxmlformats.org/officeDocument/2006/relationships/hyperlink" Target="http://recuperacaojudicial.squarespace.com/s/LISTA-DE-CREDORES-CONSOLIDADA-ATE-04102024.pdf" TargetMode="External" Id="rId398" /><Relationship Type="http://schemas.openxmlformats.org/officeDocument/2006/relationships/hyperlink" Target="https://bbsadvogados.com.br/wp-content/uploads/2025/04/Equipseg-Edital-Relacao-de-Credores-da-Administradora-Judicial-art.-7o2o-da-LRF.pdf" TargetMode="External" Id="rId399" /><Relationship Type="http://schemas.openxmlformats.org/officeDocument/2006/relationships/hyperlink" Target="https://ajruiz.com.br/sites/default/files/public/arquivos-processos/2026-06/alto_uruguai_qgc_junho.2026.pdf" TargetMode="External" Id="rId400" /><Relationship Type="http://schemas.openxmlformats.org/officeDocument/2006/relationships/hyperlink" Target="https://administradorajudicialgs.com.br/wp-content/uploads/2024/10/relacao-de-credores-e-verificacao-de-credito-2025.pdf" TargetMode="External" Id="rId401"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02" /><Relationship Type="http://schemas.openxmlformats.org/officeDocument/2006/relationships/hyperlink" Target="https://bbsadvogados.com.br/wp-content/uploads/2025/04/Equipseg-Edital-Relacao-de-Credores-da-Administradora-Judicial-art.-7o2o-da-LRF.pdf" TargetMode="External" Id="rId403" /><Relationship Type="http://schemas.openxmlformats.org/officeDocument/2006/relationships/hyperlink" Target="https://administradorajudicialgs.com.br/wp-content/uploads/2024/10/relacao-de-credores-e-verificacao-de-credito-2025.pdf" TargetMode="External" Id="rId404"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05" /><Relationship Type="http://schemas.openxmlformats.org/officeDocument/2006/relationships/hyperlink" Target="https://administradorajudicialgs.com.br/wp-content/uploads/2023/08/edital-quadro-geral-de-credores.pdf" TargetMode="External" Id="rId406" /><Relationship Type="http://schemas.openxmlformats.org/officeDocument/2006/relationships/hyperlink" Target="https://administradorajudicialgs.com.br/wp-content/uploads/2023/08/doc-06-relacao-credores-do-administrador-judicial-10-02-2015.pdf" TargetMode="External" Id="rId407" /><Relationship Type="http://schemas.openxmlformats.org/officeDocument/2006/relationships/hyperlink" Target="https://administradorajudicialgs.com.br/wp-content/uploads/2023/08/advogados-sgrott-doc-22-relacao-de-credores-do-administrador-judicial-classe-iii-05-02-14.pdf" TargetMode="External" Id="rId408" /><Relationship Type="http://schemas.openxmlformats.org/officeDocument/2006/relationships/hyperlink" Target="https://administradorajudicialgs.com.br/wp-content/uploads/2023/08/doc-06-relacao-credores-do-administrador-judicial-10-02-2015.pdf" TargetMode="External" Id="rId409" /><Relationship Type="http://schemas.openxmlformats.org/officeDocument/2006/relationships/hyperlink" Target="https://administradorajudicialgs.com.br/wp-content/uploads/2023/08/edital-quadro-geral-de-credores.pdf" TargetMode="External" Id="rId410"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11" /><Relationship Type="http://schemas.openxmlformats.org/officeDocument/2006/relationships/hyperlink" Target="https://administradorajudicialgs.com.br/wp-content/uploads/2023/08/advogados-sgrott-doc-22-relacao-de-credores-do-administrador-judicial-classe-iii-05-02-14.pdf" TargetMode="External" Id="rId412" /><Relationship Type="http://schemas.openxmlformats.org/officeDocument/2006/relationships/hyperlink" Target="https://administradorajudicialgs.com.br/wp-content/uploads/2023/08/advogados-sgrott-doc-22-relacao-de-credores-do-administrador-judicial-classe-iii-05-02-14.pdf" TargetMode="External" Id="rId413" /><Relationship Type="http://schemas.openxmlformats.org/officeDocument/2006/relationships/hyperlink" Target="https://administradorajudicialgs.com.br/wp-content/uploads/2023/08/advogados-sgrott-doc-22-relacao-de-credores-do-administrador-judicial-classe-iii-05-02-14.pdf" TargetMode="External" Id="rId414"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15" /><Relationship Type="http://schemas.openxmlformats.org/officeDocument/2006/relationships/hyperlink" Target="https://realbrasil.com.br/wp-content/uploads/2018/06/2_LISTA-DE-CREDORES-DA-RECUPERANDA_ROQUE.pdf" TargetMode="External" Id="rId416" /><Relationship Type="http://schemas.openxmlformats.org/officeDocument/2006/relationships/hyperlink" Target="https://recuperacaojudicial.squarespace.com/s/LISTA-DE-CREDORES-CONSOLIDADA-EM-11072025_6419.pdf" TargetMode="External" Id="rId417" /><Relationship Type="http://schemas.openxmlformats.org/officeDocument/2006/relationships/hyperlink" Target="https://realbrasil.com.br/wp-content/uploads/2017/05/Rela&#231;&#227;o-de-Credores_-Mastter-1.pdf" TargetMode="External" Id="rId418"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19" /><Relationship Type="http://schemas.openxmlformats.org/officeDocument/2006/relationships/hyperlink" Target="https://diligence.adm.br/wp-content/plugins/download-attachments/includes/download.php?id=4579" TargetMode="External" Id="rId420" /><Relationship Type="http://schemas.openxmlformats.org/officeDocument/2006/relationships/hyperlink" Target="https://marquesadmjudicial.com.br/sgc/download.php?file=files/processo_documento/processo_documento15232121112024_1_.pdf&amp;nome=Rela&#231;&#227;o de Credores" TargetMode="External" Id="rId421" /><Relationship Type="http://schemas.openxmlformats.org/officeDocument/2006/relationships/hyperlink" Target="https://recuperacaojudicial.squarespace.com/s/LISTA-DE-CREDORES-CONSOLIDADA-EM-11072025_6419.pdf" TargetMode="External" Id="rId422" /><Relationship Type="http://schemas.openxmlformats.org/officeDocument/2006/relationships/hyperlink" Target="https://administradorajudicialgs.com.br/wp-content/uploads/2024/10/relacao-de-credores-e-verificacao-de-credito-2025.pdf" TargetMode="External" Id="rId423"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24" /><Relationship Type="http://schemas.openxmlformats.org/officeDocument/2006/relationships/hyperlink" Target="https://administradorajudicialgs.com.br/wp-content/uploads/2024/12/relacao-de-credores-da-falida.pdf" TargetMode="External" Id="rId425" /><Relationship Type="http://schemas.openxmlformats.org/officeDocument/2006/relationships/hyperlink" Target="https://recuperacaojudicial.squarespace.com/s/RJ-Grupo-Arnon-de-Melo-Lista-de-Credores-Consolidada-abril-2022.pdf" TargetMode="External" Id="rId426" /><Relationship Type="http://schemas.openxmlformats.org/officeDocument/2006/relationships/hyperlink" Target="https://ativosajce.com.br/admin/download.php?file=files/processo_documento/processo_documento18430011062025_1_.pdf&amp;nome=Rela&#231;&#227;o de Credores - Art. 52&#186; &#167; 1&#186;, da Lei n&#186; 11.101/2005 - 13/08/2020" TargetMode="External" Id="rId427" /><Relationship Type="http://schemas.openxmlformats.org/officeDocument/2006/relationships/hyperlink" Target="https://administradorajudicialgs.com.br/wp-content/uploads/2024/12/relacao-de-credores-da-falida.pdf" TargetMode="External" Id="rId428" /><Relationship Type="http://schemas.openxmlformats.org/officeDocument/2006/relationships/hyperlink" Target="https://lrflideres.com.br/wp-content/plugins/download-attachments/includes/download.php?id=5001" TargetMode="External" Id="rId429" /><Relationship Type="http://schemas.openxmlformats.org/officeDocument/2006/relationships/hyperlink" Target="https://bbsadvogados.com.br/wp-content/uploads/2025/09/Edital-Relacao-de-Credores-da-Administradora-Judicial-art.-7o2o-da-LRF.-Visao-14-02-2025.pdf" TargetMode="External" Id="rId430"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31" /><Relationship Type="http://schemas.openxmlformats.org/officeDocument/2006/relationships/hyperlink" Target="https://lrflideres.com.br/wp-content/plugins/download-attachments/includes/download.php?id=5001" TargetMode="External" Id="rId432"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33" /><Relationship Type="http://schemas.openxmlformats.org/officeDocument/2006/relationships/hyperlink" Target="https://realbrasil.com.br/wp-content/uploads/2017/05/Rela&#231;&#227;o-de-Credores_-Mastter-1.pdf" TargetMode="External" Id="rId434"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35" /><Relationship Type="http://schemas.openxmlformats.org/officeDocument/2006/relationships/hyperlink" Target="https://administradorajudicialgs.com.br/wp-content/uploads/2023/08/relacao-de-credores-da-recuperanda-2.pdf" TargetMode="External" Id="rId436"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37" /><Relationship Type="http://schemas.openxmlformats.org/officeDocument/2006/relationships/hyperlink" Target="https://administradorajudicialgs.com.br/wp-content/uploads/2024/12/relacao-de-credores-da-falida.pdf" TargetMode="External" Id="rId438" /><Relationship Type="http://schemas.openxmlformats.org/officeDocument/2006/relationships/hyperlink" Target="https://administradorajudicialgs.com.br/wp-content/uploads/2023/08/doc-06-relacao-credores-do-administrador-judicial-10-02-2015.pdf" TargetMode="External" Id="rId439" /><Relationship Type="http://schemas.openxmlformats.org/officeDocument/2006/relationships/hyperlink" Target="https://ricardobiancardi.com.br/wp-content/uploads/2024/12/Edital-1-relacao-de-credores-pub.-02.12.24-.pdf" TargetMode="External" Id="rId440"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41" /><Relationship Type="http://schemas.openxmlformats.org/officeDocument/2006/relationships/hyperlink" Target="https://ativosajce.com.br/admin/download.php?file=files/processo_documento/processo_documento18430011062025_1_.pdf&amp;nome=Rela&#231;&#227;o de Credores - Art. 52&#186; &#167; 1&#186;, da Lei n&#186; 11.101/2005 - 13/08/2020" TargetMode="External" Id="rId442" /><Relationship Type="http://schemas.openxmlformats.org/officeDocument/2006/relationships/hyperlink" Target="https://administradorajudicialgs.com.br/wp-content/uploads/2024/10/relacao-de-credores-e-verificacao-de-credito-2025.pdf" TargetMode="External" Id="rId443" /><Relationship Type="http://schemas.openxmlformats.org/officeDocument/2006/relationships/hyperlink" Target="https://realbrasil.com.br/wp-content/uploads/2018/06/2_LISTA-DE-CREDORES-DA-RECUPERANDA_ROQUE.pdf" TargetMode="External" Id="rId444"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45" /><Relationship Type="http://schemas.openxmlformats.org/officeDocument/2006/relationships/hyperlink" Target="https://ativosajce.com.br/admin/download.php?file=files/processo_documento/processo_documento18430011062025_1_.pdf&amp;nome=Rela&#231;&#227;o de Credores - Art. 52&#186; &#167; 1&#186;, da Lei n&#186; 11.101/2005 - 13/08/2020" TargetMode="External" Id="rId446" /><Relationship Type="http://schemas.openxmlformats.org/officeDocument/2006/relationships/hyperlink" Target="https://recuperacaojudicial.squarespace.com/s/4-RJCTREditalda2ListadeCredoresnovembro2019.pdf" TargetMode="External" Id="rId447" /><Relationship Type="http://schemas.openxmlformats.org/officeDocument/2006/relationships/hyperlink" Target="https://administradorajudicialgs.com.br/wp-content/uploads/2024/12/relacao-de-credores-da-falida.pdf" TargetMode="External" Id="rId448"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49" /><Relationship Type="http://schemas.openxmlformats.org/officeDocument/2006/relationships/hyperlink" Target="https://administradorajudicialgs.com.br/wp-content/uploads/2024/12/relacao-de-credores-da-falida.pdf" TargetMode="External" Id="rId450" /></Relationships>
</file>

<file path=xl/worksheets/sheet1.xml><?xml version="1.0" encoding="utf-8"?>
<worksheet xmlns="http://schemas.openxmlformats.org/spreadsheetml/2006/main">
  <sheetPr>
    <outlinePr summaryBelow="1" summaryRight="1"/>
    <pageSetUpPr/>
  </sheetPr>
  <dimension ref="A1:K56"/>
  <sheetViews>
    <sheetView workbookViewId="0">
      <selection activeCell="A1" sqref="A1"/>
    </sheetView>
  </sheetViews>
  <sheetFormatPr baseColWidth="8" defaultRowHeight="15"/>
  <cols>
    <col width="34" customWidth="1" min="1" max="1"/>
    <col width="16" customWidth="1" min="2" max="2"/>
    <col width="16" customWidth="1" min="3" max="3"/>
    <col width="4" customWidth="1" min="4" max="4"/>
    <col width="34" customWidth="1" min="5" max="5"/>
    <col width="30" customWidth="1" min="6" max="6"/>
    <col width="15" customWidth="1" min="7" max="7"/>
    <col width="7" customWidth="1" min="8" max="8"/>
    <col width="14" customWidth="1" min="9" max="9"/>
    <col width="12" customWidth="1" min="10" max="10"/>
    <col width="26" customWidth="1" min="11" max="11"/>
  </cols>
  <sheetData>
    <row r="1">
      <c r="A1" s="1" t="inlineStr">
        <is>
          <t>ANTEPARO — CALL DASHBOARD</t>
        </is>
      </c>
    </row>
    <row r="2">
      <c r="A2" s="2" t="inlineStr">
        <is>
          <t>Both call tabs — CALL SHEET (trade) and FINANCIAL CREDITORS — counted together · built 2026-09-04</t>
        </is>
      </c>
    </row>
    <row r="4">
      <c r="A4" s="3" t="inlineStr">
        <is>
          <t>PIPELINE</t>
        </is>
      </c>
      <c r="B4" s="3" t="inlineStr"/>
      <c r="C4" s="3" t="inlineStr"/>
      <c r="E4" s="3" t="inlineStr">
        <is>
          <t>TOP 15 BY OUR ÁGIO</t>
        </is>
      </c>
      <c r="F4" s="3" t="inlineStr">
        <is>
          <t>Debtor</t>
        </is>
      </c>
      <c r="G4" s="3" t="inlineStr">
        <is>
          <t>Ágio (R$)</t>
        </is>
      </c>
      <c r="H4" s="3" t="inlineStr">
        <is>
          <t>Band</t>
        </is>
      </c>
      <c r="I4" s="3" t="inlineStr">
        <is>
          <t>Status</t>
        </is>
      </c>
      <c r="J4" s="3" t="inlineStr">
        <is>
          <t>Next date</t>
        </is>
      </c>
      <c r="K4" s="3" t="inlineStr">
        <is>
          <t>Where to find it</t>
        </is>
      </c>
    </row>
    <row r="5">
      <c r="A5" t="inlineStr">
        <is>
          <t>Leads in book (both tabs)</t>
        </is>
      </c>
      <c r="B5" s="4">
        <f>SUMPRODUCT(--(_BOOK!$A$2:$A$1005&lt;&gt;""))</f>
        <v/>
      </c>
      <c r="E5">
        <f>IFERROR(INDEX(_BOOK!$A$2:$A$1005,MATCH(G5,_BOOK!$E$2:$E$1005,0)+COUNTIF(G$5:G5,G5)-1),"")</f>
        <v/>
      </c>
      <c r="F5">
        <f>IFERROR(INDEX(_BOOK!$B$2:$B$1005,MATCH(G5,_BOOK!$E$2:$E$1005,0)+COUNTIF(G$5:G5,G5)-1),"")</f>
        <v/>
      </c>
      <c r="G5" s="5">
        <f>IFERROR(LARGE(_BOOK!$E$2:$E$1005,1),"")</f>
        <v/>
      </c>
      <c r="H5">
        <f>IFERROR(INDEX(_BOOK!$F$2:$F$1005,MATCH(G5,_BOOK!$E$2:$E$1005,0)+COUNTIF(G$5:G5,G5)-1),"")</f>
        <v/>
      </c>
      <c r="I5">
        <f>IFERROR(INDEX(_BOOK!$G$2:$G$1005,MATCH(G5,_BOOK!$E$2:$E$1005,0)+COUNTIF(G$5:G5,G5)-1),"")</f>
        <v/>
      </c>
      <c r="J5" s="6">
        <f>IFERROR(INDEX(_BOOK!$H$2:$H$1005,MATCH(G5,_BOOK!$E$2:$E$1005,0)+COUNTIF(G$5:G5,G5)-1),"")</f>
        <v/>
      </c>
      <c r="K5">
        <f>IFERROR(INDEX(_BOOK!$N$2:$N$1005,MATCH(G5,_BOOK!$E$2:$E$1005,0)+COUNTIF(G$5:G5,G5)-1),"")</f>
        <v/>
      </c>
    </row>
    <row r="6">
      <c r="A6" t="inlineStr">
        <is>
          <t>Total face (R$)</t>
        </is>
      </c>
      <c r="B6" s="7">
        <f>SUM(_BOOK!$C$2:$C$1005)</f>
        <v/>
      </c>
      <c r="E6">
        <f>IFERROR(INDEX(_BOOK!$A$2:$A$1005,MATCH(G6,_BOOK!$E$2:$E$1005,0)+COUNTIF(G$5:G6,G6)-1),"")</f>
        <v/>
      </c>
      <c r="F6">
        <f>IFERROR(INDEX(_BOOK!$B$2:$B$1005,MATCH(G6,_BOOK!$E$2:$E$1005,0)+COUNTIF(G$5:G6,G6)-1),"")</f>
        <v/>
      </c>
      <c r="G6" s="5">
        <f>IFERROR(LARGE(_BOOK!$E$2:$E$1005,2),"")</f>
        <v/>
      </c>
      <c r="H6">
        <f>IFERROR(INDEX(_BOOK!$F$2:$F$1005,MATCH(G6,_BOOK!$E$2:$E$1005,0)+COUNTIF(G$5:G6,G6)-1),"")</f>
        <v/>
      </c>
      <c r="I6">
        <f>IFERROR(INDEX(_BOOK!$G$2:$G$1005,MATCH(G6,_BOOK!$E$2:$E$1005,0)+COUNTIF(G$5:G6,G6)-1),"")</f>
        <v/>
      </c>
      <c r="J6" s="6">
        <f>IFERROR(INDEX(_BOOK!$H$2:$H$1005,MATCH(G6,_BOOK!$E$2:$E$1005,0)+COUNTIF(G$5:G6,G6)-1),"")</f>
        <v/>
      </c>
      <c r="K6">
        <f>IFERROR(INDEX(_BOOK!$N$2:$N$1005,MATCH(G6,_BOOK!$E$2:$E$1005,0)+COUNTIF(G$5:G6,G6)-1),"")</f>
        <v/>
      </c>
    </row>
    <row r="7">
      <c r="A7" t="inlineStr">
        <is>
          <t>Fund price pipeline (R$)</t>
        </is>
      </c>
      <c r="B7" s="7">
        <f>SUM(_BOOK!$D$2:$D$1005)</f>
        <v/>
      </c>
      <c r="E7">
        <f>IFERROR(INDEX(_BOOK!$A$2:$A$1005,MATCH(G7,_BOOK!$E$2:$E$1005,0)+COUNTIF(G$5:G7,G7)-1),"")</f>
        <v/>
      </c>
      <c r="F7">
        <f>IFERROR(INDEX(_BOOK!$B$2:$B$1005,MATCH(G7,_BOOK!$E$2:$E$1005,0)+COUNTIF(G$5:G7,G7)-1),"")</f>
        <v/>
      </c>
      <c r="G7" s="5">
        <f>IFERROR(LARGE(_BOOK!$E$2:$E$1005,3),"")</f>
        <v/>
      </c>
      <c r="H7">
        <f>IFERROR(INDEX(_BOOK!$F$2:$F$1005,MATCH(G7,_BOOK!$E$2:$E$1005,0)+COUNTIF(G$5:G7,G7)-1),"")</f>
        <v/>
      </c>
      <c r="I7">
        <f>IFERROR(INDEX(_BOOK!$G$2:$G$1005,MATCH(G7,_BOOK!$E$2:$E$1005,0)+COUNTIF(G$5:G7,G7)-1),"")</f>
        <v/>
      </c>
      <c r="J7" s="6">
        <f>IFERROR(INDEX(_BOOK!$H$2:$H$1005,MATCH(G7,_BOOK!$E$2:$E$1005,0)+COUNTIF(G$5:G7,G7)-1),"")</f>
        <v/>
      </c>
      <c r="K7">
        <f>IFERROR(INDEX(_BOOK!$N$2:$N$1005,MATCH(G7,_BOOK!$E$2:$E$1005,0)+COUNTIF(G$5:G7,G7)-1),"")</f>
        <v/>
      </c>
    </row>
    <row r="8">
      <c r="A8" t="inlineStr">
        <is>
          <t>OUR ÁGIO pipeline (R$)</t>
        </is>
      </c>
      <c r="B8" s="7">
        <f>SUM(_BOOK!$E$2:$E$1005)</f>
        <v/>
      </c>
      <c r="E8">
        <f>IFERROR(INDEX(_BOOK!$A$2:$A$1005,MATCH(G8,_BOOK!$E$2:$E$1005,0)+COUNTIF(G$5:G8,G8)-1),"")</f>
        <v/>
      </c>
      <c r="F8">
        <f>IFERROR(INDEX(_BOOK!$B$2:$B$1005,MATCH(G8,_BOOK!$E$2:$E$1005,0)+COUNTIF(G$5:G8,G8)-1),"")</f>
        <v/>
      </c>
      <c r="G8" s="5">
        <f>IFERROR(LARGE(_BOOK!$E$2:$E$1005,4),"")</f>
        <v/>
      </c>
      <c r="H8">
        <f>IFERROR(INDEX(_BOOK!$F$2:$F$1005,MATCH(G8,_BOOK!$E$2:$E$1005,0)+COUNTIF(G$5:G8,G8)-1),"")</f>
        <v/>
      </c>
      <c r="I8">
        <f>IFERROR(INDEX(_BOOK!$G$2:$G$1005,MATCH(G8,_BOOK!$E$2:$E$1005,0)+COUNTIF(G$5:G8,G8)-1),"")</f>
        <v/>
      </c>
      <c r="J8" s="6">
        <f>IFERROR(INDEX(_BOOK!$H$2:$H$1005,MATCH(G8,_BOOK!$E$2:$E$1005,0)+COUNTIF(G$5:G8,G8)-1),"")</f>
        <v/>
      </c>
      <c r="K8">
        <f>IFERROR(INDEX(_BOOK!$N$2:$N$1005,MATCH(G8,_BOOK!$E$2:$E$1005,0)+COUNTIF(G$5:G8,G8)-1),"")</f>
        <v/>
      </c>
    </row>
    <row r="9">
      <c r="A9" t="inlineStr">
        <is>
          <t>Untouched (NEW)</t>
        </is>
      </c>
      <c r="B9" s="4">
        <f>COUNTIF(_BOOK!$G$2:$G$1005,"NEW")</f>
        <v/>
      </c>
      <c r="E9">
        <f>IFERROR(INDEX(_BOOK!$A$2:$A$1005,MATCH(G9,_BOOK!$E$2:$E$1005,0)+COUNTIF(G$5:G9,G9)-1),"")</f>
        <v/>
      </c>
      <c r="F9">
        <f>IFERROR(INDEX(_BOOK!$B$2:$B$1005,MATCH(G9,_BOOK!$E$2:$E$1005,0)+COUNTIF(G$5:G9,G9)-1),"")</f>
        <v/>
      </c>
      <c r="G9" s="5">
        <f>IFERROR(LARGE(_BOOK!$E$2:$E$1005,5),"")</f>
        <v/>
      </c>
      <c r="H9">
        <f>IFERROR(INDEX(_BOOK!$F$2:$F$1005,MATCH(G9,_BOOK!$E$2:$E$1005,0)+COUNTIF(G$5:G9,G9)-1),"")</f>
        <v/>
      </c>
      <c r="I9">
        <f>IFERROR(INDEX(_BOOK!$G$2:$G$1005,MATCH(G9,_BOOK!$E$2:$E$1005,0)+COUNTIF(G$5:G9,G9)-1),"")</f>
        <v/>
      </c>
      <c r="J9" s="6">
        <f>IFERROR(INDEX(_BOOK!$H$2:$H$1005,MATCH(G9,_BOOK!$E$2:$E$1005,0)+COUNTIF(G$5:G9,G9)-1),"")</f>
        <v/>
      </c>
      <c r="K9">
        <f>IFERROR(INDEX(_BOOK!$N$2:$N$1005,MATCH(G9,_BOOK!$E$2:$E$1005,0)+COUNTIF(G$5:G9,G9)-1),"")</f>
        <v/>
      </c>
    </row>
    <row r="10">
      <c r="A10" t="inlineStr">
        <is>
          <t>Calls due today</t>
        </is>
      </c>
      <c r="B10" s="4">
        <f>COUNTIF(_BOOK!$H$2:$H$1005,TODAY())</f>
        <v/>
      </c>
      <c r="E10">
        <f>IFERROR(INDEX(_BOOK!$A$2:$A$1005,MATCH(G10,_BOOK!$E$2:$E$1005,0)+COUNTIF(G$5:G10,G10)-1),"")</f>
        <v/>
      </c>
      <c r="F10">
        <f>IFERROR(INDEX(_BOOK!$B$2:$B$1005,MATCH(G10,_BOOK!$E$2:$E$1005,0)+COUNTIF(G$5:G10,G10)-1),"")</f>
        <v/>
      </c>
      <c r="G10" s="5">
        <f>IFERROR(LARGE(_BOOK!$E$2:$E$1005,6),"")</f>
        <v/>
      </c>
      <c r="H10">
        <f>IFERROR(INDEX(_BOOK!$F$2:$F$1005,MATCH(G10,_BOOK!$E$2:$E$1005,0)+COUNTIF(G$5:G10,G10)-1),"")</f>
        <v/>
      </c>
      <c r="I10">
        <f>IFERROR(INDEX(_BOOK!$G$2:$G$1005,MATCH(G10,_BOOK!$E$2:$E$1005,0)+COUNTIF(G$5:G10,G10)-1),"")</f>
        <v/>
      </c>
      <c r="J10" s="6">
        <f>IFERROR(INDEX(_BOOK!$H$2:$H$1005,MATCH(G10,_BOOK!$E$2:$E$1005,0)+COUNTIF(G$5:G10,G10)-1),"")</f>
        <v/>
      </c>
      <c r="K10">
        <f>IFERROR(INDEX(_BOOK!$N$2:$N$1005,MATCH(G10,_BOOK!$E$2:$E$1005,0)+COUNTIF(G$5:G10,G10)-1),"")</f>
        <v/>
      </c>
    </row>
    <row r="11">
      <c r="A11" t="inlineStr">
        <is>
          <t>Overdue follow-ups</t>
        </is>
      </c>
      <c r="B11" s="4">
        <f>COUNTIFS(_BOOK!$H$2:$H$1005,"&lt;"&amp;TODAY(),_BOOK!$H$2:$H$1005,"&lt;&gt;",_BOOK!$G$2:$G$1005,"&lt;&gt;DEAD",_BOOK!$G$2:$G$1005,"&lt;&gt;DEAL")</f>
        <v/>
      </c>
      <c r="E11">
        <f>IFERROR(INDEX(_BOOK!$A$2:$A$1005,MATCH(G11,_BOOK!$E$2:$E$1005,0)+COUNTIF(G$5:G11,G11)-1),"")</f>
        <v/>
      </c>
      <c r="F11">
        <f>IFERROR(INDEX(_BOOK!$B$2:$B$1005,MATCH(G11,_BOOK!$E$2:$E$1005,0)+COUNTIF(G$5:G11,G11)-1),"")</f>
        <v/>
      </c>
      <c r="G11" s="5">
        <f>IFERROR(LARGE(_BOOK!$E$2:$E$1005,7),"")</f>
        <v/>
      </c>
      <c r="H11">
        <f>IFERROR(INDEX(_BOOK!$F$2:$F$1005,MATCH(G11,_BOOK!$E$2:$E$1005,0)+COUNTIF(G$5:G11,G11)-1),"")</f>
        <v/>
      </c>
      <c r="I11">
        <f>IFERROR(INDEX(_BOOK!$G$2:$G$1005,MATCH(G11,_BOOK!$E$2:$E$1005,0)+COUNTIF(G$5:G11,G11)-1),"")</f>
        <v/>
      </c>
      <c r="J11" s="6">
        <f>IFERROR(INDEX(_BOOK!$H$2:$H$1005,MATCH(G11,_BOOK!$E$2:$E$1005,0)+COUNTIF(G$5:G11,G11)-1),"")</f>
        <v/>
      </c>
      <c r="K11">
        <f>IFERROR(INDEX(_BOOK!$N$2:$N$1005,MATCH(G11,_BOOK!$E$2:$E$1005,0)+COUNTIF(G$5:G11,G11)-1),"")</f>
        <v/>
      </c>
    </row>
    <row r="12">
      <c r="A12" t="inlineStr">
        <is>
          <t>Interested + Deal — ágio (R$)</t>
        </is>
      </c>
      <c r="B12" s="7">
        <f>SUMIF(_BOOK!$G$2:$G$1005,"INTERESTED",_BOOK!$E$2:$E$1005)+SUMIF(_BOOK!$G$2:$G$1005,"DEAL",_BOOK!$E$2:$E$1005)</f>
        <v/>
      </c>
      <c r="E12">
        <f>IFERROR(INDEX(_BOOK!$A$2:$A$1005,MATCH(G12,_BOOK!$E$2:$E$1005,0)+COUNTIF(G$5:G12,G12)-1),"")</f>
        <v/>
      </c>
      <c r="F12">
        <f>IFERROR(INDEX(_BOOK!$B$2:$B$1005,MATCH(G12,_BOOK!$E$2:$E$1005,0)+COUNTIF(G$5:G12,G12)-1),"")</f>
        <v/>
      </c>
      <c r="G12" s="5">
        <f>IFERROR(LARGE(_BOOK!$E$2:$E$1005,8),"")</f>
        <v/>
      </c>
      <c r="H12">
        <f>IFERROR(INDEX(_BOOK!$F$2:$F$1005,MATCH(G12,_BOOK!$E$2:$E$1005,0)+COUNTIF(G$5:G12,G12)-1),"")</f>
        <v/>
      </c>
      <c r="I12">
        <f>IFERROR(INDEX(_BOOK!$G$2:$G$1005,MATCH(G12,_BOOK!$E$2:$E$1005,0)+COUNTIF(G$5:G12,G12)-1),"")</f>
        <v/>
      </c>
      <c r="J12" s="6">
        <f>IFERROR(INDEX(_BOOK!$H$2:$H$1005,MATCH(G12,_BOOK!$E$2:$E$1005,0)+COUNTIF(G$5:G12,G12)-1),"")</f>
        <v/>
      </c>
      <c r="K12">
        <f>IFERROR(INDEX(_BOOK!$N$2:$N$1005,MATCH(G12,_BOOK!$E$2:$E$1005,0)+COUNTIF(G$5:G12,G12)-1),"")</f>
        <v/>
      </c>
    </row>
    <row r="13">
      <c r="A13" t="inlineStr">
        <is>
          <t>Rows with a decision-maker email</t>
        </is>
      </c>
      <c r="B13" s="4">
        <f>SUMPRODUCT(--(_BOOK!$K$2:$K$1005&lt;&gt;""))</f>
        <v/>
      </c>
      <c r="E13">
        <f>IFERROR(INDEX(_BOOK!$A$2:$A$1005,MATCH(G13,_BOOK!$E$2:$E$1005,0)+COUNTIF(G$5:G13,G13)-1),"")</f>
        <v/>
      </c>
      <c r="F13">
        <f>IFERROR(INDEX(_BOOK!$B$2:$B$1005,MATCH(G13,_BOOK!$E$2:$E$1005,0)+COUNTIF(G$5:G13,G13)-1),"")</f>
        <v/>
      </c>
      <c r="G13" s="5">
        <f>IFERROR(LARGE(_BOOK!$E$2:$E$1005,9),"")</f>
        <v/>
      </c>
      <c r="H13">
        <f>IFERROR(INDEX(_BOOK!$F$2:$F$1005,MATCH(G13,_BOOK!$E$2:$E$1005,0)+COUNTIF(G$5:G13,G13)-1),"")</f>
        <v/>
      </c>
      <c r="I13">
        <f>IFERROR(INDEX(_BOOK!$G$2:$G$1005,MATCH(G13,_BOOK!$E$2:$E$1005,0)+COUNTIF(G$5:G13,G13)-1),"")</f>
        <v/>
      </c>
      <c r="J13" s="6">
        <f>IFERROR(INDEX(_BOOK!$H$2:$H$1005,MATCH(G13,_BOOK!$E$2:$E$1005,0)+COUNTIF(G$5:G13,G13)-1),"")</f>
        <v/>
      </c>
      <c r="K13">
        <f>IFERROR(INDEX(_BOOK!$N$2:$N$1005,MATCH(G13,_BOOK!$E$2:$E$1005,0)+COUNTIF(G$5:G13,G13)-1),"")</f>
        <v/>
      </c>
    </row>
    <row r="14">
      <c r="A14" t="inlineStr">
        <is>
          <t>Rows needing a proof check</t>
        </is>
      </c>
      <c r="B14" s="4">
        <f>COUNTIF(_BOOK!$L$2:$L$1005,"NO TOTALS*")+COUNTIF(_BOOK!$L$2:$L$1005,"PARTIAL*")+COUNTIF(_BOOK!$L$2:$L$1005,"CHECK*")</f>
        <v/>
      </c>
      <c r="E14">
        <f>IFERROR(INDEX(_BOOK!$A$2:$A$1005,MATCH(G14,_BOOK!$E$2:$E$1005,0)+COUNTIF(G$5:G14,G14)-1),"")</f>
        <v/>
      </c>
      <c r="F14">
        <f>IFERROR(INDEX(_BOOK!$B$2:$B$1005,MATCH(G14,_BOOK!$E$2:$E$1005,0)+COUNTIF(G$5:G14,G14)-1),"")</f>
        <v/>
      </c>
      <c r="G14" s="5">
        <f>IFERROR(LARGE(_BOOK!$E$2:$E$1005,10),"")</f>
        <v/>
      </c>
      <c r="H14">
        <f>IFERROR(INDEX(_BOOK!$F$2:$F$1005,MATCH(G14,_BOOK!$E$2:$E$1005,0)+COUNTIF(G$5:G14,G14)-1),"")</f>
        <v/>
      </c>
      <c r="I14">
        <f>IFERROR(INDEX(_BOOK!$G$2:$G$1005,MATCH(G14,_BOOK!$E$2:$E$1005,0)+COUNTIF(G$5:G14,G14)-1),"")</f>
        <v/>
      </c>
      <c r="J14" s="6">
        <f>IFERROR(INDEX(_BOOK!$H$2:$H$1005,MATCH(G14,_BOOK!$E$2:$E$1005,0)+COUNTIF(G$5:G14,G14)-1),"")</f>
        <v/>
      </c>
      <c r="K14">
        <f>IFERROR(INDEX(_BOOK!$N$2:$N$1005,MATCH(G14,_BOOK!$E$2:$E$1005,0)+COUNTIF(G$5:G14,G14)-1),"")</f>
        <v/>
      </c>
    </row>
    <row r="15">
      <c r="E15">
        <f>IFERROR(INDEX(_BOOK!$A$2:$A$1005,MATCH(G15,_BOOK!$E$2:$E$1005,0)+COUNTIF(G$5:G15,G15)-1),"")</f>
        <v/>
      </c>
      <c r="F15">
        <f>IFERROR(INDEX(_BOOK!$B$2:$B$1005,MATCH(G15,_BOOK!$E$2:$E$1005,0)+COUNTIF(G$5:G15,G15)-1),"")</f>
        <v/>
      </c>
      <c r="G15" s="5">
        <f>IFERROR(LARGE(_BOOK!$E$2:$E$1005,11),"")</f>
        <v/>
      </c>
      <c r="H15">
        <f>IFERROR(INDEX(_BOOK!$F$2:$F$1005,MATCH(G15,_BOOK!$E$2:$E$1005,0)+COUNTIF(G$5:G15,G15)-1),"")</f>
        <v/>
      </c>
      <c r="I15">
        <f>IFERROR(INDEX(_BOOK!$G$2:$G$1005,MATCH(G15,_BOOK!$E$2:$E$1005,0)+COUNTIF(G$5:G15,G15)-1),"")</f>
        <v/>
      </c>
      <c r="J15" s="6">
        <f>IFERROR(INDEX(_BOOK!$H$2:$H$1005,MATCH(G15,_BOOK!$E$2:$E$1005,0)+COUNTIF(G$5:G15,G15)-1),"")</f>
        <v/>
      </c>
      <c r="K15">
        <f>IFERROR(INDEX(_BOOK!$N$2:$N$1005,MATCH(G15,_BOOK!$E$2:$E$1005,0)+COUNTIF(G$5:G15,G15)-1),"")</f>
        <v/>
      </c>
    </row>
    <row r="16">
      <c r="A16" s="3" t="inlineStr">
        <is>
          <t>BOOK</t>
        </is>
      </c>
      <c r="B16" s="3" t="inlineStr">
        <is>
          <t>leads</t>
        </is>
      </c>
      <c r="C16" s="3" t="inlineStr">
        <is>
          <t>ágio (R$)</t>
        </is>
      </c>
      <c r="E16">
        <f>IFERROR(INDEX(_BOOK!$A$2:$A$1005,MATCH(G16,_BOOK!$E$2:$E$1005,0)+COUNTIF(G$5:G16,G16)-1),"")</f>
        <v/>
      </c>
      <c r="F16">
        <f>IFERROR(INDEX(_BOOK!$B$2:$B$1005,MATCH(G16,_BOOK!$E$2:$E$1005,0)+COUNTIF(G$5:G16,G16)-1),"")</f>
        <v/>
      </c>
      <c r="G16" s="5">
        <f>IFERROR(LARGE(_BOOK!$E$2:$E$1005,12),"")</f>
        <v/>
      </c>
      <c r="H16">
        <f>IFERROR(INDEX(_BOOK!$F$2:$F$1005,MATCH(G16,_BOOK!$E$2:$E$1005,0)+COUNTIF(G$5:G16,G16)-1),"")</f>
        <v/>
      </c>
      <c r="I16">
        <f>IFERROR(INDEX(_BOOK!$G$2:$G$1005,MATCH(G16,_BOOK!$E$2:$E$1005,0)+COUNTIF(G$5:G16,G16)-1),"")</f>
        <v/>
      </c>
      <c r="J16" s="6">
        <f>IFERROR(INDEX(_BOOK!$H$2:$H$1005,MATCH(G16,_BOOK!$E$2:$E$1005,0)+COUNTIF(G$5:G16,G16)-1),"")</f>
        <v/>
      </c>
      <c r="K16">
        <f>IFERROR(INDEX(_BOOK!$N$2:$N$1005,MATCH(G16,_BOOK!$E$2:$E$1005,0)+COUNTIF(G$5:G16,G16)-1),"")</f>
        <v/>
      </c>
    </row>
    <row r="17">
      <c r="A17" t="inlineStr">
        <is>
          <t>TRADE — CALL SHEET tab</t>
        </is>
      </c>
      <c r="B17">
        <f>COUNTIF(_BOOK!$M$2:$M$1005,"TRADE")</f>
        <v/>
      </c>
      <c r="C17" s="5">
        <f>SUMIF(_BOOK!$M$2:$M$1005,"TRADE",_BOOK!$E$2:$E$1005)</f>
        <v/>
      </c>
      <c r="E17">
        <f>IFERROR(INDEX(_BOOK!$A$2:$A$1005,MATCH(G17,_BOOK!$E$2:$E$1005,0)+COUNTIF(G$5:G17,G17)-1),"")</f>
        <v/>
      </c>
      <c r="F17">
        <f>IFERROR(INDEX(_BOOK!$B$2:$B$1005,MATCH(G17,_BOOK!$E$2:$E$1005,0)+COUNTIF(G$5:G17,G17)-1),"")</f>
        <v/>
      </c>
      <c r="G17" s="5">
        <f>IFERROR(LARGE(_BOOK!$E$2:$E$1005,13),"")</f>
        <v/>
      </c>
      <c r="H17">
        <f>IFERROR(INDEX(_BOOK!$F$2:$F$1005,MATCH(G17,_BOOK!$E$2:$E$1005,0)+COUNTIF(G$5:G17,G17)-1),"")</f>
        <v/>
      </c>
      <c r="I17">
        <f>IFERROR(INDEX(_BOOK!$G$2:$G$1005,MATCH(G17,_BOOK!$E$2:$E$1005,0)+COUNTIF(G$5:G17,G17)-1),"")</f>
        <v/>
      </c>
      <c r="J17" s="6">
        <f>IFERROR(INDEX(_BOOK!$H$2:$H$1005,MATCH(G17,_BOOK!$E$2:$E$1005,0)+COUNTIF(G$5:G17,G17)-1),"")</f>
        <v/>
      </c>
      <c r="K17">
        <f>IFERROR(INDEX(_BOOK!$N$2:$N$1005,MATCH(G17,_BOOK!$E$2:$E$1005,0)+COUNTIF(G$5:G17,G17)-1),"")</f>
        <v/>
      </c>
    </row>
    <row r="18">
      <c r="A18" t="inlineStr">
        <is>
          <t>FINANCIAL — banks, FIDCs, co-ops</t>
        </is>
      </c>
      <c r="B18">
        <f>COUNTIF(_BOOK!$M$2:$M$1005,"FINANCIAL")</f>
        <v/>
      </c>
      <c r="C18" s="5">
        <f>SUMIF(_BOOK!$M$2:$M$1005,"FINANCIAL",_BOOK!$E$2:$E$1005)</f>
        <v/>
      </c>
      <c r="E18">
        <f>IFERROR(INDEX(_BOOK!$A$2:$A$1005,MATCH(G18,_BOOK!$E$2:$E$1005,0)+COUNTIF(G$5:G18,G18)-1),"")</f>
        <v/>
      </c>
      <c r="F18">
        <f>IFERROR(INDEX(_BOOK!$B$2:$B$1005,MATCH(G18,_BOOK!$E$2:$E$1005,0)+COUNTIF(G$5:G18,G18)-1),"")</f>
        <v/>
      </c>
      <c r="G18" s="5">
        <f>IFERROR(LARGE(_BOOK!$E$2:$E$1005,14),"")</f>
        <v/>
      </c>
      <c r="H18">
        <f>IFERROR(INDEX(_BOOK!$F$2:$F$1005,MATCH(G18,_BOOK!$E$2:$E$1005,0)+COUNTIF(G$5:G18,G18)-1),"")</f>
        <v/>
      </c>
      <c r="I18">
        <f>IFERROR(INDEX(_BOOK!$G$2:$G$1005,MATCH(G18,_BOOK!$E$2:$E$1005,0)+COUNTIF(G$5:G18,G18)-1),"")</f>
        <v/>
      </c>
      <c r="J18" s="6">
        <f>IFERROR(INDEX(_BOOK!$H$2:$H$1005,MATCH(G18,_BOOK!$E$2:$E$1005,0)+COUNTIF(G$5:G18,G18)-1),"")</f>
        <v/>
      </c>
      <c r="K18">
        <f>IFERROR(INDEX(_BOOK!$N$2:$N$1005,MATCH(G18,_BOOK!$E$2:$E$1005,0)+COUNTIF(G$5:G18,G18)-1),"")</f>
        <v/>
      </c>
    </row>
    <row r="19">
      <c r="A19" s="8" t="inlineStr">
        <is>
          <t>Both books</t>
        </is>
      </c>
      <c r="B19" s="8">
        <f>SUMPRODUCT(--(_BOOK!$M$2:$M$1005&lt;&gt;""))</f>
        <v/>
      </c>
      <c r="C19" s="9">
        <f>SUM(_BOOK!$E$2:$E$1005)</f>
        <v/>
      </c>
      <c r="E19">
        <f>IFERROR(INDEX(_BOOK!$A$2:$A$1005,MATCH(G19,_BOOK!$E$2:$E$1005,0)+COUNTIF(G$5:G19,G19)-1),"")</f>
        <v/>
      </c>
      <c r="F19">
        <f>IFERROR(INDEX(_BOOK!$B$2:$B$1005,MATCH(G19,_BOOK!$E$2:$E$1005,0)+COUNTIF(G$5:G19,G19)-1),"")</f>
        <v/>
      </c>
      <c r="G19" s="5">
        <f>IFERROR(LARGE(_BOOK!$E$2:$E$1005,15),"")</f>
        <v/>
      </c>
      <c r="H19">
        <f>IFERROR(INDEX(_BOOK!$F$2:$F$1005,MATCH(G19,_BOOK!$E$2:$E$1005,0)+COUNTIF(G$5:G19,G19)-1),"")</f>
        <v/>
      </c>
      <c r="I19">
        <f>IFERROR(INDEX(_BOOK!$G$2:$G$1005,MATCH(G19,_BOOK!$E$2:$E$1005,0)+COUNTIF(G$5:G19,G19)-1),"")</f>
        <v/>
      </c>
      <c r="J19" s="6">
        <f>IFERROR(INDEX(_BOOK!$H$2:$H$1005,MATCH(G19,_BOOK!$E$2:$E$1005,0)+COUNTIF(G$5:G19,G19)-1),"")</f>
        <v/>
      </c>
      <c r="K19">
        <f>IFERROR(INDEX(_BOOK!$N$2:$N$1005,MATCH(G19,_BOOK!$E$2:$E$1005,0)+COUNTIF(G$5:G19,G19)-1),"")</f>
        <v/>
      </c>
    </row>
    <row r="21">
      <c r="A21" s="3" t="inlineStr">
        <is>
          <t>FUNNEL</t>
        </is>
      </c>
      <c r="B21" s="3" t="inlineStr">
        <is>
          <t>leads</t>
        </is>
      </c>
      <c r="C21" s="3" t="inlineStr">
        <is>
          <t>ágio (R$)</t>
        </is>
      </c>
      <c r="E21" s="3" t="inlineStr">
        <is>
          <t>CASE OWNERSHIP — deepest debtors</t>
        </is>
      </c>
      <c r="F21" s="3" t="inlineStr">
        <is>
          <t>leads</t>
        </is>
      </c>
      <c r="G21" s="3" t="inlineStr">
        <is>
          <t>ágio (R$)</t>
        </is>
      </c>
      <c r="H21" s="3" t="inlineStr">
        <is>
          <t>called</t>
        </is>
      </c>
      <c r="I21" s="3" t="inlineStr">
        <is>
          <t>interested</t>
        </is>
      </c>
    </row>
    <row r="22">
      <c r="A22" t="inlineStr">
        <is>
          <t>NEW</t>
        </is>
      </c>
      <c r="B22">
        <f>COUNTIF(_BOOK!$G$2:$G$1005,"NEW")</f>
        <v/>
      </c>
      <c r="C22" s="5">
        <f>SUMIF(_BOOK!$G$2:$G$1005,"NEW",_BOOK!$E$2:$E$1005)</f>
        <v/>
      </c>
      <c r="E22" t="inlineStr">
        <is>
          <t>GRUPO 3E</t>
        </is>
      </c>
      <c r="F22">
        <f>COUNTIF(_BOOK!$B$2:$B$1005,"GRUPO 3E")</f>
        <v/>
      </c>
      <c r="G22" s="5">
        <f>SUMIF(_BOOK!$B$2:$B$1005,"GRUPO 3E",_BOOK!$E$2:$E$1005)</f>
        <v/>
      </c>
      <c r="H22">
        <f>COUNTIFS(_BOOK!$B$2:$B$1005,"GRUPO 3E",_BOOK!$G$2:$G$1005,"&lt;&gt;NEW")</f>
        <v/>
      </c>
      <c r="I22">
        <f>COUNTIFS(_BOOK!$B$2:$B$1005,"GRUPO 3E",_BOOK!$G$2:$G$1005,"INTERESTED")+COUNTIFS(_BOOK!$B$2:$B$1005,"GRUPO 3E",_BOOK!$G$2:$G$1005,"DEAL")</f>
        <v/>
      </c>
    </row>
    <row r="23">
      <c r="A23" t="inlineStr">
        <is>
          <t>QUEUED</t>
        </is>
      </c>
      <c r="B23">
        <f>COUNTIF(_BOOK!$G$2:$G$1005,"QUEUED")</f>
        <v/>
      </c>
      <c r="C23" s="5">
        <f>SUMIF(_BOOK!$G$2:$G$1005,"QUEUED",_BOOK!$E$2:$E$1005)</f>
        <v/>
      </c>
      <c r="E23" t="inlineStr">
        <is>
          <t>EGESA ENGENHARIA S/A (Consórcio ETDI)</t>
        </is>
      </c>
      <c r="F23">
        <f>COUNTIF(_BOOK!$B$2:$B$1005,"EGESA ENGENHARIA S/A (Consórcio ETDI)")</f>
        <v/>
      </c>
      <c r="G23" s="5">
        <f>SUMIF(_BOOK!$B$2:$B$1005,"EGESA ENGENHARIA S/A (Consórcio ETDI)",_BOOK!$E$2:$E$1005)</f>
        <v/>
      </c>
      <c r="H23">
        <f>COUNTIFS(_BOOK!$B$2:$B$1005,"EGESA ENGENHARIA S/A (Consórcio ETDI)",_BOOK!$G$2:$G$1005,"&lt;&gt;NEW")</f>
        <v/>
      </c>
      <c r="I23">
        <f>COUNTIFS(_BOOK!$B$2:$B$1005,"EGESA ENGENHARIA S/A (Consórcio ETDI)",_BOOK!$G$2:$G$1005,"INTERESTED")+COUNTIFS(_BOOK!$B$2:$B$1005,"EGESA ENGENHARIA S/A (Consórcio ETDI)",_BOOK!$G$2:$G$1005,"DEAL")</f>
        <v/>
      </c>
    </row>
    <row r="24">
      <c r="A24" t="inlineStr">
        <is>
          <t>EMAILED</t>
        </is>
      </c>
      <c r="B24">
        <f>COUNTIF(_BOOK!$G$2:$G$1005,"EMAILED")</f>
        <v/>
      </c>
      <c r="C24" s="5">
        <f>SUMIF(_BOOK!$G$2:$G$1005,"EMAILED",_BOOK!$E$2:$E$1005)</f>
        <v/>
      </c>
      <c r="E24" t="inlineStr">
        <is>
          <t>GRUPO DP4</t>
        </is>
      </c>
      <c r="F24">
        <f>COUNTIF(_BOOK!$B$2:$B$1005,"GRUPO DP4")</f>
        <v/>
      </c>
      <c r="G24" s="5">
        <f>SUMIF(_BOOK!$B$2:$B$1005,"GRUPO DP4",_BOOK!$E$2:$E$1005)</f>
        <v/>
      </c>
      <c r="H24">
        <f>COUNTIFS(_BOOK!$B$2:$B$1005,"GRUPO DP4",_BOOK!$G$2:$G$1005,"&lt;&gt;NEW")</f>
        <v/>
      </c>
      <c r="I24">
        <f>COUNTIFS(_BOOK!$B$2:$B$1005,"GRUPO DP4",_BOOK!$G$2:$G$1005,"INTERESTED")+COUNTIFS(_BOOK!$B$2:$B$1005,"GRUPO DP4",_BOOK!$G$2:$G$1005,"DEAL")</f>
        <v/>
      </c>
    </row>
    <row r="25">
      <c r="A25" t="inlineStr">
        <is>
          <t>CALLED</t>
        </is>
      </c>
      <c r="B25">
        <f>COUNTIF(_BOOK!$G$2:$G$1005,"CALLED")</f>
        <v/>
      </c>
      <c r="C25" s="5">
        <f>SUMIF(_BOOK!$G$2:$G$1005,"CALLED",_BOOK!$E$2:$E$1005)</f>
        <v/>
      </c>
      <c r="E25" t="inlineStr">
        <is>
          <t>CREDIMÓVEIS NOVOLAR LTDA.</t>
        </is>
      </c>
      <c r="F25">
        <f>COUNTIF(_BOOK!$B$2:$B$1005,"CREDIMÓVEIS NOVOLAR LTDA.")</f>
        <v/>
      </c>
      <c r="G25" s="5">
        <f>SUMIF(_BOOK!$B$2:$B$1005,"CREDIMÓVEIS NOVOLAR LTDA.",_BOOK!$E$2:$E$1005)</f>
        <v/>
      </c>
      <c r="H25">
        <f>COUNTIFS(_BOOK!$B$2:$B$1005,"CREDIMÓVEIS NOVOLAR LTDA.",_BOOK!$G$2:$G$1005,"&lt;&gt;NEW")</f>
        <v/>
      </c>
      <c r="I25">
        <f>COUNTIFS(_BOOK!$B$2:$B$1005,"CREDIMÓVEIS NOVOLAR LTDA.",_BOOK!$G$2:$G$1005,"INTERESTED")+COUNTIFS(_BOOK!$B$2:$B$1005,"CREDIMÓVEIS NOVOLAR LTDA.",_BOOK!$G$2:$G$1005,"DEAL")</f>
        <v/>
      </c>
    </row>
    <row r="26">
      <c r="A26" t="inlineStr">
        <is>
          <t>VOICEMAIL</t>
        </is>
      </c>
      <c r="B26">
        <f>COUNTIF(_BOOK!$G$2:$G$1005,"VOICEMAIL")</f>
        <v/>
      </c>
      <c r="C26" s="5">
        <f>SUMIF(_BOOK!$G$2:$G$1005,"VOICEMAIL",_BOOK!$E$2:$E$1005)</f>
        <v/>
      </c>
      <c r="E26" t="inlineStr">
        <is>
          <t>Grupo Rech</t>
        </is>
      </c>
      <c r="F26">
        <f>COUNTIF(_BOOK!$B$2:$B$1005,"Grupo Rech")</f>
        <v/>
      </c>
      <c r="G26" s="5">
        <f>SUMIF(_BOOK!$B$2:$B$1005,"Grupo Rech",_BOOK!$E$2:$E$1005)</f>
        <v/>
      </c>
      <c r="H26">
        <f>COUNTIFS(_BOOK!$B$2:$B$1005,"Grupo Rech",_BOOK!$G$2:$G$1005,"&lt;&gt;NEW")</f>
        <v/>
      </c>
      <c r="I26">
        <f>COUNTIFS(_BOOK!$B$2:$B$1005,"Grupo Rech",_BOOK!$G$2:$G$1005,"INTERESTED")+COUNTIFS(_BOOK!$B$2:$B$1005,"Grupo Rech",_BOOK!$G$2:$G$1005,"DEAL")</f>
        <v/>
      </c>
    </row>
    <row r="27">
      <c r="A27" t="inlineStr">
        <is>
          <t>CONNECTED</t>
        </is>
      </c>
      <c r="B27">
        <f>COUNTIF(_BOOK!$G$2:$G$1005,"CONNECTED")</f>
        <v/>
      </c>
      <c r="C27" s="5">
        <f>SUMIF(_BOOK!$G$2:$G$1005,"CONNECTED",_BOOK!$E$2:$E$1005)</f>
        <v/>
      </c>
      <c r="E27" t="inlineStr">
        <is>
          <t>Mannes</t>
        </is>
      </c>
      <c r="F27">
        <f>COUNTIF(_BOOK!$B$2:$B$1005,"Mannes")</f>
        <v/>
      </c>
      <c r="G27" s="5">
        <f>SUMIF(_BOOK!$B$2:$B$1005,"Mannes",_BOOK!$E$2:$E$1005)</f>
        <v/>
      </c>
      <c r="H27">
        <f>COUNTIFS(_BOOK!$B$2:$B$1005,"Mannes",_BOOK!$G$2:$G$1005,"&lt;&gt;NEW")</f>
        <v/>
      </c>
      <c r="I27">
        <f>COUNTIFS(_BOOK!$B$2:$B$1005,"Mannes",_BOOK!$G$2:$G$1005,"INTERESTED")+COUNTIFS(_BOOK!$B$2:$B$1005,"Mannes",_BOOK!$G$2:$G$1005,"DEAL")</f>
        <v/>
      </c>
    </row>
    <row r="28">
      <c r="A28" t="inlineStr">
        <is>
          <t>INTERESTED</t>
        </is>
      </c>
      <c r="B28">
        <f>COUNTIF(_BOOK!$G$2:$G$1005,"INTERESTED")</f>
        <v/>
      </c>
      <c r="C28" s="5">
        <f>SUMIF(_BOOK!$G$2:$G$1005,"INTERESTED",_BOOK!$E$2:$E$1005)</f>
        <v/>
      </c>
      <c r="E28" t="inlineStr">
        <is>
          <t>GRUPO CATTAN</t>
        </is>
      </c>
      <c r="F28">
        <f>COUNTIF(_BOOK!$B$2:$B$1005,"GRUPO CATTAN")</f>
        <v/>
      </c>
      <c r="G28" s="5">
        <f>SUMIF(_BOOK!$B$2:$B$1005,"GRUPO CATTAN",_BOOK!$E$2:$E$1005)</f>
        <v/>
      </c>
      <c r="H28">
        <f>COUNTIFS(_BOOK!$B$2:$B$1005,"GRUPO CATTAN",_BOOK!$G$2:$G$1005,"&lt;&gt;NEW")</f>
        <v/>
      </c>
      <c r="I28">
        <f>COUNTIFS(_BOOK!$B$2:$B$1005,"GRUPO CATTAN",_BOOK!$G$2:$G$1005,"INTERESTED")+COUNTIFS(_BOOK!$B$2:$B$1005,"GRUPO CATTAN",_BOOK!$G$2:$G$1005,"DEAL")</f>
        <v/>
      </c>
    </row>
    <row r="29">
      <c r="A29" t="inlineStr">
        <is>
          <t>NOT INTERESTED</t>
        </is>
      </c>
      <c r="B29">
        <f>COUNTIF(_BOOK!$G$2:$G$1005,"NOT INTERESTED")</f>
        <v/>
      </c>
      <c r="C29" s="5">
        <f>SUMIF(_BOOK!$G$2:$G$1005,"NOT INTERESTED",_BOOK!$E$2:$E$1005)</f>
        <v/>
      </c>
      <c r="E29" t="inlineStr">
        <is>
          <t>Grupo Agromeal</t>
        </is>
      </c>
      <c r="F29">
        <f>COUNTIF(_BOOK!$B$2:$B$1005,"Grupo Agromeal")</f>
        <v/>
      </c>
      <c r="G29" s="5">
        <f>SUMIF(_BOOK!$B$2:$B$1005,"Grupo Agromeal",_BOOK!$E$2:$E$1005)</f>
        <v/>
      </c>
      <c r="H29">
        <f>COUNTIFS(_BOOK!$B$2:$B$1005,"Grupo Agromeal",_BOOK!$G$2:$G$1005,"&lt;&gt;NEW")</f>
        <v/>
      </c>
      <c r="I29">
        <f>COUNTIFS(_BOOK!$B$2:$B$1005,"Grupo Agromeal",_BOOK!$G$2:$G$1005,"INTERESTED")+COUNTIFS(_BOOK!$B$2:$B$1005,"Grupo Agromeal",_BOOK!$G$2:$G$1005,"DEAL")</f>
        <v/>
      </c>
    </row>
    <row r="30">
      <c r="A30" t="inlineStr">
        <is>
          <t>CALL BACK</t>
        </is>
      </c>
      <c r="B30">
        <f>COUNTIF(_BOOK!$G$2:$G$1005,"CALL BACK")</f>
        <v/>
      </c>
      <c r="C30" s="5">
        <f>SUMIF(_BOOK!$G$2:$G$1005,"CALL BACK",_BOOK!$E$2:$E$1005)</f>
        <v/>
      </c>
      <c r="E30" t="inlineStr">
        <is>
          <t>Grupo Conduscabos</t>
        </is>
      </c>
      <c r="F30">
        <f>COUNTIF(_BOOK!$B$2:$B$1005,"Grupo Conduscabos")</f>
        <v/>
      </c>
      <c r="G30" s="5">
        <f>SUMIF(_BOOK!$B$2:$B$1005,"Grupo Conduscabos",_BOOK!$E$2:$E$1005)</f>
        <v/>
      </c>
      <c r="H30">
        <f>COUNTIFS(_BOOK!$B$2:$B$1005,"Grupo Conduscabos",_BOOK!$G$2:$G$1005,"&lt;&gt;NEW")</f>
        <v/>
      </c>
      <c r="I30">
        <f>COUNTIFS(_BOOK!$B$2:$B$1005,"Grupo Conduscabos",_BOOK!$G$2:$G$1005,"INTERESTED")+COUNTIFS(_BOOK!$B$2:$B$1005,"Grupo Conduscabos",_BOOK!$G$2:$G$1005,"DEAL")</f>
        <v/>
      </c>
    </row>
    <row r="31">
      <c r="A31" t="inlineStr">
        <is>
          <t>DEAD</t>
        </is>
      </c>
      <c r="B31">
        <f>COUNTIF(_BOOK!$G$2:$G$1005,"DEAD")</f>
        <v/>
      </c>
      <c r="C31" s="5">
        <f>SUMIF(_BOOK!$G$2:$G$1005,"DEAD",_BOOK!$E$2:$E$1005)</f>
        <v/>
      </c>
      <c r="E31" t="inlineStr">
        <is>
          <t>GRUPO DIVINA</t>
        </is>
      </c>
      <c r="F31">
        <f>COUNTIF(_BOOK!$B$2:$B$1005,"GRUPO DIVINA")</f>
        <v/>
      </c>
      <c r="G31" s="5">
        <f>SUMIF(_BOOK!$B$2:$B$1005,"GRUPO DIVINA",_BOOK!$E$2:$E$1005)</f>
        <v/>
      </c>
      <c r="H31">
        <f>COUNTIFS(_BOOK!$B$2:$B$1005,"GRUPO DIVINA",_BOOK!$G$2:$G$1005,"&lt;&gt;NEW")</f>
        <v/>
      </c>
      <c r="I31">
        <f>COUNTIFS(_BOOK!$B$2:$B$1005,"GRUPO DIVINA",_BOOK!$G$2:$G$1005,"INTERESTED")+COUNTIFS(_BOOK!$B$2:$B$1005,"GRUPO DIVINA",_BOOK!$G$2:$G$1005,"DEAL")</f>
        <v/>
      </c>
    </row>
    <row r="32">
      <c r="A32" t="inlineStr">
        <is>
          <t>DEAL</t>
        </is>
      </c>
      <c r="B32">
        <f>COUNTIF(_BOOK!$G$2:$G$1005,"DEAL")</f>
        <v/>
      </c>
      <c r="C32" s="5">
        <f>SUMIF(_BOOK!$G$2:$G$1005,"DEAL",_BOOK!$E$2:$E$1005)</f>
        <v/>
      </c>
      <c r="E32" t="inlineStr">
        <is>
          <t>ASSOCIAÇÃO DE CARIDADE SANTA CASA DO RIO GRANDE</t>
        </is>
      </c>
      <c r="F32">
        <f>COUNTIF(_BOOK!$B$2:$B$1005,"ASSOCIAÇÃO DE CARIDADE SANTA CASA DO RIO GRANDE")</f>
        <v/>
      </c>
      <c r="G32" s="5">
        <f>SUMIF(_BOOK!$B$2:$B$1005,"ASSOCIAÇÃO DE CARIDADE SANTA CASA DO RIO GRANDE",_BOOK!$E$2:$E$1005)</f>
        <v/>
      </c>
      <c r="H32">
        <f>COUNTIFS(_BOOK!$B$2:$B$1005,"ASSOCIAÇÃO DE CARIDADE SANTA CASA DO RIO GRANDE",_BOOK!$G$2:$G$1005,"&lt;&gt;NEW")</f>
        <v/>
      </c>
      <c r="I32">
        <f>COUNTIFS(_BOOK!$B$2:$B$1005,"ASSOCIAÇÃO DE CARIDADE SANTA CASA DO RIO GRANDE",_BOOK!$G$2:$G$1005,"INTERESTED")+COUNTIFS(_BOOK!$B$2:$B$1005,"ASSOCIAÇÃO DE CARIDADE SANTA CASA DO RIO GRANDE",_BOOK!$G$2:$G$1005,"DEAL")</f>
        <v/>
      </c>
    </row>
    <row r="33">
      <c r="E33" t="inlineStr">
        <is>
          <t>VECTOR INDÚSTRIA DE PRODUTOS METALÚRGICOS LTDA.</t>
        </is>
      </c>
      <c r="F33">
        <f>COUNTIF(_BOOK!$B$2:$B$1005,"VECTOR INDÚSTRIA DE PRODUTOS METALÚRGICOS LTDA.")</f>
        <v/>
      </c>
      <c r="G33" s="5">
        <f>SUMIF(_BOOK!$B$2:$B$1005,"VECTOR INDÚSTRIA DE PRODUTOS METALÚRGICOS LTDA.",_BOOK!$E$2:$E$1005)</f>
        <v/>
      </c>
      <c r="H33">
        <f>COUNTIFS(_BOOK!$B$2:$B$1005,"VECTOR INDÚSTRIA DE PRODUTOS METALÚRGICOS LTDA.",_BOOK!$G$2:$G$1005,"&lt;&gt;NEW")</f>
        <v/>
      </c>
      <c r="I33">
        <f>COUNTIFS(_BOOK!$B$2:$B$1005,"VECTOR INDÚSTRIA DE PRODUTOS METALÚRGICOS LTDA.",_BOOK!$G$2:$G$1005,"INTERESTED")+COUNTIFS(_BOOK!$B$2:$B$1005,"VECTOR INDÚSTRIA DE PRODUTOS METALÚRGICOS LTDA.",_BOOK!$G$2:$G$1005,"DEAL")</f>
        <v/>
      </c>
    </row>
    <row r="34">
      <c r="A34" s="3" t="inlineStr">
        <is>
          <t>DEBTOR BAND</t>
        </is>
      </c>
      <c r="B34" s="3" t="inlineStr">
        <is>
          <t>leads</t>
        </is>
      </c>
      <c r="C34" s="3" t="inlineStr">
        <is>
          <t>ágio (R$)</t>
        </is>
      </c>
    </row>
    <row r="35">
      <c r="A35" s="10" t="inlineStr">
        <is>
          <t>A — Plan confirmed (art. 58) or pl</t>
        </is>
      </c>
      <c r="B35">
        <f>COUNTIF(_BOOK!$F$2:$F$1005,"A")</f>
        <v/>
      </c>
      <c r="C35" s="5">
        <f>SUMIF(_BOOK!$F$2:$F$1005,"A",_BOOK!$E$2:$E$1005)</f>
        <v/>
      </c>
      <c r="E35" s="3" t="inlineStr">
        <is>
          <t>BY STATE</t>
        </is>
      </c>
      <c r="F35" s="3" t="inlineStr">
        <is>
          <t>leads</t>
        </is>
      </c>
      <c r="G35" s="3" t="inlineStr">
        <is>
          <t>ágio (R$)</t>
        </is>
      </c>
    </row>
    <row r="36">
      <c r="A36" s="11" t="inlineStr">
        <is>
          <t>B — Live case, no confirmed plan f</t>
        </is>
      </c>
      <c r="B36">
        <f>COUNTIF(_BOOK!$F$2:$F$1005,"B")</f>
        <v/>
      </c>
      <c r="C36" s="5">
        <f>SUMIF(_BOOK!$F$2:$F$1005,"B",_BOOK!$E$2:$E$1005)</f>
        <v/>
      </c>
      <c r="E36" t="inlineStr">
        <is>
          <t>SP</t>
        </is>
      </c>
      <c r="F36">
        <f>COUNTIF(_BOOK!$I$2:$I$1005,"SP")</f>
        <v/>
      </c>
      <c r="G36" s="5">
        <f>SUMIF(_BOOK!$I$2:$I$1005,"SP",_BOOK!$E$2:$E$1005)</f>
        <v/>
      </c>
    </row>
    <row r="37">
      <c r="A37" s="12" t="inlineStr">
        <is>
          <t>C — Stale: &gt;4 years since filing w</t>
        </is>
      </c>
      <c r="B37">
        <f>COUNTIF(_BOOK!$F$2:$F$1005,"C")</f>
        <v/>
      </c>
      <c r="C37" s="5">
        <f>SUMIF(_BOOK!$F$2:$F$1005,"C",_BOOK!$E$2:$E$1005)</f>
        <v/>
      </c>
      <c r="E37" t="inlineStr">
        <is>
          <t>DF</t>
        </is>
      </c>
      <c r="F37">
        <f>COUNTIF(_BOOK!$I$2:$I$1005,"DF")</f>
        <v/>
      </c>
      <c r="G37" s="5">
        <f>SUMIF(_BOOK!$I$2:$I$1005,"DF",_BOOK!$E$2:$E$1005)</f>
        <v/>
      </c>
    </row>
    <row r="38">
      <c r="A38" s="13" t="inlineStr">
        <is>
          <t>D — Avoid: falência decreed, or de</t>
        </is>
      </c>
      <c r="B38">
        <f>COUNTIF(_BOOK!$F$2:$F$1005,"D")</f>
        <v/>
      </c>
      <c r="C38" s="5">
        <f>SUMIF(_BOOK!$F$2:$F$1005,"D",_BOOK!$E$2:$E$1005)</f>
        <v/>
      </c>
      <c r="E38" t="inlineStr">
        <is>
          <t>PR</t>
        </is>
      </c>
      <c r="F38">
        <f>COUNTIF(_BOOK!$I$2:$I$1005,"PR")</f>
        <v/>
      </c>
      <c r="G38" s="5">
        <f>SUMIF(_BOOK!$I$2:$I$1005,"PR",_BOOK!$E$2:$E$1005)</f>
        <v/>
      </c>
    </row>
    <row r="39">
      <c r="A39" s="14" t="inlineStr">
        <is>
          <t>U — Unresolved: debtor or case not</t>
        </is>
      </c>
      <c r="B39">
        <f>COUNTIF(_BOOK!$F$2:$F$1005,"U")</f>
        <v/>
      </c>
      <c r="C39" s="5">
        <f>SUMIF(_BOOK!$F$2:$F$1005,"U",_BOOK!$E$2:$E$1005)</f>
        <v/>
      </c>
      <c r="E39" t="inlineStr">
        <is>
          <t>SC</t>
        </is>
      </c>
      <c r="F39">
        <f>COUNTIF(_BOOK!$I$2:$I$1005,"SC")</f>
        <v/>
      </c>
      <c r="G39" s="5">
        <f>SUMIF(_BOOK!$I$2:$I$1005,"SC",_BOOK!$E$2:$E$1005)</f>
        <v/>
      </c>
    </row>
    <row r="40">
      <c r="E40" t="inlineStr">
        <is>
          <t>RS</t>
        </is>
      </c>
      <c r="F40">
        <f>COUNTIF(_BOOK!$I$2:$I$1005,"RS")</f>
        <v/>
      </c>
      <c r="G40" s="5">
        <f>SUMIF(_BOOK!$I$2:$I$1005,"RS",_BOOK!$E$2:$E$1005)</f>
        <v/>
      </c>
    </row>
    <row r="41">
      <c r="A41" s="3" t="inlineStr">
        <is>
          <t>SELLER FIT</t>
        </is>
      </c>
      <c r="B41" s="3" t="inlineStr">
        <is>
          <t>leads</t>
        </is>
      </c>
      <c r="C41" s="3" t="inlineStr">
        <is>
          <t>ágio (R$)</t>
        </is>
      </c>
      <c r="E41" t="inlineStr">
        <is>
          <t>MG</t>
        </is>
      </c>
      <c r="F41">
        <f>COUNTIF(_BOOK!$I$2:$I$1005,"MG")</f>
        <v/>
      </c>
      <c r="G41" s="5">
        <f>SUMIF(_BOOK!$I$2:$I$1005,"MG",_BOOK!$E$2:$E$1005)</f>
        <v/>
      </c>
    </row>
    <row r="42">
      <c r="A42" t="inlineStr">
        <is>
          <t>MID-MARKET</t>
        </is>
      </c>
      <c r="B42">
        <f>COUNTIF(_BOOK!$J$2:$J$1005,"MID-MARKET")</f>
        <v/>
      </c>
      <c r="C42" s="5">
        <f>SUMIF(_BOOK!$J$2:$J$1005,"MID-MARKET",_BOOK!$E$2:$E$1005)</f>
        <v/>
      </c>
      <c r="E42" t="inlineStr">
        <is>
          <t>GO</t>
        </is>
      </c>
      <c r="F42">
        <f>COUNTIF(_BOOK!$I$2:$I$1005,"GO")</f>
        <v/>
      </c>
      <c r="G42" s="5">
        <f>SUMIF(_BOOK!$I$2:$I$1005,"GO",_BOOK!$E$2:$E$1005)</f>
        <v/>
      </c>
    </row>
    <row r="43">
      <c r="A43" t="inlineStr">
        <is>
          <t>SMALL</t>
        </is>
      </c>
      <c r="B43">
        <f>COUNTIF(_BOOK!$J$2:$J$1005,"SMALL")</f>
        <v/>
      </c>
      <c r="C43" s="5">
        <f>SUMIF(_BOOK!$J$2:$J$1005,"SMALL",_BOOK!$E$2:$E$1005)</f>
        <v/>
      </c>
      <c r="E43" t="inlineStr">
        <is>
          <t>PE</t>
        </is>
      </c>
      <c r="F43">
        <f>COUNTIF(_BOOK!$I$2:$I$1005,"PE")</f>
        <v/>
      </c>
      <c r="G43" s="5">
        <f>SUMIF(_BOOK!$I$2:$I$1005,"PE",_BOOK!$E$2:$E$1005)</f>
        <v/>
      </c>
    </row>
    <row r="44">
      <c r="A44" t="inlineStr">
        <is>
          <t>LARGE CORP — sells through a desk, if at all</t>
        </is>
      </c>
      <c r="B44">
        <f>COUNTIF(_BOOK!$J$2:$J$1005,"LARGE CORP")</f>
        <v/>
      </c>
      <c r="C44" s="5">
        <f>SUMIF(_BOOK!$J$2:$J$1005,"LARGE CORP",_BOOK!$E$2:$E$1005)</f>
        <v/>
      </c>
      <c r="E44" t="inlineStr">
        <is>
          <t>RJ</t>
        </is>
      </c>
      <c r="F44">
        <f>COUNTIF(_BOOK!$I$2:$I$1005,"RJ")</f>
        <v/>
      </c>
      <c r="G44" s="5">
        <f>SUMIF(_BOOK!$I$2:$I$1005,"RJ",_BOOK!$E$2:$E$1005)</f>
        <v/>
      </c>
    </row>
    <row r="45">
      <c r="E45" t="inlineStr">
        <is>
          <t>BA</t>
        </is>
      </c>
      <c r="F45">
        <f>COUNTIF(_BOOK!$I$2:$I$1005,"BA")</f>
        <v/>
      </c>
      <c r="G45" s="5">
        <f>SUMIF(_BOOK!$I$2:$I$1005,"BA",_BOOK!$E$2:$E$1005)</f>
        <v/>
      </c>
    </row>
    <row r="46">
      <c r="A46" s="3" t="inlineStr">
        <is>
          <t>PROOF QUALITY</t>
        </is>
      </c>
      <c r="B46" s="3" t="inlineStr">
        <is>
          <t>leads</t>
        </is>
      </c>
      <c r="C46" s="3" t="inlineStr">
        <is>
          <t>ágio (R$)</t>
        </is>
      </c>
    </row>
    <row r="47">
      <c r="A47" t="inlineStr">
        <is>
          <t>OK — reconciled against printed totals</t>
        </is>
      </c>
      <c r="B47">
        <f>COUNTIF(_BOOK!$L$2:$L$1005,"OK*")</f>
        <v/>
      </c>
      <c r="C47" s="5">
        <f>SUMIF(_BOOK!$L$2:$L$1005,"OK*",_BOOK!$E$2:$E$1005)</f>
        <v/>
      </c>
    </row>
    <row r="48">
      <c r="A48" t="inlineStr">
        <is>
          <t>NO TOTALS — list prints none</t>
        </is>
      </c>
      <c r="B48">
        <f>COUNTIF(_BOOK!$L$2:$L$1005,"NO TOTALS*")</f>
        <v/>
      </c>
      <c r="C48" s="5">
        <f>SUMIF(_BOOK!$L$2:$L$1005,"NO TOTALS*",_BOOK!$E$2:$E$1005)</f>
        <v/>
      </c>
    </row>
    <row r="49">
      <c r="A49" t="inlineStr">
        <is>
          <t>PARTIAL — class III reconciled only</t>
        </is>
      </c>
      <c r="B49">
        <f>COUNTIF(_BOOK!$L$2:$L$1005,"PARTIAL*")</f>
        <v/>
      </c>
      <c r="C49" s="5">
        <f>SUMIF(_BOOK!$L$2:$L$1005,"PARTIAL*",_BOOK!$E$2:$E$1005)</f>
        <v/>
      </c>
    </row>
    <row r="50">
      <c r="A50" t="inlineStr">
        <is>
          <t>CHECK — not a statutory creditor list</t>
        </is>
      </c>
      <c r="B50">
        <f>COUNTIF(_BOOK!$L$2:$L$1005,"CHECK*")</f>
        <v/>
      </c>
      <c r="C50" s="5">
        <f>SUMIF(_BOOK!$L$2:$L$1005,"CHECK*",_BOOK!$E$2:$E$1005)</f>
        <v/>
      </c>
    </row>
    <row r="52">
      <c r="A52" t="inlineStr">
        <is>
          <t>How to use: work each call tab top-down (both are sorted by our ágio). Set STATUS and NEXT DATE on every touch; this tab updates itself.</t>
        </is>
      </c>
    </row>
    <row r="53">
      <c r="A53" t="inlineStr">
        <is>
          <t>Bands: A plan confirmed · B live, no plan yet · C stale · D avoid · U unresolved. Quotes are a model off the Assumptions tab; FACE VALUE, page/row and the PROOF link are court data.</t>
        </is>
      </c>
    </row>
    <row r="54">
      <c r="A54" t="inlineStr">
        <is>
          <t>PROOF QUALITY: OK = the list's own printed totals reconcile; NO TOTALS = the list prints none, so the value stands on its row alone; PARTIAL = class III reconciled but another class on the same list did not.</t>
        </is>
      </c>
    </row>
    <row r="55">
      <c r="A55" t="inlineStr">
        <is>
          <t>FINANCIAL CREDITORS are banks, FIDCs, securitizers and credit co-operatives: same class III paper, but they sell through a desk, and plans usually give them worse terms than trade suppliers.</t>
        </is>
      </c>
    </row>
    <row r="56">
      <c r="A56" t="inlineStr">
        <is>
          <t>Do not delete rows on the call tabs (the dashboard reads them by position); mark DEAD instead. Sorting and filtering are fine.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A5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0" customWidth="1" min="1" max="1"/>
    <col width="17" customWidth="1" min="2" max="2"/>
    <col width="36" customWidth="1" min="3" max="3"/>
    <col width="15" customWidth="1" min="4" max="4"/>
    <col width="11" customWidth="1" min="5" max="5"/>
    <col width="22" customWidth="1" min="6" max="6"/>
    <col width="11" customWidth="1" min="7" max="7"/>
    <col width="38" customWidth="1" min="8" max="8"/>
    <col width="30" customWidth="1" min="9" max="9"/>
    <col width="24" customWidth="1" min="10" max="10"/>
    <col width="16" customWidth="1" min="11" max="11"/>
    <col width="16" customWidth="1" min="12" max="12"/>
    <col width="16" customWidth="1" min="13" max="13"/>
    <col width="30" customWidth="1" min="14" max="14"/>
    <col width="26" customWidth="1" min="15" max="15"/>
    <col width="28" customWidth="1" min="16" max="16"/>
    <col width="22" customWidth="1" min="17" max="17"/>
    <col width="16" customWidth="1" min="18" max="18"/>
    <col width="28" customWidth="1" min="19" max="19"/>
    <col width="34" customWidth="1" min="20" max="20"/>
    <col width="17" customWidth="1" min="21" max="21"/>
    <col width="8" customWidth="1" min="22" max="22"/>
    <col width="9" customWidth="1" min="23" max="23"/>
    <col width="8" customWidth="1" min="24" max="24"/>
    <col width="17" customWidth="1" min="25" max="25"/>
    <col width="7" customWidth="1" min="26" max="26"/>
    <col width="17" customWidth="1" min="27" max="27"/>
    <col width="7" customWidth="1" min="28" max="28"/>
    <col width="16" customWidth="1" min="29" max="29"/>
    <col width="8" customWidth="1" min="30" max="30"/>
    <col width="26" customWidth="1" min="31" max="31"/>
    <col width="50" customWidth="1" min="32" max="32"/>
    <col width="16" customWidth="1" min="33" max="33"/>
    <col width="30" customWidth="1" min="34" max="34"/>
    <col width="20" customWidth="1" min="35" max="35"/>
    <col width="11" customWidth="1" min="36" max="36"/>
    <col width="16" customWidth="1" min="37" max="37"/>
    <col width="26" customWidth="1" min="38" max="38"/>
    <col width="7" customWidth="1" min="39" max="39"/>
    <col width="12" customWidth="1" min="40" max="40"/>
    <col width="7" customWidth="1" min="41" max="41"/>
    <col width="40" customWidth="1" min="42" max="42"/>
    <col width="19" customWidth="1" min="43" max="43"/>
    <col width="30" customWidth="1" min="44" max="44"/>
    <col width="18" customWidth="1" min="45" max="45"/>
    <col width="5" customWidth="1" min="46" max="46"/>
    <col width="34" customWidth="1" min="47" max="47"/>
    <col width="10" customWidth="1" min="48" max="48"/>
    <col width="15" customWidth="1" min="49" max="49"/>
    <col width="13" customWidth="1" min="50" max="50"/>
    <col width="10" customWidth="1" min="51" max="51"/>
    <col width="6" customWidth="1" min="52" max="52"/>
    <col width="30" customWidth="1" min="53" max="53"/>
  </cols>
  <sheetData>
    <row r="1" ht="34" customHeight="1">
      <c r="A1" s="15" t="inlineStr">
        <is>
          <t>CREDITOR — company owed money</t>
        </is>
      </c>
      <c r="B1" s="15" t="inlineStr">
        <is>
          <t>AMOUNT OWED (R$)</t>
        </is>
      </c>
      <c r="C1" s="15" t="inlineStr">
        <is>
          <t>DEBTOR — company in RJ</t>
        </is>
      </c>
      <c r="D1" s="15" t="inlineStr">
        <is>
          <t>STATUS</t>
        </is>
      </c>
      <c r="E1" s="15" t="inlineStr">
        <is>
          <t>LAST TOUCH</t>
        </is>
      </c>
      <c r="F1" s="15" t="inlineStr">
        <is>
          <t>NEXT ACTION</t>
        </is>
      </c>
      <c r="G1" s="15" t="inlineStr">
        <is>
          <t>NEXT DATE</t>
        </is>
      </c>
      <c r="H1" s="15" t="inlineStr">
        <is>
          <t>NOTES</t>
        </is>
      </c>
      <c r="I1" s="15" t="inlineStr">
        <is>
          <t>DECISION MAKER</t>
        </is>
      </c>
      <c r="J1" s="15" t="inlineStr">
        <is>
          <t>Role</t>
        </is>
      </c>
      <c r="K1" s="15" t="inlineStr">
        <is>
          <t>Company phone 1</t>
        </is>
      </c>
      <c r="L1" s="15" t="inlineStr">
        <is>
          <t>Company phone 2</t>
        </is>
      </c>
      <c r="M1" s="15" t="inlineStr">
        <is>
          <t>Mobile (Apollo)</t>
        </is>
      </c>
      <c r="N1" s="15" t="inlineStr">
        <is>
          <t>Email</t>
        </is>
      </c>
      <c r="O1" s="15" t="inlineStr">
        <is>
          <t>Email 2</t>
        </is>
      </c>
      <c r="P1" s="15" t="inlineStr">
        <is>
          <t>BACKUP CONTACT</t>
        </is>
      </c>
      <c r="Q1" s="15" t="inlineStr">
        <is>
          <t>Backup role</t>
        </is>
      </c>
      <c r="R1" s="15" t="inlineStr">
        <is>
          <t>Backup phone</t>
        </is>
      </c>
      <c r="S1" s="15" t="inlineStr">
        <is>
          <t>Backup email</t>
        </is>
      </c>
      <c r="T1" s="15" t="inlineStr">
        <is>
          <t>Contact note</t>
        </is>
      </c>
      <c r="U1" s="15" t="inlineStr">
        <is>
          <t>FACE VALUE (as printed)</t>
        </is>
      </c>
      <c r="V1" s="15" t="inlineStr">
        <is>
          <t>DEBTOR BAND</t>
        </is>
      </c>
      <c r="W1" s="15" t="inlineStr">
        <is>
          <t>Exp. recovery %</t>
        </is>
      </c>
      <c r="X1" s="15" t="inlineStr">
        <is>
          <t>Years to payment</t>
        </is>
      </c>
      <c r="Y1" s="15" t="inlineStr">
        <is>
          <t>FUND PRICE @ IRR (R$)</t>
        </is>
      </c>
      <c r="Z1" s="15" t="inlineStr">
        <is>
          <t>cents</t>
        </is>
      </c>
      <c r="AA1" s="15" t="inlineStr">
        <is>
          <t>OUR QUOTE (R$)</t>
        </is>
      </c>
      <c r="AB1" s="15" t="inlineStr">
        <is>
          <t>cents</t>
        </is>
      </c>
      <c r="AC1" s="15" t="inlineStr">
        <is>
          <t>OUR ÁGIO (R$)</t>
        </is>
      </c>
      <c r="AD1" s="15" t="inlineStr">
        <is>
          <t>Ágio pts of face</t>
        </is>
      </c>
      <c r="AE1" s="15" t="inlineStr">
        <is>
          <t>PROOF QUALITY</t>
        </is>
      </c>
      <c r="AF1" s="15" t="inlineStr">
        <is>
          <t>PROOF: source document</t>
        </is>
      </c>
      <c r="AG1" s="15" t="inlineStr">
        <is>
          <t>Page / row</t>
        </is>
      </c>
      <c r="AH1" s="15" t="inlineStr">
        <is>
          <t>Value as printed</t>
        </is>
      </c>
      <c r="AI1" s="15" t="inlineStr">
        <is>
          <t>Which list</t>
        </is>
      </c>
      <c r="AJ1" s="15" t="inlineStr">
        <is>
          <t>List date</t>
        </is>
      </c>
      <c r="AK1" s="15" t="inlineStr">
        <is>
          <t>Plan evidence</t>
        </is>
      </c>
      <c r="AL1" s="15" t="inlineStr">
        <is>
          <t>Case number</t>
        </is>
      </c>
      <c r="AM1" s="15" t="inlineStr">
        <is>
          <t>Court</t>
        </is>
      </c>
      <c r="AN1" s="15" t="inlineStr">
        <is>
          <t>Stage</t>
        </is>
      </c>
      <c r="AO1" s="15" t="inlineStr">
        <is>
          <t>Filed</t>
        </is>
      </c>
      <c r="AP1" s="15" t="inlineStr">
        <is>
          <t>Band reason</t>
        </is>
      </c>
      <c r="AQ1" s="15" t="inlineStr">
        <is>
          <t>Debtor CNPJ</t>
        </is>
      </c>
      <c r="AR1" s="15" t="inlineStr">
        <is>
          <t>Debtor source</t>
        </is>
      </c>
      <c r="AS1" s="15" t="inlineStr">
        <is>
          <t>City</t>
        </is>
      </c>
      <c r="AT1" s="15" t="inlineStr">
        <is>
          <t>UF</t>
        </is>
      </c>
      <c r="AU1" s="15" t="inlineStr">
        <is>
          <t>Sector</t>
        </is>
      </c>
      <c r="AV1" s="15" t="inlineStr">
        <is>
          <t>Size</t>
        </is>
      </c>
      <c r="AW1" s="15" t="inlineStr">
        <is>
          <t>Capital (R$)</t>
        </is>
      </c>
      <c r="AX1" s="15" t="inlineStr">
        <is>
          <t>Seller fit</t>
        </is>
      </c>
      <c r="AY1" s="15" t="inlineStr">
        <is>
          <t>CNPJ root</t>
        </is>
      </c>
      <c r="AZ1" s="15" t="inlineStr">
        <is>
          <t>Claims</t>
        </is>
      </c>
      <c r="BA1" s="15" t="inlineStr">
        <is>
          <t>Flags</t>
        </is>
      </c>
    </row>
    <row r="2">
      <c r="A2" s="16" t="inlineStr">
        <is>
          <t>DM CONSTRUTORA DE OBRAS LTDA</t>
        </is>
      </c>
      <c r="B2" s="17" t="n">
        <v>178052183.86</v>
      </c>
      <c r="C2" s="18" t="inlineStr">
        <is>
          <t>GRUPO MARINGÁ PARK</t>
        </is>
      </c>
      <c r="D2" s="19" t="inlineStr">
        <is>
          <t>NEW</t>
        </is>
      </c>
      <c r="E2" s="20" t="inlineStr"/>
      <c r="F2" s="19" t="inlineStr"/>
      <c r="G2" s="20" t="inlineStr"/>
      <c r="H2" s="19" t="inlineStr"/>
      <c r="I2" s="21" t="inlineStr">
        <is>
          <t>Giovano Fantin</t>
        </is>
      </c>
      <c r="J2" s="21" t="inlineStr">
        <is>
          <t>VP</t>
        </is>
      </c>
      <c r="K2" s="21" t="inlineStr">
        <is>
          <t>(41) 3313-8000</t>
        </is>
      </c>
      <c r="L2" s="21" t="inlineStr">
        <is>
          <t>(41) 3313-8090</t>
        </is>
      </c>
      <c r="M2" s="21" t="inlineStr"/>
      <c r="N2" s="21" t="inlineStr">
        <is>
          <t>giovano@dmconstrutora.com.br</t>
        </is>
      </c>
      <c r="O2" s="21" t="inlineStr"/>
      <c r="P2" s="21" t="inlineStr"/>
      <c r="Q2" s="21" t="inlineStr"/>
      <c r="R2" s="21" t="inlineStr"/>
      <c r="S2" s="21" t="inlineStr"/>
      <c r="T2" s="21" t="inlineStr">
        <is>
          <t>email verified by Apollo</t>
        </is>
      </c>
      <c r="U2" s="22" t="n">
        <v>178052183.86</v>
      </c>
      <c r="V2" s="23" t="inlineStr">
        <is>
          <t>B</t>
        </is>
      </c>
      <c r="W2" s="24">
        <f>IFERROR(VLOOKUP(V2,Assumptions!$A$7:$F$11,2,FALSE),0)</f>
        <v/>
      </c>
      <c r="X2" s="25">
        <f>IF(V2="A",MAX(1,IFERROR(VLOOKUP(V2,Assumptions!$A$7:$F$11,3,FALSE),3)+IFERROR(VLOOKUP(V2,Assumptions!$A$7:$F$11,4,FALSE),8)/2-MAX(0,IF(AO2="",0,YEAR(TODAY())-AO2)-IFERROR(VLOOKUP(V2,Assumptions!$A$7:$F$11,5,FALSE),1.5))),IFERROR(VLOOKUP(V2,Assumptions!$A$7:$F$11,5,FALSE),2.5)+IFERROR(VLOOKUP(V2,Assumptions!$A$7:$F$11,3,FALSE),3)+IFERROR(VLOOKUP(V2,Assumptions!$A$7:$F$11,4,FALSE),8)/2)</f>
        <v/>
      </c>
      <c r="Y2" s="22">
        <f>U2*W2/(1+Assumptions!$B$3)^X2</f>
        <v/>
      </c>
      <c r="Z2" s="26">
        <f>IF(U2=0,"",ROUND(Y2/U2*100,1))</f>
        <v/>
      </c>
      <c r="AA2" s="27">
        <f>Y2*Assumptions!$B$4</f>
        <v/>
      </c>
      <c r="AB2" s="26">
        <f>IF(U2=0,"",ROUND(AA2/U2*100,1))</f>
        <v/>
      </c>
      <c r="AC2" s="27">
        <f>Y2-AA2</f>
        <v/>
      </c>
      <c r="AD2" s="26">
        <f>IF(U2=0,"",ROUND((Y2-AA2)/U2*100,1))</f>
        <v/>
      </c>
      <c r="AE2" s="28" t="inlineStr">
        <is>
          <t>OK — totals reconciled</t>
        </is>
      </c>
      <c r="AF2" s="29" t="inlineStr">
        <is>
          <t>https://marquesadmjudicial.com.br/sgc/download.php?file=files/processo_documento/processo_documento19270817122025_1_.pdf&amp;nome=Relação Nominal de Credores AJ</t>
        </is>
      </c>
      <c r="AG2" s="28" t="inlineStr">
        <is>
          <t>p4 r8</t>
        </is>
      </c>
      <c r="AH2" s="28" t="inlineStr">
        <is>
          <t>p4: R$ 178.052.183,86</t>
        </is>
      </c>
      <c r="AI2" s="28" t="inlineStr">
        <is>
          <t>AJ list (art. 7 §2)</t>
        </is>
      </c>
      <c r="AJ2" s="28" t="inlineStr">
        <is>
          <t>2025-12-17</t>
        </is>
      </c>
      <c r="AK2" s="28" t="inlineStr">
        <is>
          <t>NONE FOUND</t>
        </is>
      </c>
      <c r="AL2" s="30" t="inlineStr">
        <is>
          <t>0016033-22.2025.8.16.0017</t>
        </is>
      </c>
      <c r="AM2" s="30" t="inlineStr">
        <is>
          <t>TJPR</t>
        </is>
      </c>
      <c r="AN2" s="30" t="inlineStr">
        <is>
          <t>ACTIVE</t>
        </is>
      </c>
      <c r="AO2" s="30" t="n">
        <v>2025</v>
      </c>
      <c r="AP2" s="30" t="inlineStr">
        <is>
          <t>live case, no plan document yet</t>
        </is>
      </c>
      <c r="AQ2" s="30" t="inlineStr">
        <is>
          <t>00.073.485/0001-43</t>
        </is>
      </c>
      <c r="AR2" s="30" t="inlineStr">
        <is>
          <t>printed on the list (read twice)</t>
        </is>
      </c>
      <c r="AS2" s="30" t="inlineStr">
        <is>
          <t>CURITIBA</t>
        </is>
      </c>
      <c r="AT2" s="30" t="inlineStr">
        <is>
          <t>PR</t>
        </is>
      </c>
      <c r="AU2" s="30" t="inlineStr">
        <is>
          <t>Construção de rodovias e ferrovias</t>
        </is>
      </c>
      <c r="AV2" s="30" t="inlineStr">
        <is>
          <t>DEMAIS</t>
        </is>
      </c>
      <c r="AW2" s="31" t="n">
        <v>90000000</v>
      </c>
      <c r="AX2" s="30" t="inlineStr">
        <is>
          <t>MID-MARKET</t>
        </is>
      </c>
      <c r="AY2" s="30" t="inlineStr">
        <is>
          <t>76483726</t>
        </is>
      </c>
      <c r="AZ2" s="30" t="n">
        <v>1</v>
      </c>
      <c r="BA2" s="30" t="inlineStr">
        <is>
          <t>ROWS:p4r8</t>
        </is>
      </c>
    </row>
    <row r="3">
      <c r="A3" s="16" t="inlineStr">
        <is>
          <t>PETROLEO BRASILEIRO S A PETROBRAS</t>
        </is>
      </c>
      <c r="B3" s="17" t="n">
        <v>330054762.86</v>
      </c>
      <c r="C3" s="18" t="inlineStr">
        <is>
          <t>EGESA ENGENHARIA S/A (Consórcio ETDI)</t>
        </is>
      </c>
      <c r="D3" s="19" t="inlineStr">
        <is>
          <t>NEW</t>
        </is>
      </c>
      <c r="E3" s="20" t="inlineStr"/>
      <c r="F3" s="19" t="inlineStr"/>
      <c r="G3" s="20" t="inlineStr"/>
      <c r="H3" s="19" t="inlineStr"/>
      <c r="I3" s="21" t="inlineStr">
        <is>
          <t>MAGDA MARIA DE REGINA CHAMBRIARD</t>
        </is>
      </c>
      <c r="J3" s="21" t="inlineStr">
        <is>
          <t>Presidente (RFB partner)</t>
        </is>
      </c>
      <c r="K3" s="21" t="inlineStr">
        <is>
          <t>(21) 2166-0000</t>
        </is>
      </c>
      <c r="L3" s="21" t="inlineStr"/>
      <c r="M3" s="21" t="inlineStr"/>
      <c r="N3" s="21" t="inlineStr"/>
      <c r="O3" s="21" t="inlineStr"/>
      <c r="P3" s="21" t="inlineStr">
        <is>
          <t>ANGELICA GARCIA COBAS LAUREANO</t>
        </is>
      </c>
      <c r="Q3" s="21" t="inlineStr">
        <is>
          <t>Diretor (RFB partner)</t>
        </is>
      </c>
      <c r="R3" s="21" t="inlineStr"/>
      <c r="S3" s="21" t="inlineStr"/>
      <c r="T3" s="21" t="inlineStr">
        <is>
          <t>RFB partner (QSA); no Apollo match</t>
        </is>
      </c>
      <c r="U3" s="22" t="n">
        <v>330054762.86</v>
      </c>
      <c r="V3" s="32" t="inlineStr">
        <is>
          <t>U</t>
        </is>
      </c>
      <c r="W3" s="24">
        <f>IFERROR(VLOOKUP(V3,Assumptions!$A$7:$F$11,2,FALSE),0)</f>
        <v/>
      </c>
      <c r="X3" s="25">
        <f>IF(V3="A",MAX(1,IFERROR(VLOOKUP(V3,Assumptions!$A$7:$F$11,3,FALSE),3)+IFERROR(VLOOKUP(V3,Assumptions!$A$7:$F$11,4,FALSE),8)/2-MAX(0,IF(AO3="",0,YEAR(TODAY())-AO3)-IFERROR(VLOOKUP(V3,Assumptions!$A$7:$F$11,5,FALSE),1.5))),IFERROR(VLOOKUP(V3,Assumptions!$A$7:$F$11,5,FALSE),2.5)+IFERROR(VLOOKUP(V3,Assumptions!$A$7:$F$11,3,FALSE),3)+IFERROR(VLOOKUP(V3,Assumptions!$A$7:$F$11,4,FALSE),8)/2)</f>
        <v/>
      </c>
      <c r="Y3" s="22">
        <f>U3*W3/(1+Assumptions!$B$3)^X3</f>
        <v/>
      </c>
      <c r="Z3" s="26">
        <f>IF(U3=0,"",ROUND(Y3/U3*100,1))</f>
        <v/>
      </c>
      <c r="AA3" s="27">
        <f>Y3*Assumptions!$B$4</f>
        <v/>
      </c>
      <c r="AB3" s="26">
        <f>IF(U3=0,"",ROUND(AA3/U3*100,1))</f>
        <v/>
      </c>
      <c r="AC3" s="27">
        <f>Y3-AA3</f>
        <v/>
      </c>
      <c r="AD3" s="26">
        <f>IF(U3=0,"",ROUND((Y3-AA3)/U3*100,1))</f>
        <v/>
      </c>
      <c r="AE3" s="28" t="inlineStr">
        <is>
          <t>OK — totals reconciled</t>
        </is>
      </c>
      <c r="AF3" s="29" t="inlineStr">
        <is>
          <t>https://scalzilliaj.com.br/sgc/download.php?file=files/processo_documento/processo_documento09514021082025_1_.pdf&amp;nome=04 - Relação de credores das Recuperandas</t>
        </is>
      </c>
      <c r="AG3" s="28" t="inlineStr">
        <is>
          <t>p71 r9</t>
        </is>
      </c>
      <c r="AH3" s="28" t="inlineStr">
        <is>
          <t>p71: R$ 330.054.762,86</t>
        </is>
      </c>
      <c r="AI3" s="28" t="inlineStr">
        <is>
          <t>Debtor list (art. 51)</t>
        </is>
      </c>
      <c r="AJ3" s="28" t="inlineStr"/>
      <c r="AK3" s="28" t="inlineStr">
        <is>
          <t>NONE FOUND</t>
        </is>
      </c>
      <c r="AL3" s="30" t="inlineStr">
        <is>
          <t>(not printed)</t>
        </is>
      </c>
      <c r="AM3" s="30" t="inlineStr"/>
      <c r="AN3" s="30" t="inlineStr"/>
      <c r="AO3" s="30" t="inlineStr"/>
      <c r="AP3" s="30" t="inlineStr">
        <is>
          <t>RJ case number not identified on the document</t>
        </is>
      </c>
      <c r="AQ3" s="30" t="inlineStr"/>
      <c r="AR3" s="30" t="inlineStr">
        <is>
          <t>portal page title / URL — not printed on the list</t>
        </is>
      </c>
      <c r="AS3" s="30" t="inlineStr">
        <is>
          <t>RIO DE JANEIRO</t>
        </is>
      </c>
      <c r="AT3" s="30" t="inlineStr">
        <is>
          <t>RJ</t>
        </is>
      </c>
      <c r="AU3" s="30" t="inlineStr">
        <is>
          <t>Extração de petróleo e gás natural</t>
        </is>
      </c>
      <c r="AV3" s="30" t="inlineStr">
        <is>
          <t>DEMAIS</t>
        </is>
      </c>
      <c r="AW3" s="31" t="n">
        <v>205431960000</v>
      </c>
      <c r="AX3" s="30" t="inlineStr">
        <is>
          <t>LARGE CORP</t>
        </is>
      </c>
      <c r="AY3" s="30" t="inlineStr">
        <is>
          <t>33000167</t>
        </is>
      </c>
      <c r="AZ3" s="30" t="n">
        <v>1</v>
      </c>
      <c r="BA3" s="30" t="inlineStr">
        <is>
          <t>ROWS:p71r9 VALUE_COL:Valor_Atualizado CASE_NUMBER_CORRECTED</t>
        </is>
      </c>
    </row>
    <row r="4">
      <c r="A4" s="16" t="inlineStr">
        <is>
          <t>TAG INDUSTRIA E LAMINACAO LTDA</t>
        </is>
      </c>
      <c r="B4" s="17" t="n">
        <v>64713515.06</v>
      </c>
      <c r="C4" s="18" t="inlineStr">
        <is>
          <t>Grupo Conduscabos</t>
        </is>
      </c>
      <c r="D4" s="19" t="inlineStr">
        <is>
          <t>NEW</t>
        </is>
      </c>
      <c r="E4" s="20" t="inlineStr"/>
      <c r="F4" s="19" t="inlineStr"/>
      <c r="G4" s="20" t="inlineStr"/>
      <c r="H4" s="19" t="inlineStr"/>
      <c r="I4" s="21" t="inlineStr">
        <is>
          <t>TIAGO RODRIGO DETTILIO</t>
        </is>
      </c>
      <c r="J4" s="21" t="inlineStr">
        <is>
          <t>Administrador (RFB partner)</t>
        </is>
      </c>
      <c r="K4" s="21" t="inlineStr">
        <is>
          <t>(11) 4463-4833</t>
        </is>
      </c>
      <c r="L4" s="21" t="inlineStr"/>
      <c r="M4" s="21" t="inlineStr"/>
      <c r="N4" s="21" t="inlineStr"/>
      <c r="O4" s="21" t="inlineStr"/>
      <c r="P4" s="21" t="inlineStr">
        <is>
          <t>WEBER MICAEL DA SILVA</t>
        </is>
      </c>
      <c r="Q4" s="21" t="inlineStr">
        <is>
          <t>Administrador (RFB partner)</t>
        </is>
      </c>
      <c r="R4" s="21" t="inlineStr"/>
      <c r="S4" s="21" t="inlineStr"/>
      <c r="T4" s="21" t="inlineStr">
        <is>
          <t>RFB partner (QSA); no Apollo match</t>
        </is>
      </c>
      <c r="U4" s="22" t="n">
        <v>64713515.06</v>
      </c>
      <c r="V4" s="23" t="inlineStr">
        <is>
          <t>B</t>
        </is>
      </c>
      <c r="W4" s="24">
        <f>IFERROR(VLOOKUP(V4,Assumptions!$A$7:$F$11,2,FALSE),0)</f>
        <v/>
      </c>
      <c r="X4" s="25">
        <f>IF(V4="A",MAX(1,IFERROR(VLOOKUP(V4,Assumptions!$A$7:$F$11,3,FALSE),3)+IFERROR(VLOOKUP(V4,Assumptions!$A$7:$F$11,4,FALSE),8)/2-MAX(0,IF(AO4="",0,YEAR(TODAY())-AO4)-IFERROR(VLOOKUP(V4,Assumptions!$A$7:$F$11,5,FALSE),1.5))),IFERROR(VLOOKUP(V4,Assumptions!$A$7:$F$11,5,FALSE),2.5)+IFERROR(VLOOKUP(V4,Assumptions!$A$7:$F$11,3,FALSE),3)+IFERROR(VLOOKUP(V4,Assumptions!$A$7:$F$11,4,FALSE),8)/2)</f>
        <v/>
      </c>
      <c r="Y4" s="22">
        <f>U4*W4/(1+Assumptions!$B$3)^X4</f>
        <v/>
      </c>
      <c r="Z4" s="26">
        <f>IF(U4=0,"",ROUND(Y4/U4*100,1))</f>
        <v/>
      </c>
      <c r="AA4" s="27">
        <f>Y4*Assumptions!$B$4</f>
        <v/>
      </c>
      <c r="AB4" s="26">
        <f>IF(U4=0,"",ROUND(AA4/U4*100,1))</f>
        <v/>
      </c>
      <c r="AC4" s="27">
        <f>Y4-AA4</f>
        <v/>
      </c>
      <c r="AD4" s="26">
        <f>IF(U4=0,"",ROUND((Y4-AA4)/U4*100,1))</f>
        <v/>
      </c>
      <c r="AE4" s="33" t="inlineStr">
        <is>
          <t>NO TOTALS — list prints none; check page</t>
        </is>
      </c>
      <c r="AF4" s="29" t="inlineStr">
        <is>
          <t>https://assistjud.com.br/wp-content/uploads/elementor/forms/65098c80a5824.pdf</t>
        </is>
      </c>
      <c r="AG4" s="28" t="inlineStr">
        <is>
          <t>p10 r4; p19 r8</t>
        </is>
      </c>
      <c r="AH4" s="28" t="inlineStr">
        <is>
          <t>p10: R$ 32.731.819,08; p19: R$ 31.981.695,98</t>
        </is>
      </c>
      <c r="AI4" s="28" t="inlineStr">
        <is>
          <t>AJ list (art. 7 §2)</t>
        </is>
      </c>
      <c r="AJ4" s="28" t="inlineStr">
        <is>
          <t>2023-09-18</t>
        </is>
      </c>
      <c r="AK4" s="28" t="inlineStr">
        <is>
          <t>NONE FOUND</t>
        </is>
      </c>
      <c r="AL4" s="30" t="inlineStr">
        <is>
          <t>8005129-09.2023.8.05.0039</t>
        </is>
      </c>
      <c r="AM4" s="30" t="inlineStr">
        <is>
          <t>TJBA</t>
        </is>
      </c>
      <c r="AN4" s="30" t="inlineStr">
        <is>
          <t>ACTIVE</t>
        </is>
      </c>
      <c r="AO4" s="30" t="n">
        <v>2023</v>
      </c>
      <c r="AP4" s="30" t="inlineStr">
        <is>
          <t>live case, no plan document yet</t>
        </is>
      </c>
      <c r="AQ4" s="30" t="inlineStr"/>
      <c r="AR4" s="30" t="inlineStr">
        <is>
          <t>printed on the list (read twice)</t>
        </is>
      </c>
      <c r="AS4" s="30" t="inlineStr">
        <is>
          <t>SAO PAULO</t>
        </is>
      </c>
      <c r="AT4" s="30" t="inlineStr">
        <is>
          <t>SP</t>
        </is>
      </c>
      <c r="AU4" s="30" t="inlineStr">
        <is>
          <t>Outras atividades profissionais, científicas e técnicas não especificadas anteriormente</t>
        </is>
      </c>
      <c r="AV4" s="30" t="inlineStr">
        <is>
          <t>DEMAIS</t>
        </is>
      </c>
      <c r="AW4" s="31" t="n">
        <v>10000000</v>
      </c>
      <c r="AX4" s="30" t="inlineStr">
        <is>
          <t>MID-MARKET</t>
        </is>
      </c>
      <c r="AY4" s="30" t="inlineStr">
        <is>
          <t>33233778</t>
        </is>
      </c>
      <c r="AZ4" s="30" t="n">
        <v>2</v>
      </c>
      <c r="BA4" s="30" t="inlineStr">
        <is>
          <t>ROWS:p10r4,p19r8 UNRECONCILED_SOURCE</t>
        </is>
      </c>
    </row>
    <row r="5">
      <c r="A5" s="16" t="inlineStr">
        <is>
          <t>COMPANHIA ESTADUAL DE DISTRIBUICAO DE ENERGIA ELETRICA - CEEE-D</t>
        </is>
      </c>
      <c r="B5" s="17" t="n">
        <v>31446843.91</v>
      </c>
      <c r="C5" s="18" t="inlineStr">
        <is>
          <t>ASSOCIAÇÃO DE CARIDADE SANTA CASA DO RIO GRANDE</t>
        </is>
      </c>
      <c r="D5" s="19" t="inlineStr">
        <is>
          <t>NEW</t>
        </is>
      </c>
      <c r="E5" s="20" t="inlineStr"/>
      <c r="F5" s="19" t="inlineStr"/>
      <c r="G5" s="20" t="inlineStr"/>
      <c r="H5" s="19" t="inlineStr"/>
      <c r="I5" s="21" t="inlineStr">
        <is>
          <t>Willian Maeda</t>
        </is>
      </c>
      <c r="J5" s="21" t="inlineStr">
        <is>
          <t>Gerente de Planejamento e Controle Financeiro - CEEE Equatorial</t>
        </is>
      </c>
      <c r="K5" s="21" t="inlineStr">
        <is>
          <t>(98) 3217-8000</t>
        </is>
      </c>
      <c r="L5" s="21" t="inlineStr"/>
      <c r="M5" s="21" t="inlineStr"/>
      <c r="N5" s="21" t="inlineStr">
        <is>
          <t>willian.maeda@equatorialenergia.com.br</t>
        </is>
      </c>
      <c r="O5" s="21" t="inlineStr"/>
      <c r="P5" s="21" t="inlineStr">
        <is>
          <t>Nairton Iwen</t>
        </is>
      </c>
      <c r="Q5" s="21" t="inlineStr">
        <is>
          <t>Controller IOP</t>
        </is>
      </c>
      <c r="R5" s="21" t="inlineStr"/>
      <c r="S5" s="21" t="inlineStr"/>
      <c r="T5" s="21" t="inlineStr">
        <is>
          <t>email verified by Apollo</t>
        </is>
      </c>
      <c r="U5" s="22" t="n">
        <v>31446843.91</v>
      </c>
      <c r="V5" s="23" t="inlineStr">
        <is>
          <t>B</t>
        </is>
      </c>
      <c r="W5" s="24">
        <f>IFERROR(VLOOKUP(V5,Assumptions!$A$7:$F$11,2,FALSE),0)</f>
        <v/>
      </c>
      <c r="X5" s="25">
        <f>IF(V5="A",MAX(1,IFERROR(VLOOKUP(V5,Assumptions!$A$7:$F$11,3,FALSE),3)+IFERROR(VLOOKUP(V5,Assumptions!$A$7:$F$11,4,FALSE),8)/2-MAX(0,IF(AO5="",0,YEAR(TODAY())-AO5)-IFERROR(VLOOKUP(V5,Assumptions!$A$7:$F$11,5,FALSE),1.5))),IFERROR(VLOOKUP(V5,Assumptions!$A$7:$F$11,5,FALSE),2.5)+IFERROR(VLOOKUP(V5,Assumptions!$A$7:$F$11,3,FALSE),3)+IFERROR(VLOOKUP(V5,Assumptions!$A$7:$F$11,4,FALSE),8)/2)</f>
        <v/>
      </c>
      <c r="Y5" s="22">
        <f>U5*W5/(1+Assumptions!$B$3)^X5</f>
        <v/>
      </c>
      <c r="Z5" s="26">
        <f>IF(U5=0,"",ROUND(Y5/U5*100,1))</f>
        <v/>
      </c>
      <c r="AA5" s="27">
        <f>Y5*Assumptions!$B$4</f>
        <v/>
      </c>
      <c r="AB5" s="26">
        <f>IF(U5=0,"",ROUND(AA5/U5*100,1))</f>
        <v/>
      </c>
      <c r="AC5" s="27">
        <f>Y5-AA5</f>
        <v/>
      </c>
      <c r="AD5" s="26">
        <f>IF(U5=0,"",ROUND((Y5-AA5)/U5*100,1))</f>
        <v/>
      </c>
      <c r="AE5" s="33" t="inlineStr">
        <is>
          <t>NO TOTALS — list prints none; check page</t>
        </is>
      </c>
      <c r="AF5" s="29" t="inlineStr">
        <is>
          <t>https://scalzilliaj.com.br/sgc/download.php?file=files/processo_documento/processo_documento09120721032023_1_.pdf&amp;nome=15 - Edital do art. 7º, §2º e 53 da Lei 11.101/2005 (segunda lista de credores e recebimento do plano))</t>
        </is>
      </c>
      <c r="AG5" s="28" t="inlineStr">
        <is>
          <t>p26 r26</t>
        </is>
      </c>
      <c r="AH5" s="28" t="inlineStr">
        <is>
          <t>p26: R$ 31.446.843,91</t>
        </is>
      </c>
      <c r="AI5" s="28" t="inlineStr">
        <is>
          <t>AJ list (art. 7 §2)</t>
        </is>
      </c>
      <c r="AJ5" s="28" t="inlineStr">
        <is>
          <t>2023-03-21</t>
        </is>
      </c>
      <c r="AK5" s="28" t="inlineStr">
        <is>
          <t>NONE FOUND</t>
        </is>
      </c>
      <c r="AL5" s="30" t="inlineStr">
        <is>
          <t>5012306-16.2022.8.21.0023</t>
        </is>
      </c>
      <c r="AM5" s="30" t="inlineStr">
        <is>
          <t>TJRS</t>
        </is>
      </c>
      <c r="AN5" s="30" t="inlineStr">
        <is>
          <t>ACTIVE</t>
        </is>
      </c>
      <c r="AO5" s="30" t="n">
        <v>2022</v>
      </c>
      <c r="AP5" s="30" t="inlineStr">
        <is>
          <t>live case, no plan document yet</t>
        </is>
      </c>
      <c r="AQ5" s="30" t="inlineStr"/>
      <c r="AR5" s="30" t="inlineStr">
        <is>
          <t>printed on the list (read twice)</t>
        </is>
      </c>
      <c r="AS5" s="30" t="inlineStr">
        <is>
          <t>PORTO ALEGRE</t>
        </is>
      </c>
      <c r="AT5" s="30" t="inlineStr">
        <is>
          <t>RS</t>
        </is>
      </c>
      <c r="AU5" s="30" t="inlineStr">
        <is>
          <t>Distribuição de energia elétrica</t>
        </is>
      </c>
      <c r="AV5" s="30" t="inlineStr">
        <is>
          <t>DEMAIS</t>
        </is>
      </c>
      <c r="AW5" s="31" t="n">
        <v>3385861000</v>
      </c>
      <c r="AX5" s="30" t="inlineStr">
        <is>
          <t>LARGE CORP</t>
        </is>
      </c>
      <c r="AY5" s="30" t="inlineStr">
        <is>
          <t>08467115</t>
        </is>
      </c>
      <c r="AZ5" s="30" t="n">
        <v>1</v>
      </c>
      <c r="BA5" s="30" t="inlineStr">
        <is>
          <t>ROWS:p26r26 UNRECONCILED_SOURCE</t>
        </is>
      </c>
    </row>
    <row r="6">
      <c r="A6" s="16" t="inlineStr">
        <is>
          <t>HYPERA S.A.</t>
        </is>
      </c>
      <c r="B6" s="17" t="n">
        <v>25912507.68</v>
      </c>
      <c r="C6" s="18" t="inlineStr">
        <is>
          <t>GRUPO DP4</t>
        </is>
      </c>
      <c r="D6" s="19" t="inlineStr">
        <is>
          <t>NEW</t>
        </is>
      </c>
      <c r="E6" s="20" t="inlineStr"/>
      <c r="F6" s="19" t="inlineStr"/>
      <c r="G6" s="20" t="inlineStr"/>
      <c r="H6" s="19" t="inlineStr"/>
      <c r="I6" s="21" t="inlineStr">
        <is>
          <t>BRENO TOLEDO PIRES DE OLIVEIRA</t>
        </is>
      </c>
      <c r="J6" s="21" t="inlineStr">
        <is>
          <t>Presidente (RFB partner)</t>
        </is>
      </c>
      <c r="K6" s="21" t="inlineStr">
        <is>
          <t>(62) 3878-8150</t>
        </is>
      </c>
      <c r="L6" s="21" t="inlineStr"/>
      <c r="M6" s="21" t="inlineStr"/>
      <c r="N6" s="21" t="inlineStr"/>
      <c r="O6" s="21" t="inlineStr"/>
      <c r="P6" s="21" t="inlineStr">
        <is>
          <t>ADALMARIO GHOVATTO SATHELER DO COUTO</t>
        </is>
      </c>
      <c r="Q6" s="21" t="inlineStr">
        <is>
          <t>Diretor (RFB partner)</t>
        </is>
      </c>
      <c r="R6" s="21" t="inlineStr"/>
      <c r="S6" s="21" t="inlineStr"/>
      <c r="T6" s="21" t="inlineStr">
        <is>
          <t>RFB partner (QSA); no Apollo match</t>
        </is>
      </c>
      <c r="U6" s="22" t="n">
        <v>25912507.68</v>
      </c>
      <c r="V6" s="23" t="inlineStr">
        <is>
          <t>B</t>
        </is>
      </c>
      <c r="W6" s="24">
        <f>IFERROR(VLOOKUP(V6,Assumptions!$A$7:$F$11,2,FALSE),0)</f>
        <v/>
      </c>
      <c r="X6" s="25">
        <f>IF(V6="A",MAX(1,IFERROR(VLOOKUP(V6,Assumptions!$A$7:$F$11,3,FALSE),3)+IFERROR(VLOOKUP(V6,Assumptions!$A$7:$F$11,4,FALSE),8)/2-MAX(0,IF(AO6="",0,YEAR(TODAY())-AO6)-IFERROR(VLOOKUP(V6,Assumptions!$A$7:$F$11,5,FALSE),1.5))),IFERROR(VLOOKUP(V6,Assumptions!$A$7:$F$11,5,FALSE),2.5)+IFERROR(VLOOKUP(V6,Assumptions!$A$7:$F$11,3,FALSE),3)+IFERROR(VLOOKUP(V6,Assumptions!$A$7:$F$11,4,FALSE),8)/2)</f>
        <v/>
      </c>
      <c r="Y6" s="22">
        <f>U6*W6/(1+Assumptions!$B$3)^X6</f>
        <v/>
      </c>
      <c r="Z6" s="26">
        <f>IF(U6=0,"",ROUND(Y6/U6*100,1))</f>
        <v/>
      </c>
      <c r="AA6" s="27">
        <f>Y6*Assumptions!$B$4</f>
        <v/>
      </c>
      <c r="AB6" s="26">
        <f>IF(U6=0,"",ROUND(AA6/U6*100,1))</f>
        <v/>
      </c>
      <c r="AC6" s="27">
        <f>Y6-AA6</f>
        <v/>
      </c>
      <c r="AD6" s="26">
        <f>IF(U6=0,"",ROUND((Y6-AA6)/U6*100,1))</f>
        <v/>
      </c>
      <c r="AE6" s="34" t="inlineStr">
        <is>
          <t>PARTIAL — class III reconciled, other classes not</t>
        </is>
      </c>
      <c r="AF6" s="29" t="inlineStr">
        <is>
          <t>https://marquesadmjudicial.com.br/sgc/download.php?file=files/processo_documento/processo_documento15293208032024_1_.pdf&amp;nome=Relação Nominal de Credores da AJ-Sintética</t>
        </is>
      </c>
      <c r="AG6" s="28" t="inlineStr">
        <is>
          <t>p26 r9</t>
        </is>
      </c>
      <c r="AH6" s="28" t="inlineStr">
        <is>
          <t>p26: R$ 25.912.507,68</t>
        </is>
      </c>
      <c r="AI6" s="28" t="inlineStr">
        <is>
          <t>AJ list (art. 7 §2)</t>
        </is>
      </c>
      <c r="AJ6" s="28" t="inlineStr">
        <is>
          <t>2023-03-02</t>
        </is>
      </c>
      <c r="AK6" s="28" t="inlineStr">
        <is>
          <t>NONE FOUND</t>
        </is>
      </c>
      <c r="AL6" s="30" t="inlineStr">
        <is>
          <t>0005010-98.2023.8.16.0001</t>
        </is>
      </c>
      <c r="AM6" s="30" t="inlineStr">
        <is>
          <t>TJPR</t>
        </is>
      </c>
      <c r="AN6" s="30" t="inlineStr">
        <is>
          <t>ACTIVE</t>
        </is>
      </c>
      <c r="AO6" s="30" t="n">
        <v>2023</v>
      </c>
      <c r="AP6" s="30" t="inlineStr">
        <is>
          <t>live case, no plan document yet</t>
        </is>
      </c>
      <c r="AQ6" s="30" t="inlineStr"/>
      <c r="AR6" s="30" t="inlineStr">
        <is>
          <t>printed on the list (read twice)</t>
        </is>
      </c>
      <c r="AS6" s="30" t="inlineStr">
        <is>
          <t>SAO PAULO</t>
        </is>
      </c>
      <c r="AT6" s="30" t="inlineStr">
        <is>
          <t>SP</t>
        </is>
      </c>
      <c r="AU6" s="30" t="inlineStr">
        <is>
          <t>Comércio atacadista de medicamentos e drogas de uso humano</t>
        </is>
      </c>
      <c r="AV6" s="30" t="inlineStr">
        <is>
          <t>DEMAIS</t>
        </is>
      </c>
      <c r="AW6" s="31" t="n">
        <v>11205886000</v>
      </c>
      <c r="AX6" s="30" t="inlineStr">
        <is>
          <t>LARGE CORP</t>
        </is>
      </c>
      <c r="AY6" s="30" t="inlineStr">
        <is>
          <t>02932074</t>
        </is>
      </c>
      <c r="AZ6" s="30" t="n">
        <v>1</v>
      </c>
      <c r="BA6" s="30" t="inlineStr">
        <is>
          <t>PARTIAL_DOC_CLASS_III_RECONCILED ROWS:p26r9</t>
        </is>
      </c>
    </row>
    <row r="7">
      <c r="A7" s="16" t="inlineStr">
        <is>
          <t>IBIPORA NEGOCIOS IMOBILIARIOS S.A.</t>
        </is>
      </c>
      <c r="B7" s="17" t="n">
        <v>45075482.57</v>
      </c>
      <c r="C7" s="18" t="inlineStr">
        <is>
          <t>EGESA ENGENHARIA S/A (Consórcio ETDI)</t>
        </is>
      </c>
      <c r="D7" s="19" t="inlineStr">
        <is>
          <t>NEW</t>
        </is>
      </c>
      <c r="E7" s="20" t="inlineStr"/>
      <c r="F7" s="19" t="inlineStr"/>
      <c r="G7" s="20" t="inlineStr"/>
      <c r="H7" s="19" t="inlineStr"/>
      <c r="I7" s="21" t="inlineStr">
        <is>
          <t>JOSE JULIO COSTA NETO</t>
        </is>
      </c>
      <c r="J7" s="21" t="inlineStr">
        <is>
          <t>Presidente (RFB partner)</t>
        </is>
      </c>
      <c r="K7" s="21" t="inlineStr">
        <is>
          <t>(31) 3586-9418</t>
        </is>
      </c>
      <c r="L7" s="21" t="inlineStr"/>
      <c r="M7" s="21" t="inlineStr"/>
      <c r="N7" s="21" t="inlineStr"/>
      <c r="O7" s="21" t="inlineStr"/>
      <c r="P7" s="21" t="inlineStr">
        <is>
          <t>BRUNA GODINHO RESENDE FERREIRA</t>
        </is>
      </c>
      <c r="Q7" s="21" t="inlineStr">
        <is>
          <t>Diretor (RFB partner)</t>
        </is>
      </c>
      <c r="R7" s="21" t="inlineStr"/>
      <c r="S7" s="21" t="inlineStr"/>
      <c r="T7" s="21" t="inlineStr">
        <is>
          <t>RFB partner (QSA); no Apollo match</t>
        </is>
      </c>
      <c r="U7" s="22" t="n">
        <v>45075482.57</v>
      </c>
      <c r="V7" s="32" t="inlineStr">
        <is>
          <t>U</t>
        </is>
      </c>
      <c r="W7" s="24">
        <f>IFERROR(VLOOKUP(V7,Assumptions!$A$7:$F$11,2,FALSE),0)</f>
        <v/>
      </c>
      <c r="X7" s="25">
        <f>IF(V7="A",MAX(1,IFERROR(VLOOKUP(V7,Assumptions!$A$7:$F$11,3,FALSE),3)+IFERROR(VLOOKUP(V7,Assumptions!$A$7:$F$11,4,FALSE),8)/2-MAX(0,IF(AO7="",0,YEAR(TODAY())-AO7)-IFERROR(VLOOKUP(V7,Assumptions!$A$7:$F$11,5,FALSE),1.5))),IFERROR(VLOOKUP(V7,Assumptions!$A$7:$F$11,5,FALSE),2.5)+IFERROR(VLOOKUP(V7,Assumptions!$A$7:$F$11,3,FALSE),3)+IFERROR(VLOOKUP(V7,Assumptions!$A$7:$F$11,4,FALSE),8)/2)</f>
        <v/>
      </c>
      <c r="Y7" s="22">
        <f>U7*W7/(1+Assumptions!$B$3)^X7</f>
        <v/>
      </c>
      <c r="Z7" s="26">
        <f>IF(U7=0,"",ROUND(Y7/U7*100,1))</f>
        <v/>
      </c>
      <c r="AA7" s="27">
        <f>Y7*Assumptions!$B$4</f>
        <v/>
      </c>
      <c r="AB7" s="26">
        <f>IF(U7=0,"",ROUND(AA7/U7*100,1))</f>
        <v/>
      </c>
      <c r="AC7" s="27">
        <f>Y7-AA7</f>
        <v/>
      </c>
      <c r="AD7" s="26">
        <f>IF(U7=0,"",ROUND((Y7-AA7)/U7*100,1))</f>
        <v/>
      </c>
      <c r="AE7" s="28" t="inlineStr">
        <is>
          <t>OK — totals reconciled</t>
        </is>
      </c>
      <c r="AF7" s="29" t="inlineStr">
        <is>
          <t>https://scalzilliaj.com.br/sgc/download.php?file=files/processo_documento/processo_documento09514021082025_1_.pdf&amp;nome=04 - Relação de credores das Recuperandas</t>
        </is>
      </c>
      <c r="AG7" s="28" t="inlineStr">
        <is>
          <t>p68 r4</t>
        </is>
      </c>
      <c r="AH7" s="28" t="inlineStr">
        <is>
          <t>p68: R$ 45.075.482,57</t>
        </is>
      </c>
      <c r="AI7" s="28" t="inlineStr">
        <is>
          <t>Debtor list (art. 51)</t>
        </is>
      </c>
      <c r="AJ7" s="28" t="inlineStr"/>
      <c r="AK7" s="28" t="inlineStr">
        <is>
          <t>NONE FOUND</t>
        </is>
      </c>
      <c r="AL7" s="30" t="inlineStr">
        <is>
          <t>(not printed)</t>
        </is>
      </c>
      <c r="AM7" s="30" t="inlineStr"/>
      <c r="AN7" s="30" t="inlineStr"/>
      <c r="AO7" s="30" t="inlineStr"/>
      <c r="AP7" s="30" t="inlineStr">
        <is>
          <t>RJ case number not identified on the document</t>
        </is>
      </c>
      <c r="AQ7" s="30" t="inlineStr"/>
      <c r="AR7" s="30" t="inlineStr">
        <is>
          <t>portal page title / URL — not printed on the list</t>
        </is>
      </c>
      <c r="AS7" s="30" t="inlineStr">
        <is>
          <t>NOVA LIMA</t>
        </is>
      </c>
      <c r="AT7" s="30" t="inlineStr">
        <is>
          <t>MG</t>
        </is>
      </c>
      <c r="AU7" s="30" t="inlineStr">
        <is>
          <t>Compra e venda de imóveis próprios</t>
        </is>
      </c>
      <c r="AV7" s="30" t="inlineStr">
        <is>
          <t>DEMAIS</t>
        </is>
      </c>
      <c r="AW7" s="31" t="n">
        <v>531905</v>
      </c>
      <c r="AX7" s="30" t="inlineStr">
        <is>
          <t>MID-MARKET</t>
        </is>
      </c>
      <c r="AY7" s="30" t="inlineStr">
        <is>
          <t>19256534</t>
        </is>
      </c>
      <c r="AZ7" s="30" t="n">
        <v>1</v>
      </c>
      <c r="BA7" s="30" t="inlineStr">
        <is>
          <t>ROWS:p68r4 VALUE_COL:Valor_Atualizado CASE_NUMBER_CORRECTED</t>
        </is>
      </c>
    </row>
    <row r="8">
      <c r="A8" s="16" t="inlineStr">
        <is>
          <t>ADLIM-TERCEIRIZACAO EM SERVICOS LTDA - EM RECUPERACAO JUDICIAL</t>
        </is>
      </c>
      <c r="B8" s="17" t="n">
        <v>20647588.14</v>
      </c>
      <c r="C8" s="18" t="inlineStr">
        <is>
          <t>GRUPO ADLIM</t>
        </is>
      </c>
      <c r="D8" s="19" t="inlineStr">
        <is>
          <t>NEW</t>
        </is>
      </c>
      <c r="E8" s="20" t="inlineStr"/>
      <c r="F8" s="19" t="inlineStr"/>
      <c r="G8" s="20" t="inlineStr"/>
      <c r="H8" s="19" t="inlineStr"/>
      <c r="I8" s="21" t="inlineStr">
        <is>
          <t>Santana Leoterio</t>
        </is>
      </c>
      <c r="J8" s="21" t="inlineStr">
        <is>
          <t>Analyst</t>
        </is>
      </c>
      <c r="K8" s="21" t="inlineStr"/>
      <c r="L8" s="21" t="inlineStr"/>
      <c r="M8" s="21" t="inlineStr"/>
      <c r="N8" s="21" t="inlineStr">
        <is>
          <t>santana.leoterio@adlim.com.br</t>
        </is>
      </c>
      <c r="O8" s="21" t="inlineStr"/>
      <c r="P8" s="21" t="inlineStr"/>
      <c r="Q8" s="21" t="inlineStr"/>
      <c r="R8" s="21" t="inlineStr"/>
      <c r="S8" s="21" t="inlineStr"/>
      <c r="T8" s="21" t="inlineStr">
        <is>
          <t>email verified by Apollo</t>
        </is>
      </c>
      <c r="U8" s="22" t="n">
        <v>20647588.14</v>
      </c>
      <c r="V8" s="23" t="inlineStr">
        <is>
          <t>B</t>
        </is>
      </c>
      <c r="W8" s="24">
        <f>IFERROR(VLOOKUP(V8,Assumptions!$A$7:$F$11,2,FALSE),0)</f>
        <v/>
      </c>
      <c r="X8" s="25">
        <f>IF(V8="A",MAX(1,IFERROR(VLOOKUP(V8,Assumptions!$A$7:$F$11,3,FALSE),3)+IFERROR(VLOOKUP(V8,Assumptions!$A$7:$F$11,4,FALSE),8)/2-MAX(0,IF(AO8="",0,YEAR(TODAY())-AO8)-IFERROR(VLOOKUP(V8,Assumptions!$A$7:$F$11,5,FALSE),1.5))),IFERROR(VLOOKUP(V8,Assumptions!$A$7:$F$11,5,FALSE),2.5)+IFERROR(VLOOKUP(V8,Assumptions!$A$7:$F$11,3,FALSE),3)+IFERROR(VLOOKUP(V8,Assumptions!$A$7:$F$11,4,FALSE),8)/2)</f>
        <v/>
      </c>
      <c r="Y8" s="22">
        <f>U8*W8/(1+Assumptions!$B$3)^X8</f>
        <v/>
      </c>
      <c r="Z8" s="26">
        <f>IF(U8=0,"",ROUND(Y8/U8*100,1))</f>
        <v/>
      </c>
      <c r="AA8" s="27">
        <f>Y8*Assumptions!$B$4</f>
        <v/>
      </c>
      <c r="AB8" s="26">
        <f>IF(U8=0,"",ROUND(AA8/U8*100,1))</f>
        <v/>
      </c>
      <c r="AC8" s="27">
        <f>Y8-AA8</f>
        <v/>
      </c>
      <c r="AD8" s="26">
        <f>IF(U8=0,"",ROUND((Y8-AA8)/U8*100,1))</f>
        <v/>
      </c>
      <c r="AE8" s="34" t="inlineStr">
        <is>
          <t>PARTIAL — class III reconciled, other classes not</t>
        </is>
      </c>
      <c r="AF8" s="29" t="inlineStr">
        <is>
          <t>https://lrflideres.com.br/wp-content/plugins/download-attachments/includes/download.php?id=6051</t>
        </is>
      </c>
      <c r="AG8" s="28" t="inlineStr">
        <is>
          <t>p85 r37; p97 r26</t>
        </is>
      </c>
      <c r="AH8" s="28" t="inlineStr">
        <is>
          <t>p85: R$ 13674501,07; p97: R$ 6973087,07</t>
        </is>
      </c>
      <c r="AI8" s="28" t="inlineStr">
        <is>
          <t>AJ list (art. 7 §2)</t>
        </is>
      </c>
      <c r="AJ8" s="28" t="inlineStr">
        <is>
          <t>2024-08-12</t>
        </is>
      </c>
      <c r="AK8" s="28" t="inlineStr">
        <is>
          <t>NONE FOUND</t>
        </is>
      </c>
      <c r="AL8" s="30" t="inlineStr">
        <is>
          <t>0019761-43.2024.8.17.2001</t>
        </is>
      </c>
      <c r="AM8" s="30" t="inlineStr">
        <is>
          <t>TJPE</t>
        </is>
      </c>
      <c r="AN8" s="30" t="inlineStr">
        <is>
          <t>ACTIVE</t>
        </is>
      </c>
      <c r="AO8" s="30" t="n">
        <v>2024</v>
      </c>
      <c r="AP8" s="30" t="inlineStr">
        <is>
          <t>live case, no plan document yet</t>
        </is>
      </c>
      <c r="AQ8" s="30" t="inlineStr"/>
      <c r="AR8" s="30" t="inlineStr">
        <is>
          <t>printed on the list (read twice)</t>
        </is>
      </c>
      <c r="AS8" s="30" t="inlineStr">
        <is>
          <t>BEZERROS</t>
        </is>
      </c>
      <c r="AT8" s="30" t="inlineStr">
        <is>
          <t>PE</t>
        </is>
      </c>
      <c r="AU8" s="30" t="inlineStr">
        <is>
          <t>Fornecimento e gestão de recursos humanos para terceiros</t>
        </is>
      </c>
      <c r="AV8" s="30" t="inlineStr">
        <is>
          <t>DEMAIS</t>
        </is>
      </c>
      <c r="AW8" s="31" t="n">
        <v>5000000</v>
      </c>
      <c r="AX8" s="30" t="inlineStr">
        <is>
          <t>MID-MARKET</t>
        </is>
      </c>
      <c r="AY8" s="30" t="inlineStr">
        <is>
          <t>11436813</t>
        </is>
      </c>
      <c r="AZ8" s="30" t="n">
        <v>2</v>
      </c>
      <c r="BA8" s="30" t="inlineStr">
        <is>
          <t>PARTIAL_DOC_CLASS_III_RECONCILED ROWS:p85r37,p97r26</t>
        </is>
      </c>
    </row>
    <row r="9">
      <c r="A9" s="16" t="inlineStr">
        <is>
          <t>SPC BRASIL S.A.</t>
        </is>
      </c>
      <c r="B9" s="17" t="n">
        <v>18875473.82</v>
      </c>
      <c r="C9" s="18" t="inlineStr">
        <is>
          <t>GRUPO GLP</t>
        </is>
      </c>
      <c r="D9" s="19" t="inlineStr">
        <is>
          <t>NEW</t>
        </is>
      </c>
      <c r="E9" s="20" t="inlineStr"/>
      <c r="F9" s="19" t="inlineStr"/>
      <c r="G9" s="20" t="inlineStr"/>
      <c r="H9" s="19" t="inlineStr"/>
      <c r="I9" s="21" t="inlineStr">
        <is>
          <t>Yago Nunes</t>
        </is>
      </c>
      <c r="J9" s="21" t="inlineStr">
        <is>
          <t>Analista de Controladoria e Pricing Sênior</t>
        </is>
      </c>
      <c r="K9" s="21" t="inlineStr">
        <is>
          <t>(11) 3549-6800</t>
        </is>
      </c>
      <c r="L9" s="21" t="inlineStr"/>
      <c r="M9" s="21" t="inlineStr"/>
      <c r="N9" s="21" t="inlineStr">
        <is>
          <t>yago.nunes@spcbrasil.com.br</t>
        </is>
      </c>
      <c r="O9" s="21" t="inlineStr">
        <is>
          <t>marcio.bauer@spcbrasil.com.br</t>
        </is>
      </c>
      <c r="P9" s="21" t="inlineStr">
        <is>
          <t>Marcio Bauer</t>
        </is>
      </c>
      <c r="Q9" s="21" t="inlineStr">
        <is>
          <t>Head Comercial Sul no SPC Brasil</t>
        </is>
      </c>
      <c r="R9" s="21" t="inlineStr"/>
      <c r="S9" s="21" t="inlineStr">
        <is>
          <t>marcio.bauer@spcbrasil.com.br</t>
        </is>
      </c>
      <c r="T9" s="21" t="inlineStr">
        <is>
          <t>email verified by Apollo</t>
        </is>
      </c>
      <c r="U9" s="22" t="n">
        <v>18875473.82</v>
      </c>
      <c r="V9" s="23" t="inlineStr">
        <is>
          <t>B</t>
        </is>
      </c>
      <c r="W9" s="24">
        <f>IFERROR(VLOOKUP(V9,Assumptions!$A$7:$F$11,2,FALSE),0)</f>
        <v/>
      </c>
      <c r="X9" s="25">
        <f>IF(V9="A",MAX(1,IFERROR(VLOOKUP(V9,Assumptions!$A$7:$F$11,3,FALSE),3)+IFERROR(VLOOKUP(V9,Assumptions!$A$7:$F$11,4,FALSE),8)/2-MAX(0,IF(AO9="",0,YEAR(TODAY())-AO9)-IFERROR(VLOOKUP(V9,Assumptions!$A$7:$F$11,5,FALSE),1.5))),IFERROR(VLOOKUP(V9,Assumptions!$A$7:$F$11,5,FALSE),2.5)+IFERROR(VLOOKUP(V9,Assumptions!$A$7:$F$11,3,FALSE),3)+IFERROR(VLOOKUP(V9,Assumptions!$A$7:$F$11,4,FALSE),8)/2)</f>
        <v/>
      </c>
      <c r="Y9" s="22">
        <f>U9*W9/(1+Assumptions!$B$3)^X9</f>
        <v/>
      </c>
      <c r="Z9" s="26">
        <f>IF(U9=0,"",ROUND(Y9/U9*100,1))</f>
        <v/>
      </c>
      <c r="AA9" s="27">
        <f>Y9*Assumptions!$B$4</f>
        <v/>
      </c>
      <c r="AB9" s="26">
        <f>IF(U9=0,"",ROUND(AA9/U9*100,1))</f>
        <v/>
      </c>
      <c r="AC9" s="27">
        <f>Y9-AA9</f>
        <v/>
      </c>
      <c r="AD9" s="26">
        <f>IF(U9=0,"",ROUND((Y9-AA9)/U9*100,1))</f>
        <v/>
      </c>
      <c r="AE9" s="28" t="inlineStr">
        <is>
          <t>OK — totals reconciled</t>
        </is>
      </c>
      <c r="AF9" s="29" t="inlineStr">
        <is>
          <t>https://recuperasolucoes.com/wp-content/plugins/download-attachments/includes/download.php?id=1597</t>
        </is>
      </c>
      <c r="AG9" s="28" t="inlineStr">
        <is>
          <t>p13 r8</t>
        </is>
      </c>
      <c r="AH9" s="28" t="inlineStr">
        <is>
          <t>p13: R$ 18.875.473,82</t>
        </is>
      </c>
      <c r="AI9" s="28" t="inlineStr">
        <is>
          <t>Debtor list (art. 51)</t>
        </is>
      </c>
      <c r="AJ9" s="28" t="inlineStr">
        <is>
          <t>2026-05-21</t>
        </is>
      </c>
      <c r="AK9" s="28" t="inlineStr">
        <is>
          <t>NONE FOUND</t>
        </is>
      </c>
      <c r="AL9" s="30" t="inlineStr">
        <is>
          <t>0001639-09.2026.8.17.2810</t>
        </is>
      </c>
      <c r="AM9" s="30" t="inlineStr">
        <is>
          <t>TJPE</t>
        </is>
      </c>
      <c r="AN9" s="30" t="inlineStr">
        <is>
          <t>ACTIVE</t>
        </is>
      </c>
      <c r="AO9" s="30" t="n">
        <v>2026</v>
      </c>
      <c r="AP9" s="30" t="inlineStr">
        <is>
          <t>live case, no plan document yet</t>
        </is>
      </c>
      <c r="AQ9" s="30" t="inlineStr"/>
      <c r="AR9" s="30" t="inlineStr">
        <is>
          <t>printed on the list (read twice)</t>
        </is>
      </c>
      <c r="AS9" s="30" t="inlineStr">
        <is>
          <t>BARUERI</t>
        </is>
      </c>
      <c r="AT9" s="30" t="inlineStr">
        <is>
          <t>SP</t>
        </is>
      </c>
      <c r="AU9" s="30" t="inlineStr">
        <is>
          <t>Portais, provedores de conteúdo e outros serviços de informação na internet</t>
        </is>
      </c>
      <c r="AV9" s="30" t="inlineStr">
        <is>
          <t>DEMAIS</t>
        </is>
      </c>
      <c r="AW9" s="31" t="n">
        <v>2942921</v>
      </c>
      <c r="AX9" s="30" t="inlineStr">
        <is>
          <t>MID-MARKET</t>
        </is>
      </c>
      <c r="AY9" s="30" t="inlineStr">
        <is>
          <t>29341643</t>
        </is>
      </c>
      <c r="AZ9" s="30" t="n">
        <v>1</v>
      </c>
      <c r="BA9" s="30" t="inlineStr">
        <is>
          <t>ROWS:p13r8</t>
        </is>
      </c>
    </row>
    <row r="10">
      <c r="A10" s="16" t="inlineStr">
        <is>
          <t>COMPANHIA RIOGRANDENSE DE SANEAMENTO - CORSAN</t>
        </is>
      </c>
      <c r="B10" s="17" t="n">
        <v>18555954.55</v>
      </c>
      <c r="C10" s="18" t="inlineStr">
        <is>
          <t>ASSOCIAÇÃO DE CARIDADE SANTA CASA DO RIO GRANDE</t>
        </is>
      </c>
      <c r="D10" s="19" t="inlineStr">
        <is>
          <t>NEW</t>
        </is>
      </c>
      <c r="E10" s="20" t="inlineStr"/>
      <c r="F10" s="19" t="inlineStr"/>
      <c r="G10" s="20" t="inlineStr"/>
      <c r="H10" s="19" t="inlineStr"/>
      <c r="I10" s="21" t="inlineStr">
        <is>
          <t>Luiz Pereira</t>
        </is>
      </c>
      <c r="J10" s="21" t="inlineStr">
        <is>
          <t>Financial Planning Manager</t>
        </is>
      </c>
      <c r="K10" s="21" t="inlineStr">
        <is>
          <t>(05) 1215-5789</t>
        </is>
      </c>
      <c r="L10" s="21" t="inlineStr"/>
      <c r="M10" s="21" t="inlineStr"/>
      <c r="N10" s="21" t="inlineStr"/>
      <c r="O10" s="21" t="inlineStr">
        <is>
          <t>rafaela.milione@corsan.com.br</t>
        </is>
      </c>
      <c r="P10" s="21" t="inlineStr">
        <is>
          <t>Rafaela Milione</t>
        </is>
      </c>
      <c r="Q10" s="21" t="inlineStr">
        <is>
          <t>Especialista de Tesouraria</t>
        </is>
      </c>
      <c r="R10" s="21" t="inlineStr"/>
      <c r="S10" s="21" t="inlineStr">
        <is>
          <t>rafaela.milione@corsan.com.br</t>
        </is>
      </c>
      <c r="T10" s="21" t="inlineStr">
        <is>
          <t>no work email found in Apollo</t>
        </is>
      </c>
      <c r="U10" s="22" t="n">
        <v>18555954.55</v>
      </c>
      <c r="V10" s="23" t="inlineStr">
        <is>
          <t>B</t>
        </is>
      </c>
      <c r="W10" s="24">
        <f>IFERROR(VLOOKUP(V10,Assumptions!$A$7:$F$11,2,FALSE),0)</f>
        <v/>
      </c>
      <c r="X10" s="25">
        <f>IF(V10="A",MAX(1,IFERROR(VLOOKUP(V10,Assumptions!$A$7:$F$11,3,FALSE),3)+IFERROR(VLOOKUP(V10,Assumptions!$A$7:$F$11,4,FALSE),8)/2-MAX(0,IF(AO10="",0,YEAR(TODAY())-AO10)-IFERROR(VLOOKUP(V10,Assumptions!$A$7:$F$11,5,FALSE),1.5))),IFERROR(VLOOKUP(V10,Assumptions!$A$7:$F$11,5,FALSE),2.5)+IFERROR(VLOOKUP(V10,Assumptions!$A$7:$F$11,3,FALSE),3)+IFERROR(VLOOKUP(V10,Assumptions!$A$7:$F$11,4,FALSE),8)/2)</f>
        <v/>
      </c>
      <c r="Y10" s="22">
        <f>U10*W10/(1+Assumptions!$B$3)^X10</f>
        <v/>
      </c>
      <c r="Z10" s="26">
        <f>IF(U10=0,"",ROUND(Y10/U10*100,1))</f>
        <v/>
      </c>
      <c r="AA10" s="27">
        <f>Y10*Assumptions!$B$4</f>
        <v/>
      </c>
      <c r="AB10" s="26">
        <f>IF(U10=0,"",ROUND(AA10/U10*100,1))</f>
        <v/>
      </c>
      <c r="AC10" s="27">
        <f>Y10-AA10</f>
        <v/>
      </c>
      <c r="AD10" s="26">
        <f>IF(U10=0,"",ROUND((Y10-AA10)/U10*100,1))</f>
        <v/>
      </c>
      <c r="AE10" s="33" t="inlineStr">
        <is>
          <t>NO TOTALS — list prints none; check page</t>
        </is>
      </c>
      <c r="AF10" s="29" t="inlineStr">
        <is>
          <t>https://scalzilliaj.com.br/sgc/download.php?file=files/processo_documento/processo_documento09120721032023_1_.pdf&amp;nome=15 - Edital do art. 7º, §2º e 53 da Lei 11.101/2005 (segunda lista de credores e recebimento do plano))</t>
        </is>
      </c>
      <c r="AG10" s="28" t="inlineStr">
        <is>
          <t>p26 r27</t>
        </is>
      </c>
      <c r="AH10" s="28" t="inlineStr">
        <is>
          <t>p26: R$ 18.555.954,55</t>
        </is>
      </c>
      <c r="AI10" s="28" t="inlineStr">
        <is>
          <t>AJ list (art. 7 §2)</t>
        </is>
      </c>
      <c r="AJ10" s="28" t="inlineStr">
        <is>
          <t>2023-03-21</t>
        </is>
      </c>
      <c r="AK10" s="28" t="inlineStr">
        <is>
          <t>NONE FOUND</t>
        </is>
      </c>
      <c r="AL10" s="30" t="inlineStr">
        <is>
          <t>5012306-16.2022.8.21.0023</t>
        </is>
      </c>
      <c r="AM10" s="30" t="inlineStr">
        <is>
          <t>TJRS</t>
        </is>
      </c>
      <c r="AN10" s="30" t="inlineStr">
        <is>
          <t>ACTIVE</t>
        </is>
      </c>
      <c r="AO10" s="30" t="n">
        <v>2022</v>
      </c>
      <c r="AP10" s="30" t="inlineStr">
        <is>
          <t>live case, no plan document yet</t>
        </is>
      </c>
      <c r="AQ10" s="30" t="inlineStr"/>
      <c r="AR10" s="30" t="inlineStr">
        <is>
          <t>printed on the list (read twice)</t>
        </is>
      </c>
      <c r="AS10" s="30" t="inlineStr">
        <is>
          <t>PORTO ALEGRE</t>
        </is>
      </c>
      <c r="AT10" s="30" t="inlineStr">
        <is>
          <t>RS</t>
        </is>
      </c>
      <c r="AU10" s="30" t="inlineStr">
        <is>
          <t>Captação, tratamento e distribuição de água</t>
        </is>
      </c>
      <c r="AV10" s="30" t="inlineStr">
        <is>
          <t>DEMAIS</t>
        </is>
      </c>
      <c r="AW10" s="31" t="n">
        <v>1682328300</v>
      </c>
      <c r="AX10" s="30" t="inlineStr">
        <is>
          <t>LARGE CORP</t>
        </is>
      </c>
      <c r="AY10" s="30" t="inlineStr">
        <is>
          <t>92802784</t>
        </is>
      </c>
      <c r="AZ10" s="30" t="n">
        <v>1</v>
      </c>
      <c r="BA10" s="30" t="inlineStr">
        <is>
          <t>ROWS:p26r27 UNRECONCILED_SOURCE</t>
        </is>
      </c>
    </row>
    <row r="11">
      <c r="A11" s="16" t="inlineStr">
        <is>
          <t>VINICOLA CAMPESTRE LTDA</t>
        </is>
      </c>
      <c r="B11" s="17" t="n">
        <v>13980345.5</v>
      </c>
      <c r="C11" s="18" t="inlineStr">
        <is>
          <t>Grupo Arruda (ARRUDA &amp; MELO REPRESENTACAO DE ALIMENTOS E BEBIDAS LTDA, ARRUDA &amp; MELO COMERCIO E DISTRIBUICAO DE ALIMENTOS E BEBIDAS LTDA, ARRUDA &amp; MELO COMERCIO E DISTRIBUICAO DE ALIMENTOS E BEBIDAS DA BAHIA LTDA)</t>
        </is>
      </c>
      <c r="D11" s="19" t="inlineStr">
        <is>
          <t>NEW</t>
        </is>
      </c>
      <c r="E11" s="20" t="inlineStr"/>
      <c r="F11" s="19" t="inlineStr"/>
      <c r="G11" s="20" t="inlineStr"/>
      <c r="H11" s="19" t="inlineStr"/>
      <c r="I11" s="21" t="inlineStr">
        <is>
          <t>Carlos Quintus</t>
        </is>
      </c>
      <c r="J11" s="21" t="inlineStr">
        <is>
          <t>Commercial Director</t>
        </is>
      </c>
      <c r="K11" s="21" t="inlineStr">
        <is>
          <t>(54) 3511-6050</t>
        </is>
      </c>
      <c r="L11" s="21" t="inlineStr">
        <is>
          <t>(54) 3511-6052</t>
        </is>
      </c>
      <c r="M11" s="21" t="inlineStr"/>
      <c r="N11" s="21" t="inlineStr">
        <is>
          <t>carlos.quintus@pergola.com.br</t>
        </is>
      </c>
      <c r="O11" s="21" t="inlineStr"/>
      <c r="P11" s="21" t="inlineStr">
        <is>
          <t>Camila Treptow</t>
        </is>
      </c>
      <c r="Q11" s="21" t="inlineStr">
        <is>
          <t>Financial Analyst</t>
        </is>
      </c>
      <c r="R11" s="21" t="inlineStr"/>
      <c r="S11" s="21" t="inlineStr"/>
      <c r="T11" s="21" t="inlineStr">
        <is>
          <t>email verified by Apollo</t>
        </is>
      </c>
      <c r="U11" s="22" t="n">
        <v>13980345.5</v>
      </c>
      <c r="V11" s="23" t="inlineStr">
        <is>
          <t>B</t>
        </is>
      </c>
      <c r="W11" s="24">
        <f>IFERROR(VLOOKUP(V11,Assumptions!$A$7:$F$11,2,FALSE),0)</f>
        <v/>
      </c>
      <c r="X11" s="25">
        <f>IF(V11="A",MAX(1,IFERROR(VLOOKUP(V11,Assumptions!$A$7:$F$11,3,FALSE),3)+IFERROR(VLOOKUP(V11,Assumptions!$A$7:$F$11,4,FALSE),8)/2-MAX(0,IF(AO11="",0,YEAR(TODAY())-AO11)-IFERROR(VLOOKUP(V11,Assumptions!$A$7:$F$11,5,FALSE),1.5))),IFERROR(VLOOKUP(V11,Assumptions!$A$7:$F$11,5,FALSE),2.5)+IFERROR(VLOOKUP(V11,Assumptions!$A$7:$F$11,3,FALSE),3)+IFERROR(VLOOKUP(V11,Assumptions!$A$7:$F$11,4,FALSE),8)/2)</f>
        <v/>
      </c>
      <c r="Y11" s="22">
        <f>U11*W11/(1+Assumptions!$B$3)^X11</f>
        <v/>
      </c>
      <c r="Z11" s="26">
        <f>IF(U11=0,"",ROUND(Y11/U11*100,1))</f>
        <v/>
      </c>
      <c r="AA11" s="27">
        <f>Y11*Assumptions!$B$4</f>
        <v/>
      </c>
      <c r="AB11" s="26">
        <f>IF(U11=0,"",ROUND(AA11/U11*100,1))</f>
        <v/>
      </c>
      <c r="AC11" s="27">
        <f>Y11-AA11</f>
        <v/>
      </c>
      <c r="AD11" s="26">
        <f>IF(U11=0,"",ROUND((Y11-AA11)/U11*100,1))</f>
        <v/>
      </c>
      <c r="AE11" s="28" t="inlineStr">
        <is>
          <t>OK — totals reconciled</t>
        </is>
      </c>
      <c r="AF11" s="29" t="inlineStr">
        <is>
          <t>https://diligence.adm.br/wp-content/uploads/2025/06/Edital-1a-Lista-de-Credores.pdf</t>
        </is>
      </c>
      <c r="AG11" s="28" t="inlineStr">
        <is>
          <t>p5 r60; p5 r61</t>
        </is>
      </c>
      <c r="AH11" s="28" t="inlineStr">
        <is>
          <t>p5: R$ 4.421.862,65; p5: R$ 9.558.482,85</t>
        </is>
      </c>
      <c r="AI11" s="28" t="inlineStr">
        <is>
          <t>Debtor list (art. 51)</t>
        </is>
      </c>
      <c r="AJ11" s="28" t="inlineStr">
        <is>
          <t>2025-06-10</t>
        </is>
      </c>
      <c r="AK11" s="28" t="inlineStr">
        <is>
          <t>NONE FOUND</t>
        </is>
      </c>
      <c r="AL11" s="30" t="inlineStr">
        <is>
          <t>0008526-45.2025.8.17.2001</t>
        </is>
      </c>
      <c r="AM11" s="30" t="inlineStr">
        <is>
          <t>TJPE</t>
        </is>
      </c>
      <c r="AN11" s="30" t="inlineStr">
        <is>
          <t>ACTIVE</t>
        </is>
      </c>
      <c r="AO11" s="30" t="n">
        <v>2025</v>
      </c>
      <c r="AP11" s="30" t="inlineStr">
        <is>
          <t>live case, no plan document yet</t>
        </is>
      </c>
      <c r="AQ11" s="30" t="inlineStr"/>
      <c r="AR11" s="30" t="inlineStr">
        <is>
          <t>printed on the list (read twice)</t>
        </is>
      </c>
      <c r="AS11" s="30" t="inlineStr">
        <is>
          <t>CAMPESTRE DA SERRA</t>
        </is>
      </c>
      <c r="AT11" s="30" t="inlineStr">
        <is>
          <t>RS</t>
        </is>
      </c>
      <c r="AU11" s="30" t="inlineStr">
        <is>
          <t>Fabricação de vinho</t>
        </is>
      </c>
      <c r="AV11" s="30" t="inlineStr">
        <is>
          <t>DEMAIS</t>
        </is>
      </c>
      <c r="AW11" s="31" t="n">
        <v>250000000</v>
      </c>
      <c r="AX11" s="30" t="inlineStr">
        <is>
          <t>MID-MARKET</t>
        </is>
      </c>
      <c r="AY11" s="30" t="inlineStr">
        <is>
          <t>98521909</t>
        </is>
      </c>
      <c r="AZ11" s="30" t="n">
        <v>2</v>
      </c>
      <c r="BA11" s="30" t="inlineStr">
        <is>
          <t>ROWS:p5r60,p5r61</t>
        </is>
      </c>
    </row>
    <row r="12">
      <c r="A12" s="16" t="inlineStr">
        <is>
          <t>AGUIA SERVICOS DE VIGILANCIA LTDA - EM RECUPERACAO JUDICIAL</t>
        </is>
      </c>
      <c r="B12" s="17" t="n">
        <v>13645091.92</v>
      </c>
      <c r="C12" s="18" t="inlineStr">
        <is>
          <t>GRUPO ADLIM</t>
        </is>
      </c>
      <c r="D12" s="19" t="inlineStr">
        <is>
          <t>NEW</t>
        </is>
      </c>
      <c r="E12" s="20" t="inlineStr"/>
      <c r="F12" s="19" t="inlineStr"/>
      <c r="G12" s="20" t="inlineStr"/>
      <c r="H12" s="19" t="inlineStr"/>
      <c r="I12" s="21" t="inlineStr">
        <is>
          <t>JONAS ALVARENGA DA SILVA</t>
        </is>
      </c>
      <c r="J12" s="21" t="inlineStr">
        <is>
          <t>Sócio-Administrador (RFB partner)</t>
        </is>
      </c>
      <c r="K12" s="21" t="inlineStr">
        <is>
          <t>(81) 3252-6115</t>
        </is>
      </c>
      <c r="L12" s="21" t="inlineStr">
        <is>
          <t>(81) 3252-6117</t>
        </is>
      </c>
      <c r="M12" s="21" t="inlineStr"/>
      <c r="N12" s="21" t="inlineStr"/>
      <c r="O12" s="21" t="inlineStr"/>
      <c r="P12" s="21" t="inlineStr"/>
      <c r="Q12" s="21" t="inlineStr"/>
      <c r="R12" s="21" t="inlineStr"/>
      <c r="S12" s="21" t="inlineStr"/>
      <c r="T12" s="21" t="inlineStr">
        <is>
          <t>RFB partner (QSA); no Apollo match</t>
        </is>
      </c>
      <c r="U12" s="22" t="n">
        <v>13645091.92</v>
      </c>
      <c r="V12" s="23" t="inlineStr">
        <is>
          <t>B</t>
        </is>
      </c>
      <c r="W12" s="24">
        <f>IFERROR(VLOOKUP(V12,Assumptions!$A$7:$F$11,2,FALSE),0)</f>
        <v/>
      </c>
      <c r="X12" s="25">
        <f>IF(V12="A",MAX(1,IFERROR(VLOOKUP(V12,Assumptions!$A$7:$F$11,3,FALSE),3)+IFERROR(VLOOKUP(V12,Assumptions!$A$7:$F$11,4,FALSE),8)/2-MAX(0,IF(AO12="",0,YEAR(TODAY())-AO12)-IFERROR(VLOOKUP(V12,Assumptions!$A$7:$F$11,5,FALSE),1.5))),IFERROR(VLOOKUP(V12,Assumptions!$A$7:$F$11,5,FALSE),2.5)+IFERROR(VLOOKUP(V12,Assumptions!$A$7:$F$11,3,FALSE),3)+IFERROR(VLOOKUP(V12,Assumptions!$A$7:$F$11,4,FALSE),8)/2)</f>
        <v/>
      </c>
      <c r="Y12" s="22">
        <f>U12*W12/(1+Assumptions!$B$3)^X12</f>
        <v/>
      </c>
      <c r="Z12" s="26">
        <f>IF(U12=0,"",ROUND(Y12/U12*100,1))</f>
        <v/>
      </c>
      <c r="AA12" s="27">
        <f>Y12*Assumptions!$B$4</f>
        <v/>
      </c>
      <c r="AB12" s="26">
        <f>IF(U12=0,"",ROUND(AA12/U12*100,1))</f>
        <v/>
      </c>
      <c r="AC12" s="27">
        <f>Y12-AA12</f>
        <v/>
      </c>
      <c r="AD12" s="26">
        <f>IF(U12=0,"",ROUND((Y12-AA12)/U12*100,1))</f>
        <v/>
      </c>
      <c r="AE12" s="34" t="inlineStr">
        <is>
          <t>PARTIAL — class III reconciled, other classes not</t>
        </is>
      </c>
      <c r="AF12" s="29" t="inlineStr">
        <is>
          <t>https://lrflideres.com.br/wp-content/plugins/download-attachments/includes/download.php?id=6051</t>
        </is>
      </c>
      <c r="AG12" s="28" t="inlineStr">
        <is>
          <t>p97 r27</t>
        </is>
      </c>
      <c r="AH12" s="28" t="inlineStr">
        <is>
          <t>p97: R$ 13645091,92</t>
        </is>
      </c>
      <c r="AI12" s="28" t="inlineStr">
        <is>
          <t>AJ list (art. 7 §2)</t>
        </is>
      </c>
      <c r="AJ12" s="28" t="inlineStr">
        <is>
          <t>2024-08-12</t>
        </is>
      </c>
      <c r="AK12" s="28" t="inlineStr">
        <is>
          <t>NONE FOUND</t>
        </is>
      </c>
      <c r="AL12" s="30" t="inlineStr">
        <is>
          <t>0019761-43.2024.8.17.2001</t>
        </is>
      </c>
      <c r="AM12" s="30" t="inlineStr">
        <is>
          <t>TJPE</t>
        </is>
      </c>
      <c r="AN12" s="30" t="inlineStr">
        <is>
          <t>ACTIVE</t>
        </is>
      </c>
      <c r="AO12" s="30" t="n">
        <v>2024</v>
      </c>
      <c r="AP12" s="30" t="inlineStr">
        <is>
          <t>live case, no plan document yet</t>
        </is>
      </c>
      <c r="AQ12" s="30" t="inlineStr"/>
      <c r="AR12" s="30" t="inlineStr">
        <is>
          <t>printed on the list (read twice)</t>
        </is>
      </c>
      <c r="AS12" s="30" t="inlineStr">
        <is>
          <t>RECIFE</t>
        </is>
      </c>
      <c r="AT12" s="30" t="inlineStr">
        <is>
          <t>PE</t>
        </is>
      </c>
      <c r="AU12" s="30" t="inlineStr">
        <is>
          <t>Atividades de vigilância e segurança privada</t>
        </is>
      </c>
      <c r="AV12" s="30" t="inlineStr">
        <is>
          <t>DEMAIS</t>
        </is>
      </c>
      <c r="AW12" s="31" t="n">
        <v>5300000</v>
      </c>
      <c r="AX12" s="30" t="inlineStr">
        <is>
          <t>MID-MARKET</t>
        </is>
      </c>
      <c r="AY12" s="30" t="inlineStr">
        <is>
          <t>11516861</t>
        </is>
      </c>
      <c r="AZ12" s="30" t="n">
        <v>1</v>
      </c>
      <c r="BA12" s="30" t="inlineStr">
        <is>
          <t>PARTIAL_DOC_CLASS_III_RECONCILED ROWS:p97r27</t>
        </is>
      </c>
    </row>
    <row r="13">
      <c r="A13" s="16" t="inlineStr">
        <is>
          <t>GREE ELECTRIC APPLIANCES DO BRASIL LTDA.</t>
        </is>
      </c>
      <c r="B13" s="17" t="n">
        <v>13499976.37</v>
      </c>
      <c r="C13" s="18" t="inlineStr">
        <is>
          <t>REAL DISTRIBUIDORA ÚNICA RIO COMÉRCIO DE REFRIGERAÇÃO LTDA.</t>
        </is>
      </c>
      <c r="D13" s="19" t="inlineStr">
        <is>
          <t>NEW</t>
        </is>
      </c>
      <c r="E13" s="20" t="inlineStr"/>
      <c r="F13" s="19" t="inlineStr"/>
      <c r="G13" s="20" t="inlineStr"/>
      <c r="H13" s="19" t="inlineStr"/>
      <c r="I13" s="21" t="inlineStr">
        <is>
          <t>Nicolaus Cheng</t>
        </is>
      </c>
      <c r="J13" s="21" t="inlineStr">
        <is>
          <t>Commercial Director</t>
        </is>
      </c>
      <c r="K13" s="21" t="inlineStr">
        <is>
          <t>(92) 2123-6900</t>
        </is>
      </c>
      <c r="L13" s="21" t="inlineStr"/>
      <c r="M13" s="21" t="inlineStr"/>
      <c r="N13" s="21" t="inlineStr">
        <is>
          <t>nicolaus@gree.com.br</t>
        </is>
      </c>
      <c r="O13" s="21" t="inlineStr">
        <is>
          <t>carlos.murano@gree-am.com.br</t>
        </is>
      </c>
      <c r="P13" s="21" t="inlineStr">
        <is>
          <t>Carlos Murano</t>
        </is>
      </c>
      <c r="Q13" s="21" t="inlineStr">
        <is>
          <t>Executive Sales Manager</t>
        </is>
      </c>
      <c r="R13" s="21" t="inlineStr"/>
      <c r="S13" s="21" t="inlineStr">
        <is>
          <t>carlos.murano@gree-am.com.br</t>
        </is>
      </c>
      <c r="T13" s="21" t="inlineStr">
        <is>
          <t>email is pattern-guessed, not verified</t>
        </is>
      </c>
      <c r="U13" s="22" t="n">
        <v>13499976.37</v>
      </c>
      <c r="V13" s="23" t="inlineStr">
        <is>
          <t>B</t>
        </is>
      </c>
      <c r="W13" s="24">
        <f>IFERROR(VLOOKUP(V13,Assumptions!$A$7:$F$11,2,FALSE),0)</f>
        <v/>
      </c>
      <c r="X13" s="25">
        <f>IF(V13="A",MAX(1,IFERROR(VLOOKUP(V13,Assumptions!$A$7:$F$11,3,FALSE),3)+IFERROR(VLOOKUP(V13,Assumptions!$A$7:$F$11,4,FALSE),8)/2-MAX(0,IF(AO13="",0,YEAR(TODAY())-AO13)-IFERROR(VLOOKUP(V13,Assumptions!$A$7:$F$11,5,FALSE),1.5))),IFERROR(VLOOKUP(V13,Assumptions!$A$7:$F$11,5,FALSE),2.5)+IFERROR(VLOOKUP(V13,Assumptions!$A$7:$F$11,3,FALSE),3)+IFERROR(VLOOKUP(V13,Assumptions!$A$7:$F$11,4,FALSE),8)/2)</f>
        <v/>
      </c>
      <c r="Y13" s="22">
        <f>U13*W13/(1+Assumptions!$B$3)^X13</f>
        <v/>
      </c>
      <c r="Z13" s="26">
        <f>IF(U13=0,"",ROUND(Y13/U13*100,1))</f>
        <v/>
      </c>
      <c r="AA13" s="27">
        <f>Y13*Assumptions!$B$4</f>
        <v/>
      </c>
      <c r="AB13" s="26">
        <f>IF(U13=0,"",ROUND(AA13/U13*100,1))</f>
        <v/>
      </c>
      <c r="AC13" s="27">
        <f>Y13-AA13</f>
        <v/>
      </c>
      <c r="AD13" s="26">
        <f>IF(U13=0,"",ROUND((Y13-AA13)/U13*100,1))</f>
        <v/>
      </c>
      <c r="AE13" s="28" t="inlineStr">
        <is>
          <t>OK — totals reconciled</t>
        </is>
      </c>
      <c r="AF13" s="29" t="inlineStr">
        <is>
          <t>https://inova-aj.com.br/wp-content/uploads/2026/08/1a-Relacao-de-Credores-Real.pdf</t>
        </is>
      </c>
      <c r="AG13" s="28" t="inlineStr">
        <is>
          <t>p1 r32</t>
        </is>
      </c>
      <c r="AH13" s="28" t="inlineStr">
        <is>
          <t>p1: R$ 13.499.976,37</t>
        </is>
      </c>
      <c r="AI13" s="28" t="inlineStr">
        <is>
          <t>AJ list (art. 7 §2)</t>
        </is>
      </c>
      <c r="AJ13" s="28" t="inlineStr">
        <is>
          <t>2023-06-05</t>
        </is>
      </c>
      <c r="AK13" s="28" t="inlineStr">
        <is>
          <t>NONE FOUND</t>
        </is>
      </c>
      <c r="AL13" s="30" t="inlineStr">
        <is>
          <t>0873061-47.2023.8.19.0001</t>
        </is>
      </c>
      <c r="AM13" s="30" t="inlineStr">
        <is>
          <t>TJRJ</t>
        </is>
      </c>
      <c r="AN13" s="30" t="inlineStr"/>
      <c r="AO13" s="30" t="n">
        <v>2023</v>
      </c>
      <c r="AP13" s="30" t="inlineStr">
        <is>
          <t>live case, no plan document yet</t>
        </is>
      </c>
      <c r="AQ13" s="30" t="inlineStr"/>
      <c r="AR13" s="30" t="inlineStr">
        <is>
          <t>printed on the list (read twice)</t>
        </is>
      </c>
      <c r="AS13" s="30" t="inlineStr">
        <is>
          <t>MANAUS</t>
        </is>
      </c>
      <c r="AT13" s="30" t="inlineStr">
        <is>
          <t>AM</t>
        </is>
      </c>
      <c r="AU13" s="30" t="inlineStr">
        <is>
          <t>Fabricação de aparelhos e equipamentos de ar condicionado para uso não-industrial</t>
        </is>
      </c>
      <c r="AV13" s="30" t="inlineStr">
        <is>
          <t>DEMAIS</t>
        </is>
      </c>
      <c r="AW13" s="31" t="n">
        <v>301149150</v>
      </c>
      <c r="AX13" s="30" t="inlineStr">
        <is>
          <t>MID-MARKET</t>
        </is>
      </c>
      <c r="AY13" s="30" t="inlineStr">
        <is>
          <t>03519135</t>
        </is>
      </c>
      <c r="AZ13" s="30" t="n">
        <v>1</v>
      </c>
      <c r="BA13" s="30" t="inlineStr">
        <is>
          <t>ALT_VALUE:R$9.815.941,50 ROWS:p1r32</t>
        </is>
      </c>
    </row>
    <row r="14">
      <c r="A14" s="16" t="inlineStr">
        <is>
          <t>LOUIS DREYFUS COMPANY SUCOS S.A</t>
        </is>
      </c>
      <c r="B14" s="17" t="n">
        <v>13129217.8</v>
      </c>
      <c r="C14" s="18" t="inlineStr">
        <is>
          <t>PAULO CÉSAR SOMILIO (produtor rural, pessoa física)</t>
        </is>
      </c>
      <c r="D14" s="19" t="inlineStr">
        <is>
          <t>NEW</t>
        </is>
      </c>
      <c r="E14" s="20" t="inlineStr"/>
      <c r="F14" s="19" t="inlineStr"/>
      <c r="G14" s="20" t="inlineStr"/>
      <c r="H14" s="19" t="inlineStr"/>
      <c r="I14" s="21" t="inlineStr">
        <is>
          <t>Paula Peixoto</t>
        </is>
      </c>
      <c r="J14" s="21" t="inlineStr">
        <is>
          <t>Gerente Adm Controladoria - Originação Sucos</t>
        </is>
      </c>
      <c r="K14" s="21" t="inlineStr">
        <is>
          <t>(11) 3039-7160</t>
        </is>
      </c>
      <c r="L14" s="21" t="inlineStr">
        <is>
          <t>(13) 2127-9893</t>
        </is>
      </c>
      <c r="M14" s="21" t="inlineStr"/>
      <c r="N14" s="21" t="inlineStr">
        <is>
          <t>paula.peixoto@ldc.com</t>
        </is>
      </c>
      <c r="O14" s="21" t="inlineStr">
        <is>
          <t>bruno.nunes@ldc.com</t>
        </is>
      </c>
      <c r="P14" s="21" t="inlineStr">
        <is>
          <t>Bruno Nunes</t>
        </is>
      </c>
      <c r="Q14" s="21" t="inlineStr">
        <is>
          <t>Gerente Executivo de Engenharia &amp; Projetos - Plataforma Sucos</t>
        </is>
      </c>
      <c r="R14" s="21" t="inlineStr"/>
      <c r="S14" s="21" t="inlineStr">
        <is>
          <t>bruno.nunes@ldc.com</t>
        </is>
      </c>
      <c r="T14" s="21" t="inlineStr">
        <is>
          <t>email verified by Apollo</t>
        </is>
      </c>
      <c r="U14" s="22" t="n">
        <v>13129217.8</v>
      </c>
      <c r="V14" s="23" t="inlineStr">
        <is>
          <t>B</t>
        </is>
      </c>
      <c r="W14" s="24">
        <f>IFERROR(VLOOKUP(V14,Assumptions!$A$7:$F$11,2,FALSE),0)</f>
        <v/>
      </c>
      <c r="X14" s="25">
        <f>IF(V14="A",MAX(1,IFERROR(VLOOKUP(V14,Assumptions!$A$7:$F$11,3,FALSE),3)+IFERROR(VLOOKUP(V14,Assumptions!$A$7:$F$11,4,FALSE),8)/2-MAX(0,IF(AO14="",0,YEAR(TODAY())-AO14)-IFERROR(VLOOKUP(V14,Assumptions!$A$7:$F$11,5,FALSE),1.5))),IFERROR(VLOOKUP(V14,Assumptions!$A$7:$F$11,5,FALSE),2.5)+IFERROR(VLOOKUP(V14,Assumptions!$A$7:$F$11,3,FALSE),3)+IFERROR(VLOOKUP(V14,Assumptions!$A$7:$F$11,4,FALSE),8)/2)</f>
        <v/>
      </c>
      <c r="Y14" s="22">
        <f>U14*W14/(1+Assumptions!$B$3)^X14</f>
        <v/>
      </c>
      <c r="Z14" s="26">
        <f>IF(U14=0,"",ROUND(Y14/U14*100,1))</f>
        <v/>
      </c>
      <c r="AA14" s="27">
        <f>Y14*Assumptions!$B$4</f>
        <v/>
      </c>
      <c r="AB14" s="26">
        <f>IF(U14=0,"",ROUND(AA14/U14*100,1))</f>
        <v/>
      </c>
      <c r="AC14" s="27">
        <f>Y14-AA14</f>
        <v/>
      </c>
      <c r="AD14" s="26">
        <f>IF(U14=0,"",ROUND((Y14-AA14)/U14*100,1))</f>
        <v/>
      </c>
      <c r="AE14" s="28" t="inlineStr">
        <is>
          <t>OK — totals reconciled</t>
        </is>
      </c>
      <c r="AF14" s="29" t="inlineStr">
        <is>
          <t>https://violet-wolf-754008.hostingersite.com/wp-content/uploads/2022/10/Primeiro-Edital-de-Credores-Integral-com-creditos.pdf</t>
        </is>
      </c>
      <c r="AG14" s="28" t="inlineStr">
        <is>
          <t>p4 r1</t>
        </is>
      </c>
      <c r="AH14" s="28" t="inlineStr">
        <is>
          <t>p4: R$ 13.129.217,80</t>
        </is>
      </c>
      <c r="AI14" s="28" t="inlineStr">
        <is>
          <t>Unclassified list</t>
        </is>
      </c>
      <c r="AJ14" s="28" t="inlineStr"/>
      <c r="AK14" s="28" t="inlineStr">
        <is>
          <t>NONE FOUND</t>
        </is>
      </c>
      <c r="AL14" s="30" t="inlineStr">
        <is>
          <t>1001087-02.2022.8.26.0390</t>
        </is>
      </c>
      <c r="AM14" s="30" t="inlineStr">
        <is>
          <t>TJSP</t>
        </is>
      </c>
      <c r="AN14" s="30" t="inlineStr">
        <is>
          <t>ACTIVE</t>
        </is>
      </c>
      <c r="AO14" s="30" t="n">
        <v>2022</v>
      </c>
      <c r="AP14" s="30" t="inlineStr">
        <is>
          <t>live case, no plan document yet</t>
        </is>
      </c>
      <c r="AQ14" s="30" t="inlineStr"/>
      <c r="AR14" s="30" t="inlineStr">
        <is>
          <t>portal page title / URL — not printed on the list</t>
        </is>
      </c>
      <c r="AS14" s="30" t="inlineStr">
        <is>
          <t>SAO PAULO</t>
        </is>
      </c>
      <c r="AT14" s="30" t="inlineStr">
        <is>
          <t>SP</t>
        </is>
      </c>
      <c r="AU14" s="30" t="inlineStr">
        <is>
          <t>Fabricação de sucos concentrados de frutas, hortaliças e legumes</t>
        </is>
      </c>
      <c r="AV14" s="30" t="inlineStr">
        <is>
          <t>DEMAIS</t>
        </is>
      </c>
      <c r="AW14" s="31" t="n">
        <v>1004385400</v>
      </c>
      <c r="AX14" s="30" t="inlineStr">
        <is>
          <t>LARGE CORP</t>
        </is>
      </c>
      <c r="AY14" s="30" t="inlineStr">
        <is>
          <t>00831373</t>
        </is>
      </c>
      <c r="AZ14" s="30" t="n">
        <v>1</v>
      </c>
      <c r="BA14" s="30" t="inlineStr">
        <is>
          <t>ROWS:p4r1 VALUE_COL:Valor CASE_NUMBER_CORRECTED</t>
        </is>
      </c>
    </row>
    <row r="15">
      <c r="A15" s="16" t="inlineStr">
        <is>
          <t>COMERCIO RACOES BEM BOM LTDA</t>
        </is>
      </c>
      <c r="B15" s="17" t="n">
        <v>6642118.99</v>
      </c>
      <c r="C15" s="18" t="inlineStr">
        <is>
          <t>GRUPO 3E</t>
        </is>
      </c>
      <c r="D15" s="19" t="inlineStr">
        <is>
          <t>NEW</t>
        </is>
      </c>
      <c r="E15" s="20" t="inlineStr"/>
      <c r="F15" s="19" t="inlineStr"/>
      <c r="G15" s="20" t="inlineStr"/>
      <c r="H15" s="19" t="inlineStr"/>
      <c r="I15" s="21" t="inlineStr">
        <is>
          <t>EDSON VIANDELLI LOPES</t>
        </is>
      </c>
      <c r="J15" s="21" t="inlineStr">
        <is>
          <t>Sócio-Administrador (RFB partner)</t>
        </is>
      </c>
      <c r="K15" s="21" t="inlineStr">
        <is>
          <t>(62) 3389-9200</t>
        </is>
      </c>
      <c r="L15" s="21" t="inlineStr">
        <is>
          <t>(62) 8115-0283</t>
        </is>
      </c>
      <c r="M15" s="21" t="inlineStr"/>
      <c r="N15" s="21" t="inlineStr"/>
      <c r="O15" s="21" t="inlineStr"/>
      <c r="P15" s="21" t="inlineStr"/>
      <c r="Q15" s="21" t="inlineStr"/>
      <c r="R15" s="21" t="inlineStr"/>
      <c r="S15" s="21" t="inlineStr"/>
      <c r="T15" s="21" t="inlineStr">
        <is>
          <t>RFB partner (QSA); no Apollo match</t>
        </is>
      </c>
      <c r="U15" s="22" t="n">
        <v>6642118.99</v>
      </c>
      <c r="V15" s="35" t="inlineStr">
        <is>
          <t>A</t>
        </is>
      </c>
      <c r="W15" s="24">
        <f>IFERROR(VLOOKUP(V15,Assumptions!$A$7:$F$11,2,FALSE),0)</f>
        <v/>
      </c>
      <c r="X15" s="25">
        <f>IF(V15="A",MAX(1,IFERROR(VLOOKUP(V15,Assumptions!$A$7:$F$11,3,FALSE),3)+IFERROR(VLOOKUP(V15,Assumptions!$A$7:$F$11,4,FALSE),8)/2-MAX(0,IF(AO15="",0,YEAR(TODAY())-AO15)-IFERROR(VLOOKUP(V15,Assumptions!$A$7:$F$11,5,FALSE),1.5))),IFERROR(VLOOKUP(V15,Assumptions!$A$7:$F$11,5,FALSE),2.5)+IFERROR(VLOOKUP(V15,Assumptions!$A$7:$F$11,3,FALSE),3)+IFERROR(VLOOKUP(V15,Assumptions!$A$7:$F$11,4,FALSE),8)/2)</f>
        <v/>
      </c>
      <c r="Y15" s="22">
        <f>U15*W15/(1+Assumptions!$B$3)^X15</f>
        <v/>
      </c>
      <c r="Z15" s="26">
        <f>IF(U15=0,"",ROUND(Y15/U15*100,1))</f>
        <v/>
      </c>
      <c r="AA15" s="27">
        <f>Y15*Assumptions!$B$4</f>
        <v/>
      </c>
      <c r="AB15" s="26">
        <f>IF(U15=0,"",ROUND(AA15/U15*100,1))</f>
        <v/>
      </c>
      <c r="AC15" s="27">
        <f>Y15-AA15</f>
        <v/>
      </c>
      <c r="AD15" s="26">
        <f>IF(U15=0,"",ROUND((Y15-AA15)/U15*100,1))</f>
        <v/>
      </c>
      <c r="AE15" s="33" t="inlineStr">
        <is>
          <t>NO TOTALS — list prints none; check page</t>
        </is>
      </c>
      <c r="AF15" s="29" t="inlineStr">
        <is>
          <t>https://stenius.com.br/wp-content/uploads/2026/06/EDITAL-GRUPO-3E.pdf</t>
        </is>
      </c>
      <c r="AG15" s="28" t="inlineStr">
        <is>
          <t>p13 r19</t>
        </is>
      </c>
      <c r="AH15" s="28" t="inlineStr">
        <is>
          <t>p13: R$ 6.642.118,99</t>
        </is>
      </c>
      <c r="AI15" s="28" t="inlineStr">
        <is>
          <t>Debtor list (art. 51)</t>
        </is>
      </c>
      <c r="AJ15" s="28" t="inlineStr">
        <is>
          <t>2026-06-22</t>
        </is>
      </c>
      <c r="AK15" s="28" t="inlineStr">
        <is>
          <t>PLAN DOC FOUND</t>
        </is>
      </c>
      <c r="AL15" s="30" t="inlineStr">
        <is>
          <t>5341375-33.2026.8.09.0049</t>
        </is>
      </c>
      <c r="AM15" s="30" t="inlineStr">
        <is>
          <t>TJGO</t>
        </is>
      </c>
      <c r="AN15" s="30" t="inlineStr">
        <is>
          <t>ACTIVE</t>
        </is>
      </c>
      <c r="AO15" s="30" t="n">
        <v>2026</v>
      </c>
      <c r="AP15" s="30" t="inlineStr">
        <is>
          <t>plan/homologation document found</t>
        </is>
      </c>
      <c r="AQ15" s="30" t="inlineStr"/>
      <c r="AR15" s="30" t="inlineStr">
        <is>
          <t>printed on the list (read twice)</t>
        </is>
      </c>
      <c r="AS15" s="30" t="inlineStr">
        <is>
          <t>GOIANESIA</t>
        </is>
      </c>
      <c r="AT15" s="30" t="inlineStr">
        <is>
          <t>GO</t>
        </is>
      </c>
      <c r="AU15" s="30" t="inlineStr">
        <is>
          <t>Fabricação de alimentos para animais</t>
        </is>
      </c>
      <c r="AV15" s="30" t="inlineStr">
        <is>
          <t>DEMAIS</t>
        </is>
      </c>
      <c r="AW15" s="31" t="n">
        <v>300000</v>
      </c>
      <c r="AX15" s="30" t="inlineStr">
        <is>
          <t>MID-MARKET</t>
        </is>
      </c>
      <c r="AY15" s="30" t="inlineStr">
        <is>
          <t>41324359</t>
        </is>
      </c>
      <c r="AZ15" s="30" t="n">
        <v>1</v>
      </c>
      <c r="BA15" s="30" t="inlineStr">
        <is>
          <t>ROWS:p13r19 UNRECONCILED_SOURCE</t>
        </is>
      </c>
    </row>
    <row r="16">
      <c r="A16" s="16" t="inlineStr">
        <is>
          <t>ALBAUGH AGRO BRASIL LTDA.</t>
        </is>
      </c>
      <c r="B16" s="17" t="n">
        <v>11525550.26</v>
      </c>
      <c r="C16" s="18" t="inlineStr">
        <is>
          <t>SOJAL COMERCIAL AGRICOLA LTDA e OUTROS</t>
        </is>
      </c>
      <c r="D16" s="19" t="inlineStr">
        <is>
          <t>NEW</t>
        </is>
      </c>
      <c r="E16" s="20" t="inlineStr"/>
      <c r="F16" s="19" t="inlineStr"/>
      <c r="G16" s="20" t="inlineStr"/>
      <c r="H16" s="19" t="inlineStr"/>
      <c r="I16" s="21" t="inlineStr">
        <is>
          <t>CESAR EMILIANO ROJAS RUIZ</t>
        </is>
      </c>
      <c r="J16" s="21" t="inlineStr">
        <is>
          <t>Administrador (RFB partner)</t>
        </is>
      </c>
      <c r="K16" s="21" t="inlineStr">
        <is>
          <t>(11) 3076-4243</t>
        </is>
      </c>
      <c r="L16" s="21" t="inlineStr"/>
      <c r="M16" s="21" t="inlineStr"/>
      <c r="N16" s="21" t="inlineStr"/>
      <c r="O16" s="21" t="inlineStr"/>
      <c r="P16" s="21" t="inlineStr">
        <is>
          <t>MARCELO PACE</t>
        </is>
      </c>
      <c r="Q16" s="21" t="inlineStr">
        <is>
          <t>Administrador (RFB partner)</t>
        </is>
      </c>
      <c r="R16" s="21" t="inlineStr"/>
      <c r="S16" s="21" t="inlineStr"/>
      <c r="T16" s="21" t="inlineStr">
        <is>
          <t>RFB partner (QSA); no Apollo match</t>
        </is>
      </c>
      <c r="U16" s="22" t="n">
        <v>11525550.26</v>
      </c>
      <c r="V16" s="23" t="inlineStr">
        <is>
          <t>B</t>
        </is>
      </c>
      <c r="W16" s="24">
        <f>IFERROR(VLOOKUP(V16,Assumptions!$A$7:$F$11,2,FALSE),0)</f>
        <v/>
      </c>
      <c r="X16" s="25">
        <f>IF(V16="A",MAX(1,IFERROR(VLOOKUP(V16,Assumptions!$A$7:$F$11,3,FALSE),3)+IFERROR(VLOOKUP(V16,Assumptions!$A$7:$F$11,4,FALSE),8)/2-MAX(0,IF(AO16="",0,YEAR(TODAY())-AO16)-IFERROR(VLOOKUP(V16,Assumptions!$A$7:$F$11,5,FALSE),1.5))),IFERROR(VLOOKUP(V16,Assumptions!$A$7:$F$11,5,FALSE),2.5)+IFERROR(VLOOKUP(V16,Assumptions!$A$7:$F$11,3,FALSE),3)+IFERROR(VLOOKUP(V16,Assumptions!$A$7:$F$11,4,FALSE),8)/2)</f>
        <v/>
      </c>
      <c r="Y16" s="22">
        <f>U16*W16/(1+Assumptions!$B$3)^X16</f>
        <v/>
      </c>
      <c r="Z16" s="26">
        <f>IF(U16=0,"",ROUND(Y16/U16*100,1))</f>
        <v/>
      </c>
      <c r="AA16" s="27">
        <f>Y16*Assumptions!$B$4</f>
        <v/>
      </c>
      <c r="AB16" s="26">
        <f>IF(U16=0,"",ROUND(AA16/U16*100,1))</f>
        <v/>
      </c>
      <c r="AC16" s="27">
        <f>Y16-AA16</f>
        <v/>
      </c>
      <c r="AD16" s="26">
        <f>IF(U16=0,"",ROUND((Y16-AA16)/U16*100,1))</f>
        <v/>
      </c>
      <c r="AE16" s="28" t="inlineStr">
        <is>
          <t>OK — totals reconciled</t>
        </is>
      </c>
      <c r="AF16" s="29" t="inlineStr">
        <is>
          <t>https://lrflideres.com.br/wp-content/plugins/download-attachments/includes/download.php?id=6879</t>
        </is>
      </c>
      <c r="AG16" s="28" t="inlineStr">
        <is>
          <t>p1 r4</t>
        </is>
      </c>
      <c r="AH16" s="28" t="inlineStr">
        <is>
          <t>p1: R$ 11.525.550,26</t>
        </is>
      </c>
      <c r="AI16" s="28" t="inlineStr">
        <is>
          <t>AJ list (art. 7 §2)</t>
        </is>
      </c>
      <c r="AJ16" s="28" t="inlineStr">
        <is>
          <t>2026-01-15</t>
        </is>
      </c>
      <c r="AK16" s="28" t="inlineStr">
        <is>
          <t>NONE FOUND</t>
        </is>
      </c>
      <c r="AL16" s="30" t="inlineStr">
        <is>
          <t>0804401-51.2025.8.14.0039</t>
        </is>
      </c>
      <c r="AM16" s="30" t="inlineStr">
        <is>
          <t>TJPA</t>
        </is>
      </c>
      <c r="AN16" s="30" t="inlineStr">
        <is>
          <t>ACTIVE</t>
        </is>
      </c>
      <c r="AO16" s="30" t="n">
        <v>2025</v>
      </c>
      <c r="AP16" s="30" t="inlineStr">
        <is>
          <t>live case, no plan document yet</t>
        </is>
      </c>
      <c r="AQ16" s="30" t="inlineStr">
        <is>
          <t>15.626.673/0003-90</t>
        </is>
      </c>
      <c r="AR16" s="30" t="inlineStr">
        <is>
          <t>printed on the list (read twice)</t>
        </is>
      </c>
      <c r="AS16" s="30" t="inlineStr">
        <is>
          <t>SAO PAULO</t>
        </is>
      </c>
      <c r="AT16" s="30" t="inlineStr">
        <is>
          <t>SP</t>
        </is>
      </c>
      <c r="AU16" s="30" t="inlineStr">
        <is>
          <t>Fabricação de defensivos agrícolas</t>
        </is>
      </c>
      <c r="AV16" s="30" t="inlineStr">
        <is>
          <t>DEMAIS</t>
        </is>
      </c>
      <c r="AW16" s="31" t="n">
        <v>552162700</v>
      </c>
      <c r="AX16" s="30" t="inlineStr">
        <is>
          <t>MID-MARKET</t>
        </is>
      </c>
      <c r="AY16" s="30" t="inlineStr">
        <is>
          <t>01789121</t>
        </is>
      </c>
      <c r="AZ16" s="30" t="n">
        <v>1</v>
      </c>
      <c r="BA16" s="30" t="inlineStr">
        <is>
          <t>ROWS:p1r4</t>
        </is>
      </c>
    </row>
    <row r="17">
      <c r="A17" s="16" t="inlineStr">
        <is>
          <t>DC COMERCIO, REPRESENTACOES, INVESTIMENTOS E PARTICIPACOES LTDA.</t>
        </is>
      </c>
      <c r="B17" s="17" t="n">
        <v>11125000</v>
      </c>
      <c r="C17" s="18" t="inlineStr">
        <is>
          <t>GRUPO CATTAN</t>
        </is>
      </c>
      <c r="D17" s="19" t="inlineStr">
        <is>
          <t>NEW</t>
        </is>
      </c>
      <c r="E17" s="20" t="inlineStr"/>
      <c r="F17" s="19" t="inlineStr"/>
      <c r="G17" s="20" t="inlineStr"/>
      <c r="H17" s="19" t="inlineStr"/>
      <c r="I17" s="21" t="inlineStr">
        <is>
          <t>FERNANDO MELO CATAO</t>
        </is>
      </c>
      <c r="J17" s="21" t="inlineStr">
        <is>
          <t>Sócio-Administrador (RFB partner)</t>
        </is>
      </c>
      <c r="K17" s="21" t="inlineStr">
        <is>
          <t>(81) 3032-8400</t>
        </is>
      </c>
      <c r="L17" s="21" t="inlineStr">
        <is>
          <t>(81) 3419-8550</t>
        </is>
      </c>
      <c r="M17" s="21" t="inlineStr"/>
      <c r="N17" s="21" t="inlineStr"/>
      <c r="O17" s="21" t="inlineStr"/>
      <c r="P17" s="21" t="inlineStr"/>
      <c r="Q17" s="21" t="inlineStr"/>
      <c r="R17" s="21" t="inlineStr"/>
      <c r="S17" s="21" t="inlineStr"/>
      <c r="T17" s="21" t="inlineStr">
        <is>
          <t>RFB partner (QSA); no Apollo match</t>
        </is>
      </c>
      <c r="U17" s="22" t="n">
        <v>11125000</v>
      </c>
      <c r="V17" s="23" t="inlineStr">
        <is>
          <t>B</t>
        </is>
      </c>
      <c r="W17" s="24">
        <f>IFERROR(VLOOKUP(V17,Assumptions!$A$7:$F$11,2,FALSE),0)</f>
        <v/>
      </c>
      <c r="X17" s="25">
        <f>IF(V17="A",MAX(1,IFERROR(VLOOKUP(V17,Assumptions!$A$7:$F$11,3,FALSE),3)+IFERROR(VLOOKUP(V17,Assumptions!$A$7:$F$11,4,FALSE),8)/2-MAX(0,IF(AO17="",0,YEAR(TODAY())-AO17)-IFERROR(VLOOKUP(V17,Assumptions!$A$7:$F$11,5,FALSE),1.5))),IFERROR(VLOOKUP(V17,Assumptions!$A$7:$F$11,5,FALSE),2.5)+IFERROR(VLOOKUP(V17,Assumptions!$A$7:$F$11,3,FALSE),3)+IFERROR(VLOOKUP(V17,Assumptions!$A$7:$F$11,4,FALSE),8)/2)</f>
        <v/>
      </c>
      <c r="Y17" s="22">
        <f>U17*W17/(1+Assumptions!$B$3)^X17</f>
        <v/>
      </c>
      <c r="Z17" s="26">
        <f>IF(U17=0,"",ROUND(Y17/U17*100,1))</f>
        <v/>
      </c>
      <c r="AA17" s="27">
        <f>Y17*Assumptions!$B$4</f>
        <v/>
      </c>
      <c r="AB17" s="26">
        <f>IF(U17=0,"",ROUND(AA17/U17*100,1))</f>
        <v/>
      </c>
      <c r="AC17" s="27">
        <f>Y17-AA17</f>
        <v/>
      </c>
      <c r="AD17" s="26">
        <f>IF(U17=0,"",ROUND((Y17-AA17)/U17*100,1))</f>
        <v/>
      </c>
      <c r="AE17" s="34" t="inlineStr">
        <is>
          <t>PARTIAL — class III reconciled, other classes not</t>
        </is>
      </c>
      <c r="AF17" s="29" t="inlineStr">
        <is>
          <t>https://lrflideres.com.br/wp-content/plugins/download-attachments/includes/download.php?id=4023</t>
        </is>
      </c>
      <c r="AG17" s="28" t="inlineStr">
        <is>
          <t>p4 r68; p7 r92; p9 r68</t>
        </is>
      </c>
      <c r="AH17" s="28" t="inlineStr">
        <is>
          <t>p4: R$ 1.150.000,00; p7: R$ 9.715.000,00; p9: R$ 260.000,00</t>
        </is>
      </c>
      <c r="AI17" s="28" t="inlineStr">
        <is>
          <t>Debtor list (art. 51)</t>
        </is>
      </c>
      <c r="AJ17" s="28" t="inlineStr"/>
      <c r="AK17" s="28" t="inlineStr">
        <is>
          <t>NONE FOUND</t>
        </is>
      </c>
      <c r="AL17" s="30" t="inlineStr">
        <is>
          <t>0002484-82.2022.8.17.2001</t>
        </is>
      </c>
      <c r="AM17" s="30" t="inlineStr">
        <is>
          <t>TJPE</t>
        </is>
      </c>
      <c r="AN17" s="30" t="inlineStr">
        <is>
          <t>ACTIVE</t>
        </is>
      </c>
      <c r="AO17" s="30" t="n">
        <v>2022</v>
      </c>
      <c r="AP17" s="30" t="inlineStr">
        <is>
          <t>live case, no plan document yet</t>
        </is>
      </c>
      <c r="AQ17" s="30" t="inlineStr"/>
      <c r="AR17" s="30" t="inlineStr">
        <is>
          <t>printed on the list (read twice)</t>
        </is>
      </c>
      <c r="AS17" s="30" t="inlineStr">
        <is>
          <t>RECIFE</t>
        </is>
      </c>
      <c r="AT17" s="30" t="inlineStr">
        <is>
          <t>PE</t>
        </is>
      </c>
      <c r="AU17" s="30" t="inlineStr">
        <is>
          <t>Aluguel de imóveis próprios</t>
        </is>
      </c>
      <c r="AV17" s="30" t="inlineStr">
        <is>
          <t>DEMAIS</t>
        </is>
      </c>
      <c r="AW17" s="31" t="n">
        <v>2125583</v>
      </c>
      <c r="AX17" s="30" t="inlineStr">
        <is>
          <t>MID-MARKET</t>
        </is>
      </c>
      <c r="AY17" s="30" t="inlineStr">
        <is>
          <t>09036221</t>
        </is>
      </c>
      <c r="AZ17" s="30" t="n">
        <v>3</v>
      </c>
      <c r="BA17" s="30" t="inlineStr">
        <is>
          <t>PARTIAL_DOC_CLASS_III_RECONCILED ROWS:p4r68,p7r92,p9r68</t>
        </is>
      </c>
    </row>
    <row r="18">
      <c r="A18" s="16" t="inlineStr">
        <is>
          <t>SANDOZ DO BRASIL INDUSTRIA FARMACEUTICA LTDA.</t>
        </is>
      </c>
      <c r="B18" s="17" t="n">
        <v>10696833.99</v>
      </c>
      <c r="C18" s="18" t="inlineStr">
        <is>
          <t>GRUPO DP4</t>
        </is>
      </c>
      <c r="D18" s="19" t="inlineStr">
        <is>
          <t>NEW</t>
        </is>
      </c>
      <c r="E18" s="20" t="inlineStr"/>
      <c r="F18" s="19" t="inlineStr"/>
      <c r="G18" s="20" t="inlineStr"/>
      <c r="H18" s="19" t="inlineStr"/>
      <c r="I18" s="21" t="inlineStr">
        <is>
          <t>BRUNO PETENUCI</t>
        </is>
      </c>
      <c r="J18" s="21" t="inlineStr">
        <is>
          <t>Administrador (RFB partner)</t>
        </is>
      </c>
      <c r="K18" s="21" t="inlineStr">
        <is>
          <t>(43) 3174-8000</t>
        </is>
      </c>
      <c r="L18" s="21" t="inlineStr"/>
      <c r="M18" s="21" t="inlineStr"/>
      <c r="N18" s="21" t="inlineStr"/>
      <c r="O18" s="21" t="inlineStr"/>
      <c r="P18" s="21" t="inlineStr">
        <is>
          <t>DANIELA DE ALMEIDA COUTO BONCIANI</t>
        </is>
      </c>
      <c r="Q18" s="21" t="inlineStr">
        <is>
          <t>Administrador (RFB partner)</t>
        </is>
      </c>
      <c r="R18" s="21" t="inlineStr"/>
      <c r="S18" s="21" t="inlineStr"/>
      <c r="T18" s="21" t="inlineStr">
        <is>
          <t>RFB partner (QSA); no Apollo match</t>
        </is>
      </c>
      <c r="U18" s="22" t="n">
        <v>10696833.99</v>
      </c>
      <c r="V18" s="23" t="inlineStr">
        <is>
          <t>B</t>
        </is>
      </c>
      <c r="W18" s="24">
        <f>IFERROR(VLOOKUP(V18,Assumptions!$A$7:$F$11,2,FALSE),0)</f>
        <v/>
      </c>
      <c r="X18" s="25">
        <f>IF(V18="A",MAX(1,IFERROR(VLOOKUP(V18,Assumptions!$A$7:$F$11,3,FALSE),3)+IFERROR(VLOOKUP(V18,Assumptions!$A$7:$F$11,4,FALSE),8)/2-MAX(0,IF(AO18="",0,YEAR(TODAY())-AO18)-IFERROR(VLOOKUP(V18,Assumptions!$A$7:$F$11,5,FALSE),1.5))),IFERROR(VLOOKUP(V18,Assumptions!$A$7:$F$11,5,FALSE),2.5)+IFERROR(VLOOKUP(V18,Assumptions!$A$7:$F$11,3,FALSE),3)+IFERROR(VLOOKUP(V18,Assumptions!$A$7:$F$11,4,FALSE),8)/2)</f>
        <v/>
      </c>
      <c r="Y18" s="22">
        <f>U18*W18/(1+Assumptions!$B$3)^X18</f>
        <v/>
      </c>
      <c r="Z18" s="26">
        <f>IF(U18=0,"",ROUND(Y18/U18*100,1))</f>
        <v/>
      </c>
      <c r="AA18" s="27">
        <f>Y18*Assumptions!$B$4</f>
        <v/>
      </c>
      <c r="AB18" s="26">
        <f>IF(U18=0,"",ROUND(AA18/U18*100,1))</f>
        <v/>
      </c>
      <c r="AC18" s="27">
        <f>Y18-AA18</f>
        <v/>
      </c>
      <c r="AD18" s="26">
        <f>IF(U18=0,"",ROUND((Y18-AA18)/U18*100,1))</f>
        <v/>
      </c>
      <c r="AE18" s="34" t="inlineStr">
        <is>
          <t>PARTIAL — class III reconciled, other classes not</t>
        </is>
      </c>
      <c r="AF18" s="29" t="inlineStr">
        <is>
          <t>https://marquesadmjudicial.com.br/sgc/download.php?file=files/processo_documento/processo_documento15293208032024_1_.pdf&amp;nome=Relação Nominal de Credores da AJ-Sintética</t>
        </is>
      </c>
      <c r="AG18" s="28" t="inlineStr">
        <is>
          <t>p31 r4</t>
        </is>
      </c>
      <c r="AH18" s="28" t="inlineStr">
        <is>
          <t>p31: R$ 10.696.833,99</t>
        </is>
      </c>
      <c r="AI18" s="28" t="inlineStr">
        <is>
          <t>AJ list (art. 7 §2)</t>
        </is>
      </c>
      <c r="AJ18" s="28" t="inlineStr">
        <is>
          <t>2023-03-02</t>
        </is>
      </c>
      <c r="AK18" s="28" t="inlineStr">
        <is>
          <t>NONE FOUND</t>
        </is>
      </c>
      <c r="AL18" s="30" t="inlineStr">
        <is>
          <t>0005010-98.2023.8.16.0001</t>
        </is>
      </c>
      <c r="AM18" s="30" t="inlineStr">
        <is>
          <t>TJPR</t>
        </is>
      </c>
      <c r="AN18" s="30" t="inlineStr">
        <is>
          <t>ACTIVE</t>
        </is>
      </c>
      <c r="AO18" s="30" t="n">
        <v>2023</v>
      </c>
      <c r="AP18" s="30" t="inlineStr">
        <is>
          <t>live case, no plan document yet</t>
        </is>
      </c>
      <c r="AQ18" s="30" t="inlineStr"/>
      <c r="AR18" s="30" t="inlineStr">
        <is>
          <t>printed on the list (read twice)</t>
        </is>
      </c>
      <c r="AS18" s="30" t="inlineStr">
        <is>
          <t>CAMBE</t>
        </is>
      </c>
      <c r="AT18" s="30" t="inlineStr">
        <is>
          <t>PR</t>
        </is>
      </c>
      <c r="AU18" s="30" t="inlineStr">
        <is>
          <t>Fabricação de medicamentos alopáticos para uso humano</t>
        </is>
      </c>
      <c r="AV18" s="30" t="inlineStr">
        <is>
          <t>DEMAIS</t>
        </is>
      </c>
      <c r="AW18" s="31" t="n">
        <v>317316860</v>
      </c>
      <c r="AX18" s="30" t="inlineStr">
        <is>
          <t>MID-MARKET</t>
        </is>
      </c>
      <c r="AY18" s="30" t="inlineStr">
        <is>
          <t>61286647</t>
        </is>
      </c>
      <c r="AZ18" s="30" t="n">
        <v>1</v>
      </c>
      <c r="BA18" s="30" t="inlineStr">
        <is>
          <t>PARTIAL_DOC_CLASS_III_RECONCILED ROWS:p31r4</t>
        </is>
      </c>
    </row>
    <row r="19">
      <c r="A19" s="16" t="inlineStr">
        <is>
          <t>BASTON INDUSTRIA DE AEROSSOIS LTDA</t>
        </is>
      </c>
      <c r="B19" s="17" t="n">
        <v>10636330.31</v>
      </c>
      <c r="C19" s="18" t="inlineStr">
        <is>
          <t>GRUPO DP4</t>
        </is>
      </c>
      <c r="D19" s="19" t="inlineStr">
        <is>
          <t>NEW</t>
        </is>
      </c>
      <c r="E19" s="20" t="inlineStr"/>
      <c r="F19" s="19" t="inlineStr"/>
      <c r="G19" s="20" t="inlineStr"/>
      <c r="H19" s="19" t="inlineStr"/>
      <c r="I19" s="21" t="inlineStr">
        <is>
          <t>Fabiano Malucelli</t>
        </is>
      </c>
      <c r="J19" s="21" t="inlineStr">
        <is>
          <t>Sales Representative</t>
        </is>
      </c>
      <c r="K19" s="21" t="inlineStr">
        <is>
          <t>(42) 3252-8120</t>
        </is>
      </c>
      <c r="L19" s="21" t="inlineStr">
        <is>
          <t>(42) 3252-1705</t>
        </is>
      </c>
      <c r="M19" s="21" t="inlineStr"/>
      <c r="N19" s="21" t="inlineStr">
        <is>
          <t>fabiano@baston.com.br</t>
        </is>
      </c>
      <c r="O19" s="21" t="inlineStr">
        <is>
          <t>filipe.lusana@baston.com.br</t>
        </is>
      </c>
      <c r="P19" s="21" t="inlineStr">
        <is>
          <t>Filipe Lusana</t>
        </is>
      </c>
      <c r="Q19" s="21" t="inlineStr">
        <is>
          <t>Vice Presidente Comercial</t>
        </is>
      </c>
      <c r="R19" s="21" t="inlineStr"/>
      <c r="S19" s="21" t="inlineStr">
        <is>
          <t>filipe.lusana@baston.com.br</t>
        </is>
      </c>
      <c r="T19" s="21" t="inlineStr">
        <is>
          <t>email verified by Apollo</t>
        </is>
      </c>
      <c r="U19" s="22" t="n">
        <v>10636330.31</v>
      </c>
      <c r="V19" s="23" t="inlineStr">
        <is>
          <t>B</t>
        </is>
      </c>
      <c r="W19" s="24">
        <f>IFERROR(VLOOKUP(V19,Assumptions!$A$7:$F$11,2,FALSE),0)</f>
        <v/>
      </c>
      <c r="X19" s="25">
        <f>IF(V19="A",MAX(1,IFERROR(VLOOKUP(V19,Assumptions!$A$7:$F$11,3,FALSE),3)+IFERROR(VLOOKUP(V19,Assumptions!$A$7:$F$11,4,FALSE),8)/2-MAX(0,IF(AO19="",0,YEAR(TODAY())-AO19)-IFERROR(VLOOKUP(V19,Assumptions!$A$7:$F$11,5,FALSE),1.5))),IFERROR(VLOOKUP(V19,Assumptions!$A$7:$F$11,5,FALSE),2.5)+IFERROR(VLOOKUP(V19,Assumptions!$A$7:$F$11,3,FALSE),3)+IFERROR(VLOOKUP(V19,Assumptions!$A$7:$F$11,4,FALSE),8)/2)</f>
        <v/>
      </c>
      <c r="Y19" s="22">
        <f>U19*W19/(1+Assumptions!$B$3)^X19</f>
        <v/>
      </c>
      <c r="Z19" s="26">
        <f>IF(U19=0,"",ROUND(Y19/U19*100,1))</f>
        <v/>
      </c>
      <c r="AA19" s="27">
        <f>Y19*Assumptions!$B$4</f>
        <v/>
      </c>
      <c r="AB19" s="26">
        <f>IF(U19=0,"",ROUND(AA19/U19*100,1))</f>
        <v/>
      </c>
      <c r="AC19" s="27">
        <f>Y19-AA19</f>
        <v/>
      </c>
      <c r="AD19" s="26">
        <f>IF(U19=0,"",ROUND((Y19-AA19)/U19*100,1))</f>
        <v/>
      </c>
      <c r="AE19" s="34" t="inlineStr">
        <is>
          <t>PARTIAL — class III reconciled, other classes not</t>
        </is>
      </c>
      <c r="AF19" s="29" t="inlineStr">
        <is>
          <t>https://marquesadmjudicial.com.br/sgc/download.php?file=files/processo_documento/processo_documento15293208032024_1_.pdf&amp;nome=Relação Nominal de Credores da AJ-Sintética</t>
        </is>
      </c>
      <c r="AG19" s="28" t="inlineStr">
        <is>
          <t>p21 r8</t>
        </is>
      </c>
      <c r="AH19" s="28" t="inlineStr">
        <is>
          <t>p21: R$ 10.636.330,31</t>
        </is>
      </c>
      <c r="AI19" s="28" t="inlineStr">
        <is>
          <t>AJ list (art. 7 §2)</t>
        </is>
      </c>
      <c r="AJ19" s="28" t="inlineStr">
        <is>
          <t>2023-03-02</t>
        </is>
      </c>
      <c r="AK19" s="28" t="inlineStr">
        <is>
          <t>NONE FOUND</t>
        </is>
      </c>
      <c r="AL19" s="30" t="inlineStr">
        <is>
          <t>0005010-98.2023.8.16.0001</t>
        </is>
      </c>
      <c r="AM19" s="30" t="inlineStr">
        <is>
          <t>TJPR</t>
        </is>
      </c>
      <c r="AN19" s="30" t="inlineStr">
        <is>
          <t>ACTIVE</t>
        </is>
      </c>
      <c r="AO19" s="30" t="n">
        <v>2023</v>
      </c>
      <c r="AP19" s="30" t="inlineStr">
        <is>
          <t>live case, no plan document yet</t>
        </is>
      </c>
      <c r="AQ19" s="30" t="inlineStr"/>
      <c r="AR19" s="30" t="inlineStr">
        <is>
          <t>printed on the list (read twice)</t>
        </is>
      </c>
      <c r="AS19" s="30" t="inlineStr">
        <is>
          <t>PALMEIRA</t>
        </is>
      </c>
      <c r="AT19" s="30" t="inlineStr">
        <is>
          <t>PR</t>
        </is>
      </c>
      <c r="AU19" s="30" t="inlineStr">
        <is>
          <t>Fabricação de outros produtos químicos não especificados anteriormente</t>
        </is>
      </c>
      <c r="AV19" s="30" t="inlineStr">
        <is>
          <t>DEMAIS</t>
        </is>
      </c>
      <c r="AW19" s="31" t="n">
        <v>101612480</v>
      </c>
      <c r="AX19" s="30" t="inlineStr">
        <is>
          <t>MID-MARKET</t>
        </is>
      </c>
      <c r="AY19" s="30" t="inlineStr">
        <is>
          <t>05855974</t>
        </is>
      </c>
      <c r="AZ19" s="30" t="n">
        <v>1</v>
      </c>
      <c r="BA19" s="30" t="inlineStr">
        <is>
          <t>PARTIAL_DOC_CLASS_III_RECONCILED ROWS:p21r8</t>
        </is>
      </c>
    </row>
    <row r="20">
      <c r="A20" s="16" t="inlineStr">
        <is>
          <t>DANONE LTDA</t>
        </is>
      </c>
      <c r="B20" s="17" t="n">
        <v>9093937.710000001</v>
      </c>
      <c r="C20" s="18" t="inlineStr">
        <is>
          <t>GRUPO DP4</t>
        </is>
      </c>
      <c r="D20" s="19" t="inlineStr">
        <is>
          <t>NEW</t>
        </is>
      </c>
      <c r="E20" s="20" t="inlineStr"/>
      <c r="F20" s="19" t="inlineStr"/>
      <c r="G20" s="20" t="inlineStr"/>
      <c r="H20" s="19" t="inlineStr"/>
      <c r="I20" s="21" t="inlineStr">
        <is>
          <t>GEOVANI VIEIRA MANZANO</t>
        </is>
      </c>
      <c r="J20" s="21" t="inlineStr">
        <is>
          <t>Administrador (RFB partner)</t>
        </is>
      </c>
      <c r="K20" s="21" t="inlineStr">
        <is>
          <t>(35) 3729-7901</t>
        </is>
      </c>
      <c r="L20" s="21" t="inlineStr"/>
      <c r="M20" s="21" t="inlineStr"/>
      <c r="N20" s="21" t="inlineStr"/>
      <c r="O20" s="21" t="inlineStr"/>
      <c r="P20" s="21" t="inlineStr">
        <is>
          <t>TIAGO CARNEIRO DOS SANTOS</t>
        </is>
      </c>
      <c r="Q20" s="21" t="inlineStr">
        <is>
          <t>Administrador (RFB partner)</t>
        </is>
      </c>
      <c r="R20" s="21" t="inlineStr"/>
      <c r="S20" s="21" t="inlineStr"/>
      <c r="T20" s="21" t="inlineStr">
        <is>
          <t>RFB partner (QSA); no Apollo match</t>
        </is>
      </c>
      <c r="U20" s="22" t="n">
        <v>9093937.710000001</v>
      </c>
      <c r="V20" s="23" t="inlineStr">
        <is>
          <t>B</t>
        </is>
      </c>
      <c r="W20" s="24">
        <f>IFERROR(VLOOKUP(V20,Assumptions!$A$7:$F$11,2,FALSE),0)</f>
        <v/>
      </c>
      <c r="X20" s="25">
        <f>IF(V20="A",MAX(1,IFERROR(VLOOKUP(V20,Assumptions!$A$7:$F$11,3,FALSE),3)+IFERROR(VLOOKUP(V20,Assumptions!$A$7:$F$11,4,FALSE),8)/2-MAX(0,IF(AO20="",0,YEAR(TODAY())-AO20)-IFERROR(VLOOKUP(V20,Assumptions!$A$7:$F$11,5,FALSE),1.5))),IFERROR(VLOOKUP(V20,Assumptions!$A$7:$F$11,5,FALSE),2.5)+IFERROR(VLOOKUP(V20,Assumptions!$A$7:$F$11,3,FALSE),3)+IFERROR(VLOOKUP(V20,Assumptions!$A$7:$F$11,4,FALSE),8)/2)</f>
        <v/>
      </c>
      <c r="Y20" s="22">
        <f>U20*W20/(1+Assumptions!$B$3)^X20</f>
        <v/>
      </c>
      <c r="Z20" s="26">
        <f>IF(U20=0,"",ROUND(Y20/U20*100,1))</f>
        <v/>
      </c>
      <c r="AA20" s="27">
        <f>Y20*Assumptions!$B$4</f>
        <v/>
      </c>
      <c r="AB20" s="26">
        <f>IF(U20=0,"",ROUND(AA20/U20*100,1))</f>
        <v/>
      </c>
      <c r="AC20" s="27">
        <f>Y20-AA20</f>
        <v/>
      </c>
      <c r="AD20" s="26">
        <f>IF(U20=0,"",ROUND((Y20-AA20)/U20*100,1))</f>
        <v/>
      </c>
      <c r="AE20" s="34" t="inlineStr">
        <is>
          <t>PARTIAL — class III reconciled, other classes not</t>
        </is>
      </c>
      <c r="AF20" s="29" t="inlineStr">
        <is>
          <t>https://marquesadmjudicial.com.br/sgc/download.php?file=files/processo_documento/processo_documento15293208032024_1_.pdf&amp;nome=Relação Nominal de Credores da AJ-Sintética</t>
        </is>
      </c>
      <c r="AG20" s="28" t="inlineStr">
        <is>
          <t>p24 r6</t>
        </is>
      </c>
      <c r="AH20" s="28" t="inlineStr">
        <is>
          <t>p24: R$ 9.093.937,71</t>
        </is>
      </c>
      <c r="AI20" s="28" t="inlineStr">
        <is>
          <t>AJ list (art. 7 §2)</t>
        </is>
      </c>
      <c r="AJ20" s="28" t="inlineStr">
        <is>
          <t>2023-03-02</t>
        </is>
      </c>
      <c r="AK20" s="28" t="inlineStr">
        <is>
          <t>NONE FOUND</t>
        </is>
      </c>
      <c r="AL20" s="30" t="inlineStr">
        <is>
          <t>0005010-98.2023.8.16.0001</t>
        </is>
      </c>
      <c r="AM20" s="30" t="inlineStr">
        <is>
          <t>TJPR</t>
        </is>
      </c>
      <c r="AN20" s="30" t="inlineStr">
        <is>
          <t>ACTIVE</t>
        </is>
      </c>
      <c r="AO20" s="30" t="n">
        <v>2023</v>
      </c>
      <c r="AP20" s="30" t="inlineStr">
        <is>
          <t>live case, no plan document yet</t>
        </is>
      </c>
      <c r="AQ20" s="30" t="inlineStr"/>
      <c r="AR20" s="30" t="inlineStr">
        <is>
          <t>printed on the list (read twice)</t>
        </is>
      </c>
      <c r="AS20" s="30" t="inlineStr">
        <is>
          <t>SAO PAULO</t>
        </is>
      </c>
      <c r="AT20" s="30" t="inlineStr">
        <is>
          <t>SP</t>
        </is>
      </c>
      <c r="AU20" s="30" t="inlineStr">
        <is>
          <t>Fabricação de laticínios</t>
        </is>
      </c>
      <c r="AV20" s="30" t="inlineStr">
        <is>
          <t>DEMAIS</t>
        </is>
      </c>
      <c r="AW20" s="31" t="n">
        <v>851128000</v>
      </c>
      <c r="AX20" s="30" t="inlineStr">
        <is>
          <t>MID-MARKET</t>
        </is>
      </c>
      <c r="AY20" s="30" t="inlineStr">
        <is>
          <t>23643315</t>
        </is>
      </c>
      <c r="AZ20" s="30" t="n">
        <v>1</v>
      </c>
      <c r="BA20" s="30" t="inlineStr">
        <is>
          <t>PARTIAL_DOC_CLASS_III_RECONCILED ROWS:p24r6</t>
        </is>
      </c>
    </row>
    <row r="21">
      <c r="A21" s="16" t="inlineStr">
        <is>
          <t>COPA ENERGIA S.A.</t>
        </is>
      </c>
      <c r="B21" s="17" t="n">
        <v>9000000</v>
      </c>
      <c r="C21" s="18" t="inlineStr">
        <is>
          <t>GRUPO GLP</t>
        </is>
      </c>
      <c r="D21" s="19" t="inlineStr">
        <is>
          <t>NEW</t>
        </is>
      </c>
      <c r="E21" s="20" t="inlineStr"/>
      <c r="F21" s="19" t="inlineStr"/>
      <c r="G21" s="20" t="inlineStr"/>
      <c r="H21" s="19" t="inlineStr"/>
      <c r="I21" s="21" t="inlineStr">
        <is>
          <t>Eduardo Souza</t>
        </is>
      </c>
      <c r="J21" s="21" t="inlineStr">
        <is>
          <t>Gerente de Crédito e Cobrança</t>
        </is>
      </c>
      <c r="K21" s="21" t="inlineStr">
        <is>
          <t>(11) 5505-4077</t>
        </is>
      </c>
      <c r="L21" s="21" t="inlineStr"/>
      <c r="M21" s="21" t="inlineStr"/>
      <c r="N21" s="21" t="inlineStr">
        <is>
          <t>eduardo.souza@copaenergia.com.br</t>
        </is>
      </c>
      <c r="O21" s="21" t="inlineStr">
        <is>
          <t>carlos.martins@copaenergia.com.br</t>
        </is>
      </c>
      <c r="P21" s="21" t="inlineStr">
        <is>
          <t>Carlos Martins</t>
        </is>
      </c>
      <c r="Q21" s="21" t="inlineStr">
        <is>
          <t>Treasury Manager</t>
        </is>
      </c>
      <c r="R21" s="21" t="inlineStr"/>
      <c r="S21" s="21" t="inlineStr">
        <is>
          <t>carlos.martins@copaenergia.com.br</t>
        </is>
      </c>
      <c r="T21" s="21" t="inlineStr">
        <is>
          <t>email verified by Apollo</t>
        </is>
      </c>
      <c r="U21" s="22" t="n">
        <v>9000000</v>
      </c>
      <c r="V21" s="23" t="inlineStr">
        <is>
          <t>B</t>
        </is>
      </c>
      <c r="W21" s="24">
        <f>IFERROR(VLOOKUP(V21,Assumptions!$A$7:$F$11,2,FALSE),0)</f>
        <v/>
      </c>
      <c r="X21" s="25">
        <f>IF(V21="A",MAX(1,IFERROR(VLOOKUP(V21,Assumptions!$A$7:$F$11,3,FALSE),3)+IFERROR(VLOOKUP(V21,Assumptions!$A$7:$F$11,4,FALSE),8)/2-MAX(0,IF(AO21="",0,YEAR(TODAY())-AO21)-IFERROR(VLOOKUP(V21,Assumptions!$A$7:$F$11,5,FALSE),1.5))),IFERROR(VLOOKUP(V21,Assumptions!$A$7:$F$11,5,FALSE),2.5)+IFERROR(VLOOKUP(V21,Assumptions!$A$7:$F$11,3,FALSE),3)+IFERROR(VLOOKUP(V21,Assumptions!$A$7:$F$11,4,FALSE),8)/2)</f>
        <v/>
      </c>
      <c r="Y21" s="22">
        <f>U21*W21/(1+Assumptions!$B$3)^X21</f>
        <v/>
      </c>
      <c r="Z21" s="26">
        <f>IF(U21=0,"",ROUND(Y21/U21*100,1))</f>
        <v/>
      </c>
      <c r="AA21" s="27">
        <f>Y21*Assumptions!$B$4</f>
        <v/>
      </c>
      <c r="AB21" s="26">
        <f>IF(U21=0,"",ROUND(AA21/U21*100,1))</f>
        <v/>
      </c>
      <c r="AC21" s="27">
        <f>Y21-AA21</f>
        <v/>
      </c>
      <c r="AD21" s="26">
        <f>IF(U21=0,"",ROUND((Y21-AA21)/U21*100,1))</f>
        <v/>
      </c>
      <c r="AE21" s="28" t="inlineStr">
        <is>
          <t>OK — totals reconciled</t>
        </is>
      </c>
      <c r="AF21" s="29" t="inlineStr">
        <is>
          <t>https://recuperasolucoes.com/wp-content/plugins/download-attachments/includes/download.php?id=1597</t>
        </is>
      </c>
      <c r="AG21" s="28" t="inlineStr">
        <is>
          <t>p13 r12</t>
        </is>
      </c>
      <c r="AH21" s="28" t="inlineStr">
        <is>
          <t>p13: R$ 9.000.000,00</t>
        </is>
      </c>
      <c r="AI21" s="28" t="inlineStr">
        <is>
          <t>Debtor list (art. 51)</t>
        </is>
      </c>
      <c r="AJ21" s="28" t="inlineStr">
        <is>
          <t>2026-05-21</t>
        </is>
      </c>
      <c r="AK21" s="28" t="inlineStr">
        <is>
          <t>NONE FOUND</t>
        </is>
      </c>
      <c r="AL21" s="30" t="inlineStr">
        <is>
          <t>0001639-09.2026.8.17.2810</t>
        </is>
      </c>
      <c r="AM21" s="30" t="inlineStr">
        <is>
          <t>TJPE</t>
        </is>
      </c>
      <c r="AN21" s="30" t="inlineStr">
        <is>
          <t>ACTIVE</t>
        </is>
      </c>
      <c r="AO21" s="30" t="n">
        <v>2026</v>
      </c>
      <c r="AP21" s="30" t="inlineStr">
        <is>
          <t>live case, no plan document yet</t>
        </is>
      </c>
      <c r="AQ21" s="30" t="inlineStr"/>
      <c r="AR21" s="30" t="inlineStr">
        <is>
          <t>printed on the list (read twice)</t>
        </is>
      </c>
      <c r="AS21" s="30" t="inlineStr">
        <is>
          <t>SAO PAULO</t>
        </is>
      </c>
      <c r="AT21" s="30" t="inlineStr">
        <is>
          <t>SP</t>
        </is>
      </c>
      <c r="AU21" s="30" t="inlineStr">
        <is>
          <t>Comércio atacadista de gás liqüefeito de petróleo (GLP)</t>
        </is>
      </c>
      <c r="AV21" s="30" t="inlineStr">
        <is>
          <t>DEMAIS</t>
        </is>
      </c>
      <c r="AW21" s="31" t="n">
        <v>1052991300</v>
      </c>
      <c r="AX21" s="30" t="inlineStr">
        <is>
          <t>LARGE CORP</t>
        </is>
      </c>
      <c r="AY21" s="30" t="inlineStr">
        <is>
          <t>03237583</t>
        </is>
      </c>
      <c r="AZ21" s="30" t="n">
        <v>1</v>
      </c>
      <c r="BA21" s="30" t="inlineStr">
        <is>
          <t>ROWS:p13r12</t>
        </is>
      </c>
    </row>
    <row r="22">
      <c r="A22" s="16" t="inlineStr">
        <is>
          <t>BACUPARI AGROINDUSTRIA LTDA</t>
        </is>
      </c>
      <c r="B22" s="17" t="n">
        <v>4500000</v>
      </c>
      <c r="C22" s="18" t="inlineStr">
        <is>
          <t>GRUPO 3E</t>
        </is>
      </c>
      <c r="D22" s="19" t="inlineStr">
        <is>
          <t>NEW</t>
        </is>
      </c>
      <c r="E22" s="20" t="inlineStr"/>
      <c r="F22" s="19" t="inlineStr"/>
      <c r="G22" s="20" t="inlineStr"/>
      <c r="H22" s="19" t="inlineStr"/>
      <c r="I22" s="21" t="inlineStr">
        <is>
          <t>ANA PAOLA BRANDAO RAZEM ABRAO</t>
        </is>
      </c>
      <c r="J22" s="21" t="inlineStr">
        <is>
          <t>Sócio-Administrador (RFB partner)</t>
        </is>
      </c>
      <c r="K22" s="21" t="inlineStr">
        <is>
          <t>(61) 9655-6611</t>
        </is>
      </c>
      <c r="L22" s="21" t="inlineStr"/>
      <c r="M22" s="21" t="inlineStr"/>
      <c r="N22" s="21" t="inlineStr"/>
      <c r="O22" s="21" t="inlineStr"/>
      <c r="P22" s="21" t="inlineStr">
        <is>
          <t>RAUL FRANCISCO MADUREIRA DE LIMA</t>
        </is>
      </c>
      <c r="Q22" s="21" t="inlineStr">
        <is>
          <t>Sócio-Administrador (RFB partner)</t>
        </is>
      </c>
      <c r="R22" s="21" t="inlineStr"/>
      <c r="S22" s="21" t="inlineStr"/>
      <c r="T22" s="21" t="inlineStr">
        <is>
          <t>RFB partner (QSA); no Apollo match</t>
        </is>
      </c>
      <c r="U22" s="22" t="n">
        <v>4500000</v>
      </c>
      <c r="V22" s="35" t="inlineStr">
        <is>
          <t>A</t>
        </is>
      </c>
      <c r="W22" s="24">
        <f>IFERROR(VLOOKUP(V22,Assumptions!$A$7:$F$11,2,FALSE),0)</f>
        <v/>
      </c>
      <c r="X22" s="25">
        <f>IF(V22="A",MAX(1,IFERROR(VLOOKUP(V22,Assumptions!$A$7:$F$11,3,FALSE),3)+IFERROR(VLOOKUP(V22,Assumptions!$A$7:$F$11,4,FALSE),8)/2-MAX(0,IF(AO22="",0,YEAR(TODAY())-AO22)-IFERROR(VLOOKUP(V22,Assumptions!$A$7:$F$11,5,FALSE),1.5))),IFERROR(VLOOKUP(V22,Assumptions!$A$7:$F$11,5,FALSE),2.5)+IFERROR(VLOOKUP(V22,Assumptions!$A$7:$F$11,3,FALSE),3)+IFERROR(VLOOKUP(V22,Assumptions!$A$7:$F$11,4,FALSE),8)/2)</f>
        <v/>
      </c>
      <c r="Y22" s="22">
        <f>U22*W22/(1+Assumptions!$B$3)^X22</f>
        <v/>
      </c>
      <c r="Z22" s="26">
        <f>IF(U22=0,"",ROUND(Y22/U22*100,1))</f>
        <v/>
      </c>
      <c r="AA22" s="27">
        <f>Y22*Assumptions!$B$4</f>
        <v/>
      </c>
      <c r="AB22" s="26">
        <f>IF(U22=0,"",ROUND(AA22/U22*100,1))</f>
        <v/>
      </c>
      <c r="AC22" s="27">
        <f>Y22-AA22</f>
        <v/>
      </c>
      <c r="AD22" s="26">
        <f>IF(U22=0,"",ROUND((Y22-AA22)/U22*100,1))</f>
        <v/>
      </c>
      <c r="AE22" s="33" t="inlineStr">
        <is>
          <t>NO TOTALS — list prints none; check page</t>
        </is>
      </c>
      <c r="AF22" s="29" t="inlineStr">
        <is>
          <t>https://stenius.com.br/wp-content/uploads/2026/06/EDITAL-GRUPO-3E.pdf</t>
        </is>
      </c>
      <c r="AG22" s="28" t="inlineStr">
        <is>
          <t>p10 r29</t>
        </is>
      </c>
      <c r="AH22" s="28" t="inlineStr">
        <is>
          <t>p10: R$ 4.500.000,00</t>
        </is>
      </c>
      <c r="AI22" s="28" t="inlineStr">
        <is>
          <t>Debtor list (art. 51)</t>
        </is>
      </c>
      <c r="AJ22" s="28" t="inlineStr">
        <is>
          <t>2026-06-22</t>
        </is>
      </c>
      <c r="AK22" s="28" t="inlineStr">
        <is>
          <t>PLAN DOC FOUND</t>
        </is>
      </c>
      <c r="AL22" s="30" t="inlineStr">
        <is>
          <t>5341375-33.2026.8.09.0049</t>
        </is>
      </c>
      <c r="AM22" s="30" t="inlineStr">
        <is>
          <t>TJGO</t>
        </is>
      </c>
      <c r="AN22" s="30" t="inlineStr">
        <is>
          <t>ACTIVE</t>
        </is>
      </c>
      <c r="AO22" s="30" t="n">
        <v>2026</v>
      </c>
      <c r="AP22" s="30" t="inlineStr">
        <is>
          <t>plan/homologation document found</t>
        </is>
      </c>
      <c r="AQ22" s="30" t="inlineStr"/>
      <c r="AR22" s="30" t="inlineStr">
        <is>
          <t>printed on the list (read twice)</t>
        </is>
      </c>
      <c r="AS22" s="30" t="inlineStr">
        <is>
          <t>BRASILIA</t>
        </is>
      </c>
      <c r="AT22" s="30" t="inlineStr">
        <is>
          <t>DF</t>
        </is>
      </c>
      <c r="AU22" s="30" t="inlineStr">
        <is>
          <t>Compra e venda de imóveis próprios</t>
        </is>
      </c>
      <c r="AV22" s="30" t="inlineStr">
        <is>
          <t>DEMAIS</t>
        </is>
      </c>
      <c r="AW22" s="31" t="n">
        <v>200000</v>
      </c>
      <c r="AX22" s="30" t="inlineStr">
        <is>
          <t>MID-MARKET</t>
        </is>
      </c>
      <c r="AY22" s="30" t="inlineStr">
        <is>
          <t>19907274</t>
        </is>
      </c>
      <c r="AZ22" s="30" t="n">
        <v>1</v>
      </c>
      <c r="BA22" s="30" t="inlineStr">
        <is>
          <t>ROWS:p10r29 UNRECONCILED_SOURCE</t>
        </is>
      </c>
    </row>
    <row r="23">
      <c r="A23" s="16" t="inlineStr">
        <is>
          <t>FIRST S/A</t>
        </is>
      </c>
      <c r="B23" s="17" t="n">
        <v>8354815.13</v>
      </c>
      <c r="C23" s="18" t="inlineStr">
        <is>
          <t>Grupo Rech</t>
        </is>
      </c>
      <c r="D23" s="19" t="inlineStr">
        <is>
          <t>NEW</t>
        </is>
      </c>
      <c r="E23" s="20" t="inlineStr"/>
      <c r="F23" s="19" t="inlineStr"/>
      <c r="G23" s="20" t="inlineStr"/>
      <c r="H23" s="19" t="inlineStr"/>
      <c r="I23" s="21" t="inlineStr">
        <is>
          <t>NATANAEL SANTOS DE SOUZA</t>
        </is>
      </c>
      <c r="J23" s="21" t="inlineStr">
        <is>
          <t>Presidente (RFB partner)</t>
        </is>
      </c>
      <c r="K23" s="21" t="inlineStr">
        <is>
          <t>(11) 5054-8110</t>
        </is>
      </c>
      <c r="L23" s="21" t="inlineStr"/>
      <c r="M23" s="21" t="inlineStr"/>
      <c r="N23" s="21" t="inlineStr"/>
      <c r="O23" s="21" t="inlineStr"/>
      <c r="P23" s="21" t="inlineStr">
        <is>
          <t>MARA HELENA MARTINI DE SOUZA</t>
        </is>
      </c>
      <c r="Q23" s="21" t="inlineStr">
        <is>
          <t>Diretor (RFB partner)</t>
        </is>
      </c>
      <c r="R23" s="21" t="inlineStr"/>
      <c r="S23" s="21" t="inlineStr"/>
      <c r="T23" s="21" t="inlineStr">
        <is>
          <t>RFB partner (QSA); no Apollo match</t>
        </is>
      </c>
      <c r="U23" s="22" t="n">
        <v>8354815.13</v>
      </c>
      <c r="V23" s="23" t="inlineStr">
        <is>
          <t>B</t>
        </is>
      </c>
      <c r="W23" s="24">
        <f>IFERROR(VLOOKUP(V23,Assumptions!$A$7:$F$11,2,FALSE),0)</f>
        <v/>
      </c>
      <c r="X23" s="25">
        <f>IF(V23="A",MAX(1,IFERROR(VLOOKUP(V23,Assumptions!$A$7:$F$11,3,FALSE),3)+IFERROR(VLOOKUP(V23,Assumptions!$A$7:$F$11,4,FALSE),8)/2-MAX(0,IF(AO23="",0,YEAR(TODAY())-AO23)-IFERROR(VLOOKUP(V23,Assumptions!$A$7:$F$11,5,FALSE),1.5))),IFERROR(VLOOKUP(V23,Assumptions!$A$7:$F$11,5,FALSE),2.5)+IFERROR(VLOOKUP(V23,Assumptions!$A$7:$F$11,3,FALSE),3)+IFERROR(VLOOKUP(V23,Assumptions!$A$7:$F$11,4,FALSE),8)/2)</f>
        <v/>
      </c>
      <c r="Y23" s="22">
        <f>U23*W23/(1+Assumptions!$B$3)^X23</f>
        <v/>
      </c>
      <c r="Z23" s="26">
        <f>IF(U23=0,"",ROUND(Y23/U23*100,1))</f>
        <v/>
      </c>
      <c r="AA23" s="27">
        <f>Y23*Assumptions!$B$4</f>
        <v/>
      </c>
      <c r="AB23" s="26">
        <f>IF(U23=0,"",ROUND(AA23/U23*100,1))</f>
        <v/>
      </c>
      <c r="AC23" s="27">
        <f>Y23-AA23</f>
        <v/>
      </c>
      <c r="AD23" s="26">
        <f>IF(U23=0,"",ROUND((Y23-AA23)/U23*100,1))</f>
        <v/>
      </c>
      <c r="AE23" s="36" t="inlineStr">
        <is>
          <t>CHECK — source is not a statutory creditor list</t>
        </is>
      </c>
      <c r="AF23" s="29" t="inlineStr">
        <is>
          <t>https://credibilita.com.br/wp-content/uploads/2025/09/Relacao-Credores-29.04.2026.pdf</t>
        </is>
      </c>
      <c r="AG23" s="28" t="inlineStr">
        <is>
          <t>p1 r23</t>
        </is>
      </c>
      <c r="AH23" s="28" t="inlineStr">
        <is>
          <t>p1: R$ 8.354.815,13</t>
        </is>
      </c>
      <c r="AI23" s="28" t="inlineStr">
        <is>
          <t>Quorum list — NOT an art. 7/51 list</t>
        </is>
      </c>
      <c r="AJ23" s="28" t="inlineStr"/>
      <c r="AK23" s="28" t="inlineStr">
        <is>
          <t>NONE FOUND</t>
        </is>
      </c>
      <c r="AL23" s="30" t="inlineStr">
        <is>
          <t>5057720-48.2025.8.24.0023</t>
        </is>
      </c>
      <c r="AM23" s="30" t="inlineStr">
        <is>
          <t>TJSC</t>
        </is>
      </c>
      <c r="AN23" s="30" t="inlineStr"/>
      <c r="AO23" s="30" t="n">
        <v>2025</v>
      </c>
      <c r="AP23" s="30" t="inlineStr">
        <is>
          <t>live case, no plan document yet</t>
        </is>
      </c>
      <c r="AQ23" s="30" t="inlineStr"/>
      <c r="AR23" s="30" t="inlineStr">
        <is>
          <t>portal page title / URL — not printed on the list</t>
        </is>
      </c>
      <c r="AS23" s="30" t="inlineStr">
        <is>
          <t>SAO PAULO</t>
        </is>
      </c>
      <c r="AT23" s="30" t="inlineStr">
        <is>
          <t>SP</t>
        </is>
      </c>
      <c r="AU23" s="30" t="inlineStr">
        <is>
          <t>Comércio atacadista especializado em outros produtos intermediários não especificados anteriormente</t>
        </is>
      </c>
      <c r="AV23" s="30" t="inlineStr">
        <is>
          <t>DEMAIS</t>
        </is>
      </c>
      <c r="AW23" s="31" t="n">
        <v>20537872</v>
      </c>
      <c r="AX23" s="30" t="inlineStr">
        <is>
          <t>MID-MARKET</t>
        </is>
      </c>
      <c r="AY23" s="30" t="inlineStr">
        <is>
          <t>00802235</t>
        </is>
      </c>
      <c r="AZ23" s="30" t="n">
        <v>1</v>
      </c>
      <c r="BA23" s="30" t="inlineStr">
        <is>
          <t>ROWS:p1r23 UNRECONCILED_SOURCE VALUE_COL:Valor_Após_Analise CASE_NUMBER_CORRECTED</t>
        </is>
      </c>
    </row>
    <row r="24">
      <c r="A24" s="16" t="inlineStr">
        <is>
          <t>IPESA DO BRASIL COMERCIO DE PRODUTOS PLASTICOS LTDA</t>
        </is>
      </c>
      <c r="B24" s="17" t="n">
        <v>8353250</v>
      </c>
      <c r="C24" s="18" t="inlineStr">
        <is>
          <t>Grupo Rech</t>
        </is>
      </c>
      <c r="D24" s="19" t="inlineStr">
        <is>
          <t>NEW</t>
        </is>
      </c>
      <c r="E24" s="20" t="inlineStr"/>
      <c r="F24" s="19" t="inlineStr"/>
      <c r="G24" s="20" t="inlineStr"/>
      <c r="H24" s="19" t="inlineStr"/>
      <c r="I24" s="21" t="inlineStr">
        <is>
          <t>Virginia Kumvich</t>
        </is>
      </c>
      <c r="J24" s="21" t="inlineStr">
        <is>
          <t>Diretora Comercial, de Negócios &amp; Estratégia</t>
        </is>
      </c>
      <c r="K24" s="21" t="inlineStr">
        <is>
          <t>(11) 5524-2877</t>
        </is>
      </c>
      <c r="L24" s="21" t="inlineStr"/>
      <c r="M24" s="21" t="inlineStr"/>
      <c r="N24" s="21" t="inlineStr"/>
      <c r="O24" s="21" t="inlineStr"/>
      <c r="P24" s="21" t="inlineStr">
        <is>
          <t>Pedro Santos</t>
        </is>
      </c>
      <c r="Q24" s="21" t="inlineStr">
        <is>
          <t>Financial Analyst</t>
        </is>
      </c>
      <c r="R24" s="21" t="inlineStr"/>
      <c r="S24" s="21" t="inlineStr"/>
      <c r="T24" s="21" t="inlineStr">
        <is>
          <t>no work email found in Apollo</t>
        </is>
      </c>
      <c r="U24" s="22" t="n">
        <v>8353250</v>
      </c>
      <c r="V24" s="23" t="inlineStr">
        <is>
          <t>B</t>
        </is>
      </c>
      <c r="W24" s="24">
        <f>IFERROR(VLOOKUP(V24,Assumptions!$A$7:$F$11,2,FALSE),0)</f>
        <v/>
      </c>
      <c r="X24" s="25">
        <f>IF(V24="A",MAX(1,IFERROR(VLOOKUP(V24,Assumptions!$A$7:$F$11,3,FALSE),3)+IFERROR(VLOOKUP(V24,Assumptions!$A$7:$F$11,4,FALSE),8)/2-MAX(0,IF(AO24="",0,YEAR(TODAY())-AO24)-IFERROR(VLOOKUP(V24,Assumptions!$A$7:$F$11,5,FALSE),1.5))),IFERROR(VLOOKUP(V24,Assumptions!$A$7:$F$11,5,FALSE),2.5)+IFERROR(VLOOKUP(V24,Assumptions!$A$7:$F$11,3,FALSE),3)+IFERROR(VLOOKUP(V24,Assumptions!$A$7:$F$11,4,FALSE),8)/2)</f>
        <v/>
      </c>
      <c r="Y24" s="22">
        <f>U24*W24/(1+Assumptions!$B$3)^X24</f>
        <v/>
      </c>
      <c r="Z24" s="26">
        <f>IF(U24=0,"",ROUND(Y24/U24*100,1))</f>
        <v/>
      </c>
      <c r="AA24" s="27">
        <f>Y24*Assumptions!$B$4</f>
        <v/>
      </c>
      <c r="AB24" s="26">
        <f>IF(U24=0,"",ROUND(AA24/U24*100,1))</f>
        <v/>
      </c>
      <c r="AC24" s="27">
        <f>Y24-AA24</f>
        <v/>
      </c>
      <c r="AD24" s="26">
        <f>IF(U24=0,"",ROUND((Y24-AA24)/U24*100,1))</f>
        <v/>
      </c>
      <c r="AE24" s="36" t="inlineStr">
        <is>
          <t>CHECK — source is not a statutory creditor list</t>
        </is>
      </c>
      <c r="AF24" s="29" t="inlineStr">
        <is>
          <t>https://credibilita.com.br/wp-content/uploads/2025/09/Relacao-Credores-29.04.2026.pdf</t>
        </is>
      </c>
      <c r="AG24" s="28" t="inlineStr">
        <is>
          <t>p1 r27</t>
        </is>
      </c>
      <c r="AH24" s="28" t="inlineStr">
        <is>
          <t>p1: R$ 8.353.250,00</t>
        </is>
      </c>
      <c r="AI24" s="28" t="inlineStr">
        <is>
          <t>Quorum list — NOT an art. 7/51 list</t>
        </is>
      </c>
      <c r="AJ24" s="28" t="inlineStr"/>
      <c r="AK24" s="28" t="inlineStr">
        <is>
          <t>NONE FOUND</t>
        </is>
      </c>
      <c r="AL24" s="30" t="inlineStr">
        <is>
          <t>5057720-48.2025.8.24.0023</t>
        </is>
      </c>
      <c r="AM24" s="30" t="inlineStr">
        <is>
          <t>TJSC</t>
        </is>
      </c>
      <c r="AN24" s="30" t="inlineStr"/>
      <c r="AO24" s="30" t="n">
        <v>2025</v>
      </c>
      <c r="AP24" s="30" t="inlineStr">
        <is>
          <t>live case, no plan document yet</t>
        </is>
      </c>
      <c r="AQ24" s="30" t="inlineStr"/>
      <c r="AR24" s="30" t="inlineStr">
        <is>
          <t>portal page title / URL — not printed on the list</t>
        </is>
      </c>
      <c r="AS24" s="30" t="inlineStr">
        <is>
          <t>SAO PAULO</t>
        </is>
      </c>
      <c r="AT24" s="30" t="inlineStr">
        <is>
          <t>SP</t>
        </is>
      </c>
      <c r="AU24" s="30" t="inlineStr">
        <is>
          <t>Comércio atacadista especializado em outros produtos intermediários não especificados anteriormente</t>
        </is>
      </c>
      <c r="AV24" s="30" t="inlineStr">
        <is>
          <t>DEMAIS</t>
        </is>
      </c>
      <c r="AW24" s="31" t="n">
        <v>5888486</v>
      </c>
      <c r="AX24" s="30" t="inlineStr">
        <is>
          <t>MID-MARKET</t>
        </is>
      </c>
      <c r="AY24" s="30" t="inlineStr">
        <is>
          <t>05607230</t>
        </is>
      </c>
      <c r="AZ24" s="30" t="n">
        <v>1</v>
      </c>
      <c r="BA24" s="30" t="inlineStr">
        <is>
          <t>ROWS:p1r27 UNRECONCILED_SOURCE VALUE_COL:Valor_Após_Analise CASE_NUMBER_CORRECTED</t>
        </is>
      </c>
    </row>
    <row r="25">
      <c r="A25" s="16" t="inlineStr">
        <is>
          <t>DREYMOOR BRASIL COMERCIO DE FERTILIZANTES LTDA</t>
        </is>
      </c>
      <c r="B25" s="17" t="n">
        <v>15134865.1</v>
      </c>
      <c r="C25" s="37" t="inlineStr">
        <is>
          <t>(debtor not identified — see proof)</t>
        </is>
      </c>
      <c r="D25" s="19" t="inlineStr">
        <is>
          <t>NEW</t>
        </is>
      </c>
      <c r="E25" s="20" t="inlineStr"/>
      <c r="F25" s="19" t="inlineStr"/>
      <c r="G25" s="20" t="inlineStr"/>
      <c r="H25" s="19" t="inlineStr"/>
      <c r="I25" s="21" t="inlineStr">
        <is>
          <t>MAURICIO GIORDANI BODANESE</t>
        </is>
      </c>
      <c r="J25" s="21" t="inlineStr">
        <is>
          <t>Administrador (RFB partner)</t>
        </is>
      </c>
      <c r="K25" s="21" t="inlineStr">
        <is>
          <t>(41) 3209-6613</t>
        </is>
      </c>
      <c r="L25" s="21" t="inlineStr"/>
      <c r="M25" s="21" t="inlineStr"/>
      <c r="N25" s="21" t="inlineStr"/>
      <c r="O25" s="21" t="inlineStr"/>
      <c r="P25" s="21" t="inlineStr"/>
      <c r="Q25" s="21" t="inlineStr"/>
      <c r="R25" s="21" t="inlineStr"/>
      <c r="S25" s="21" t="inlineStr"/>
      <c r="T25" s="21" t="inlineStr">
        <is>
          <t>RFB partner (QSA); no Apollo match</t>
        </is>
      </c>
      <c r="U25" s="22" t="n">
        <v>15134865.1</v>
      </c>
      <c r="V25" s="32" t="inlineStr">
        <is>
          <t>U</t>
        </is>
      </c>
      <c r="W25" s="24">
        <f>IFERROR(VLOOKUP(V25,Assumptions!$A$7:$F$11,2,FALSE),0)</f>
        <v/>
      </c>
      <c r="X25" s="25">
        <f>IF(V25="A",MAX(1,IFERROR(VLOOKUP(V25,Assumptions!$A$7:$F$11,3,FALSE),3)+IFERROR(VLOOKUP(V25,Assumptions!$A$7:$F$11,4,FALSE),8)/2-MAX(0,IF(AO25="",0,YEAR(TODAY())-AO25)-IFERROR(VLOOKUP(V25,Assumptions!$A$7:$F$11,5,FALSE),1.5))),IFERROR(VLOOKUP(V25,Assumptions!$A$7:$F$11,5,FALSE),2.5)+IFERROR(VLOOKUP(V25,Assumptions!$A$7:$F$11,3,FALSE),3)+IFERROR(VLOOKUP(V25,Assumptions!$A$7:$F$11,4,FALSE),8)/2)</f>
        <v/>
      </c>
      <c r="Y25" s="22">
        <f>U25*W25/(1+Assumptions!$B$3)^X25</f>
        <v/>
      </c>
      <c r="Z25" s="26">
        <f>IF(U25=0,"",ROUND(Y25/U25*100,1))</f>
        <v/>
      </c>
      <c r="AA25" s="27">
        <f>Y25*Assumptions!$B$4</f>
        <v/>
      </c>
      <c r="AB25" s="26">
        <f>IF(U25=0,"",ROUND(AA25/U25*100,1))</f>
        <v/>
      </c>
      <c r="AC25" s="27">
        <f>Y25-AA25</f>
        <v/>
      </c>
      <c r="AD25" s="26">
        <f>IF(U25=0,"",ROUND((Y25-AA25)/U25*100,1))</f>
        <v/>
      </c>
      <c r="AE25" s="33" t="inlineStr">
        <is>
          <t>NO TOTALS — list prints none; check page</t>
        </is>
      </c>
      <c r="AF25" s="29" t="inlineStr">
        <is>
          <t>https://scalzilliaj.com.br/sgc/download.php?file=files/processo_documento/processo_documento13183320052026_1_.pdf&amp;nome=10 - QGC Provisório - atualizado até Maio de 2026</t>
        </is>
      </c>
      <c r="AG25" s="28" t="inlineStr">
        <is>
          <t>p1 r9</t>
        </is>
      </c>
      <c r="AH25" s="28" t="inlineStr">
        <is>
          <t>p1: R$ 15.134.865,10</t>
        </is>
      </c>
      <c r="AI25" s="28" t="inlineStr">
        <is>
          <t>QGC (art. 18)</t>
        </is>
      </c>
      <c r="AJ25" s="28" t="inlineStr"/>
      <c r="AK25" s="28" t="inlineStr">
        <is>
          <t>NONE FOUND</t>
        </is>
      </c>
      <c r="AL25" s="30" t="inlineStr">
        <is>
          <t>(not printed)</t>
        </is>
      </c>
      <c r="AM25" s="30" t="inlineStr"/>
      <c r="AN25" s="30" t="inlineStr"/>
      <c r="AO25" s="30" t="inlineStr"/>
      <c r="AP25" s="30" t="inlineStr">
        <is>
          <t>RJ case number not identified on the document</t>
        </is>
      </c>
      <c r="AQ25" s="30" t="inlineStr"/>
      <c r="AR25" s="30" t="inlineStr">
        <is>
          <t>not identified</t>
        </is>
      </c>
      <c r="AS25" s="30" t="inlineStr">
        <is>
          <t>CURITIBA</t>
        </is>
      </c>
      <c r="AT25" s="30" t="inlineStr">
        <is>
          <t>PR</t>
        </is>
      </c>
      <c r="AU25" s="30" t="inlineStr">
        <is>
          <t>Comércio atacadista de defensivos agrícolas, adubos, fertilizantes e corretivos do solo</t>
        </is>
      </c>
      <c r="AV25" s="30" t="inlineStr">
        <is>
          <t>DEMAIS</t>
        </is>
      </c>
      <c r="AW25" s="31" t="n">
        <v>4146000</v>
      </c>
      <c r="AX25" s="30" t="inlineStr">
        <is>
          <t>MID-MARKET</t>
        </is>
      </c>
      <c r="AY25" s="30" t="inlineStr">
        <is>
          <t>26419229</t>
        </is>
      </c>
      <c r="AZ25" s="30" t="n">
        <v>1</v>
      </c>
      <c r="BA25" s="30" t="inlineStr">
        <is>
          <t>CASE_NUMBER_MISSING ROWS:p1r9 UNRECONCILED_SOURCE VALUE_COL:Valor_Do_Crédito</t>
        </is>
      </c>
    </row>
    <row r="26">
      <c r="A26" s="16" t="inlineStr">
        <is>
          <t>CLIMAZON INDUSTRIAL LTDA</t>
        </is>
      </c>
      <c r="B26" s="17" t="n">
        <v>8012248.57</v>
      </c>
      <c r="C26" s="18" t="inlineStr">
        <is>
          <t>REAL DISTRIBUIDORA ÚNICA RIO COMÉRCIO DE REFRIGERAÇÃO LTDA.</t>
        </is>
      </c>
      <c r="D26" s="19" t="inlineStr">
        <is>
          <t>NEW</t>
        </is>
      </c>
      <c r="E26" s="20" t="inlineStr"/>
      <c r="F26" s="19" t="inlineStr"/>
      <c r="G26" s="20" t="inlineStr"/>
      <c r="H26" s="19" t="inlineStr"/>
      <c r="I26" s="21" t="inlineStr">
        <is>
          <t>ADRIANO ZACCARI FORTUNA</t>
        </is>
      </c>
      <c r="J26" s="21" t="inlineStr">
        <is>
          <t>Administrador (RFB partner)</t>
        </is>
      </c>
      <c r="K26" s="21" t="inlineStr">
        <is>
          <t>(51) 3477-9873</t>
        </is>
      </c>
      <c r="L26" s="21" t="inlineStr">
        <is>
          <t>(51) 3477-9684</t>
        </is>
      </c>
      <c r="M26" s="21" t="inlineStr"/>
      <c r="N26" s="21" t="inlineStr"/>
      <c r="O26" s="21" t="inlineStr"/>
      <c r="P26" s="21" t="inlineStr">
        <is>
          <t>LUCIANO FREITAS DE OLIVEIRA</t>
        </is>
      </c>
      <c r="Q26" s="21" t="inlineStr">
        <is>
          <t>Administrador (RFB partner)</t>
        </is>
      </c>
      <c r="R26" s="21" t="inlineStr"/>
      <c r="S26" s="21" t="inlineStr"/>
      <c r="T26" s="21" t="inlineStr">
        <is>
          <t>RFB partner (QSA); no Apollo match</t>
        </is>
      </c>
      <c r="U26" s="22" t="n">
        <v>8012248.57</v>
      </c>
      <c r="V26" s="23" t="inlineStr">
        <is>
          <t>B</t>
        </is>
      </c>
      <c r="W26" s="24">
        <f>IFERROR(VLOOKUP(V26,Assumptions!$A$7:$F$11,2,FALSE),0)</f>
        <v/>
      </c>
      <c r="X26" s="25">
        <f>IF(V26="A",MAX(1,IFERROR(VLOOKUP(V26,Assumptions!$A$7:$F$11,3,FALSE),3)+IFERROR(VLOOKUP(V26,Assumptions!$A$7:$F$11,4,FALSE),8)/2-MAX(0,IF(AO26="",0,YEAR(TODAY())-AO26)-IFERROR(VLOOKUP(V26,Assumptions!$A$7:$F$11,5,FALSE),1.5))),IFERROR(VLOOKUP(V26,Assumptions!$A$7:$F$11,5,FALSE),2.5)+IFERROR(VLOOKUP(V26,Assumptions!$A$7:$F$11,3,FALSE),3)+IFERROR(VLOOKUP(V26,Assumptions!$A$7:$F$11,4,FALSE),8)/2)</f>
        <v/>
      </c>
      <c r="Y26" s="22">
        <f>U26*W26/(1+Assumptions!$B$3)^X26</f>
        <v/>
      </c>
      <c r="Z26" s="26">
        <f>IF(U26=0,"",ROUND(Y26/U26*100,1))</f>
        <v/>
      </c>
      <c r="AA26" s="27">
        <f>Y26*Assumptions!$B$4</f>
        <v/>
      </c>
      <c r="AB26" s="26">
        <f>IF(U26=0,"",ROUND(AA26/U26*100,1))</f>
        <v/>
      </c>
      <c r="AC26" s="27">
        <f>Y26-AA26</f>
        <v/>
      </c>
      <c r="AD26" s="26">
        <f>IF(U26=0,"",ROUND((Y26-AA26)/U26*100,1))</f>
        <v/>
      </c>
      <c r="AE26" s="28" t="inlineStr">
        <is>
          <t>OK — totals reconciled</t>
        </is>
      </c>
      <c r="AF26" s="29" t="inlineStr">
        <is>
          <t>https://inova-aj.com.br/wp-content/uploads/2026/08/1a-Relacao-de-Credores-Real.pdf</t>
        </is>
      </c>
      <c r="AG26" s="28" t="inlineStr">
        <is>
          <t>p1 r25</t>
        </is>
      </c>
      <c r="AH26" s="28" t="inlineStr">
        <is>
          <t>p1: R$ 8.012.248,57</t>
        </is>
      </c>
      <c r="AI26" s="28" t="inlineStr">
        <is>
          <t>AJ list (art. 7 §2)</t>
        </is>
      </c>
      <c r="AJ26" s="28" t="inlineStr">
        <is>
          <t>2023-06-05</t>
        </is>
      </c>
      <c r="AK26" s="28" t="inlineStr">
        <is>
          <t>NONE FOUND</t>
        </is>
      </c>
      <c r="AL26" s="30" t="inlineStr">
        <is>
          <t>0873061-47.2023.8.19.0001</t>
        </is>
      </c>
      <c r="AM26" s="30" t="inlineStr">
        <is>
          <t>TJRJ</t>
        </is>
      </c>
      <c r="AN26" s="30" t="inlineStr"/>
      <c r="AO26" s="30" t="n">
        <v>2023</v>
      </c>
      <c r="AP26" s="30" t="inlineStr">
        <is>
          <t>live case, no plan document yet</t>
        </is>
      </c>
      <c r="AQ26" s="30" t="inlineStr"/>
      <c r="AR26" s="30" t="inlineStr">
        <is>
          <t>printed on the list (read twice)</t>
        </is>
      </c>
      <c r="AS26" s="30" t="inlineStr">
        <is>
          <t>MANAUS</t>
        </is>
      </c>
      <c r="AT26" s="30" t="inlineStr">
        <is>
          <t>AM</t>
        </is>
      </c>
      <c r="AU26" s="30" t="inlineStr">
        <is>
          <t>Fabricação de aparelhos e equipamentos de ar condicionado para uso não-industrial</t>
        </is>
      </c>
      <c r="AV26" s="30" t="inlineStr">
        <is>
          <t>DEMAIS</t>
        </is>
      </c>
      <c r="AW26" s="31" t="n">
        <v>93907850</v>
      </c>
      <c r="AX26" s="30" t="inlineStr">
        <is>
          <t>MID-MARKET</t>
        </is>
      </c>
      <c r="AY26" s="30" t="inlineStr">
        <is>
          <t>04222931</t>
        </is>
      </c>
      <c r="AZ26" s="30" t="n">
        <v>1</v>
      </c>
      <c r="BA26" s="30" t="inlineStr">
        <is>
          <t>ALT_VALUE:R$5.825.770,44 ROWS:p1r25</t>
        </is>
      </c>
    </row>
    <row r="27">
      <c r="A27" s="16" t="inlineStr">
        <is>
          <t>COOPERATIVA DOS PLANTADORES DE CANA DO ESTADO SAO PAULO</t>
        </is>
      </c>
      <c r="B27" s="17" t="n">
        <v>8000000</v>
      </c>
      <c r="C27" s="18" t="inlineStr">
        <is>
          <t>NAIR AKICO NAWAKAMI MORIOKA, TAIKI FELIPE MORIOKA e TIEZO FERNANDO MORIOKA (produtores rurais)</t>
        </is>
      </c>
      <c r="D27" s="19" t="inlineStr">
        <is>
          <t>NEW</t>
        </is>
      </c>
      <c r="E27" s="20" t="inlineStr"/>
      <c r="F27" s="19" t="inlineStr"/>
      <c r="G27" s="20" t="inlineStr"/>
      <c r="H27" s="19" t="inlineStr"/>
      <c r="I27" s="21" t="inlineStr">
        <is>
          <t>Jose Pavao</t>
        </is>
      </c>
      <c r="J27" s="21" t="inlineStr">
        <is>
          <t>Administrative Director</t>
        </is>
      </c>
      <c r="K27" s="21" t="inlineStr">
        <is>
          <t>(19) 3401-2200</t>
        </is>
      </c>
      <c r="L27" s="21" t="inlineStr"/>
      <c r="M27" s="21" t="inlineStr"/>
      <c r="N27" s="21" t="inlineStr"/>
      <c r="O27" s="21" t="inlineStr"/>
      <c r="P27" s="21" t="inlineStr">
        <is>
          <t>Marcelo Gil</t>
        </is>
      </c>
      <c r="Q27" s="21" t="inlineStr">
        <is>
          <t>Commercial Manager</t>
        </is>
      </c>
      <c r="R27" s="21" t="inlineStr"/>
      <c r="S27" s="21" t="inlineStr"/>
      <c r="T27" s="21" t="inlineStr">
        <is>
          <t>no work email found in Apollo</t>
        </is>
      </c>
      <c r="U27" s="22" t="n">
        <v>8000000</v>
      </c>
      <c r="V27" s="23" t="inlineStr">
        <is>
          <t>B</t>
        </is>
      </c>
      <c r="W27" s="24">
        <f>IFERROR(VLOOKUP(V27,Assumptions!$A$7:$F$11,2,FALSE),0)</f>
        <v/>
      </c>
      <c r="X27" s="25">
        <f>IF(V27="A",MAX(1,IFERROR(VLOOKUP(V27,Assumptions!$A$7:$F$11,3,FALSE),3)+IFERROR(VLOOKUP(V27,Assumptions!$A$7:$F$11,4,FALSE),8)/2-MAX(0,IF(AO27="",0,YEAR(TODAY())-AO27)-IFERROR(VLOOKUP(V27,Assumptions!$A$7:$F$11,5,FALSE),1.5))),IFERROR(VLOOKUP(V27,Assumptions!$A$7:$F$11,5,FALSE),2.5)+IFERROR(VLOOKUP(V27,Assumptions!$A$7:$F$11,3,FALSE),3)+IFERROR(VLOOKUP(V27,Assumptions!$A$7:$F$11,4,FALSE),8)/2)</f>
        <v/>
      </c>
      <c r="Y27" s="22">
        <f>U27*W27/(1+Assumptions!$B$3)^X27</f>
        <v/>
      </c>
      <c r="Z27" s="26">
        <f>IF(U27=0,"",ROUND(Y27/U27*100,1))</f>
        <v/>
      </c>
      <c r="AA27" s="27">
        <f>Y27*Assumptions!$B$4</f>
        <v/>
      </c>
      <c r="AB27" s="26">
        <f>IF(U27=0,"",ROUND(AA27/U27*100,1))</f>
        <v/>
      </c>
      <c r="AC27" s="27">
        <f>Y27-AA27</f>
        <v/>
      </c>
      <c r="AD27" s="26">
        <f>IF(U27=0,"",ROUND((Y27-AA27)/U27*100,1))</f>
        <v/>
      </c>
      <c r="AE27" s="33" t="inlineStr">
        <is>
          <t>NO TOTALS — list prints none; check page</t>
        </is>
      </c>
      <c r="AF27" s="29" t="inlineStr">
        <is>
          <t>https://vtladm.com.br/wp-content/uploads/2026/06/02-–-Relacao-de-Credores-–-NAIR-AKICO-KAWAKAMI-MORIOKA-E-OUTROS.pdf</t>
        </is>
      </c>
      <c r="AG27" s="28" t="inlineStr">
        <is>
          <t>p4 r1</t>
        </is>
      </c>
      <c r="AH27" s="28" t="inlineStr">
        <is>
          <t>p4: R$ 8.000.000,00</t>
        </is>
      </c>
      <c r="AI27" s="28" t="inlineStr">
        <is>
          <t>Unclassified list</t>
        </is>
      </c>
      <c r="AJ27" s="28" t="inlineStr"/>
      <c r="AK27" s="28" t="inlineStr">
        <is>
          <t>NONE FOUND</t>
        </is>
      </c>
      <c r="AL27" s="30" t="inlineStr">
        <is>
          <t>4000807-49.2026.8.26.0354</t>
        </is>
      </c>
      <c r="AM27" s="30" t="inlineStr">
        <is>
          <t>TJSP</t>
        </is>
      </c>
      <c r="AN27" s="30" t="inlineStr">
        <is>
          <t>ACTIVE</t>
        </is>
      </c>
      <c r="AO27" s="30" t="n">
        <v>2026</v>
      </c>
      <c r="AP27" s="30" t="inlineStr">
        <is>
          <t>live case, no plan document yet</t>
        </is>
      </c>
      <c r="AQ27" s="30" t="inlineStr"/>
      <c r="AR27" s="30" t="inlineStr">
        <is>
          <t>printed on the list (read twice)</t>
        </is>
      </c>
      <c r="AS27" s="30" t="inlineStr">
        <is>
          <t>PIRACICABA</t>
        </is>
      </c>
      <c r="AT27" s="30" t="inlineStr">
        <is>
          <t>SP</t>
        </is>
      </c>
      <c r="AU27" s="30" t="inlineStr">
        <is>
          <t>Comércio atacadista de defensivos agrícolas, adubos, fertilizantes e corretivos do solo</t>
        </is>
      </c>
      <c r="AV27" s="30" t="inlineStr">
        <is>
          <t>DEMAIS</t>
        </is>
      </c>
      <c r="AW27" s="31" t="n">
        <v>5000000</v>
      </c>
      <c r="AX27" s="30" t="inlineStr">
        <is>
          <t>MID-MARKET</t>
        </is>
      </c>
      <c r="AY27" s="30" t="inlineStr">
        <is>
          <t>54366547</t>
        </is>
      </c>
      <c r="AZ27" s="30" t="n">
        <v>1</v>
      </c>
      <c r="BA27" s="30" t="inlineStr">
        <is>
          <t>LONG_CHUNK MULTI_ROOT ROWS:p4r1 UNRECONCILED_SOURCE</t>
        </is>
      </c>
    </row>
    <row r="28">
      <c r="A28" s="16" t="inlineStr">
        <is>
          <t>FRESENIUS MEDICAL CARE LTDA</t>
        </is>
      </c>
      <c r="B28" s="17" t="n">
        <v>14567733.99</v>
      </c>
      <c r="C28" s="37" t="inlineStr">
        <is>
          <t>(debtor not identified — see proof)</t>
        </is>
      </c>
      <c r="D28" s="19" t="inlineStr">
        <is>
          <t>NEW</t>
        </is>
      </c>
      <c r="E28" s="20" t="inlineStr"/>
      <c r="F28" s="19" t="inlineStr"/>
      <c r="G28" s="20" t="inlineStr"/>
      <c r="H28" s="19" t="inlineStr"/>
      <c r="I28" s="21" t="inlineStr">
        <is>
          <t>ANA LUCIA ZENKNER PERCIA</t>
        </is>
      </c>
      <c r="J28" s="21" t="inlineStr">
        <is>
          <t>Administrador (RFB partner)</t>
        </is>
      </c>
      <c r="K28" s="21" t="inlineStr">
        <is>
          <t>(19) 3847-9700</t>
        </is>
      </c>
      <c r="L28" s="21" t="inlineStr">
        <is>
          <t>(19) 3847-9700</t>
        </is>
      </c>
      <c r="M28" s="21" t="inlineStr"/>
      <c r="N28" s="21" t="inlineStr"/>
      <c r="O28" s="21" t="inlineStr"/>
      <c r="P28" s="21" t="inlineStr">
        <is>
          <t>JORGE ALEXANDRE CUNHA DE BARROS FRANCO</t>
        </is>
      </c>
      <c r="Q28" s="21" t="inlineStr">
        <is>
          <t>Administrador (RFB partner)</t>
        </is>
      </c>
      <c r="R28" s="21" t="inlineStr"/>
      <c r="S28" s="21" t="inlineStr"/>
      <c r="T28" s="21" t="inlineStr">
        <is>
          <t>RFB partner (QSA); no Apollo match</t>
        </is>
      </c>
      <c r="U28" s="22" t="n">
        <v>14567733.99</v>
      </c>
      <c r="V28" s="32" t="inlineStr">
        <is>
          <t>U</t>
        </is>
      </c>
      <c r="W28" s="24">
        <f>IFERROR(VLOOKUP(V28,Assumptions!$A$7:$F$11,2,FALSE),0)</f>
        <v/>
      </c>
      <c r="X28" s="25">
        <f>IF(V28="A",MAX(1,IFERROR(VLOOKUP(V28,Assumptions!$A$7:$F$11,3,FALSE),3)+IFERROR(VLOOKUP(V28,Assumptions!$A$7:$F$11,4,FALSE),8)/2-MAX(0,IF(AO28="",0,YEAR(TODAY())-AO28)-IFERROR(VLOOKUP(V28,Assumptions!$A$7:$F$11,5,FALSE),1.5))),IFERROR(VLOOKUP(V28,Assumptions!$A$7:$F$11,5,FALSE),2.5)+IFERROR(VLOOKUP(V28,Assumptions!$A$7:$F$11,3,FALSE),3)+IFERROR(VLOOKUP(V28,Assumptions!$A$7:$F$11,4,FALSE),8)/2)</f>
        <v/>
      </c>
      <c r="Y28" s="22">
        <f>U28*W28/(1+Assumptions!$B$3)^X28</f>
        <v/>
      </c>
      <c r="Z28" s="26">
        <f>IF(U28=0,"",ROUND(Y28/U28*100,1))</f>
        <v/>
      </c>
      <c r="AA28" s="27">
        <f>Y28*Assumptions!$B$4</f>
        <v/>
      </c>
      <c r="AB28" s="26">
        <f>IF(U28=0,"",ROUND(AA28/U28*100,1))</f>
        <v/>
      </c>
      <c r="AC28" s="27">
        <f>Y28-AA28</f>
        <v/>
      </c>
      <c r="AD28" s="26">
        <f>IF(U28=0,"",ROUND((Y28-AA28)/U28*100,1))</f>
        <v/>
      </c>
      <c r="AE28" s="28" t="inlineStr">
        <is>
          <t>OK — totals reconciled</t>
        </is>
      </c>
      <c r="AF28" s="29" t="inlineStr">
        <is>
          <t>http://bernardobicalho.com.br/login/app/documents/Rela%C3%A7%C3%A3o%20de%20Credores/6.%20RVC-%20Nutricium%20-%20simplificada.pdf</t>
        </is>
      </c>
      <c r="AG28" s="28" t="inlineStr">
        <is>
          <t>p3 r16</t>
        </is>
      </c>
      <c r="AH28" s="28" t="inlineStr">
        <is>
          <t>p3: R$ 14.567.733,99</t>
        </is>
      </c>
      <c r="AI28" s="28" t="inlineStr">
        <is>
          <t>AJ list (art. 7 §2)</t>
        </is>
      </c>
      <c r="AJ28" s="28" t="inlineStr"/>
      <c r="AK28" s="28" t="inlineStr">
        <is>
          <t>NONE FOUND</t>
        </is>
      </c>
      <c r="AL28" s="30" t="inlineStr">
        <is>
          <t>(not printed)</t>
        </is>
      </c>
      <c r="AM28" s="30" t="inlineStr"/>
      <c r="AN28" s="30" t="inlineStr"/>
      <c r="AO28" s="30" t="inlineStr"/>
      <c r="AP28" s="30" t="inlineStr">
        <is>
          <t>RJ case number not identified on the document</t>
        </is>
      </c>
      <c r="AQ28" s="30" t="inlineStr"/>
      <c r="AR28" s="30" t="inlineStr">
        <is>
          <t>not identified</t>
        </is>
      </c>
      <c r="AS28" s="30" t="inlineStr">
        <is>
          <t>JAGUARIUNA</t>
        </is>
      </c>
      <c r="AT28" s="30" t="inlineStr">
        <is>
          <t>SP</t>
        </is>
      </c>
      <c r="AU28" s="30" t="inlineStr">
        <is>
          <t>Fabricação de medicamentos alopáticos para uso humano</t>
        </is>
      </c>
      <c r="AV28" s="30" t="inlineStr">
        <is>
          <t>DEMAIS</t>
        </is>
      </c>
      <c r="AW28" s="31" t="n">
        <v>833795650</v>
      </c>
      <c r="AX28" s="30" t="inlineStr">
        <is>
          <t>MID-MARKET</t>
        </is>
      </c>
      <c r="AY28" s="30" t="inlineStr">
        <is>
          <t>01440590</t>
        </is>
      </c>
      <c r="AZ28" s="30" t="n">
        <v>1</v>
      </c>
      <c r="BA28" s="30" t="inlineStr">
        <is>
          <t>CASE_NUMBER_MISSING ROWS:p3r16</t>
        </is>
      </c>
    </row>
    <row r="29">
      <c r="A29" s="16" t="inlineStr">
        <is>
          <t>LEGRAND PHARMA INDUSTRIA FARMACEUTICA LTDA</t>
        </is>
      </c>
      <c r="B29" s="17" t="n">
        <v>7715049.72</v>
      </c>
      <c r="C29" s="18" t="inlineStr">
        <is>
          <t>GRUPO DP4</t>
        </is>
      </c>
      <c r="D29" s="19" t="inlineStr">
        <is>
          <t>NEW</t>
        </is>
      </c>
      <c r="E29" s="20" t="inlineStr"/>
      <c r="F29" s="19" t="inlineStr"/>
      <c r="G29" s="20" t="inlineStr"/>
      <c r="H29" s="19" t="inlineStr"/>
      <c r="I29" s="21" t="inlineStr">
        <is>
          <t>Edgar Figueiredo</t>
        </is>
      </c>
      <c r="J29" s="21" t="inlineStr">
        <is>
          <t>Gerente Nacional de Distribuição</t>
        </is>
      </c>
      <c r="K29" s="21" t="inlineStr">
        <is>
          <t>(19) 3887-9800</t>
        </is>
      </c>
      <c r="L29" s="21" t="inlineStr"/>
      <c r="M29" s="21" t="inlineStr"/>
      <c r="N29" s="21" t="inlineStr">
        <is>
          <t>edgar.figueiredo@legrandpharma.com.br</t>
        </is>
      </c>
      <c r="O29" s="21" t="inlineStr"/>
      <c r="P29" s="21" t="inlineStr">
        <is>
          <t>TATIANA AZEVEDO VILLELA SANTOS FONTES</t>
        </is>
      </c>
      <c r="Q29" s="21" t="inlineStr">
        <is>
          <t>Administrador (RFB partner)</t>
        </is>
      </c>
      <c r="R29" s="21" t="inlineStr"/>
      <c r="S29" s="21" t="inlineStr"/>
      <c r="T29" s="21" t="inlineStr">
        <is>
          <t>email verified by Apollo</t>
        </is>
      </c>
      <c r="U29" s="22" t="n">
        <v>7715049.72</v>
      </c>
      <c r="V29" s="23" t="inlineStr">
        <is>
          <t>B</t>
        </is>
      </c>
      <c r="W29" s="24">
        <f>IFERROR(VLOOKUP(V29,Assumptions!$A$7:$F$11,2,FALSE),0)</f>
        <v/>
      </c>
      <c r="X29" s="25">
        <f>IF(V29="A",MAX(1,IFERROR(VLOOKUP(V29,Assumptions!$A$7:$F$11,3,FALSE),3)+IFERROR(VLOOKUP(V29,Assumptions!$A$7:$F$11,4,FALSE),8)/2-MAX(0,IF(AO29="",0,YEAR(TODAY())-AO29)-IFERROR(VLOOKUP(V29,Assumptions!$A$7:$F$11,5,FALSE),1.5))),IFERROR(VLOOKUP(V29,Assumptions!$A$7:$F$11,5,FALSE),2.5)+IFERROR(VLOOKUP(V29,Assumptions!$A$7:$F$11,3,FALSE),3)+IFERROR(VLOOKUP(V29,Assumptions!$A$7:$F$11,4,FALSE),8)/2)</f>
        <v/>
      </c>
      <c r="Y29" s="22">
        <f>U29*W29/(1+Assumptions!$B$3)^X29</f>
        <v/>
      </c>
      <c r="Z29" s="26">
        <f>IF(U29=0,"",ROUND(Y29/U29*100,1))</f>
        <v/>
      </c>
      <c r="AA29" s="27">
        <f>Y29*Assumptions!$B$4</f>
        <v/>
      </c>
      <c r="AB29" s="26">
        <f>IF(U29=0,"",ROUND(AA29/U29*100,1))</f>
        <v/>
      </c>
      <c r="AC29" s="27">
        <f>Y29-AA29</f>
        <v/>
      </c>
      <c r="AD29" s="26">
        <f>IF(U29=0,"",ROUND((Y29-AA29)/U29*100,1))</f>
        <v/>
      </c>
      <c r="AE29" s="34" t="inlineStr">
        <is>
          <t>PARTIAL — class III reconciled, other classes not</t>
        </is>
      </c>
      <c r="AF29" s="29" t="inlineStr">
        <is>
          <t>https://marquesadmjudicial.com.br/sgc/download.php?file=files/processo_documento/processo_documento15293208032024_1_.pdf&amp;nome=Relação Nominal de Credores da AJ-Sintética</t>
        </is>
      </c>
      <c r="AG29" s="28" t="inlineStr">
        <is>
          <t>p28 r5</t>
        </is>
      </c>
      <c r="AH29" s="28" t="inlineStr">
        <is>
          <t>p28: R$ 7.715.049,72</t>
        </is>
      </c>
      <c r="AI29" s="28" t="inlineStr">
        <is>
          <t>AJ list (art. 7 §2)</t>
        </is>
      </c>
      <c r="AJ29" s="28" t="inlineStr">
        <is>
          <t>2023-03-02</t>
        </is>
      </c>
      <c r="AK29" s="28" t="inlineStr">
        <is>
          <t>NONE FOUND</t>
        </is>
      </c>
      <c r="AL29" s="30" t="inlineStr">
        <is>
          <t>0005010-98.2023.8.16.0001</t>
        </is>
      </c>
      <c r="AM29" s="30" t="inlineStr">
        <is>
          <t>TJPR</t>
        </is>
      </c>
      <c r="AN29" s="30" t="inlineStr">
        <is>
          <t>ACTIVE</t>
        </is>
      </c>
      <c r="AO29" s="30" t="n">
        <v>2023</v>
      </c>
      <c r="AP29" s="30" t="inlineStr">
        <is>
          <t>live case, no plan document yet</t>
        </is>
      </c>
      <c r="AQ29" s="30" t="inlineStr"/>
      <c r="AR29" s="30" t="inlineStr">
        <is>
          <t>printed on the list (read twice)</t>
        </is>
      </c>
      <c r="AS29" s="30" t="inlineStr">
        <is>
          <t>HORTOLANDIA</t>
        </is>
      </c>
      <c r="AT29" s="30" t="inlineStr">
        <is>
          <t>SP</t>
        </is>
      </c>
      <c r="AU29" s="30" t="inlineStr">
        <is>
          <t>Fabricação de medicamentos alopáticos para uso humano</t>
        </is>
      </c>
      <c r="AV29" s="30" t="inlineStr">
        <is>
          <t>DEMAIS</t>
        </is>
      </c>
      <c r="AW29" s="31" t="n">
        <v>137843</v>
      </c>
      <c r="AX29" s="30" t="inlineStr">
        <is>
          <t>MID-MARKET</t>
        </is>
      </c>
      <c r="AY29" s="30" t="inlineStr">
        <is>
          <t>05044984</t>
        </is>
      </c>
      <c r="AZ29" s="30" t="n">
        <v>1</v>
      </c>
      <c r="BA29" s="30" t="inlineStr">
        <is>
          <t>PARTIAL_DOC_CLASS_III_RECONCILED ROWS:p28r5</t>
        </is>
      </c>
    </row>
    <row r="30">
      <c r="A30" s="16" t="inlineStr">
        <is>
          <t>TITAN PNEUS DO BRASIL LTDA</t>
        </is>
      </c>
      <c r="B30" s="17" t="n">
        <v>7525940</v>
      </c>
      <c r="C30" s="18" t="inlineStr">
        <is>
          <t>Grupo Rech</t>
        </is>
      </c>
      <c r="D30" s="19" t="inlineStr">
        <is>
          <t>NEW</t>
        </is>
      </c>
      <c r="E30" s="20" t="inlineStr"/>
      <c r="F30" s="19" t="inlineStr"/>
      <c r="G30" s="20" t="inlineStr"/>
      <c r="H30" s="19" t="inlineStr"/>
      <c r="I30" s="21" t="inlineStr">
        <is>
          <t>WALTER JOSE CHIOSINI</t>
        </is>
      </c>
      <c r="J30" s="21" t="inlineStr">
        <is>
          <t>Administrador (RFB partner)</t>
        </is>
      </c>
      <c r="K30" s="21" t="inlineStr">
        <is>
          <t>(11) 2177-7360</t>
        </is>
      </c>
      <c r="L30" s="21" t="inlineStr">
        <is>
          <t>(11) 2177-7201</t>
        </is>
      </c>
      <c r="M30" s="21" t="inlineStr"/>
      <c r="N30" s="21" t="inlineStr"/>
      <c r="O30" s="21" t="inlineStr"/>
      <c r="P30" s="21" t="inlineStr"/>
      <c r="Q30" s="21" t="inlineStr"/>
      <c r="R30" s="21" t="inlineStr"/>
      <c r="S30" s="21" t="inlineStr"/>
      <c r="T30" s="21" t="inlineStr">
        <is>
          <t>RFB partner (QSA); no Apollo match</t>
        </is>
      </c>
      <c r="U30" s="22" t="n">
        <v>7525940</v>
      </c>
      <c r="V30" s="23" t="inlineStr">
        <is>
          <t>B</t>
        </is>
      </c>
      <c r="W30" s="24">
        <f>IFERROR(VLOOKUP(V30,Assumptions!$A$7:$F$11,2,FALSE),0)</f>
        <v/>
      </c>
      <c r="X30" s="25">
        <f>IF(V30="A",MAX(1,IFERROR(VLOOKUP(V30,Assumptions!$A$7:$F$11,3,FALSE),3)+IFERROR(VLOOKUP(V30,Assumptions!$A$7:$F$11,4,FALSE),8)/2-MAX(0,IF(AO30="",0,YEAR(TODAY())-AO30)-IFERROR(VLOOKUP(V30,Assumptions!$A$7:$F$11,5,FALSE),1.5))),IFERROR(VLOOKUP(V30,Assumptions!$A$7:$F$11,5,FALSE),2.5)+IFERROR(VLOOKUP(V30,Assumptions!$A$7:$F$11,3,FALSE),3)+IFERROR(VLOOKUP(V30,Assumptions!$A$7:$F$11,4,FALSE),8)/2)</f>
        <v/>
      </c>
      <c r="Y30" s="22">
        <f>U30*W30/(1+Assumptions!$B$3)^X30</f>
        <v/>
      </c>
      <c r="Z30" s="26">
        <f>IF(U30=0,"",ROUND(Y30/U30*100,1))</f>
        <v/>
      </c>
      <c r="AA30" s="27">
        <f>Y30*Assumptions!$B$4</f>
        <v/>
      </c>
      <c r="AB30" s="26">
        <f>IF(U30=0,"",ROUND(AA30/U30*100,1))</f>
        <v/>
      </c>
      <c r="AC30" s="27">
        <f>Y30-AA30</f>
        <v/>
      </c>
      <c r="AD30" s="26">
        <f>IF(U30=0,"",ROUND((Y30-AA30)/U30*100,1))</f>
        <v/>
      </c>
      <c r="AE30" s="36" t="inlineStr">
        <is>
          <t>CHECK — source is not a statutory creditor list</t>
        </is>
      </c>
      <c r="AF30" s="29" t="inlineStr">
        <is>
          <t>https://credibilita.com.br/wp-content/uploads/2025/09/Relacao-Credores-29.04.2026.pdf</t>
        </is>
      </c>
      <c r="AG30" s="28" t="inlineStr">
        <is>
          <t>p2 r23</t>
        </is>
      </c>
      <c r="AH30" s="28" t="inlineStr">
        <is>
          <t>p2: R$ 7.525.940,00</t>
        </is>
      </c>
      <c r="AI30" s="28" t="inlineStr">
        <is>
          <t>Quorum list — NOT an art. 7/51 list</t>
        </is>
      </c>
      <c r="AJ30" s="28" t="inlineStr"/>
      <c r="AK30" s="28" t="inlineStr">
        <is>
          <t>NONE FOUND</t>
        </is>
      </c>
      <c r="AL30" s="30" t="inlineStr">
        <is>
          <t>5057720-48.2025.8.24.0023</t>
        </is>
      </c>
      <c r="AM30" s="30" t="inlineStr">
        <is>
          <t>TJSC</t>
        </is>
      </c>
      <c r="AN30" s="30" t="inlineStr"/>
      <c r="AO30" s="30" t="n">
        <v>2025</v>
      </c>
      <c r="AP30" s="30" t="inlineStr">
        <is>
          <t>live case, no plan document yet</t>
        </is>
      </c>
      <c r="AQ30" s="30" t="inlineStr"/>
      <c r="AR30" s="30" t="inlineStr">
        <is>
          <t>portal page title / URL — not printed on the list</t>
        </is>
      </c>
      <c r="AS30" s="30" t="inlineStr">
        <is>
          <t>SAO PAULO</t>
        </is>
      </c>
      <c r="AT30" s="30" t="inlineStr">
        <is>
          <t>SP</t>
        </is>
      </c>
      <c r="AU30" s="30" t="inlineStr">
        <is>
          <t>Fabricação de pneumáticos e de câmaras-de-ar</t>
        </is>
      </c>
      <c r="AV30" s="30" t="inlineStr">
        <is>
          <t>DEMAIS</t>
        </is>
      </c>
      <c r="AW30" s="31" t="n">
        <v>151136620</v>
      </c>
      <c r="AX30" s="30" t="inlineStr">
        <is>
          <t>MID-MARKET</t>
        </is>
      </c>
      <c r="AY30" s="30" t="inlineStr">
        <is>
          <t>11385941</t>
        </is>
      </c>
      <c r="AZ30" s="30" t="n">
        <v>1</v>
      </c>
      <c r="BA30" s="30" t="inlineStr">
        <is>
          <t>ROWS:p2r23 UNRECONCILED_SOURCE VALUE_COL:Valor_Após_Analise CASE_NUMBER_CORRECTED</t>
        </is>
      </c>
    </row>
    <row r="31">
      <c r="A31" s="16" t="inlineStr">
        <is>
          <t>FEDERACAO PERNAMBUCANA DE FUTEBOL</t>
        </is>
      </c>
      <c r="B31" s="17" t="n">
        <v>7251967.09</v>
      </c>
      <c r="C31" s="18" t="inlineStr">
        <is>
          <t>CLUBE NÁUTICO CAPIBARIBE</t>
        </is>
      </c>
      <c r="D31" s="19" t="inlineStr">
        <is>
          <t>NEW</t>
        </is>
      </c>
      <c r="E31" s="20" t="inlineStr"/>
      <c r="F31" s="19" t="inlineStr"/>
      <c r="G31" s="20" t="inlineStr"/>
      <c r="H31" s="19" t="inlineStr"/>
      <c r="I31" s="21" t="inlineStr">
        <is>
          <t>Natalia Oliveira</t>
        </is>
      </c>
      <c r="J31" s="21" t="inlineStr">
        <is>
          <t>Member of the Management Team</t>
        </is>
      </c>
      <c r="K31" s="21" t="inlineStr"/>
      <c r="L31" s="21" t="inlineStr"/>
      <c r="M31" s="21" t="inlineStr"/>
      <c r="N31" s="21" t="inlineStr">
        <is>
          <t>natalia.oliveira@fpf-pe.com.br</t>
        </is>
      </c>
      <c r="O31" s="21" t="inlineStr">
        <is>
          <t>natalia.oliveira@fpf-pe.com.br</t>
        </is>
      </c>
      <c r="P31" s="21" t="inlineStr">
        <is>
          <t>Natalia Oliveira</t>
        </is>
      </c>
      <c r="Q31" s="21" t="inlineStr">
        <is>
          <t>Member of the Management Team</t>
        </is>
      </c>
      <c r="R31" s="21" t="inlineStr"/>
      <c r="S31" s="21" t="inlineStr">
        <is>
          <t>natalia.oliveira@fpf-pe.com.br</t>
        </is>
      </c>
      <c r="T31" s="21" t="inlineStr">
        <is>
          <t>email is pattern-guessed, not verified</t>
        </is>
      </c>
      <c r="U31" s="22" t="n">
        <v>7251967.09</v>
      </c>
      <c r="V31" s="23" t="inlineStr">
        <is>
          <t>B</t>
        </is>
      </c>
      <c r="W31" s="24">
        <f>IFERROR(VLOOKUP(V31,Assumptions!$A$7:$F$11,2,FALSE),0)</f>
        <v/>
      </c>
      <c r="X31" s="25">
        <f>IF(V31="A",MAX(1,IFERROR(VLOOKUP(V31,Assumptions!$A$7:$F$11,3,FALSE),3)+IFERROR(VLOOKUP(V31,Assumptions!$A$7:$F$11,4,FALSE),8)/2-MAX(0,IF(AO31="",0,YEAR(TODAY())-AO31)-IFERROR(VLOOKUP(V31,Assumptions!$A$7:$F$11,5,FALSE),1.5))),IFERROR(VLOOKUP(V31,Assumptions!$A$7:$F$11,5,FALSE),2.5)+IFERROR(VLOOKUP(V31,Assumptions!$A$7:$F$11,3,FALSE),3)+IFERROR(VLOOKUP(V31,Assumptions!$A$7:$F$11,4,FALSE),8)/2)</f>
        <v/>
      </c>
      <c r="Y31" s="22">
        <f>U31*W31/(1+Assumptions!$B$3)^X31</f>
        <v/>
      </c>
      <c r="Z31" s="26">
        <f>IF(U31=0,"",ROUND(Y31/U31*100,1))</f>
        <v/>
      </c>
      <c r="AA31" s="27">
        <f>Y31*Assumptions!$B$4</f>
        <v/>
      </c>
      <c r="AB31" s="26">
        <f>IF(U31=0,"",ROUND(AA31/U31*100,1))</f>
        <v/>
      </c>
      <c r="AC31" s="27">
        <f>Y31-AA31</f>
        <v/>
      </c>
      <c r="AD31" s="26">
        <f>IF(U31=0,"",ROUND((Y31-AA31)/U31*100,1))</f>
        <v/>
      </c>
      <c r="AE31" s="34" t="inlineStr">
        <is>
          <t>PARTIAL — class III reconciled, other classes not</t>
        </is>
      </c>
      <c r="AF31" s="29" t="inlineStr">
        <is>
          <t>https://lrflideres.com.br/wp-content/plugins/download-attachments/includes/download.php?id=5589</t>
        </is>
      </c>
      <c r="AG31" s="28" t="inlineStr">
        <is>
          <t>p12 r9</t>
        </is>
      </c>
      <c r="AH31" s="28" t="inlineStr">
        <is>
          <t>p12: R$ 7.251.967,09</t>
        </is>
      </c>
      <c r="AI31" s="28" t="inlineStr">
        <is>
          <t>AJ list (art. 7 §2)</t>
        </is>
      </c>
      <c r="AJ31" s="28" t="inlineStr">
        <is>
          <t>2023-11-27</t>
        </is>
      </c>
      <c r="AK31" s="28" t="inlineStr">
        <is>
          <t>NONE FOUND</t>
        </is>
      </c>
      <c r="AL31" s="30" t="inlineStr">
        <is>
          <t>0011283-80.2023.8.17.2001</t>
        </is>
      </c>
      <c r="AM31" s="30" t="inlineStr">
        <is>
          <t>TJPE</t>
        </is>
      </c>
      <c r="AN31" s="30" t="inlineStr">
        <is>
          <t>ACTIVE</t>
        </is>
      </c>
      <c r="AO31" s="30" t="n">
        <v>2023</v>
      </c>
      <c r="AP31" s="30" t="inlineStr">
        <is>
          <t>live case, no plan document yet</t>
        </is>
      </c>
      <c r="AQ31" s="30" t="inlineStr">
        <is>
          <t>08.145.021/0001-07</t>
        </is>
      </c>
      <c r="AR31" s="30" t="inlineStr">
        <is>
          <t>printed on the list (read twice)</t>
        </is>
      </c>
      <c r="AS31" s="30" t="inlineStr">
        <is>
          <t>RECIFE</t>
        </is>
      </c>
      <c r="AT31" s="30" t="inlineStr">
        <is>
          <t>PE</t>
        </is>
      </c>
      <c r="AU31" s="30" t="inlineStr">
        <is>
          <t>Produção e promoção de eventos esportivos</t>
        </is>
      </c>
      <c r="AV31" s="30" t="inlineStr">
        <is>
          <t>DEMAIS</t>
        </is>
      </c>
      <c r="AW31" s="31" t="inlineStr"/>
      <c r="AX31" s="30" t="inlineStr">
        <is>
          <t>MID-MARKET</t>
        </is>
      </c>
      <c r="AY31" s="30" t="inlineStr">
        <is>
          <t>10956258</t>
        </is>
      </c>
      <c r="AZ31" s="30" t="n">
        <v>1</v>
      </c>
      <c r="BA31" s="30" t="inlineStr">
        <is>
          <t>PARTIAL_DOC_CLASS_III_RECONCILED ROWS:p12r9</t>
        </is>
      </c>
    </row>
    <row r="32">
      <c r="A32" s="16" t="inlineStr">
        <is>
          <t>ADDIANTE S.A</t>
        </is>
      </c>
      <c r="B32" s="17" t="n">
        <v>7135516.97</v>
      </c>
      <c r="C32" s="18" t="inlineStr">
        <is>
          <t>SOJAL COMERCIAL AGRICOLA LTDA e OUTROS</t>
        </is>
      </c>
      <c r="D32" s="19" t="inlineStr">
        <is>
          <t>NEW</t>
        </is>
      </c>
      <c r="E32" s="20" t="inlineStr"/>
      <c r="F32" s="19" t="inlineStr"/>
      <c r="G32" s="20" t="inlineStr"/>
      <c r="H32" s="19" t="inlineStr"/>
      <c r="I32" s="21" t="inlineStr">
        <is>
          <t>Fabio Leite</t>
        </is>
      </c>
      <c r="J32" s="21" t="inlineStr">
        <is>
          <t>CEO at Addiante</t>
        </is>
      </c>
      <c r="K32" s="21" t="inlineStr">
        <is>
          <t>(41) 9571-0152</t>
        </is>
      </c>
      <c r="L32" s="21" t="inlineStr"/>
      <c r="M32" s="21" t="inlineStr"/>
      <c r="N32" s="21" t="inlineStr">
        <is>
          <t>fabio.leite@addiante.com.br</t>
        </is>
      </c>
      <c r="O32" s="21" t="inlineStr">
        <is>
          <t>ernani.ferreira@addiante.com.br</t>
        </is>
      </c>
      <c r="P32" s="21" t="inlineStr">
        <is>
          <t>Ernani Ferreira</t>
        </is>
      </c>
      <c r="Q32" s="21" t="inlineStr">
        <is>
          <t>Gerente de Crédito e Cobrança</t>
        </is>
      </c>
      <c r="R32" s="21" t="inlineStr"/>
      <c r="S32" s="21" t="inlineStr">
        <is>
          <t>ernani.ferreira@addiante.com.br</t>
        </is>
      </c>
      <c r="T32" s="21" t="inlineStr">
        <is>
          <t>email verified by Apollo</t>
        </is>
      </c>
      <c r="U32" s="22" t="n">
        <v>7135516.97</v>
      </c>
      <c r="V32" s="23" t="inlineStr">
        <is>
          <t>B</t>
        </is>
      </c>
      <c r="W32" s="24">
        <f>IFERROR(VLOOKUP(V32,Assumptions!$A$7:$F$11,2,FALSE),0)</f>
        <v/>
      </c>
      <c r="X32" s="25">
        <f>IF(V32="A",MAX(1,IFERROR(VLOOKUP(V32,Assumptions!$A$7:$F$11,3,FALSE),3)+IFERROR(VLOOKUP(V32,Assumptions!$A$7:$F$11,4,FALSE),8)/2-MAX(0,IF(AO32="",0,YEAR(TODAY())-AO32)-IFERROR(VLOOKUP(V32,Assumptions!$A$7:$F$11,5,FALSE),1.5))),IFERROR(VLOOKUP(V32,Assumptions!$A$7:$F$11,5,FALSE),2.5)+IFERROR(VLOOKUP(V32,Assumptions!$A$7:$F$11,3,FALSE),3)+IFERROR(VLOOKUP(V32,Assumptions!$A$7:$F$11,4,FALSE),8)/2)</f>
        <v/>
      </c>
      <c r="Y32" s="22">
        <f>U32*W32/(1+Assumptions!$B$3)^X32</f>
        <v/>
      </c>
      <c r="Z32" s="26">
        <f>IF(U32=0,"",ROUND(Y32/U32*100,1))</f>
        <v/>
      </c>
      <c r="AA32" s="27">
        <f>Y32*Assumptions!$B$4</f>
        <v/>
      </c>
      <c r="AB32" s="26">
        <f>IF(U32=0,"",ROUND(AA32/U32*100,1))</f>
        <v/>
      </c>
      <c r="AC32" s="27">
        <f>Y32-AA32</f>
        <v/>
      </c>
      <c r="AD32" s="26">
        <f>IF(U32=0,"",ROUND((Y32-AA32)/U32*100,1))</f>
        <v/>
      </c>
      <c r="AE32" s="28" t="inlineStr">
        <is>
          <t>OK — totals reconciled</t>
        </is>
      </c>
      <c r="AF32" s="29" t="inlineStr">
        <is>
          <t>https://lrflideres.com.br/wp-content/plugins/download-attachments/includes/download.php?id=6879</t>
        </is>
      </c>
      <c r="AG32" s="28" t="inlineStr">
        <is>
          <t>p1 r2</t>
        </is>
      </c>
      <c r="AH32" s="28" t="inlineStr">
        <is>
          <t>p1: R$ 7.135.516,97</t>
        </is>
      </c>
      <c r="AI32" s="28" t="inlineStr">
        <is>
          <t>AJ list (art. 7 §2)</t>
        </is>
      </c>
      <c r="AJ32" s="28" t="inlineStr">
        <is>
          <t>2026-01-15</t>
        </is>
      </c>
      <c r="AK32" s="28" t="inlineStr">
        <is>
          <t>NONE FOUND</t>
        </is>
      </c>
      <c r="AL32" s="30" t="inlineStr">
        <is>
          <t>0804401-51.2025.8.14.0039</t>
        </is>
      </c>
      <c r="AM32" s="30" t="inlineStr">
        <is>
          <t>TJPA</t>
        </is>
      </c>
      <c r="AN32" s="30" t="inlineStr">
        <is>
          <t>ACTIVE</t>
        </is>
      </c>
      <c r="AO32" s="30" t="n">
        <v>2025</v>
      </c>
      <c r="AP32" s="30" t="inlineStr">
        <is>
          <t>live case, no plan document yet</t>
        </is>
      </c>
      <c r="AQ32" s="30" t="inlineStr">
        <is>
          <t>15.626.673/0003-90</t>
        </is>
      </c>
      <c r="AR32" s="30" t="inlineStr">
        <is>
          <t>printed on the list (read twice)</t>
        </is>
      </c>
      <c r="AS32" s="30" t="inlineStr">
        <is>
          <t>CURITIBA</t>
        </is>
      </c>
      <c r="AT32" s="30" t="inlineStr">
        <is>
          <t>PR</t>
        </is>
      </c>
      <c r="AU32" s="30" t="inlineStr">
        <is>
          <t>Locação de outros meios de transporte não especificados anteriormente, sem condutor</t>
        </is>
      </c>
      <c r="AV32" s="30" t="inlineStr">
        <is>
          <t>DEMAIS</t>
        </is>
      </c>
      <c r="AW32" s="31" t="n">
        <v>500000000</v>
      </c>
      <c r="AX32" s="30" t="inlineStr">
        <is>
          <t>LARGE CORP</t>
        </is>
      </c>
      <c r="AY32" s="30" t="inlineStr">
        <is>
          <t>48430290</t>
        </is>
      </c>
      <c r="AZ32" s="30" t="n">
        <v>1</v>
      </c>
      <c r="BA32" s="30" t="inlineStr">
        <is>
          <t>ROWS:p1r2</t>
        </is>
      </c>
    </row>
    <row r="33">
      <c r="A33" s="16" t="inlineStr">
        <is>
          <t>SOLUS DO BRASIL LTDA</t>
        </is>
      </c>
      <c r="B33" s="17" t="n">
        <v>7058181.5</v>
      </c>
      <c r="C33" s="18" t="inlineStr">
        <is>
          <t>SOJAL COMERCIAL AGRICOLA LTDA e OUTROS</t>
        </is>
      </c>
      <c r="D33" s="19" t="inlineStr">
        <is>
          <t>NEW</t>
        </is>
      </c>
      <c r="E33" s="20" t="inlineStr"/>
      <c r="F33" s="19" t="inlineStr"/>
      <c r="G33" s="20" t="inlineStr"/>
      <c r="H33" s="19" t="inlineStr"/>
      <c r="I33" s="21" t="inlineStr">
        <is>
          <t>Antonio Guimaraes</t>
        </is>
      </c>
      <c r="J33" s="21" t="inlineStr">
        <is>
          <t>Financial Director</t>
        </is>
      </c>
      <c r="K33" s="21" t="inlineStr">
        <is>
          <t>(43) 3162-2715</t>
        </is>
      </c>
      <c r="L33" s="21" t="inlineStr"/>
      <c r="M33" s="21" t="inlineStr"/>
      <c r="N33" s="21" t="inlineStr"/>
      <c r="O33" s="21" t="inlineStr"/>
      <c r="P33" s="21" t="inlineStr">
        <is>
          <t>Alcides Aires</t>
        </is>
      </c>
      <c r="Q33" s="21" t="inlineStr">
        <is>
          <t>CEO</t>
        </is>
      </c>
      <c r="R33" s="21" t="inlineStr"/>
      <c r="S33" s="21" t="inlineStr"/>
      <c r="T33" s="21" t="inlineStr">
        <is>
          <t>VERIFY org: Apollo lists 'Pro Solus do Brasil S/A'; phone Yes; no work email found in Apollo</t>
        </is>
      </c>
      <c r="U33" s="22" t="n">
        <v>7058181.5</v>
      </c>
      <c r="V33" s="23" t="inlineStr">
        <is>
          <t>B</t>
        </is>
      </c>
      <c r="W33" s="24">
        <f>IFERROR(VLOOKUP(V33,Assumptions!$A$7:$F$11,2,FALSE),0)</f>
        <v/>
      </c>
      <c r="X33" s="25">
        <f>IF(V33="A",MAX(1,IFERROR(VLOOKUP(V33,Assumptions!$A$7:$F$11,3,FALSE),3)+IFERROR(VLOOKUP(V33,Assumptions!$A$7:$F$11,4,FALSE),8)/2-MAX(0,IF(AO33="",0,YEAR(TODAY())-AO33)-IFERROR(VLOOKUP(V33,Assumptions!$A$7:$F$11,5,FALSE),1.5))),IFERROR(VLOOKUP(V33,Assumptions!$A$7:$F$11,5,FALSE),2.5)+IFERROR(VLOOKUP(V33,Assumptions!$A$7:$F$11,3,FALSE),3)+IFERROR(VLOOKUP(V33,Assumptions!$A$7:$F$11,4,FALSE),8)/2)</f>
        <v/>
      </c>
      <c r="Y33" s="22">
        <f>U33*W33/(1+Assumptions!$B$3)^X33</f>
        <v/>
      </c>
      <c r="Z33" s="26">
        <f>IF(U33=0,"",ROUND(Y33/U33*100,1))</f>
        <v/>
      </c>
      <c r="AA33" s="27">
        <f>Y33*Assumptions!$B$4</f>
        <v/>
      </c>
      <c r="AB33" s="26">
        <f>IF(U33=0,"",ROUND(AA33/U33*100,1))</f>
        <v/>
      </c>
      <c r="AC33" s="27">
        <f>Y33-AA33</f>
        <v/>
      </c>
      <c r="AD33" s="26">
        <f>IF(U33=0,"",ROUND((Y33-AA33)/U33*100,1))</f>
        <v/>
      </c>
      <c r="AE33" s="28" t="inlineStr">
        <is>
          <t>OK — totals reconciled</t>
        </is>
      </c>
      <c r="AF33" s="29" t="inlineStr">
        <is>
          <t>https://lrflideres.com.br/wp-content/plugins/download-attachments/includes/download.php?id=6879</t>
        </is>
      </c>
      <c r="AG33" s="28" t="inlineStr">
        <is>
          <t>p2 r10</t>
        </is>
      </c>
      <c r="AH33" s="28" t="inlineStr">
        <is>
          <t>p2: R$ 7.058.181,50</t>
        </is>
      </c>
      <c r="AI33" s="28" t="inlineStr">
        <is>
          <t>AJ list (art. 7 §2)</t>
        </is>
      </c>
      <c r="AJ33" s="28" t="inlineStr">
        <is>
          <t>2026-01-15</t>
        </is>
      </c>
      <c r="AK33" s="28" t="inlineStr">
        <is>
          <t>NONE FOUND</t>
        </is>
      </c>
      <c r="AL33" s="30" t="inlineStr">
        <is>
          <t>0804401-51.2025.8.14.0039</t>
        </is>
      </c>
      <c r="AM33" s="30" t="inlineStr">
        <is>
          <t>TJPA</t>
        </is>
      </c>
      <c r="AN33" s="30" t="inlineStr">
        <is>
          <t>ACTIVE</t>
        </is>
      </c>
      <c r="AO33" s="30" t="n">
        <v>2025</v>
      </c>
      <c r="AP33" s="30" t="inlineStr">
        <is>
          <t>live case, no plan document yet</t>
        </is>
      </c>
      <c r="AQ33" s="30" t="inlineStr">
        <is>
          <t>15.626.673/0003-90</t>
        </is>
      </c>
      <c r="AR33" s="30" t="inlineStr">
        <is>
          <t>printed on the list (read twice)</t>
        </is>
      </c>
      <c r="AS33" s="30" t="inlineStr">
        <is>
          <t>APUCARANA</t>
        </is>
      </c>
      <c r="AT33" s="30" t="inlineStr">
        <is>
          <t>PR</t>
        </is>
      </c>
      <c r="AU33" s="30" t="inlineStr">
        <is>
          <t>Fabricação de defensivos agrícolas</t>
        </is>
      </c>
      <c r="AV33" s="30" t="inlineStr">
        <is>
          <t>DEMAIS</t>
        </is>
      </c>
      <c r="AW33" s="31" t="n">
        <v>8300000</v>
      </c>
      <c r="AX33" s="30" t="inlineStr">
        <is>
          <t>MID-MARKET</t>
        </is>
      </c>
      <c r="AY33" s="30" t="inlineStr">
        <is>
          <t>21203489</t>
        </is>
      </c>
      <c r="AZ33" s="30" t="n">
        <v>1</v>
      </c>
      <c r="BA33" s="30" t="inlineStr">
        <is>
          <t>ROWS:p2r10</t>
        </is>
      </c>
    </row>
    <row r="34">
      <c r="A34" s="16" t="inlineStr">
        <is>
          <t>GRANELES BRASIL COMERCIAL IMPORTADORA EXPORTADORA AGRICOLA S.A EM RECUPERACAO JUDICIAL</t>
        </is>
      </c>
      <c r="B34" s="17" t="n">
        <v>11676960.19</v>
      </c>
      <c r="C34" s="37" t="inlineStr">
        <is>
          <t>(debtor not identified — see proof)</t>
        </is>
      </c>
      <c r="D34" s="19" t="inlineStr">
        <is>
          <t>NEW</t>
        </is>
      </c>
      <c r="E34" s="20" t="inlineStr"/>
      <c r="F34" s="19" t="inlineStr"/>
      <c r="G34" s="20" t="inlineStr"/>
      <c r="H34" s="19" t="inlineStr"/>
      <c r="I34" s="21" t="inlineStr">
        <is>
          <t>Gabriel Machado</t>
        </is>
      </c>
      <c r="J34" s="21" t="inlineStr">
        <is>
          <t>CMO</t>
        </is>
      </c>
      <c r="K34" s="21" t="inlineStr">
        <is>
          <t>(41) 9539-0828</t>
        </is>
      </c>
      <c r="L34" s="21" t="inlineStr"/>
      <c r="M34" s="21" t="inlineStr"/>
      <c r="N34" s="21" t="inlineStr">
        <is>
          <t>gmachado@granelesbrasil.com</t>
        </is>
      </c>
      <c r="O34" s="21" t="inlineStr">
        <is>
          <t>mgaensly@granelesbrasil.com</t>
        </is>
      </c>
      <c r="P34" s="21" t="inlineStr">
        <is>
          <t>Mauricio Gaensly</t>
        </is>
      </c>
      <c r="Q34" s="21" t="inlineStr">
        <is>
          <t>Financial Analyst</t>
        </is>
      </c>
      <c r="R34" s="21" t="inlineStr"/>
      <c r="S34" s="21" t="inlineStr">
        <is>
          <t>mgaensly@granelesbrasil.com</t>
        </is>
      </c>
      <c r="T34" s="21" t="inlineStr">
        <is>
          <t>email verified by Apollo</t>
        </is>
      </c>
      <c r="U34" s="22" t="n">
        <v>11676960.19</v>
      </c>
      <c r="V34" s="32" t="inlineStr">
        <is>
          <t>U</t>
        </is>
      </c>
      <c r="W34" s="24">
        <f>IFERROR(VLOOKUP(V34,Assumptions!$A$7:$F$11,2,FALSE),0)</f>
        <v/>
      </c>
      <c r="X34" s="25">
        <f>IF(V34="A",MAX(1,IFERROR(VLOOKUP(V34,Assumptions!$A$7:$F$11,3,FALSE),3)+IFERROR(VLOOKUP(V34,Assumptions!$A$7:$F$11,4,FALSE),8)/2-MAX(0,IF(AO34="",0,YEAR(TODAY())-AO34)-IFERROR(VLOOKUP(V34,Assumptions!$A$7:$F$11,5,FALSE),1.5))),IFERROR(VLOOKUP(V34,Assumptions!$A$7:$F$11,5,FALSE),2.5)+IFERROR(VLOOKUP(V34,Assumptions!$A$7:$F$11,3,FALSE),3)+IFERROR(VLOOKUP(V34,Assumptions!$A$7:$F$11,4,FALSE),8)/2)</f>
        <v/>
      </c>
      <c r="Y34" s="22">
        <f>U34*W34/(1+Assumptions!$B$3)^X34</f>
        <v/>
      </c>
      <c r="Z34" s="26">
        <f>IF(U34=0,"",ROUND(Y34/U34*100,1))</f>
        <v/>
      </c>
      <c r="AA34" s="27">
        <f>Y34*Assumptions!$B$4</f>
        <v/>
      </c>
      <c r="AB34" s="26">
        <f>IF(U34=0,"",ROUND(AA34/U34*100,1))</f>
        <v/>
      </c>
      <c r="AC34" s="27">
        <f>Y34-AA34</f>
        <v/>
      </c>
      <c r="AD34" s="26">
        <f>IF(U34=0,"",ROUND((Y34-AA34)/U34*100,1))</f>
        <v/>
      </c>
      <c r="AE34" s="33" t="inlineStr">
        <is>
          <t>NO TOTALS — list prints none; check page</t>
        </is>
      </c>
      <c r="AF34" s="29" t="inlineStr">
        <is>
          <t>https://scalzilliaj.com.br/sgc/download.php?file=files/processo_documento/processo_documento13183320052026_1_.pdf&amp;nome=10 - QGC Provisório - atualizado até Maio de 2026</t>
        </is>
      </c>
      <c r="AG34" s="28" t="inlineStr">
        <is>
          <t>p1 r10</t>
        </is>
      </c>
      <c r="AH34" s="28" t="inlineStr">
        <is>
          <t>p1: R$ 11.676.960,19</t>
        </is>
      </c>
      <c r="AI34" s="28" t="inlineStr">
        <is>
          <t>QGC (art. 18)</t>
        </is>
      </c>
      <c r="AJ34" s="28" t="inlineStr"/>
      <c r="AK34" s="28" t="inlineStr">
        <is>
          <t>NONE FOUND</t>
        </is>
      </c>
      <c r="AL34" s="30" t="inlineStr">
        <is>
          <t>(not printed)</t>
        </is>
      </c>
      <c r="AM34" s="30" t="inlineStr"/>
      <c r="AN34" s="30" t="inlineStr"/>
      <c r="AO34" s="30" t="inlineStr"/>
      <c r="AP34" s="30" t="inlineStr">
        <is>
          <t>RJ case number not identified on the document</t>
        </is>
      </c>
      <c r="AQ34" s="30" t="inlineStr"/>
      <c r="AR34" s="30" t="inlineStr">
        <is>
          <t>not identified</t>
        </is>
      </c>
      <c r="AS34" s="30" t="inlineStr">
        <is>
          <t>SAO PAULO</t>
        </is>
      </c>
      <c r="AT34" s="30" t="inlineStr">
        <is>
          <t>SP</t>
        </is>
      </c>
      <c r="AU34" s="30" t="inlineStr">
        <is>
          <t>Comércio atacadista de produtos alimentícios em geral</t>
        </is>
      </c>
      <c r="AV34" s="30" t="inlineStr">
        <is>
          <t>DEMAIS</t>
        </is>
      </c>
      <c r="AW34" s="31" t="n">
        <v>23925800</v>
      </c>
      <c r="AX34" s="30" t="inlineStr">
        <is>
          <t>MID-MARKET</t>
        </is>
      </c>
      <c r="AY34" s="30" t="inlineStr">
        <is>
          <t>24785274</t>
        </is>
      </c>
      <c r="AZ34" s="30" t="n">
        <v>1</v>
      </c>
      <c r="BA34" s="30" t="inlineStr">
        <is>
          <t>CASE_NUMBER_MISSING ROWS:p1r10 UNRECONCILED_SOURCE VALUE_COL:Valor_Do_Crédito</t>
        </is>
      </c>
    </row>
    <row r="35">
      <c r="A35" s="16" t="inlineStr">
        <is>
          <t>L'OREAL BRASIL COMERCIAL DE COSMETICOS LTDA</t>
        </is>
      </c>
      <c r="B35" s="17" t="n">
        <v>5955264.1</v>
      </c>
      <c r="C35" s="18" t="inlineStr">
        <is>
          <t>GRUPO DP4</t>
        </is>
      </c>
      <c r="D35" s="19" t="inlineStr">
        <is>
          <t>NEW</t>
        </is>
      </c>
      <c r="E35" s="20" t="inlineStr"/>
      <c r="F35" s="19" t="inlineStr"/>
      <c r="G35" s="20" t="inlineStr"/>
      <c r="H35" s="19" t="inlineStr"/>
      <c r="I35" s="21" t="inlineStr">
        <is>
          <t>MARCELO ZIMET</t>
        </is>
      </c>
      <c r="J35" s="21" t="inlineStr">
        <is>
          <t>Administrador (RFB partner)</t>
        </is>
      </c>
      <c r="K35" s="21" t="inlineStr">
        <is>
          <t>(21) 4505-9616</t>
        </is>
      </c>
      <c r="L35" s="21" t="inlineStr"/>
      <c r="M35" s="21" t="inlineStr"/>
      <c r="N35" s="21" t="inlineStr"/>
      <c r="O35" s="21" t="inlineStr"/>
      <c r="P35" s="21" t="inlineStr"/>
      <c r="Q35" s="21" t="inlineStr"/>
      <c r="R35" s="21" t="inlineStr"/>
      <c r="S35" s="21" t="inlineStr"/>
      <c r="T35" s="21" t="inlineStr">
        <is>
          <t>RFB partner (QSA); no Apollo match</t>
        </is>
      </c>
      <c r="U35" s="22" t="n">
        <v>5955264.1</v>
      </c>
      <c r="V35" s="23" t="inlineStr">
        <is>
          <t>B</t>
        </is>
      </c>
      <c r="W35" s="24">
        <f>IFERROR(VLOOKUP(V35,Assumptions!$A$7:$F$11,2,FALSE),0)</f>
        <v/>
      </c>
      <c r="X35" s="25">
        <f>IF(V35="A",MAX(1,IFERROR(VLOOKUP(V35,Assumptions!$A$7:$F$11,3,FALSE),3)+IFERROR(VLOOKUP(V35,Assumptions!$A$7:$F$11,4,FALSE),8)/2-MAX(0,IF(AO35="",0,YEAR(TODAY())-AO35)-IFERROR(VLOOKUP(V35,Assumptions!$A$7:$F$11,5,FALSE),1.5))),IFERROR(VLOOKUP(V35,Assumptions!$A$7:$F$11,5,FALSE),2.5)+IFERROR(VLOOKUP(V35,Assumptions!$A$7:$F$11,3,FALSE),3)+IFERROR(VLOOKUP(V35,Assumptions!$A$7:$F$11,4,FALSE),8)/2)</f>
        <v/>
      </c>
      <c r="Y35" s="22">
        <f>U35*W35/(1+Assumptions!$B$3)^X35</f>
        <v/>
      </c>
      <c r="Z35" s="26">
        <f>IF(U35=0,"",ROUND(Y35/U35*100,1))</f>
        <v/>
      </c>
      <c r="AA35" s="27">
        <f>Y35*Assumptions!$B$4</f>
        <v/>
      </c>
      <c r="AB35" s="26">
        <f>IF(U35=0,"",ROUND(AA35/U35*100,1))</f>
        <v/>
      </c>
      <c r="AC35" s="27">
        <f>Y35-AA35</f>
        <v/>
      </c>
      <c r="AD35" s="26">
        <f>IF(U35=0,"",ROUND((Y35-AA35)/U35*100,1))</f>
        <v/>
      </c>
      <c r="AE35" s="34" t="inlineStr">
        <is>
          <t>PARTIAL — class III reconciled, other classes not</t>
        </is>
      </c>
      <c r="AF35" s="29" t="inlineStr">
        <is>
          <t>https://marquesadmjudicial.com.br/sgc/download.php?file=files/processo_documento/processo_documento15293208032024_1_.pdf&amp;nome=Relação Nominal de Credores da AJ-Sintética</t>
        </is>
      </c>
      <c r="AG35" s="28" t="inlineStr">
        <is>
          <t>p28 r10</t>
        </is>
      </c>
      <c r="AH35" s="28" t="inlineStr">
        <is>
          <t>p28: R$ 5.955.264,10</t>
        </is>
      </c>
      <c r="AI35" s="28" t="inlineStr">
        <is>
          <t>AJ list (art. 7 §2)</t>
        </is>
      </c>
      <c r="AJ35" s="28" t="inlineStr">
        <is>
          <t>2023-03-02</t>
        </is>
      </c>
      <c r="AK35" s="28" t="inlineStr">
        <is>
          <t>NONE FOUND</t>
        </is>
      </c>
      <c r="AL35" s="30" t="inlineStr">
        <is>
          <t>0005010-98.2023.8.16.0001</t>
        </is>
      </c>
      <c r="AM35" s="30" t="inlineStr">
        <is>
          <t>TJPR</t>
        </is>
      </c>
      <c r="AN35" s="30" t="inlineStr">
        <is>
          <t>ACTIVE</t>
        </is>
      </c>
      <c r="AO35" s="30" t="n">
        <v>2023</v>
      </c>
      <c r="AP35" s="30" t="inlineStr">
        <is>
          <t>live case, no plan document yet</t>
        </is>
      </c>
      <c r="AQ35" s="30" t="inlineStr"/>
      <c r="AR35" s="30" t="inlineStr">
        <is>
          <t>printed on the list (read twice)</t>
        </is>
      </c>
      <c r="AS35" s="30" t="inlineStr">
        <is>
          <t>RIO DE JANEIRO</t>
        </is>
      </c>
      <c r="AT35" s="30" t="inlineStr">
        <is>
          <t>RJ</t>
        </is>
      </c>
      <c r="AU35" s="30" t="inlineStr">
        <is>
          <t>Comércio atacadista de cosméticos e produtos de perfumaria</t>
        </is>
      </c>
      <c r="AV35" s="30" t="inlineStr">
        <is>
          <t>DEMAIS</t>
        </is>
      </c>
      <c r="AW35" s="31" t="n">
        <v>564088500</v>
      </c>
      <c r="AX35" s="30" t="inlineStr">
        <is>
          <t>MID-MARKET</t>
        </is>
      </c>
      <c r="AY35" s="30" t="inlineStr">
        <is>
          <t>30278428</t>
        </is>
      </c>
      <c r="AZ35" s="30" t="n">
        <v>1</v>
      </c>
      <c r="BA35" s="30" t="inlineStr">
        <is>
          <t>PARTIAL_DOC_CLASS_III_RECONCILED ROWS:p28r10</t>
        </is>
      </c>
    </row>
    <row r="36">
      <c r="A36" s="16" t="inlineStr">
        <is>
          <t>LOROTTI EMPREENDIMENTOS IMOBILIARIOS LTDA</t>
        </is>
      </c>
      <c r="B36" s="17" t="n">
        <v>3159739.59</v>
      </c>
      <c r="C36" s="18" t="inlineStr">
        <is>
          <t>GRUPO 3E</t>
        </is>
      </c>
      <c r="D36" s="19" t="inlineStr">
        <is>
          <t>NEW</t>
        </is>
      </c>
      <c r="E36" s="20" t="inlineStr"/>
      <c r="F36" s="19" t="inlineStr"/>
      <c r="G36" s="20" t="inlineStr"/>
      <c r="H36" s="19" t="inlineStr"/>
      <c r="I36" s="21" t="inlineStr">
        <is>
          <t>ALINE RAZEM ABRAO</t>
        </is>
      </c>
      <c r="J36" s="21" t="inlineStr">
        <is>
          <t>Sócio-Administrador (RFB partner)</t>
        </is>
      </c>
      <c r="K36" s="21" t="inlineStr">
        <is>
          <t>(61) 3366-4288</t>
        </is>
      </c>
      <c r="L36" s="21" t="inlineStr"/>
      <c r="M36" s="21" t="inlineStr"/>
      <c r="N36" s="21" t="inlineStr"/>
      <c r="O36" s="21" t="inlineStr"/>
      <c r="P36" s="21" t="inlineStr">
        <is>
          <t>ANA PAOLA BRANDAO RAZEM ABRAO</t>
        </is>
      </c>
      <c r="Q36" s="21" t="inlineStr">
        <is>
          <t>Sócio-Administrador (RFB partner)</t>
        </is>
      </c>
      <c r="R36" s="21" t="inlineStr"/>
      <c r="S36" s="21" t="inlineStr"/>
      <c r="T36" s="21" t="inlineStr">
        <is>
          <t>RFB partner (QSA); no Apollo match</t>
        </is>
      </c>
      <c r="U36" s="22" t="n">
        <v>3159739.59</v>
      </c>
      <c r="V36" s="35" t="inlineStr">
        <is>
          <t>A</t>
        </is>
      </c>
      <c r="W36" s="24">
        <f>IFERROR(VLOOKUP(V36,Assumptions!$A$7:$F$11,2,FALSE),0)</f>
        <v/>
      </c>
      <c r="X36" s="25">
        <f>IF(V36="A",MAX(1,IFERROR(VLOOKUP(V36,Assumptions!$A$7:$F$11,3,FALSE),3)+IFERROR(VLOOKUP(V36,Assumptions!$A$7:$F$11,4,FALSE),8)/2-MAX(0,IF(AO36="",0,YEAR(TODAY())-AO36)-IFERROR(VLOOKUP(V36,Assumptions!$A$7:$F$11,5,FALSE),1.5))),IFERROR(VLOOKUP(V36,Assumptions!$A$7:$F$11,5,FALSE),2.5)+IFERROR(VLOOKUP(V36,Assumptions!$A$7:$F$11,3,FALSE),3)+IFERROR(VLOOKUP(V36,Assumptions!$A$7:$F$11,4,FALSE),8)/2)</f>
        <v/>
      </c>
      <c r="Y36" s="22">
        <f>U36*W36/(1+Assumptions!$B$3)^X36</f>
        <v/>
      </c>
      <c r="Z36" s="26">
        <f>IF(U36=0,"",ROUND(Y36/U36*100,1))</f>
        <v/>
      </c>
      <c r="AA36" s="27">
        <f>Y36*Assumptions!$B$4</f>
        <v/>
      </c>
      <c r="AB36" s="26">
        <f>IF(U36=0,"",ROUND(AA36/U36*100,1))</f>
        <v/>
      </c>
      <c r="AC36" s="27">
        <f>Y36-AA36</f>
        <v/>
      </c>
      <c r="AD36" s="26">
        <f>IF(U36=0,"",ROUND((Y36-AA36)/U36*100,1))</f>
        <v/>
      </c>
      <c r="AE36" s="33" t="inlineStr">
        <is>
          <t>NO TOTALS — list prints none; check page</t>
        </is>
      </c>
      <c r="AF36" s="29" t="inlineStr">
        <is>
          <t>https://stenius.com.br/wp-content/uploads/2026/06/EDITAL-GRUPO-3E.pdf</t>
        </is>
      </c>
      <c r="AG36" s="28" t="inlineStr">
        <is>
          <t>p15 r31</t>
        </is>
      </c>
      <c r="AH36" s="28" t="inlineStr">
        <is>
          <t>p15: R$ 3.159.739,59</t>
        </is>
      </c>
      <c r="AI36" s="28" t="inlineStr">
        <is>
          <t>Debtor list (art. 51)</t>
        </is>
      </c>
      <c r="AJ36" s="28" t="inlineStr">
        <is>
          <t>2026-06-22</t>
        </is>
      </c>
      <c r="AK36" s="28" t="inlineStr">
        <is>
          <t>PLAN DOC FOUND</t>
        </is>
      </c>
      <c r="AL36" s="30" t="inlineStr">
        <is>
          <t>5341375-33.2026.8.09.0049</t>
        </is>
      </c>
      <c r="AM36" s="30" t="inlineStr">
        <is>
          <t>TJGO</t>
        </is>
      </c>
      <c r="AN36" s="30" t="inlineStr">
        <is>
          <t>ACTIVE</t>
        </is>
      </c>
      <c r="AO36" s="30" t="n">
        <v>2026</v>
      </c>
      <c r="AP36" s="30" t="inlineStr">
        <is>
          <t>plan/homologation document found</t>
        </is>
      </c>
      <c r="AQ36" s="30" t="inlineStr"/>
      <c r="AR36" s="30" t="inlineStr">
        <is>
          <t>printed on the list (read twice)</t>
        </is>
      </c>
      <c r="AS36" s="30" t="inlineStr">
        <is>
          <t>BRASILIA</t>
        </is>
      </c>
      <c r="AT36" s="30" t="inlineStr">
        <is>
          <t>DF</t>
        </is>
      </c>
      <c r="AU36" s="30" t="inlineStr">
        <is>
          <t>Construção de edifícios</t>
        </is>
      </c>
      <c r="AV36" s="30" t="inlineStr">
        <is>
          <t>DEMAIS</t>
        </is>
      </c>
      <c r="AW36" s="31" t="n">
        <v>10000</v>
      </c>
      <c r="AX36" s="30" t="inlineStr">
        <is>
          <t>MID-MARKET</t>
        </is>
      </c>
      <c r="AY36" s="30" t="inlineStr">
        <is>
          <t>10505803</t>
        </is>
      </c>
      <c r="AZ36" s="30" t="n">
        <v>1</v>
      </c>
      <c r="BA36" s="30" t="inlineStr">
        <is>
          <t>ROWS:p15r31 UNRECONCILED_SOURCE</t>
        </is>
      </c>
    </row>
    <row r="37">
      <c r="A37" s="16" t="inlineStr">
        <is>
          <t>INVISTA LOTEADORA E INCORPORADORA LTDA</t>
        </is>
      </c>
      <c r="B37" s="17" t="n">
        <v>5875236.13</v>
      </c>
      <c r="C37" s="18" t="inlineStr">
        <is>
          <t>Grupo Rech</t>
        </is>
      </c>
      <c r="D37" s="19" t="inlineStr">
        <is>
          <t>NEW</t>
        </is>
      </c>
      <c r="E37" s="20" t="inlineStr"/>
      <c r="F37" s="19" t="inlineStr"/>
      <c r="G37" s="20" t="inlineStr"/>
      <c r="H37" s="19" t="inlineStr"/>
      <c r="I37" s="21" t="inlineStr">
        <is>
          <t>JONES FERNANDES</t>
        </is>
      </c>
      <c r="J37" s="21" t="inlineStr">
        <is>
          <t>Sócio-Administrador (RFB partner)</t>
        </is>
      </c>
      <c r="K37" s="21" t="inlineStr">
        <is>
          <t>(55) 3524-1044</t>
        </is>
      </c>
      <c r="L37" s="21" t="inlineStr">
        <is>
          <t>(55) 3524-1143</t>
        </is>
      </c>
      <c r="M37" s="21" t="inlineStr"/>
      <c r="N37" s="21" t="inlineStr"/>
      <c r="O37" s="21" t="inlineStr"/>
      <c r="P37" s="21" t="inlineStr"/>
      <c r="Q37" s="21" t="inlineStr"/>
      <c r="R37" s="21" t="inlineStr"/>
      <c r="S37" s="21" t="inlineStr"/>
      <c r="T37" s="21" t="inlineStr">
        <is>
          <t>RFB partner (QSA); no Apollo match</t>
        </is>
      </c>
      <c r="U37" s="22" t="n">
        <v>5875236.13</v>
      </c>
      <c r="V37" s="23" t="inlineStr">
        <is>
          <t>B</t>
        </is>
      </c>
      <c r="W37" s="24">
        <f>IFERROR(VLOOKUP(V37,Assumptions!$A$7:$F$11,2,FALSE),0)</f>
        <v/>
      </c>
      <c r="X37" s="25">
        <f>IF(V37="A",MAX(1,IFERROR(VLOOKUP(V37,Assumptions!$A$7:$F$11,3,FALSE),3)+IFERROR(VLOOKUP(V37,Assumptions!$A$7:$F$11,4,FALSE),8)/2-MAX(0,IF(AO37="",0,YEAR(TODAY())-AO37)-IFERROR(VLOOKUP(V37,Assumptions!$A$7:$F$11,5,FALSE),1.5))),IFERROR(VLOOKUP(V37,Assumptions!$A$7:$F$11,5,FALSE),2.5)+IFERROR(VLOOKUP(V37,Assumptions!$A$7:$F$11,3,FALSE),3)+IFERROR(VLOOKUP(V37,Assumptions!$A$7:$F$11,4,FALSE),8)/2)</f>
        <v/>
      </c>
      <c r="Y37" s="22">
        <f>U37*W37/(1+Assumptions!$B$3)^X37</f>
        <v/>
      </c>
      <c r="Z37" s="26">
        <f>IF(U37=0,"",ROUND(Y37/U37*100,1))</f>
        <v/>
      </c>
      <c r="AA37" s="27">
        <f>Y37*Assumptions!$B$4</f>
        <v/>
      </c>
      <c r="AB37" s="26">
        <f>IF(U37=0,"",ROUND(AA37/U37*100,1))</f>
        <v/>
      </c>
      <c r="AC37" s="27">
        <f>Y37-AA37</f>
        <v/>
      </c>
      <c r="AD37" s="26">
        <f>IF(U37=0,"",ROUND((Y37-AA37)/U37*100,1))</f>
        <v/>
      </c>
      <c r="AE37" s="36" t="inlineStr">
        <is>
          <t>CHECK — source is not a statutory creditor list</t>
        </is>
      </c>
      <c r="AF37" s="29" t="inlineStr">
        <is>
          <t>https://credibilita.com.br/wp-content/uploads/2025/09/Relacao-Credores-29.04.2026.pdf</t>
        </is>
      </c>
      <c r="AG37" s="28" t="inlineStr">
        <is>
          <t>p1 r26</t>
        </is>
      </c>
      <c r="AH37" s="28" t="inlineStr">
        <is>
          <t>p1: R$ 5.875.236,13</t>
        </is>
      </c>
      <c r="AI37" s="28" t="inlineStr">
        <is>
          <t>Quorum list — NOT an art. 7/51 list</t>
        </is>
      </c>
      <c r="AJ37" s="28" t="inlineStr"/>
      <c r="AK37" s="28" t="inlineStr">
        <is>
          <t>NONE FOUND</t>
        </is>
      </c>
      <c r="AL37" s="30" t="inlineStr">
        <is>
          <t>5057720-48.2025.8.24.0023</t>
        </is>
      </c>
      <c r="AM37" s="30" t="inlineStr">
        <is>
          <t>TJSC</t>
        </is>
      </c>
      <c r="AN37" s="30" t="inlineStr"/>
      <c r="AO37" s="30" t="n">
        <v>2025</v>
      </c>
      <c r="AP37" s="30" t="inlineStr">
        <is>
          <t>live case, no plan document yet</t>
        </is>
      </c>
      <c r="AQ37" s="30" t="inlineStr"/>
      <c r="AR37" s="30" t="inlineStr">
        <is>
          <t>portal page title / URL — not printed on the list</t>
        </is>
      </c>
      <c r="AS37" s="30" t="inlineStr">
        <is>
          <t>HORIZONTINA</t>
        </is>
      </c>
      <c r="AT37" s="30" t="inlineStr">
        <is>
          <t>RS</t>
        </is>
      </c>
      <c r="AU37" s="30" t="inlineStr">
        <is>
          <t>Incorporação de empreendimentos imobiliários</t>
        </is>
      </c>
      <c r="AV37" s="30" t="inlineStr">
        <is>
          <t>MICRO EMPRESA</t>
        </is>
      </c>
      <c r="AW37" s="31" t="n">
        <v>100000</v>
      </c>
      <c r="AX37" s="30" t="inlineStr">
        <is>
          <t>SMALL</t>
        </is>
      </c>
      <c r="AY37" s="30" t="inlineStr">
        <is>
          <t>18871750</t>
        </is>
      </c>
      <c r="AZ37" s="30" t="n">
        <v>1</v>
      </c>
      <c r="BA37" s="30" t="inlineStr">
        <is>
          <t>ROWS:p1r26 UNRECONCILED_SOURCE VALUE_COL:Valor_Após_Analise CASE_NUMBER_CORRECTED</t>
        </is>
      </c>
    </row>
    <row r="38">
      <c r="A38" s="16" t="inlineStr">
        <is>
          <t>CATAO CONFECCOES LTDA - EM RECUPERACAO JUDICIAL</t>
        </is>
      </c>
      <c r="B38" s="17" t="n">
        <v>5843155.75</v>
      </c>
      <c r="C38" s="18" t="inlineStr">
        <is>
          <t>GRUPO CATTAN</t>
        </is>
      </c>
      <c r="D38" s="19" t="inlineStr">
        <is>
          <t>NEW</t>
        </is>
      </c>
      <c r="E38" s="20" t="inlineStr"/>
      <c r="F38" s="19" t="inlineStr"/>
      <c r="G38" s="20" t="inlineStr"/>
      <c r="H38" s="19" t="inlineStr"/>
      <c r="I38" s="21" t="inlineStr">
        <is>
          <t>FLAVIO DANTAS CATAO</t>
        </is>
      </c>
      <c r="J38" s="21" t="inlineStr">
        <is>
          <t>Sócio-Administrador (RFB partner)</t>
        </is>
      </c>
      <c r="K38" s="21" t="inlineStr">
        <is>
          <t>000000000000</t>
        </is>
      </c>
      <c r="L38" s="21" t="inlineStr"/>
      <c r="M38" s="21" t="inlineStr"/>
      <c r="N38" s="21" t="inlineStr"/>
      <c r="O38" s="21" t="inlineStr"/>
      <c r="P38" s="21" t="inlineStr"/>
      <c r="Q38" s="21" t="inlineStr"/>
      <c r="R38" s="21" t="inlineStr"/>
      <c r="S38" s="21" t="inlineStr"/>
      <c r="T38" s="21" t="inlineStr">
        <is>
          <t>RFB partner (QSA); no Apollo match</t>
        </is>
      </c>
      <c r="U38" s="22" t="n">
        <v>5843155.75</v>
      </c>
      <c r="V38" s="23" t="inlineStr">
        <is>
          <t>B</t>
        </is>
      </c>
      <c r="W38" s="24">
        <f>IFERROR(VLOOKUP(V38,Assumptions!$A$7:$F$11,2,FALSE),0)</f>
        <v/>
      </c>
      <c r="X38" s="25">
        <f>IF(V38="A",MAX(1,IFERROR(VLOOKUP(V38,Assumptions!$A$7:$F$11,3,FALSE),3)+IFERROR(VLOOKUP(V38,Assumptions!$A$7:$F$11,4,FALSE),8)/2-MAX(0,IF(AO38="",0,YEAR(TODAY())-AO38)-IFERROR(VLOOKUP(V38,Assumptions!$A$7:$F$11,5,FALSE),1.5))),IFERROR(VLOOKUP(V38,Assumptions!$A$7:$F$11,5,FALSE),2.5)+IFERROR(VLOOKUP(V38,Assumptions!$A$7:$F$11,3,FALSE),3)+IFERROR(VLOOKUP(V38,Assumptions!$A$7:$F$11,4,FALSE),8)/2)</f>
        <v/>
      </c>
      <c r="Y38" s="22">
        <f>U38*W38/(1+Assumptions!$B$3)^X38</f>
        <v/>
      </c>
      <c r="Z38" s="26">
        <f>IF(U38=0,"",ROUND(Y38/U38*100,1))</f>
        <v/>
      </c>
      <c r="AA38" s="27">
        <f>Y38*Assumptions!$B$4</f>
        <v/>
      </c>
      <c r="AB38" s="26">
        <f>IF(U38=0,"",ROUND(AA38/U38*100,1))</f>
        <v/>
      </c>
      <c r="AC38" s="27">
        <f>Y38-AA38</f>
        <v/>
      </c>
      <c r="AD38" s="26">
        <f>IF(U38=0,"",ROUND((Y38-AA38)/U38*100,1))</f>
        <v/>
      </c>
      <c r="AE38" s="34" t="inlineStr">
        <is>
          <t>PARTIAL — class III reconciled, other classes not</t>
        </is>
      </c>
      <c r="AF38" s="29" t="inlineStr">
        <is>
          <t>https://lrflideres.com.br/wp-content/plugins/download-attachments/includes/download.php?id=4023</t>
        </is>
      </c>
      <c r="AG38" s="28" t="inlineStr">
        <is>
          <t>p4 r60; p9 r62</t>
        </is>
      </c>
      <c r="AH38" s="28" t="inlineStr">
        <is>
          <t>p4: R$ 1.447.463,41; p9: R$ 4.395.692,34</t>
        </is>
      </c>
      <c r="AI38" s="28" t="inlineStr">
        <is>
          <t>Debtor list (art. 51)</t>
        </is>
      </c>
      <c r="AJ38" s="28" t="inlineStr"/>
      <c r="AK38" s="28" t="inlineStr">
        <is>
          <t>NONE FOUND</t>
        </is>
      </c>
      <c r="AL38" s="30" t="inlineStr">
        <is>
          <t>0002484-82.2022.8.17.2001</t>
        </is>
      </c>
      <c r="AM38" s="30" t="inlineStr">
        <is>
          <t>TJPE</t>
        </is>
      </c>
      <c r="AN38" s="30" t="inlineStr">
        <is>
          <t>ACTIVE</t>
        </is>
      </c>
      <c r="AO38" s="30" t="n">
        <v>2022</v>
      </c>
      <c r="AP38" s="30" t="inlineStr">
        <is>
          <t>live case, no plan document yet</t>
        </is>
      </c>
      <c r="AQ38" s="30" t="inlineStr"/>
      <c r="AR38" s="30" t="inlineStr">
        <is>
          <t>printed on the list (read twice)</t>
        </is>
      </c>
      <c r="AS38" s="30" t="inlineStr">
        <is>
          <t>RECIFE</t>
        </is>
      </c>
      <c r="AT38" s="30" t="inlineStr">
        <is>
          <t>PE</t>
        </is>
      </c>
      <c r="AU38" s="30" t="inlineStr">
        <is>
          <t>Comércio varejista de artigos do vestuário e acessórios</t>
        </is>
      </c>
      <c r="AV38" s="30" t="inlineStr">
        <is>
          <t>DEMAIS</t>
        </is>
      </c>
      <c r="AW38" s="31" t="n">
        <v>1600000</v>
      </c>
      <c r="AX38" s="30" t="inlineStr">
        <is>
          <t>MID-MARKET</t>
        </is>
      </c>
      <c r="AY38" s="30" t="inlineStr">
        <is>
          <t>10775286</t>
        </is>
      </c>
      <c r="AZ38" s="30" t="n">
        <v>2</v>
      </c>
      <c r="BA38" s="30" t="inlineStr">
        <is>
          <t>PARTIAL_DOC_CLASS_III_RECONCILED ROWS:p4r60,p9r62</t>
        </is>
      </c>
    </row>
    <row r="39">
      <c r="A39" s="16" t="inlineStr">
        <is>
          <t>NUTRIEN SOLUCOES AGRICOLAS LTDA</t>
        </is>
      </c>
      <c r="B39" s="17" t="n">
        <v>3009813.42</v>
      </c>
      <c r="C39" s="18" t="inlineStr">
        <is>
          <t>GRUPO 3E</t>
        </is>
      </c>
      <c r="D39" s="19" t="inlineStr">
        <is>
          <t>NEW</t>
        </is>
      </c>
      <c r="E39" s="20" t="inlineStr"/>
      <c r="F39" s="19" t="inlineStr"/>
      <c r="G39" s="20" t="inlineStr"/>
      <c r="H39" s="19" t="inlineStr"/>
      <c r="I39" s="21" t="inlineStr">
        <is>
          <t>Thiago Costa</t>
        </is>
      </c>
      <c r="J39" s="21" t="inlineStr">
        <is>
          <t>Gerente Contas a Receber e Centro de Serviços Compartilhados</t>
        </is>
      </c>
      <c r="K39" s="21" t="inlineStr">
        <is>
          <t>(11) 5400-0021</t>
        </is>
      </c>
      <c r="L39" s="21" t="inlineStr"/>
      <c r="M39" s="21" t="inlineStr"/>
      <c r="N39" s="21" t="inlineStr">
        <is>
          <t>thiago.costa@nutrien.com</t>
        </is>
      </c>
      <c r="O39" s="21" t="inlineStr">
        <is>
          <t>emerson.freitas@nutrien.com</t>
        </is>
      </c>
      <c r="P39" s="21" t="inlineStr">
        <is>
          <t>Emerson Freitas</t>
        </is>
      </c>
      <c r="Q39" s="21" t="inlineStr">
        <is>
          <t>Gerente de Tesouraria | Tesouraria Estratégica</t>
        </is>
      </c>
      <c r="R39" s="21" t="inlineStr"/>
      <c r="S39" s="21" t="inlineStr">
        <is>
          <t>emerson.freitas@nutrien.com</t>
        </is>
      </c>
      <c r="T39" s="21" t="inlineStr">
        <is>
          <t>email verified by Apollo</t>
        </is>
      </c>
      <c r="U39" s="22" t="n">
        <v>3009813.42</v>
      </c>
      <c r="V39" s="35" t="inlineStr">
        <is>
          <t>A</t>
        </is>
      </c>
      <c r="W39" s="24">
        <f>IFERROR(VLOOKUP(V39,Assumptions!$A$7:$F$11,2,FALSE),0)</f>
        <v/>
      </c>
      <c r="X39" s="25">
        <f>IF(V39="A",MAX(1,IFERROR(VLOOKUP(V39,Assumptions!$A$7:$F$11,3,FALSE),3)+IFERROR(VLOOKUP(V39,Assumptions!$A$7:$F$11,4,FALSE),8)/2-MAX(0,IF(AO39="",0,YEAR(TODAY())-AO39)-IFERROR(VLOOKUP(V39,Assumptions!$A$7:$F$11,5,FALSE),1.5))),IFERROR(VLOOKUP(V39,Assumptions!$A$7:$F$11,5,FALSE),2.5)+IFERROR(VLOOKUP(V39,Assumptions!$A$7:$F$11,3,FALSE),3)+IFERROR(VLOOKUP(V39,Assumptions!$A$7:$F$11,4,FALSE),8)/2)</f>
        <v/>
      </c>
      <c r="Y39" s="22">
        <f>U39*W39/(1+Assumptions!$B$3)^X39</f>
        <v/>
      </c>
      <c r="Z39" s="26">
        <f>IF(U39=0,"",ROUND(Y39/U39*100,1))</f>
        <v/>
      </c>
      <c r="AA39" s="27">
        <f>Y39*Assumptions!$B$4</f>
        <v/>
      </c>
      <c r="AB39" s="26">
        <f>IF(U39=0,"",ROUND(AA39/U39*100,1))</f>
        <v/>
      </c>
      <c r="AC39" s="27">
        <f>Y39-AA39</f>
        <v/>
      </c>
      <c r="AD39" s="26">
        <f>IF(U39=0,"",ROUND((Y39-AA39)/U39*100,1))</f>
        <v/>
      </c>
      <c r="AE39" s="33" t="inlineStr">
        <is>
          <t>NO TOTALS — list prints none; check page</t>
        </is>
      </c>
      <c r="AF39" s="29" t="inlineStr">
        <is>
          <t>https://stenius.com.br/wp-content/uploads/2026/06/EDITAL-GRUPO-3E.pdf</t>
        </is>
      </c>
      <c r="AG39" s="28" t="inlineStr">
        <is>
          <t>p16 r30</t>
        </is>
      </c>
      <c r="AH39" s="28" t="inlineStr">
        <is>
          <t>p16: R$ 3.009.813,42</t>
        </is>
      </c>
      <c r="AI39" s="28" t="inlineStr">
        <is>
          <t>Debtor list (art. 51)</t>
        </is>
      </c>
      <c r="AJ39" s="28" t="inlineStr">
        <is>
          <t>2026-06-22</t>
        </is>
      </c>
      <c r="AK39" s="28" t="inlineStr">
        <is>
          <t>PLAN DOC FOUND</t>
        </is>
      </c>
      <c r="AL39" s="30" t="inlineStr">
        <is>
          <t>5341375-33.2026.8.09.0049</t>
        </is>
      </c>
      <c r="AM39" s="30" t="inlineStr">
        <is>
          <t>TJGO</t>
        </is>
      </c>
      <c r="AN39" s="30" t="inlineStr">
        <is>
          <t>ACTIVE</t>
        </is>
      </c>
      <c r="AO39" s="30" t="n">
        <v>2026</v>
      </c>
      <c r="AP39" s="30" t="inlineStr">
        <is>
          <t>plan/homologation document found</t>
        </is>
      </c>
      <c r="AQ39" s="30" t="inlineStr"/>
      <c r="AR39" s="30" t="inlineStr">
        <is>
          <t>printed on the list (read twice)</t>
        </is>
      </c>
      <c r="AS39" s="30" t="inlineStr">
        <is>
          <t>SAO PAULO</t>
        </is>
      </c>
      <c r="AT39" s="30" t="inlineStr">
        <is>
          <t>SP</t>
        </is>
      </c>
      <c r="AU39" s="30" t="inlineStr">
        <is>
          <t>Comércio atacadista de defensivos agrícolas, adubos, fertilizantes e corretivos do solo</t>
        </is>
      </c>
      <c r="AV39" s="30" t="inlineStr">
        <is>
          <t>DEMAIS</t>
        </is>
      </c>
      <c r="AW39" s="31" t="n">
        <v>12060844000</v>
      </c>
      <c r="AX39" s="30" t="inlineStr">
        <is>
          <t>LARGE CORP</t>
        </is>
      </c>
      <c r="AY39" s="30" t="inlineStr">
        <is>
          <t>88305859</t>
        </is>
      </c>
      <c r="AZ39" s="30" t="n">
        <v>1</v>
      </c>
      <c r="BA39" s="30" t="inlineStr">
        <is>
          <t>ROWS:p16r30 UNRECONCILED_SOURCE</t>
        </is>
      </c>
    </row>
    <row r="40">
      <c r="A40" s="16" t="inlineStr">
        <is>
          <t>ENVTECH DO BRASIL DESCONTAMINACOES INDUSTRIAIS LTDA</t>
        </is>
      </c>
      <c r="B40" s="17" t="n">
        <v>10310428.56</v>
      </c>
      <c r="C40" s="18" t="inlineStr">
        <is>
          <t>EGESA ENGENHARIA S/A (Consórcio ETDI)</t>
        </is>
      </c>
      <c r="D40" s="19" t="inlineStr">
        <is>
          <t>NEW</t>
        </is>
      </c>
      <c r="E40" s="20" t="inlineStr"/>
      <c r="F40" s="19" t="inlineStr"/>
      <c r="G40" s="20" t="inlineStr"/>
      <c r="H40" s="19" t="inlineStr"/>
      <c r="I40" s="21" t="inlineStr">
        <is>
          <t>FREDDY VLADIMIR RADA COVALOVA</t>
        </is>
      </c>
      <c r="J40" s="21" t="inlineStr">
        <is>
          <t>Sócio-Administrador (RFB partner)</t>
        </is>
      </c>
      <c r="K40" s="21" t="inlineStr">
        <is>
          <t>(31) 8447-7021</t>
        </is>
      </c>
      <c r="L40" s="21" t="inlineStr"/>
      <c r="M40" s="21" t="inlineStr"/>
      <c r="N40" s="21" t="inlineStr"/>
      <c r="O40" s="21" t="inlineStr"/>
      <c r="P40" s="21" t="inlineStr"/>
      <c r="Q40" s="21" t="inlineStr"/>
      <c r="R40" s="21" t="inlineStr"/>
      <c r="S40" s="21" t="inlineStr"/>
      <c r="T40" s="21" t="inlineStr">
        <is>
          <t>RFB partner (QSA); no Apollo match</t>
        </is>
      </c>
      <c r="U40" s="22" t="n">
        <v>10310428.56</v>
      </c>
      <c r="V40" s="32" t="inlineStr">
        <is>
          <t>U</t>
        </is>
      </c>
      <c r="W40" s="24">
        <f>IFERROR(VLOOKUP(V40,Assumptions!$A$7:$F$11,2,FALSE),0)</f>
        <v/>
      </c>
      <c r="X40" s="25">
        <f>IF(V40="A",MAX(1,IFERROR(VLOOKUP(V40,Assumptions!$A$7:$F$11,3,FALSE),3)+IFERROR(VLOOKUP(V40,Assumptions!$A$7:$F$11,4,FALSE),8)/2-MAX(0,IF(AO40="",0,YEAR(TODAY())-AO40)-IFERROR(VLOOKUP(V40,Assumptions!$A$7:$F$11,5,FALSE),1.5))),IFERROR(VLOOKUP(V40,Assumptions!$A$7:$F$11,5,FALSE),2.5)+IFERROR(VLOOKUP(V40,Assumptions!$A$7:$F$11,3,FALSE),3)+IFERROR(VLOOKUP(V40,Assumptions!$A$7:$F$11,4,FALSE),8)/2)</f>
        <v/>
      </c>
      <c r="Y40" s="22">
        <f>U40*W40/(1+Assumptions!$B$3)^X40</f>
        <v/>
      </c>
      <c r="Z40" s="26">
        <f>IF(U40=0,"",ROUND(Y40/U40*100,1))</f>
        <v/>
      </c>
      <c r="AA40" s="27">
        <f>Y40*Assumptions!$B$4</f>
        <v/>
      </c>
      <c r="AB40" s="26">
        <f>IF(U40=0,"",ROUND(AA40/U40*100,1))</f>
        <v/>
      </c>
      <c r="AC40" s="27">
        <f>Y40-AA40</f>
        <v/>
      </c>
      <c r="AD40" s="26">
        <f>IF(U40=0,"",ROUND((Y40-AA40)/U40*100,1))</f>
        <v/>
      </c>
      <c r="AE40" s="28" t="inlineStr">
        <is>
          <t>OK — totals reconciled</t>
        </is>
      </c>
      <c r="AF40" s="29" t="inlineStr">
        <is>
          <t>https://scalzilliaj.com.br/sgc/download.php?file=files/processo_documento/processo_documento09514021082025_1_.pdf&amp;nome=04 - Relação de credores das Recuperandas</t>
        </is>
      </c>
      <c r="AG40" s="28" t="inlineStr">
        <is>
          <t>p66 r6</t>
        </is>
      </c>
      <c r="AH40" s="28" t="inlineStr">
        <is>
          <t>p66: R$ 10.310.428,56</t>
        </is>
      </c>
      <c r="AI40" s="28" t="inlineStr">
        <is>
          <t>Debtor list (art. 51)</t>
        </is>
      </c>
      <c r="AJ40" s="28" t="inlineStr"/>
      <c r="AK40" s="28" t="inlineStr">
        <is>
          <t>NONE FOUND</t>
        </is>
      </c>
      <c r="AL40" s="30" t="inlineStr">
        <is>
          <t>(not printed)</t>
        </is>
      </c>
      <c r="AM40" s="30" t="inlineStr"/>
      <c r="AN40" s="30" t="inlineStr"/>
      <c r="AO40" s="30" t="inlineStr"/>
      <c r="AP40" s="30" t="inlineStr">
        <is>
          <t>RJ case number not identified on the document</t>
        </is>
      </c>
      <c r="AQ40" s="30" t="inlineStr"/>
      <c r="AR40" s="30" t="inlineStr">
        <is>
          <t>portal page title / URL — not printed on the list</t>
        </is>
      </c>
      <c r="AS40" s="30" t="inlineStr">
        <is>
          <t>PETROPOLIS</t>
        </is>
      </c>
      <c r="AT40" s="30" t="inlineStr">
        <is>
          <t>RJ</t>
        </is>
      </c>
      <c r="AU40" s="30" t="inlineStr">
        <is>
          <t>Manutenção e reparação de outras máquinas e equipamentos para usos industriais não especificados anteriormente</t>
        </is>
      </c>
      <c r="AV40" s="30" t="inlineStr">
        <is>
          <t>DEMAIS</t>
        </is>
      </c>
      <c r="AW40" s="31" t="n">
        <v>2281273</v>
      </c>
      <c r="AX40" s="30" t="inlineStr">
        <is>
          <t>MID-MARKET</t>
        </is>
      </c>
      <c r="AY40" s="30" t="inlineStr">
        <is>
          <t>11486977</t>
        </is>
      </c>
      <c r="AZ40" s="30" t="n">
        <v>1</v>
      </c>
      <c r="BA40" s="30" t="inlineStr">
        <is>
          <t>ROWS:p66r6 VALUE_COL:Valor_Atualizado CASE_NUMBER_CORRECTED</t>
        </is>
      </c>
    </row>
    <row r="41">
      <c r="A41" s="16" t="inlineStr">
        <is>
          <t>BOSCH HOME COMFORT DO BRASIL LTDA</t>
        </is>
      </c>
      <c r="B41" s="17" t="n">
        <v>5064633.83</v>
      </c>
      <c r="C41" s="18" t="inlineStr">
        <is>
          <t>REAL DISTRIBUIDORA ÚNICA RIO COMÉRCIO DE REFRIGERAÇÃO LTDA.</t>
        </is>
      </c>
      <c r="D41" s="19" t="inlineStr">
        <is>
          <t>NEW</t>
        </is>
      </c>
      <c r="E41" s="20" t="inlineStr"/>
      <c r="F41" s="19" t="inlineStr"/>
      <c r="G41" s="20" t="inlineStr"/>
      <c r="H41" s="19" t="inlineStr"/>
      <c r="I41" s="21" t="inlineStr">
        <is>
          <t>Jaqueline Santos</t>
        </is>
      </c>
      <c r="J41" s="21" t="inlineStr">
        <is>
          <t>Finance Director Latam</t>
        </is>
      </c>
      <c r="K41" s="21" t="inlineStr">
        <is>
          <t>(92) 3301-5000</t>
        </is>
      </c>
      <c r="L41" s="21" t="inlineStr"/>
      <c r="M41" s="21" t="inlineStr"/>
      <c r="N41" s="21" t="inlineStr"/>
      <c r="O41" s="21" t="inlineStr">
        <is>
          <t>vanessa.idalgo@bosch-hcgroup.com</t>
        </is>
      </c>
      <c r="P41" s="21" t="inlineStr">
        <is>
          <t>Vanessa Leite</t>
        </is>
      </c>
      <c r="Q41" s="21" t="inlineStr">
        <is>
          <t>Gerente de Tesouraria, Finanças e Compliance</t>
        </is>
      </c>
      <c r="R41" s="21" t="inlineStr"/>
      <c r="S41" s="21" t="inlineStr">
        <is>
          <t>vanessa.idalgo@bosch-hcgroup.com</t>
        </is>
      </c>
      <c r="T41" s="21" t="inlineStr">
        <is>
          <t>no work email found in Apollo</t>
        </is>
      </c>
      <c r="U41" s="22" t="n">
        <v>5064633.83</v>
      </c>
      <c r="V41" s="23" t="inlineStr">
        <is>
          <t>B</t>
        </is>
      </c>
      <c r="W41" s="24">
        <f>IFERROR(VLOOKUP(V41,Assumptions!$A$7:$F$11,2,FALSE),0)</f>
        <v/>
      </c>
      <c r="X41" s="25">
        <f>IF(V41="A",MAX(1,IFERROR(VLOOKUP(V41,Assumptions!$A$7:$F$11,3,FALSE),3)+IFERROR(VLOOKUP(V41,Assumptions!$A$7:$F$11,4,FALSE),8)/2-MAX(0,IF(AO41="",0,YEAR(TODAY())-AO41)-IFERROR(VLOOKUP(V41,Assumptions!$A$7:$F$11,5,FALSE),1.5))),IFERROR(VLOOKUP(V41,Assumptions!$A$7:$F$11,5,FALSE),2.5)+IFERROR(VLOOKUP(V41,Assumptions!$A$7:$F$11,3,FALSE),3)+IFERROR(VLOOKUP(V41,Assumptions!$A$7:$F$11,4,FALSE),8)/2)</f>
        <v/>
      </c>
      <c r="Y41" s="22">
        <f>U41*W41/(1+Assumptions!$B$3)^X41</f>
        <v/>
      </c>
      <c r="Z41" s="26">
        <f>IF(U41=0,"",ROUND(Y41/U41*100,1))</f>
        <v/>
      </c>
      <c r="AA41" s="27">
        <f>Y41*Assumptions!$B$4</f>
        <v/>
      </c>
      <c r="AB41" s="26">
        <f>IF(U41=0,"",ROUND(AA41/U41*100,1))</f>
        <v/>
      </c>
      <c r="AC41" s="27">
        <f>Y41-AA41</f>
        <v/>
      </c>
      <c r="AD41" s="26">
        <f>IF(U41=0,"",ROUND((Y41-AA41)/U41*100,1))</f>
        <v/>
      </c>
      <c r="AE41" s="28" t="inlineStr">
        <is>
          <t>OK — totals reconciled</t>
        </is>
      </c>
      <c r="AF41" s="29" t="inlineStr">
        <is>
          <t>https://inova-aj.com.br/wp-content/uploads/2026/08/1a-Relacao-de-Credores-Real.pdf</t>
        </is>
      </c>
      <c r="AG41" s="28" t="inlineStr">
        <is>
          <t>p1 r35</t>
        </is>
      </c>
      <c r="AH41" s="28" t="inlineStr">
        <is>
          <t>p1: R$ 5.064.633,83</t>
        </is>
      </c>
      <c r="AI41" s="28" t="inlineStr">
        <is>
          <t>AJ list (art. 7 §2)</t>
        </is>
      </c>
      <c r="AJ41" s="28" t="inlineStr">
        <is>
          <t>2023-06-05</t>
        </is>
      </c>
      <c r="AK41" s="28" t="inlineStr">
        <is>
          <t>NONE FOUND</t>
        </is>
      </c>
      <c r="AL41" s="30" t="inlineStr">
        <is>
          <t>0873061-47.2023.8.19.0001</t>
        </is>
      </c>
      <c r="AM41" s="30" t="inlineStr">
        <is>
          <t>TJRJ</t>
        </is>
      </c>
      <c r="AN41" s="30" t="inlineStr"/>
      <c r="AO41" s="30" t="n">
        <v>2023</v>
      </c>
      <c r="AP41" s="30" t="inlineStr">
        <is>
          <t>live case, no plan document yet</t>
        </is>
      </c>
      <c r="AQ41" s="30" t="inlineStr"/>
      <c r="AR41" s="30" t="inlineStr">
        <is>
          <t>printed on the list (read twice)</t>
        </is>
      </c>
      <c r="AS41" s="30" t="inlineStr">
        <is>
          <t>MANAUS</t>
        </is>
      </c>
      <c r="AT41" s="30" t="inlineStr">
        <is>
          <t>AM</t>
        </is>
      </c>
      <c r="AU41" s="30" t="inlineStr">
        <is>
          <t>Serviços combinados de escritório e apoio administrativo</t>
        </is>
      </c>
      <c r="AV41" s="30" t="inlineStr">
        <is>
          <t>DEMAIS</t>
        </is>
      </c>
      <c r="AW41" s="31" t="n">
        <v>504374800</v>
      </c>
      <c r="AX41" s="30" t="inlineStr">
        <is>
          <t>MID-MARKET</t>
        </is>
      </c>
      <c r="AY41" s="30" t="inlineStr">
        <is>
          <t>33284522</t>
        </is>
      </c>
      <c r="AZ41" s="30" t="n">
        <v>1</v>
      </c>
      <c r="BA41" s="30" t="inlineStr">
        <is>
          <t>ALT_VALUE:R$3.682.536,03 ROWS:p1r35</t>
        </is>
      </c>
    </row>
    <row r="42">
      <c r="A42" s="16" t="inlineStr">
        <is>
          <t>JF PASQUA CONDUTORES ELETRICOS LTDA</t>
        </is>
      </c>
      <c r="B42" s="17" t="n">
        <v>4940520.91</v>
      </c>
      <c r="C42" s="18" t="inlineStr">
        <is>
          <t>Grupo Conduscabos</t>
        </is>
      </c>
      <c r="D42" s="19" t="inlineStr">
        <is>
          <t>NEW</t>
        </is>
      </c>
      <c r="E42" s="20" t="inlineStr"/>
      <c r="F42" s="19" t="inlineStr"/>
      <c r="G42" s="20" t="inlineStr"/>
      <c r="H42" s="19" t="inlineStr"/>
      <c r="I42" s="21" t="inlineStr">
        <is>
          <t>Joao Pasqua</t>
        </is>
      </c>
      <c r="J42" s="21" t="inlineStr">
        <is>
          <t>JF Pasqua Condutores Elétricos</t>
        </is>
      </c>
      <c r="K42" s="21" t="inlineStr">
        <is>
          <t>(35) 3559-6789</t>
        </is>
      </c>
      <c r="L42" s="21" t="inlineStr"/>
      <c r="M42" s="21" t="inlineStr"/>
      <c r="N42" s="21" t="inlineStr"/>
      <c r="O42" s="21" t="inlineStr"/>
      <c r="P42" s="21" t="inlineStr">
        <is>
          <t>ROBERTO LEOPOLDO PASQUA</t>
        </is>
      </c>
      <c r="Q42" s="21" t="inlineStr">
        <is>
          <t>Administrador (RFB partner)</t>
        </is>
      </c>
      <c r="R42" s="21" t="inlineStr"/>
      <c r="S42" s="21" t="inlineStr"/>
      <c r="T42" s="21" t="inlineStr">
        <is>
          <t>no work email found in Apollo</t>
        </is>
      </c>
      <c r="U42" s="22" t="n">
        <v>4940520.91</v>
      </c>
      <c r="V42" s="23" t="inlineStr">
        <is>
          <t>B</t>
        </is>
      </c>
      <c r="W42" s="24">
        <f>IFERROR(VLOOKUP(V42,Assumptions!$A$7:$F$11,2,FALSE),0)</f>
        <v/>
      </c>
      <c r="X42" s="25">
        <f>IF(V42="A",MAX(1,IFERROR(VLOOKUP(V42,Assumptions!$A$7:$F$11,3,FALSE),3)+IFERROR(VLOOKUP(V42,Assumptions!$A$7:$F$11,4,FALSE),8)/2-MAX(0,IF(AO42="",0,YEAR(TODAY())-AO42)-IFERROR(VLOOKUP(V42,Assumptions!$A$7:$F$11,5,FALSE),1.5))),IFERROR(VLOOKUP(V42,Assumptions!$A$7:$F$11,5,FALSE),2.5)+IFERROR(VLOOKUP(V42,Assumptions!$A$7:$F$11,3,FALSE),3)+IFERROR(VLOOKUP(V42,Assumptions!$A$7:$F$11,4,FALSE),8)/2)</f>
        <v/>
      </c>
      <c r="Y42" s="22">
        <f>U42*W42/(1+Assumptions!$B$3)^X42</f>
        <v/>
      </c>
      <c r="Z42" s="26">
        <f>IF(U42=0,"",ROUND(Y42/U42*100,1))</f>
        <v/>
      </c>
      <c r="AA42" s="27">
        <f>Y42*Assumptions!$B$4</f>
        <v/>
      </c>
      <c r="AB42" s="26">
        <f>IF(U42=0,"",ROUND(AA42/U42*100,1))</f>
        <v/>
      </c>
      <c r="AC42" s="27">
        <f>Y42-AA42</f>
        <v/>
      </c>
      <c r="AD42" s="26">
        <f>IF(U42=0,"",ROUND((Y42-AA42)/U42*100,1))</f>
        <v/>
      </c>
      <c r="AE42" s="33" t="inlineStr">
        <is>
          <t>NO TOTALS — list prints none; check page</t>
        </is>
      </c>
      <c r="AF42" s="29" t="inlineStr">
        <is>
          <t>https://assistjud.com.br/wp-content/uploads/elementor/forms/65098c80a5824.pdf</t>
        </is>
      </c>
      <c r="AG42" s="28" t="inlineStr">
        <is>
          <t>p8 r4; p18 r6</t>
        </is>
      </c>
      <c r="AH42" s="28" t="inlineStr">
        <is>
          <t>p8: R$ 2.217.364,91; p18: R$ 2.723.156,00</t>
        </is>
      </c>
      <c r="AI42" s="28" t="inlineStr">
        <is>
          <t>AJ list (art. 7 §2)</t>
        </is>
      </c>
      <c r="AJ42" s="28" t="inlineStr">
        <is>
          <t>2023-09-18</t>
        </is>
      </c>
      <c r="AK42" s="28" t="inlineStr">
        <is>
          <t>NONE FOUND</t>
        </is>
      </c>
      <c r="AL42" s="30" t="inlineStr">
        <is>
          <t>8005129-09.2023.8.05.0039</t>
        </is>
      </c>
      <c r="AM42" s="30" t="inlineStr">
        <is>
          <t>TJBA</t>
        </is>
      </c>
      <c r="AN42" s="30" t="inlineStr">
        <is>
          <t>ACTIVE</t>
        </is>
      </c>
      <c r="AO42" s="30" t="n">
        <v>2023</v>
      </c>
      <c r="AP42" s="30" t="inlineStr">
        <is>
          <t>live case, no plan document yet</t>
        </is>
      </c>
      <c r="AQ42" s="30" t="inlineStr"/>
      <c r="AR42" s="30" t="inlineStr">
        <is>
          <t>printed on the list (read twice)</t>
        </is>
      </c>
      <c r="AS42" s="30" t="inlineStr">
        <is>
          <t>GUAXUPE</t>
        </is>
      </c>
      <c r="AT42" s="30" t="inlineStr">
        <is>
          <t>MG</t>
        </is>
      </c>
      <c r="AU42" s="30" t="inlineStr">
        <is>
          <t>Metalurgia do cobre</t>
        </is>
      </c>
      <c r="AV42" s="30" t="inlineStr">
        <is>
          <t>DEMAIS</t>
        </is>
      </c>
      <c r="AW42" s="31" t="n">
        <v>3000000</v>
      </c>
      <c r="AX42" s="30" t="inlineStr">
        <is>
          <t>MID-MARKET</t>
        </is>
      </c>
      <c r="AY42" s="30" t="inlineStr">
        <is>
          <t>03981899</t>
        </is>
      </c>
      <c r="AZ42" s="30" t="n">
        <v>2</v>
      </c>
      <c r="BA42" s="30" t="inlineStr">
        <is>
          <t>ROWS:p8r4,p18r6 UNRECONCILED_SOURCE</t>
        </is>
      </c>
    </row>
    <row r="43">
      <c r="A43" s="16" t="inlineStr">
        <is>
          <t>PRO NOVA DISTRIBUIDORA E COMERCIO DE COSMETICOS LTDA</t>
        </is>
      </c>
      <c r="B43" s="17" t="n">
        <v>4694462.47</v>
      </c>
      <c r="C43" s="18" t="inlineStr">
        <is>
          <t>GRUPO DP4</t>
        </is>
      </c>
      <c r="D43" s="19" t="inlineStr">
        <is>
          <t>NEW</t>
        </is>
      </c>
      <c r="E43" s="20" t="inlineStr"/>
      <c r="F43" s="19" t="inlineStr"/>
      <c r="G43" s="20" t="inlineStr"/>
      <c r="H43" s="19" t="inlineStr"/>
      <c r="I43" s="21" t="inlineStr">
        <is>
          <t>ANA CLAUDIA GALVAO CARICATI</t>
        </is>
      </c>
      <c r="J43" s="21" t="inlineStr">
        <is>
          <t>Sócio-Administrador (RFB partner)</t>
        </is>
      </c>
      <c r="K43" s="21" t="inlineStr">
        <is>
          <t>(11) 4772-8024</t>
        </is>
      </c>
      <c r="L43" s="21" t="inlineStr"/>
      <c r="M43" s="21" t="inlineStr"/>
      <c r="N43" s="21" t="inlineStr"/>
      <c r="O43" s="21" t="inlineStr"/>
      <c r="P43" s="21" t="inlineStr">
        <is>
          <t>GABRIELLA CARICATI MENDES</t>
        </is>
      </c>
      <c r="Q43" s="21" t="inlineStr">
        <is>
          <t>Administrador (RFB partner)</t>
        </is>
      </c>
      <c r="R43" s="21" t="inlineStr"/>
      <c r="S43" s="21" t="inlineStr"/>
      <c r="T43" s="21" t="inlineStr">
        <is>
          <t>RFB partner (QSA); no Apollo match</t>
        </is>
      </c>
      <c r="U43" s="22" t="n">
        <v>4694462.47</v>
      </c>
      <c r="V43" s="23" t="inlineStr">
        <is>
          <t>B</t>
        </is>
      </c>
      <c r="W43" s="24">
        <f>IFERROR(VLOOKUP(V43,Assumptions!$A$7:$F$11,2,FALSE),0)</f>
        <v/>
      </c>
      <c r="X43" s="25">
        <f>IF(V43="A",MAX(1,IFERROR(VLOOKUP(V43,Assumptions!$A$7:$F$11,3,FALSE),3)+IFERROR(VLOOKUP(V43,Assumptions!$A$7:$F$11,4,FALSE),8)/2-MAX(0,IF(AO43="",0,YEAR(TODAY())-AO43)-IFERROR(VLOOKUP(V43,Assumptions!$A$7:$F$11,5,FALSE),1.5))),IFERROR(VLOOKUP(V43,Assumptions!$A$7:$F$11,5,FALSE),2.5)+IFERROR(VLOOKUP(V43,Assumptions!$A$7:$F$11,3,FALSE),3)+IFERROR(VLOOKUP(V43,Assumptions!$A$7:$F$11,4,FALSE),8)/2)</f>
        <v/>
      </c>
      <c r="Y43" s="22">
        <f>U43*W43/(1+Assumptions!$B$3)^X43</f>
        <v/>
      </c>
      <c r="Z43" s="26">
        <f>IF(U43=0,"",ROUND(Y43/U43*100,1))</f>
        <v/>
      </c>
      <c r="AA43" s="27">
        <f>Y43*Assumptions!$B$4</f>
        <v/>
      </c>
      <c r="AB43" s="26">
        <f>IF(U43=0,"",ROUND(AA43/U43*100,1))</f>
        <v/>
      </c>
      <c r="AC43" s="27">
        <f>Y43-AA43</f>
        <v/>
      </c>
      <c r="AD43" s="26">
        <f>IF(U43=0,"",ROUND((Y43-AA43)/U43*100,1))</f>
        <v/>
      </c>
      <c r="AE43" s="34" t="inlineStr">
        <is>
          <t>PARTIAL — class III reconciled, other classes not</t>
        </is>
      </c>
      <c r="AF43" s="29" t="inlineStr">
        <is>
          <t>https://marquesadmjudicial.com.br/sgc/download.php?file=files/processo_documento/processo_documento15293208032024_1_.pdf&amp;nome=Relação Nominal de Credores da AJ-Sintética</t>
        </is>
      </c>
      <c r="AG43" s="28" t="inlineStr">
        <is>
          <t>p30 r9</t>
        </is>
      </c>
      <c r="AH43" s="28" t="inlineStr">
        <is>
          <t>p30: R$ 4.694.462,47</t>
        </is>
      </c>
      <c r="AI43" s="28" t="inlineStr">
        <is>
          <t>AJ list (art. 7 §2)</t>
        </is>
      </c>
      <c r="AJ43" s="28" t="inlineStr">
        <is>
          <t>2023-03-02</t>
        </is>
      </c>
      <c r="AK43" s="28" t="inlineStr">
        <is>
          <t>NONE FOUND</t>
        </is>
      </c>
      <c r="AL43" s="30" t="inlineStr">
        <is>
          <t>0005010-98.2023.8.16.0001</t>
        </is>
      </c>
      <c r="AM43" s="30" t="inlineStr">
        <is>
          <t>TJPR</t>
        </is>
      </c>
      <c r="AN43" s="30" t="inlineStr">
        <is>
          <t>ACTIVE</t>
        </is>
      </c>
      <c r="AO43" s="30" t="n">
        <v>2023</v>
      </c>
      <c r="AP43" s="30" t="inlineStr">
        <is>
          <t>live case, no plan document yet</t>
        </is>
      </c>
      <c r="AQ43" s="30" t="inlineStr"/>
      <c r="AR43" s="30" t="inlineStr">
        <is>
          <t>printed on the list (read twice)</t>
        </is>
      </c>
      <c r="AS43" s="30" t="inlineStr">
        <is>
          <t>JANDIRA</t>
        </is>
      </c>
      <c r="AT43" s="30" t="inlineStr">
        <is>
          <t>SP</t>
        </is>
      </c>
      <c r="AU43" s="30" t="inlineStr">
        <is>
          <t>Comércio atacadista de cosméticos e produtos de perfumaria</t>
        </is>
      </c>
      <c r="AV43" s="30" t="inlineStr">
        <is>
          <t>DEMAIS</t>
        </is>
      </c>
      <c r="AW43" s="31" t="n">
        <v>42116950</v>
      </c>
      <c r="AX43" s="30" t="inlineStr">
        <is>
          <t>MID-MARKET</t>
        </is>
      </c>
      <c r="AY43" s="30" t="inlineStr">
        <is>
          <t>21998451</t>
        </is>
      </c>
      <c r="AZ43" s="30" t="n">
        <v>1</v>
      </c>
      <c r="BA43" s="30" t="inlineStr">
        <is>
          <t>PARTIAL_DOC_CLASS_III_RECONCILED ROWS:p30r9</t>
        </is>
      </c>
    </row>
    <row r="44">
      <c r="A44" s="16" t="inlineStr">
        <is>
          <t>BALDAN IMPLEMENTOS AGRICOLAS S A</t>
        </is>
      </c>
      <c r="B44" s="17" t="n">
        <v>4681142.41</v>
      </c>
      <c r="C44" s="18" t="inlineStr">
        <is>
          <t>Grupo Rech</t>
        </is>
      </c>
      <c r="D44" s="19" t="inlineStr">
        <is>
          <t>NEW</t>
        </is>
      </c>
      <c r="E44" s="20" t="inlineStr"/>
      <c r="F44" s="19" t="inlineStr"/>
      <c r="G44" s="20" t="inlineStr"/>
      <c r="H44" s="19" t="inlineStr"/>
      <c r="I44" s="21" t="inlineStr">
        <is>
          <t>Wolney Netto</t>
        </is>
      </c>
      <c r="J44" s="21" t="inlineStr">
        <is>
          <t>Chief Financial Officer, CFO</t>
        </is>
      </c>
      <c r="K44" s="21" t="inlineStr">
        <is>
          <t>(16) 3221-6500</t>
        </is>
      </c>
      <c r="L44" s="21" t="inlineStr">
        <is>
          <t>(16) 3221-6581</t>
        </is>
      </c>
      <c r="M44" s="21" t="inlineStr"/>
      <c r="N44" s="21" t="inlineStr">
        <is>
          <t>winetto@baldan.com.br</t>
        </is>
      </c>
      <c r="O44" s="21" t="inlineStr">
        <is>
          <t>avieira@baldan.com.br</t>
        </is>
      </c>
      <c r="P44" s="21" t="inlineStr">
        <is>
          <t>Aguinaldo Vieira</t>
        </is>
      </c>
      <c r="Q44" s="21" t="inlineStr">
        <is>
          <t>Financial Manager</t>
        </is>
      </c>
      <c r="R44" s="21" t="inlineStr"/>
      <c r="S44" s="21" t="inlineStr">
        <is>
          <t>avieira@baldan.com.br</t>
        </is>
      </c>
      <c r="T44" s="21" t="inlineStr">
        <is>
          <t>email verified by Apollo</t>
        </is>
      </c>
      <c r="U44" s="22" t="n">
        <v>4681142.41</v>
      </c>
      <c r="V44" s="23" t="inlineStr">
        <is>
          <t>B</t>
        </is>
      </c>
      <c r="W44" s="24">
        <f>IFERROR(VLOOKUP(V44,Assumptions!$A$7:$F$11,2,FALSE),0)</f>
        <v/>
      </c>
      <c r="X44" s="25">
        <f>IF(V44="A",MAX(1,IFERROR(VLOOKUP(V44,Assumptions!$A$7:$F$11,3,FALSE),3)+IFERROR(VLOOKUP(V44,Assumptions!$A$7:$F$11,4,FALSE),8)/2-MAX(0,IF(AO44="",0,YEAR(TODAY())-AO44)-IFERROR(VLOOKUP(V44,Assumptions!$A$7:$F$11,5,FALSE),1.5))),IFERROR(VLOOKUP(V44,Assumptions!$A$7:$F$11,5,FALSE),2.5)+IFERROR(VLOOKUP(V44,Assumptions!$A$7:$F$11,3,FALSE),3)+IFERROR(VLOOKUP(V44,Assumptions!$A$7:$F$11,4,FALSE),8)/2)</f>
        <v/>
      </c>
      <c r="Y44" s="22">
        <f>U44*W44/(1+Assumptions!$B$3)^X44</f>
        <v/>
      </c>
      <c r="Z44" s="26">
        <f>IF(U44=0,"",ROUND(Y44/U44*100,1))</f>
        <v/>
      </c>
      <c r="AA44" s="27">
        <f>Y44*Assumptions!$B$4</f>
        <v/>
      </c>
      <c r="AB44" s="26">
        <f>IF(U44=0,"",ROUND(AA44/U44*100,1))</f>
        <v/>
      </c>
      <c r="AC44" s="27">
        <f>Y44-AA44</f>
        <v/>
      </c>
      <c r="AD44" s="26">
        <f>IF(U44=0,"",ROUND((Y44-AA44)/U44*100,1))</f>
        <v/>
      </c>
      <c r="AE44" s="36" t="inlineStr">
        <is>
          <t>CHECK — source is not a statutory creditor list</t>
        </is>
      </c>
      <c r="AF44" s="29" t="inlineStr">
        <is>
          <t>https://credibilita.com.br/wp-content/uploads/2025/09/Relacao-Credores-29.04.2026.pdf</t>
        </is>
      </c>
      <c r="AG44" s="28" t="inlineStr">
        <is>
          <t>p1 r3</t>
        </is>
      </c>
      <c r="AH44" s="28" t="inlineStr">
        <is>
          <t>p1: R$ 4.681.142,41</t>
        </is>
      </c>
      <c r="AI44" s="28" t="inlineStr">
        <is>
          <t>Quorum list — NOT an art. 7/51 list</t>
        </is>
      </c>
      <c r="AJ44" s="28" t="inlineStr"/>
      <c r="AK44" s="28" t="inlineStr">
        <is>
          <t>NONE FOUND</t>
        </is>
      </c>
      <c r="AL44" s="30" t="inlineStr">
        <is>
          <t>5057720-48.2025.8.24.0023</t>
        </is>
      </c>
      <c r="AM44" s="30" t="inlineStr">
        <is>
          <t>TJSC</t>
        </is>
      </c>
      <c r="AN44" s="30" t="inlineStr"/>
      <c r="AO44" s="30" t="n">
        <v>2025</v>
      </c>
      <c r="AP44" s="30" t="inlineStr">
        <is>
          <t>live case, no plan document yet</t>
        </is>
      </c>
      <c r="AQ44" s="30" t="inlineStr"/>
      <c r="AR44" s="30" t="inlineStr">
        <is>
          <t>portal page title / URL — not printed on the list</t>
        </is>
      </c>
      <c r="AS44" s="30" t="inlineStr">
        <is>
          <t>MATAO</t>
        </is>
      </c>
      <c r="AT44" s="30" t="inlineStr">
        <is>
          <t>SP</t>
        </is>
      </c>
      <c r="AU44" s="30" t="inlineStr">
        <is>
          <t>Fabricação de máquinas e equipamentos para a agricultura e pecuária, peças e acessórios, exceto para irrigação</t>
        </is>
      </c>
      <c r="AV44" s="30" t="inlineStr">
        <is>
          <t>DEMAIS</t>
        </is>
      </c>
      <c r="AW44" s="31" t="n">
        <v>145933180</v>
      </c>
      <c r="AX44" s="30" t="inlineStr">
        <is>
          <t>MID-MARKET</t>
        </is>
      </c>
      <c r="AY44" s="30" t="inlineStr">
        <is>
          <t>52311347</t>
        </is>
      </c>
      <c r="AZ44" s="30" t="n">
        <v>1</v>
      </c>
      <c r="BA44" s="30" t="inlineStr">
        <is>
          <t>ROWS:p1r3 UNRECONCILED_SOURCE VALUE_COL:Valor_Após_Analise CASE_NUMBER_CORRECTED</t>
        </is>
      </c>
    </row>
    <row r="45">
      <c r="A45" s="16" t="inlineStr">
        <is>
          <t>NORTEBAG INDUSTRIA DE EMBALAGENS S.A.</t>
        </is>
      </c>
      <c r="B45" s="17" t="n">
        <v>4680282.82</v>
      </c>
      <c r="C45" s="18" t="inlineStr">
        <is>
          <t>TOP TEXTIL EMBALAGENS LTDA</t>
        </is>
      </c>
      <c r="D45" s="19" t="inlineStr">
        <is>
          <t>NEW</t>
        </is>
      </c>
      <c r="E45" s="20" t="inlineStr"/>
      <c r="F45" s="19" t="inlineStr"/>
      <c r="G45" s="20" t="inlineStr"/>
      <c r="H45" s="19" t="inlineStr"/>
      <c r="I45" s="21" t="inlineStr">
        <is>
          <t>MARCO ANTONIO GARCIA</t>
        </is>
      </c>
      <c r="J45" s="21" t="inlineStr">
        <is>
          <t>Diretor (RFB partner)</t>
        </is>
      </c>
      <c r="K45" s="21" t="inlineStr">
        <is>
          <t>(92) 3396-6621</t>
        </is>
      </c>
      <c r="L45" s="21" t="inlineStr"/>
      <c r="M45" s="21" t="inlineStr"/>
      <c r="N45" s="21" t="inlineStr"/>
      <c r="O45" s="21" t="inlineStr"/>
      <c r="P45" s="21" t="inlineStr">
        <is>
          <t>MARCOS VINICIUS SPITZNER FILHO</t>
        </is>
      </c>
      <c r="Q45" s="21" t="inlineStr">
        <is>
          <t>Diretor (RFB partner)</t>
        </is>
      </c>
      <c r="R45" s="21" t="inlineStr"/>
      <c r="S45" s="21" t="inlineStr"/>
      <c r="T45" s="21" t="inlineStr">
        <is>
          <t>RFB partner (QSA); no Apollo match</t>
        </is>
      </c>
      <c r="U45" s="22" t="n">
        <v>4680282.82</v>
      </c>
      <c r="V45" s="23" t="inlineStr">
        <is>
          <t>B</t>
        </is>
      </c>
      <c r="W45" s="24">
        <f>IFERROR(VLOOKUP(V45,Assumptions!$A$7:$F$11,2,FALSE),0)</f>
        <v/>
      </c>
      <c r="X45" s="25">
        <f>IF(V45="A",MAX(1,IFERROR(VLOOKUP(V45,Assumptions!$A$7:$F$11,3,FALSE),3)+IFERROR(VLOOKUP(V45,Assumptions!$A$7:$F$11,4,FALSE),8)/2-MAX(0,IF(AO45="",0,YEAR(TODAY())-AO45)-IFERROR(VLOOKUP(V45,Assumptions!$A$7:$F$11,5,FALSE),1.5))),IFERROR(VLOOKUP(V45,Assumptions!$A$7:$F$11,5,FALSE),2.5)+IFERROR(VLOOKUP(V45,Assumptions!$A$7:$F$11,3,FALSE),3)+IFERROR(VLOOKUP(V45,Assumptions!$A$7:$F$11,4,FALSE),8)/2)</f>
        <v/>
      </c>
      <c r="Y45" s="22">
        <f>U45*W45/(1+Assumptions!$B$3)^X45</f>
        <v/>
      </c>
      <c r="Z45" s="26">
        <f>IF(U45=0,"",ROUND(Y45/U45*100,1))</f>
        <v/>
      </c>
      <c r="AA45" s="27">
        <f>Y45*Assumptions!$B$4</f>
        <v/>
      </c>
      <c r="AB45" s="26">
        <f>IF(U45=0,"",ROUND(AA45/U45*100,1))</f>
        <v/>
      </c>
      <c r="AC45" s="27">
        <f>Y45-AA45</f>
        <v/>
      </c>
      <c r="AD45" s="26">
        <f>IF(U45=0,"",ROUND((Y45-AA45)/U45*100,1))</f>
        <v/>
      </c>
      <c r="AE45" s="33" t="inlineStr">
        <is>
          <t>NO TOTALS — list prints none; check page</t>
        </is>
      </c>
      <c r="AF45" s="29" t="inlineStr">
        <is>
          <t>https://cataliseaj.com.br/sgc/download.php?file=files/processo_documento/processo_documento15092204102024_1_.pdf&amp;nome=02. RELAÇÃO DE CREDORES</t>
        </is>
      </c>
      <c r="AG45" s="28" t="inlineStr">
        <is>
          <t>p2 r66</t>
        </is>
      </c>
      <c r="AH45" s="28" t="inlineStr">
        <is>
          <t>p2: R$ 4.680.282,82</t>
        </is>
      </c>
      <c r="AI45" s="28" t="inlineStr">
        <is>
          <t>Debtor list (art. 51)</t>
        </is>
      </c>
      <c r="AJ45" s="28" t="inlineStr"/>
      <c r="AK45" s="28" t="inlineStr">
        <is>
          <t>NONE FOUND</t>
        </is>
      </c>
      <c r="AL45" s="30" t="inlineStr">
        <is>
          <t>5011460-87.2023.8.24.0020</t>
        </is>
      </c>
      <c r="AM45" s="30" t="inlineStr">
        <is>
          <t>TJSC</t>
        </is>
      </c>
      <c r="AN45" s="30" t="inlineStr">
        <is>
          <t>ACTIVE</t>
        </is>
      </c>
      <c r="AO45" s="30" t="n">
        <v>2023</v>
      </c>
      <c r="AP45" s="30" t="inlineStr">
        <is>
          <t>live case, no plan document yet</t>
        </is>
      </c>
      <c r="AQ45" s="30" t="inlineStr">
        <is>
          <t>26.588.741/0001-29</t>
        </is>
      </c>
      <c r="AR45" s="30" t="inlineStr">
        <is>
          <t>printed on the list (read twice)</t>
        </is>
      </c>
      <c r="AS45" s="30" t="inlineStr">
        <is>
          <t>MANAUS</t>
        </is>
      </c>
      <c r="AT45" s="30" t="inlineStr">
        <is>
          <t>AM</t>
        </is>
      </c>
      <c r="AU45" s="30" t="inlineStr">
        <is>
          <t>Fabricação de outros produtos têxteis não especificados anteriormente</t>
        </is>
      </c>
      <c r="AV45" s="30" t="inlineStr">
        <is>
          <t>DEMAIS</t>
        </is>
      </c>
      <c r="AW45" s="31" t="n">
        <v>11000000</v>
      </c>
      <c r="AX45" s="30" t="inlineStr">
        <is>
          <t>MID-MARKET</t>
        </is>
      </c>
      <c r="AY45" s="30" t="inlineStr">
        <is>
          <t>05399071</t>
        </is>
      </c>
      <c r="AZ45" s="30" t="n">
        <v>1</v>
      </c>
      <c r="BA45" s="30" t="inlineStr">
        <is>
          <t>ROWS:p2r66 UNRECONCILED_SOURCE</t>
        </is>
      </c>
    </row>
    <row r="46">
      <c r="A46" s="16" t="inlineStr">
        <is>
          <t>SERRINHA AMBIENTAL TRANSPORTES LTDA</t>
        </is>
      </c>
      <c r="B46" s="17" t="n">
        <v>4672725.1</v>
      </c>
      <c r="C46" s="18" t="inlineStr">
        <is>
          <t>Alto Uruguai Indústria e Comércio de Óleos Ltda</t>
        </is>
      </c>
      <c r="D46" s="19" t="inlineStr">
        <is>
          <t>NEW</t>
        </is>
      </c>
      <c r="E46" s="20" t="inlineStr"/>
      <c r="F46" s="19" t="inlineStr"/>
      <c r="G46" s="20" t="inlineStr"/>
      <c r="H46" s="19" t="inlineStr"/>
      <c r="I46" s="21" t="inlineStr">
        <is>
          <t>VOLNEI DOS SANTOS</t>
        </is>
      </c>
      <c r="J46" s="21" t="inlineStr">
        <is>
          <t>Administrador (RFB partner)</t>
        </is>
      </c>
      <c r="K46" s="21" t="inlineStr">
        <is>
          <t>(49) 9914-4317</t>
        </is>
      </c>
      <c r="L46" s="21" t="inlineStr"/>
      <c r="M46" s="21" t="inlineStr"/>
      <c r="N46" s="21" t="inlineStr"/>
      <c r="O46" s="21" t="inlineStr"/>
      <c r="P46" s="21" t="inlineStr"/>
      <c r="Q46" s="21" t="inlineStr"/>
      <c r="R46" s="21" t="inlineStr"/>
      <c r="S46" s="21" t="inlineStr"/>
      <c r="T46" s="21" t="inlineStr">
        <is>
          <t>RFB partner (QSA); no Apollo match</t>
        </is>
      </c>
      <c r="U46" s="22" t="n">
        <v>4672725.1</v>
      </c>
      <c r="V46" s="23" t="inlineStr">
        <is>
          <t>B</t>
        </is>
      </c>
      <c r="W46" s="24">
        <f>IFERROR(VLOOKUP(V46,Assumptions!$A$7:$F$11,2,FALSE),0)</f>
        <v/>
      </c>
      <c r="X46" s="25">
        <f>IF(V46="A",MAX(1,IFERROR(VLOOKUP(V46,Assumptions!$A$7:$F$11,3,FALSE),3)+IFERROR(VLOOKUP(V46,Assumptions!$A$7:$F$11,4,FALSE),8)/2-MAX(0,IF(AO46="",0,YEAR(TODAY())-AO46)-IFERROR(VLOOKUP(V46,Assumptions!$A$7:$F$11,5,FALSE),1.5))),IFERROR(VLOOKUP(V46,Assumptions!$A$7:$F$11,5,FALSE),2.5)+IFERROR(VLOOKUP(V46,Assumptions!$A$7:$F$11,3,FALSE),3)+IFERROR(VLOOKUP(V46,Assumptions!$A$7:$F$11,4,FALSE),8)/2)</f>
        <v/>
      </c>
      <c r="Y46" s="22">
        <f>U46*W46/(1+Assumptions!$B$3)^X46</f>
        <v/>
      </c>
      <c r="Z46" s="26">
        <f>IF(U46=0,"",ROUND(Y46/U46*100,1))</f>
        <v/>
      </c>
      <c r="AA46" s="27">
        <f>Y46*Assumptions!$B$4</f>
        <v/>
      </c>
      <c r="AB46" s="26">
        <f>IF(U46=0,"",ROUND(AA46/U46*100,1))</f>
        <v/>
      </c>
      <c r="AC46" s="27">
        <f>Y46-AA46</f>
        <v/>
      </c>
      <c r="AD46" s="26">
        <f>IF(U46=0,"",ROUND((Y46-AA46)/U46*100,1))</f>
        <v/>
      </c>
      <c r="AE46" s="28" t="inlineStr">
        <is>
          <t>OK — totals reconciled</t>
        </is>
      </c>
      <c r="AF46" s="29" t="inlineStr">
        <is>
          <t>https://ajruiz.com.br/sites/default/files/public/arquivos-processos/2026-06/alto_uruguai_qgc_junho.2026.pdf</t>
        </is>
      </c>
      <c r="AG46" s="28" t="inlineStr">
        <is>
          <t>p1 r35</t>
        </is>
      </c>
      <c r="AH46" s="28" t="inlineStr">
        <is>
          <t>p1: R$ 4.672.725,10</t>
        </is>
      </c>
      <c r="AI46" s="28" t="inlineStr">
        <is>
          <t>Unclassified list</t>
        </is>
      </c>
      <c r="AJ46" s="28" t="inlineStr"/>
      <c r="AK46" s="28" t="inlineStr">
        <is>
          <t>NONE FOUND</t>
        </is>
      </c>
      <c r="AL46" s="30" t="inlineStr">
        <is>
          <t>5012743-51.2023.8.24.0019</t>
        </is>
      </c>
      <c r="AM46" s="30" t="inlineStr">
        <is>
          <t>TJSC</t>
        </is>
      </c>
      <c r="AN46" s="30" t="inlineStr">
        <is>
          <t>ACTIVE</t>
        </is>
      </c>
      <c r="AO46" s="30" t="n">
        <v>2023</v>
      </c>
      <c r="AP46" s="30" t="inlineStr">
        <is>
          <t>live case, no plan document yet</t>
        </is>
      </c>
      <c r="AQ46" s="30" t="inlineStr"/>
      <c r="AR46" s="30" t="inlineStr">
        <is>
          <t>printed on the list (read twice)</t>
        </is>
      </c>
      <c r="AS46" s="30" t="inlineStr">
        <is>
          <t>CHAPECO</t>
        </is>
      </c>
      <c r="AT46" s="30" t="inlineStr">
        <is>
          <t>SC</t>
        </is>
      </c>
      <c r="AU46" s="30" t="inlineStr">
        <is>
          <t>Transporte rodoviário de carga, exceto produtos perigosos e mudanças, intermunicipal, interestadual e internacional</t>
        </is>
      </c>
      <c r="AV46" s="30" t="inlineStr">
        <is>
          <t>DEMAIS</t>
        </is>
      </c>
      <c r="AW46" s="31" t="n">
        <v>50000</v>
      </c>
      <c r="AX46" s="30" t="inlineStr">
        <is>
          <t>MID-MARKET</t>
        </is>
      </c>
      <c r="AY46" s="30" t="inlineStr">
        <is>
          <t>32851823</t>
        </is>
      </c>
      <c r="AZ46" s="30" t="n">
        <v>1</v>
      </c>
      <c r="BA46" s="30" t="inlineStr">
        <is>
          <t>ROWS:p1r35 VALUE_COL:Valor_Do_Crédito</t>
        </is>
      </c>
    </row>
    <row r="47">
      <c r="A47" s="16" t="inlineStr">
        <is>
          <t>YARA BRASIL FERTILIZANTES S/A</t>
        </is>
      </c>
      <c r="B47" s="17" t="n">
        <v>4591380</v>
      </c>
      <c r="C47" s="37" t="inlineStr">
        <is>
          <t>(debtor not identified — see proof)</t>
        </is>
      </c>
      <c r="D47" s="19" t="inlineStr">
        <is>
          <t>NEW</t>
        </is>
      </c>
      <c r="E47" s="20" t="inlineStr"/>
      <c r="F47" s="19" t="inlineStr"/>
      <c r="G47" s="20" t="inlineStr"/>
      <c r="H47" s="19" t="inlineStr"/>
      <c r="I47" s="21" t="inlineStr">
        <is>
          <t>Adriana Nunez</t>
        </is>
      </c>
      <c r="J47" s="21" t="inlineStr">
        <is>
          <t>CFO Yara Brazil</t>
        </is>
      </c>
      <c r="K47" s="21" t="inlineStr">
        <is>
          <t>(51) 3230-1300</t>
        </is>
      </c>
      <c r="L47" s="21" t="inlineStr"/>
      <c r="M47" s="21" t="inlineStr"/>
      <c r="N47" s="21" t="inlineStr">
        <is>
          <t>adriana.nunez@yara.com</t>
        </is>
      </c>
      <c r="O47" s="21" t="inlineStr">
        <is>
          <t>michele.kabov@yara.com</t>
        </is>
      </c>
      <c r="P47" s="21" t="inlineStr">
        <is>
          <t>Michele Kabov</t>
        </is>
      </c>
      <c r="Q47" s="21" t="inlineStr">
        <is>
          <t>Credito</t>
        </is>
      </c>
      <c r="R47" s="21" t="inlineStr"/>
      <c r="S47" s="21" t="inlineStr">
        <is>
          <t>michele.kabov@yara.com</t>
        </is>
      </c>
      <c r="T47" s="21" t="inlineStr">
        <is>
          <t>email verified by Apollo</t>
        </is>
      </c>
      <c r="U47" s="22" t="n">
        <v>4591380</v>
      </c>
      <c r="V47" s="23" t="inlineStr">
        <is>
          <t>B</t>
        </is>
      </c>
      <c r="W47" s="24">
        <f>IFERROR(VLOOKUP(V47,Assumptions!$A$7:$F$11,2,FALSE),0)</f>
        <v/>
      </c>
      <c r="X47" s="25">
        <f>IF(V47="A",MAX(1,IFERROR(VLOOKUP(V47,Assumptions!$A$7:$F$11,3,FALSE),3)+IFERROR(VLOOKUP(V47,Assumptions!$A$7:$F$11,4,FALSE),8)/2-MAX(0,IF(AO47="",0,YEAR(TODAY())-AO47)-IFERROR(VLOOKUP(V47,Assumptions!$A$7:$F$11,5,FALSE),1.5))),IFERROR(VLOOKUP(V47,Assumptions!$A$7:$F$11,5,FALSE),2.5)+IFERROR(VLOOKUP(V47,Assumptions!$A$7:$F$11,3,FALSE),3)+IFERROR(VLOOKUP(V47,Assumptions!$A$7:$F$11,4,FALSE),8)/2)</f>
        <v/>
      </c>
      <c r="Y47" s="22">
        <f>U47*W47/(1+Assumptions!$B$3)^X47</f>
        <v/>
      </c>
      <c r="Z47" s="26">
        <f>IF(U47=0,"",ROUND(Y47/U47*100,1))</f>
        <v/>
      </c>
      <c r="AA47" s="27">
        <f>Y47*Assumptions!$B$4</f>
        <v/>
      </c>
      <c r="AB47" s="26">
        <f>IF(U47=0,"",ROUND(AA47/U47*100,1))</f>
        <v/>
      </c>
      <c r="AC47" s="27">
        <f>Y47-AA47</f>
        <v/>
      </c>
      <c r="AD47" s="26">
        <f>IF(U47=0,"",ROUND((Y47-AA47)/U47*100,1))</f>
        <v/>
      </c>
      <c r="AE47" s="33" t="inlineStr">
        <is>
          <t>NO TOTALS — list prints none; check page</t>
        </is>
      </c>
      <c r="AF47" s="29" t="inlineStr">
        <is>
          <t>https://scalzilliaj.com.br/sgc/download.php?file=files/processo_documento/processo_documento11421222052026_1_.pdf&amp;nome=08. Lista de credores do edital do art. 52, §1º da LREF</t>
        </is>
      </c>
      <c r="AG47" s="28" t="inlineStr">
        <is>
          <t>p3 r7</t>
        </is>
      </c>
      <c r="AH47" s="28" t="inlineStr">
        <is>
          <t>p3: R$ 4.591.380,00</t>
        </is>
      </c>
      <c r="AI47" s="28" t="inlineStr">
        <is>
          <t>Unclassified list</t>
        </is>
      </c>
      <c r="AJ47" s="28" t="inlineStr"/>
      <c r="AK47" s="28" t="inlineStr">
        <is>
          <t>NONE FOUND</t>
        </is>
      </c>
      <c r="AL47" s="30" t="inlineStr">
        <is>
          <t>5011369-81.2026.8.09.0093</t>
        </is>
      </c>
      <c r="AM47" s="30" t="inlineStr">
        <is>
          <t>TJGO</t>
        </is>
      </c>
      <c r="AN47" s="30" t="inlineStr">
        <is>
          <t>ACTIVE</t>
        </is>
      </c>
      <c r="AO47" s="30" t="n">
        <v>2026</v>
      </c>
      <c r="AP47" s="30" t="inlineStr">
        <is>
          <t>live case, no plan document yet</t>
        </is>
      </c>
      <c r="AQ47" s="30" t="inlineStr"/>
      <c r="AR47" s="30" t="inlineStr">
        <is>
          <t>not identified</t>
        </is>
      </c>
      <c r="AS47" s="30" t="inlineStr">
        <is>
          <t>PORTO ALEGRE</t>
        </is>
      </c>
      <c r="AT47" s="30" t="inlineStr">
        <is>
          <t>RS</t>
        </is>
      </c>
      <c r="AU47" s="30" t="inlineStr">
        <is>
          <t>Fabricação de adubos e fertilizantes, exceto organo-minerais</t>
        </is>
      </c>
      <c r="AV47" s="30" t="inlineStr">
        <is>
          <t>DEMAIS</t>
        </is>
      </c>
      <c r="AW47" s="31" t="n">
        <v>10625717000</v>
      </c>
      <c r="AX47" s="30" t="inlineStr">
        <is>
          <t>LARGE CORP</t>
        </is>
      </c>
      <c r="AY47" s="30" t="inlineStr">
        <is>
          <t>92660604</t>
        </is>
      </c>
      <c r="AZ47" s="30" t="n">
        <v>1</v>
      </c>
      <c r="BA47" s="30" t="inlineStr">
        <is>
          <t>ROWS:p3r7 UNRECONCILED_SOURCE</t>
        </is>
      </c>
    </row>
    <row r="48">
      <c r="A48" s="16" t="inlineStr">
        <is>
          <t>FRONTEIRA COMERCIO E REPRESENTACAO DE PRODUTOS AGROPECUARIOS LTDA</t>
        </is>
      </c>
      <c r="B48" s="17" t="n">
        <v>2120225.1</v>
      </c>
      <c r="C48" s="18" t="inlineStr">
        <is>
          <t>GRUPO 3E</t>
        </is>
      </c>
      <c r="D48" s="19" t="inlineStr">
        <is>
          <t>NEW</t>
        </is>
      </c>
      <c r="E48" s="20" t="inlineStr"/>
      <c r="F48" s="19" t="inlineStr"/>
      <c r="G48" s="20" t="inlineStr"/>
      <c r="H48" s="19" t="inlineStr"/>
      <c r="I48" s="21" t="inlineStr">
        <is>
          <t>Thiago Costa</t>
        </is>
      </c>
      <c r="J48" s="21" t="inlineStr">
        <is>
          <t>Gerente Contas a Receber e Centro de Serviços Compartilhados</t>
        </is>
      </c>
      <c r="K48" s="21" t="inlineStr">
        <is>
          <t>(11) 5400-0021</t>
        </is>
      </c>
      <c r="L48" s="21" t="inlineStr"/>
      <c r="M48" s="21" t="inlineStr"/>
      <c r="N48" s="21" t="inlineStr">
        <is>
          <t>thiago.costa@nutrien.com</t>
        </is>
      </c>
      <c r="O48" s="21" t="inlineStr">
        <is>
          <t>emerson.freitas@nutrien.com</t>
        </is>
      </c>
      <c r="P48" s="21" t="inlineStr">
        <is>
          <t>Emerson Freitas</t>
        </is>
      </c>
      <c r="Q48" s="21" t="inlineStr">
        <is>
          <t>Gerente de Tesouraria | Tesouraria Estratégica</t>
        </is>
      </c>
      <c r="R48" s="21" t="inlineStr"/>
      <c r="S48" s="21" t="inlineStr">
        <is>
          <t>emerson.freitas@nutrien.com</t>
        </is>
      </c>
      <c r="T48" s="21" t="inlineStr">
        <is>
          <t>email verified by Apollo</t>
        </is>
      </c>
      <c r="U48" s="22" t="n">
        <v>2120225.1</v>
      </c>
      <c r="V48" s="35" t="inlineStr">
        <is>
          <t>A</t>
        </is>
      </c>
      <c r="W48" s="24">
        <f>IFERROR(VLOOKUP(V48,Assumptions!$A$7:$F$11,2,FALSE),0)</f>
        <v/>
      </c>
      <c r="X48" s="25">
        <f>IF(V48="A",MAX(1,IFERROR(VLOOKUP(V48,Assumptions!$A$7:$F$11,3,FALSE),3)+IFERROR(VLOOKUP(V48,Assumptions!$A$7:$F$11,4,FALSE),8)/2-MAX(0,IF(AO48="",0,YEAR(TODAY())-AO48)-IFERROR(VLOOKUP(V48,Assumptions!$A$7:$F$11,5,FALSE),1.5))),IFERROR(VLOOKUP(V48,Assumptions!$A$7:$F$11,5,FALSE),2.5)+IFERROR(VLOOKUP(V48,Assumptions!$A$7:$F$11,3,FALSE),3)+IFERROR(VLOOKUP(V48,Assumptions!$A$7:$F$11,4,FALSE),8)/2)</f>
        <v/>
      </c>
      <c r="Y48" s="22">
        <f>U48*W48/(1+Assumptions!$B$3)^X48</f>
        <v/>
      </c>
      <c r="Z48" s="26">
        <f>IF(U48=0,"",ROUND(Y48/U48*100,1))</f>
        <v/>
      </c>
      <c r="AA48" s="27">
        <f>Y48*Assumptions!$B$4</f>
        <v/>
      </c>
      <c r="AB48" s="26">
        <f>IF(U48=0,"",ROUND(AA48/U48*100,1))</f>
        <v/>
      </c>
      <c r="AC48" s="27">
        <f>Y48-AA48</f>
        <v/>
      </c>
      <c r="AD48" s="26">
        <f>IF(U48=0,"",ROUND((Y48-AA48)/U48*100,1))</f>
        <v/>
      </c>
      <c r="AE48" s="33" t="inlineStr">
        <is>
          <t>NO TOTALS — list prints none; check page</t>
        </is>
      </c>
      <c r="AF48" s="29" t="inlineStr">
        <is>
          <t>https://stenius.com.br/wp-content/uploads/2026/06/EDITAL-GRUPO-3E.pdf</t>
        </is>
      </c>
      <c r="AG48" s="28" t="inlineStr">
        <is>
          <t>p16 r31</t>
        </is>
      </c>
      <c r="AH48" s="28" t="inlineStr">
        <is>
          <t>p16: R$ 2.120.225,10</t>
        </is>
      </c>
      <c r="AI48" s="28" t="inlineStr">
        <is>
          <t>Debtor list (art. 51)</t>
        </is>
      </c>
      <c r="AJ48" s="28" t="inlineStr">
        <is>
          <t>2026-06-22</t>
        </is>
      </c>
      <c r="AK48" s="28" t="inlineStr">
        <is>
          <t>PLAN DOC FOUND</t>
        </is>
      </c>
      <c r="AL48" s="30" t="inlineStr">
        <is>
          <t>5341375-33.2026.8.09.0049</t>
        </is>
      </c>
      <c r="AM48" s="30" t="inlineStr">
        <is>
          <t>TJGO</t>
        </is>
      </c>
      <c r="AN48" s="30" t="inlineStr">
        <is>
          <t>ACTIVE</t>
        </is>
      </c>
      <c r="AO48" s="30" t="n">
        <v>2026</v>
      </c>
      <c r="AP48" s="30" t="inlineStr">
        <is>
          <t>plan/homologation document found</t>
        </is>
      </c>
      <c r="AQ48" s="30" t="inlineStr"/>
      <c r="AR48" s="30" t="inlineStr">
        <is>
          <t>printed on the list (read twice)</t>
        </is>
      </c>
      <c r="AS48" s="30" t="inlineStr">
        <is>
          <t>RIO VERDE</t>
        </is>
      </c>
      <c r="AT48" s="30" t="inlineStr">
        <is>
          <t>GO</t>
        </is>
      </c>
      <c r="AU48" s="30" t="inlineStr">
        <is>
          <t>Comércio atacadista de mercadorias em geral, com predominância de insumos agropecuários</t>
        </is>
      </c>
      <c r="AV48" s="30" t="inlineStr">
        <is>
          <t>DEMAIS</t>
        </is>
      </c>
      <c r="AW48" s="31" t="n">
        <v>698541950</v>
      </c>
      <c r="AX48" s="30" t="inlineStr">
        <is>
          <t>MID-MARKET</t>
        </is>
      </c>
      <c r="AY48" s="30" t="inlineStr">
        <is>
          <t>36854495</t>
        </is>
      </c>
      <c r="AZ48" s="30" t="n">
        <v>1</v>
      </c>
      <c r="BA48" s="30" t="inlineStr">
        <is>
          <t>ROWS:p16r31 UNRECONCILED_SOURCE</t>
        </is>
      </c>
    </row>
    <row r="49">
      <c r="A49" s="16" t="inlineStr">
        <is>
          <t>CENTRO AVANCADO DE NEUROLOGIA E NEUROCIRURGIA S/S</t>
        </is>
      </c>
      <c r="B49" s="17" t="n">
        <v>3947275.5</v>
      </c>
      <c r="C49" s="18" t="inlineStr">
        <is>
          <t>ASSOCIAÇÃO DE CARIDADE SANTA CASA DO RIO GRANDE</t>
        </is>
      </c>
      <c r="D49" s="19" t="inlineStr">
        <is>
          <t>NEW</t>
        </is>
      </c>
      <c r="E49" s="20" t="inlineStr"/>
      <c r="F49" s="19" t="inlineStr"/>
      <c r="G49" s="20" t="inlineStr"/>
      <c r="H49" s="19" t="inlineStr"/>
      <c r="I49" s="21" t="inlineStr">
        <is>
          <t>GUSTAVO RASSIER ISOLAN</t>
        </is>
      </c>
      <c r="J49" s="21" t="inlineStr">
        <is>
          <t>Sócio-Administrador (RFB partner)</t>
        </is>
      </c>
      <c r="K49" s="21" t="inlineStr">
        <is>
          <t>(51) 3276-7818</t>
        </is>
      </c>
      <c r="L49" s="21" t="inlineStr"/>
      <c r="M49" s="21" t="inlineStr"/>
      <c r="N49" s="21" t="inlineStr"/>
      <c r="O49" s="21" t="inlineStr"/>
      <c r="P49" s="21" t="inlineStr"/>
      <c r="Q49" s="21" t="inlineStr"/>
      <c r="R49" s="21" t="inlineStr"/>
      <c r="S49" s="21" t="inlineStr"/>
      <c r="T49" s="21" t="inlineStr">
        <is>
          <t>RFB partner (QSA); no Apollo match</t>
        </is>
      </c>
      <c r="U49" s="22" t="n">
        <v>3947275.5</v>
      </c>
      <c r="V49" s="23" t="inlineStr">
        <is>
          <t>B</t>
        </is>
      </c>
      <c r="W49" s="24">
        <f>IFERROR(VLOOKUP(V49,Assumptions!$A$7:$F$11,2,FALSE),0)</f>
        <v/>
      </c>
      <c r="X49" s="25">
        <f>IF(V49="A",MAX(1,IFERROR(VLOOKUP(V49,Assumptions!$A$7:$F$11,3,FALSE),3)+IFERROR(VLOOKUP(V49,Assumptions!$A$7:$F$11,4,FALSE),8)/2-MAX(0,IF(AO49="",0,YEAR(TODAY())-AO49)-IFERROR(VLOOKUP(V49,Assumptions!$A$7:$F$11,5,FALSE),1.5))),IFERROR(VLOOKUP(V49,Assumptions!$A$7:$F$11,5,FALSE),2.5)+IFERROR(VLOOKUP(V49,Assumptions!$A$7:$F$11,3,FALSE),3)+IFERROR(VLOOKUP(V49,Assumptions!$A$7:$F$11,4,FALSE),8)/2)</f>
        <v/>
      </c>
      <c r="Y49" s="22">
        <f>U49*W49/(1+Assumptions!$B$3)^X49</f>
        <v/>
      </c>
      <c r="Z49" s="26">
        <f>IF(U49=0,"",ROUND(Y49/U49*100,1))</f>
        <v/>
      </c>
      <c r="AA49" s="27">
        <f>Y49*Assumptions!$B$4</f>
        <v/>
      </c>
      <c r="AB49" s="26">
        <f>IF(U49=0,"",ROUND(AA49/U49*100,1))</f>
        <v/>
      </c>
      <c r="AC49" s="27">
        <f>Y49-AA49</f>
        <v/>
      </c>
      <c r="AD49" s="26">
        <f>IF(U49=0,"",ROUND((Y49-AA49)/U49*100,1))</f>
        <v/>
      </c>
      <c r="AE49" s="33" t="inlineStr">
        <is>
          <t>NO TOTALS — list prints none; check page</t>
        </is>
      </c>
      <c r="AF49" s="29" t="inlineStr">
        <is>
          <t>https://scalzilliaj.com.br/sgc/download.php?file=files/processo_documento/processo_documento09120721032023_1_.pdf&amp;nome=15 - Edital do art. 7º, §2º e 53 da Lei 11.101/2005 (segunda lista de credores e recebimento do plano))</t>
        </is>
      </c>
      <c r="AG49" s="28" t="inlineStr">
        <is>
          <t>p26 r23</t>
        </is>
      </c>
      <c r="AH49" s="28" t="inlineStr">
        <is>
          <t>p26: R$ 3.947.275,50</t>
        </is>
      </c>
      <c r="AI49" s="28" t="inlineStr">
        <is>
          <t>AJ list (art. 7 §2)</t>
        </is>
      </c>
      <c r="AJ49" s="28" t="inlineStr">
        <is>
          <t>2023-03-21</t>
        </is>
      </c>
      <c r="AK49" s="28" t="inlineStr">
        <is>
          <t>NONE FOUND</t>
        </is>
      </c>
      <c r="AL49" s="30" t="inlineStr">
        <is>
          <t>5012306-16.2022.8.21.0023</t>
        </is>
      </c>
      <c r="AM49" s="30" t="inlineStr">
        <is>
          <t>TJRS</t>
        </is>
      </c>
      <c r="AN49" s="30" t="inlineStr">
        <is>
          <t>ACTIVE</t>
        </is>
      </c>
      <c r="AO49" s="30" t="n">
        <v>2022</v>
      </c>
      <c r="AP49" s="30" t="inlineStr">
        <is>
          <t>live case, no plan document yet</t>
        </is>
      </c>
      <c r="AQ49" s="30" t="inlineStr"/>
      <c r="AR49" s="30" t="inlineStr">
        <is>
          <t>printed on the list (read twice)</t>
        </is>
      </c>
      <c r="AS49" s="30" t="inlineStr">
        <is>
          <t>PORTO ALEGRE</t>
        </is>
      </c>
      <c r="AT49" s="30" t="inlineStr">
        <is>
          <t>RS</t>
        </is>
      </c>
      <c r="AU49" s="30" t="inlineStr">
        <is>
          <t>Atividades de atenção ambulatorial não especificadas anteriormente</t>
        </is>
      </c>
      <c r="AV49" s="30" t="inlineStr">
        <is>
          <t>DEMAIS</t>
        </is>
      </c>
      <c r="AW49" s="31" t="n">
        <v>20000</v>
      </c>
      <c r="AX49" s="30" t="inlineStr">
        <is>
          <t>MID-MARKET</t>
        </is>
      </c>
      <c r="AY49" s="30" t="inlineStr">
        <is>
          <t>18331491</t>
        </is>
      </c>
      <c r="AZ49" s="30" t="n">
        <v>1</v>
      </c>
      <c r="BA49" s="30" t="inlineStr">
        <is>
          <t>ROWS:p26r23 UNRECONCILED_SOURCE</t>
        </is>
      </c>
    </row>
    <row r="50">
      <c r="A50" s="16" t="inlineStr">
        <is>
          <t>COMPANHIA DE AGUA E ESGOTOS DA PARAIBA CAGEPA</t>
        </is>
      </c>
      <c r="B50" s="17" t="n">
        <v>3641949.67</v>
      </c>
      <c r="C50" s="18" t="inlineStr">
        <is>
          <t>TREZE FUTEBOL CLUBE</t>
        </is>
      </c>
      <c r="D50" s="19" t="inlineStr">
        <is>
          <t>NEW</t>
        </is>
      </c>
      <c r="E50" s="20" t="inlineStr"/>
      <c r="F50" s="19" t="inlineStr"/>
      <c r="G50" s="20" t="inlineStr"/>
      <c r="H50" s="19" t="inlineStr"/>
      <c r="I50" s="21" t="inlineStr">
        <is>
          <t>Dilvany Marcos</t>
        </is>
      </c>
      <c r="J50" s="21" t="inlineStr">
        <is>
          <t>Subgerencia de Cobranças de Órg. Públicos</t>
        </is>
      </c>
      <c r="K50" s="21" t="inlineStr">
        <is>
          <t>(83) 3218-1200</t>
        </is>
      </c>
      <c r="L50" s="21" t="inlineStr">
        <is>
          <t>(83) 3218-1225</t>
        </is>
      </c>
      <c r="M50" s="21" t="inlineStr"/>
      <c r="N50" s="21" t="inlineStr"/>
      <c r="O50" s="21" t="inlineStr">
        <is>
          <t>alecsandro@cagepa.pb.gov.br</t>
        </is>
      </c>
      <c r="P50" s="21" t="inlineStr">
        <is>
          <t>Alecsandro Gomes</t>
        </is>
      </c>
      <c r="Q50" s="21" t="inlineStr">
        <is>
          <t>Técnico Em Contabilidade</t>
        </is>
      </c>
      <c r="R50" s="21" t="inlineStr"/>
      <c r="S50" s="21" t="inlineStr">
        <is>
          <t>alecsandro@cagepa.pb.gov.br</t>
        </is>
      </c>
      <c r="T50" s="21" t="inlineStr">
        <is>
          <t>no work email found in Apollo</t>
        </is>
      </c>
      <c r="U50" s="22" t="n">
        <v>3641949.67</v>
      </c>
      <c r="V50" s="23" t="inlineStr">
        <is>
          <t>B</t>
        </is>
      </c>
      <c r="W50" s="24">
        <f>IFERROR(VLOOKUP(V50,Assumptions!$A$7:$F$11,2,FALSE),0)</f>
        <v/>
      </c>
      <c r="X50" s="25">
        <f>IF(V50="A",MAX(1,IFERROR(VLOOKUP(V50,Assumptions!$A$7:$F$11,3,FALSE),3)+IFERROR(VLOOKUP(V50,Assumptions!$A$7:$F$11,4,FALSE),8)/2-MAX(0,IF(AO50="",0,YEAR(TODAY())-AO50)-IFERROR(VLOOKUP(V50,Assumptions!$A$7:$F$11,5,FALSE),1.5))),IFERROR(VLOOKUP(V50,Assumptions!$A$7:$F$11,5,FALSE),2.5)+IFERROR(VLOOKUP(V50,Assumptions!$A$7:$F$11,3,FALSE),3)+IFERROR(VLOOKUP(V50,Assumptions!$A$7:$F$11,4,FALSE),8)/2)</f>
        <v/>
      </c>
      <c r="Y50" s="22">
        <f>U50*W50/(1+Assumptions!$B$3)^X50</f>
        <v/>
      </c>
      <c r="Z50" s="26">
        <f>IF(U50=0,"",ROUND(Y50/U50*100,1))</f>
        <v/>
      </c>
      <c r="AA50" s="27">
        <f>Y50*Assumptions!$B$4</f>
        <v/>
      </c>
      <c r="AB50" s="26">
        <f>IF(U50=0,"",ROUND(AA50/U50*100,1))</f>
        <v/>
      </c>
      <c r="AC50" s="27">
        <f>Y50-AA50</f>
        <v/>
      </c>
      <c r="AD50" s="26">
        <f>IF(U50=0,"",ROUND((Y50-AA50)/U50*100,1))</f>
        <v/>
      </c>
      <c r="AE50" s="28" t="inlineStr">
        <is>
          <t>OK — totals reconciled</t>
        </is>
      </c>
      <c r="AF50" s="29" t="inlineStr">
        <is>
          <t>https://lrflideres.com.br/wp-content/plugins/download-attachments/includes/download.php?id=5828</t>
        </is>
      </c>
      <c r="AG50" s="28" t="inlineStr">
        <is>
          <t>p3 r16</t>
        </is>
      </c>
      <c r="AH50" s="28" t="inlineStr">
        <is>
          <t>p3: R$ 3.641.949,67</t>
        </is>
      </c>
      <c r="AI50" s="28" t="inlineStr">
        <is>
          <t>AJ list (art. 7 §2)</t>
        </is>
      </c>
      <c r="AJ50" s="28" t="inlineStr">
        <is>
          <t>2024-04-18</t>
        </is>
      </c>
      <c r="AK50" s="28" t="inlineStr">
        <is>
          <t>NONE FOUND</t>
        </is>
      </c>
      <c r="AL50" s="30" t="inlineStr">
        <is>
          <t>0829315-43.2023.8.15.0001</t>
        </is>
      </c>
      <c r="AM50" s="30" t="inlineStr">
        <is>
          <t>TJPB</t>
        </is>
      </c>
      <c r="AN50" s="30" t="inlineStr">
        <is>
          <t>ACTIVE</t>
        </is>
      </c>
      <c r="AO50" s="30" t="n">
        <v>2023</v>
      </c>
      <c r="AP50" s="30" t="inlineStr">
        <is>
          <t>live case, no plan document yet</t>
        </is>
      </c>
      <c r="AQ50" s="30" t="inlineStr"/>
      <c r="AR50" s="30" t="inlineStr">
        <is>
          <t>printed on the list (read twice)</t>
        </is>
      </c>
      <c r="AS50" s="30" t="inlineStr">
        <is>
          <t>JOAO PESSOA</t>
        </is>
      </c>
      <c r="AT50" s="30" t="inlineStr">
        <is>
          <t>PB</t>
        </is>
      </c>
      <c r="AU50" s="30" t="inlineStr">
        <is>
          <t>Captação, tratamento e distribuição de água</t>
        </is>
      </c>
      <c r="AV50" s="30" t="inlineStr">
        <is>
          <t>DEMAIS</t>
        </is>
      </c>
      <c r="AW50" s="31" t="n">
        <v>1140408200</v>
      </c>
      <c r="AX50" s="30" t="inlineStr">
        <is>
          <t>LARGE CORP</t>
        </is>
      </c>
      <c r="AY50" s="30" t="inlineStr">
        <is>
          <t>09123654</t>
        </is>
      </c>
      <c r="AZ50" s="30" t="n">
        <v>1</v>
      </c>
      <c r="BA50" s="30" t="inlineStr">
        <is>
          <t>ROWS:p3r16</t>
        </is>
      </c>
    </row>
    <row r="51">
      <c r="A51" s="16" t="inlineStr">
        <is>
          <t>MISTRAS SOUTH AMERICA COMERCIO E SERVICOS LTDA</t>
        </is>
      </c>
      <c r="B51" s="17" t="n">
        <v>6623625.24</v>
      </c>
      <c r="C51" s="18" t="inlineStr">
        <is>
          <t>EGESA ENGENHARIA S/A (Consórcio ETDI)</t>
        </is>
      </c>
      <c r="D51" s="19" t="inlineStr">
        <is>
          <t>NEW</t>
        </is>
      </c>
      <c r="E51" s="20" t="inlineStr"/>
      <c r="F51" s="19" t="inlineStr"/>
      <c r="G51" s="20" t="inlineStr"/>
      <c r="H51" s="19" t="inlineStr"/>
      <c r="I51" s="21" t="inlineStr">
        <is>
          <t>Caio Martins</t>
        </is>
      </c>
      <c r="J51" s="21" t="inlineStr">
        <is>
          <t>Head of Finance</t>
        </is>
      </c>
      <c r="K51" s="21" t="inlineStr">
        <is>
          <t>(11) 2061-8626</t>
        </is>
      </c>
      <c r="L51" s="21" t="inlineStr"/>
      <c r="M51" s="21" t="inlineStr"/>
      <c r="N51" s="21" t="inlineStr">
        <is>
          <t>caio.martins@mistras.com.br</t>
        </is>
      </c>
      <c r="O51" s="21" t="inlineStr">
        <is>
          <t>pedro@mistras.com.br</t>
        </is>
      </c>
      <c r="P51" s="21" t="inlineStr">
        <is>
          <t>Pedro Filho</t>
        </is>
      </c>
      <c r="Q51" s="21" t="inlineStr">
        <is>
          <t>Mistras South America CEO</t>
        </is>
      </c>
      <c r="R51" s="21" t="inlineStr"/>
      <c r="S51" s="21" t="inlineStr">
        <is>
          <t>pedro@mistras.com.br</t>
        </is>
      </c>
      <c r="T51" s="21" t="inlineStr">
        <is>
          <t>email verified by Apollo</t>
        </is>
      </c>
      <c r="U51" s="22" t="n">
        <v>6623625.24</v>
      </c>
      <c r="V51" s="32" t="inlineStr">
        <is>
          <t>U</t>
        </is>
      </c>
      <c r="W51" s="24">
        <f>IFERROR(VLOOKUP(V51,Assumptions!$A$7:$F$11,2,FALSE),0)</f>
        <v/>
      </c>
      <c r="X51" s="25">
        <f>IF(V51="A",MAX(1,IFERROR(VLOOKUP(V51,Assumptions!$A$7:$F$11,3,FALSE),3)+IFERROR(VLOOKUP(V51,Assumptions!$A$7:$F$11,4,FALSE),8)/2-MAX(0,IF(AO51="",0,YEAR(TODAY())-AO51)-IFERROR(VLOOKUP(V51,Assumptions!$A$7:$F$11,5,FALSE),1.5))),IFERROR(VLOOKUP(V51,Assumptions!$A$7:$F$11,5,FALSE),2.5)+IFERROR(VLOOKUP(V51,Assumptions!$A$7:$F$11,3,FALSE),3)+IFERROR(VLOOKUP(V51,Assumptions!$A$7:$F$11,4,FALSE),8)/2)</f>
        <v/>
      </c>
      <c r="Y51" s="22">
        <f>U51*W51/(1+Assumptions!$B$3)^X51</f>
        <v/>
      </c>
      <c r="Z51" s="26">
        <f>IF(U51=0,"",ROUND(Y51/U51*100,1))</f>
        <v/>
      </c>
      <c r="AA51" s="27">
        <f>Y51*Assumptions!$B$4</f>
        <v/>
      </c>
      <c r="AB51" s="26">
        <f>IF(U51=0,"",ROUND(AA51/U51*100,1))</f>
        <v/>
      </c>
      <c r="AC51" s="27">
        <f>Y51-AA51</f>
        <v/>
      </c>
      <c r="AD51" s="26">
        <f>IF(U51=0,"",ROUND((Y51-AA51)/U51*100,1))</f>
        <v/>
      </c>
      <c r="AE51" s="28" t="inlineStr">
        <is>
          <t>OK — totals reconciled</t>
        </is>
      </c>
      <c r="AF51" s="29" t="inlineStr">
        <is>
          <t>https://scalzilliaj.com.br/sgc/download.php?file=files/processo_documento/processo_documento09514021082025_1_.pdf&amp;nome=04 - Relação de credores das Recuperandas</t>
        </is>
      </c>
      <c r="AG51" s="28" t="inlineStr">
        <is>
          <t>p70 r9</t>
        </is>
      </c>
      <c r="AH51" s="28" t="inlineStr">
        <is>
          <t>p70: R$ 6.623.625,24</t>
        </is>
      </c>
      <c r="AI51" s="28" t="inlineStr">
        <is>
          <t>Debtor list (art. 51)</t>
        </is>
      </c>
      <c r="AJ51" s="28" t="inlineStr"/>
      <c r="AK51" s="28" t="inlineStr">
        <is>
          <t>NONE FOUND</t>
        </is>
      </c>
      <c r="AL51" s="30" t="inlineStr">
        <is>
          <t>(not printed)</t>
        </is>
      </c>
      <c r="AM51" s="30" t="inlineStr"/>
      <c r="AN51" s="30" t="inlineStr"/>
      <c r="AO51" s="30" t="inlineStr"/>
      <c r="AP51" s="30" t="inlineStr">
        <is>
          <t>RJ case number not identified on the document</t>
        </is>
      </c>
      <c r="AQ51" s="30" t="inlineStr"/>
      <c r="AR51" s="30" t="inlineStr">
        <is>
          <t>portal page title / URL — not printed on the list</t>
        </is>
      </c>
      <c r="AS51" s="30" t="inlineStr">
        <is>
          <t>SAO PAULO</t>
        </is>
      </c>
      <c r="AT51" s="30" t="inlineStr">
        <is>
          <t>SP</t>
        </is>
      </c>
      <c r="AU51" s="30" t="inlineStr">
        <is>
          <t>Testes e análises técnicas</t>
        </is>
      </c>
      <c r="AV51" s="30" t="inlineStr">
        <is>
          <t>DEMAIS</t>
        </is>
      </c>
      <c r="AW51" s="31" t="n">
        <v>8588336</v>
      </c>
      <c r="AX51" s="30" t="inlineStr">
        <is>
          <t>MID-MARKET</t>
        </is>
      </c>
      <c r="AY51" s="30" t="inlineStr">
        <is>
          <t>61615191</t>
        </is>
      </c>
      <c r="AZ51" s="30" t="n">
        <v>1</v>
      </c>
      <c r="BA51" s="30" t="inlineStr">
        <is>
          <t>ROWS:p70r9 VALUE_COL:Valor_Atualizado CASE_NUMBER_CORRECTED</t>
        </is>
      </c>
    </row>
    <row r="52">
      <c r="A52" s="16" t="inlineStr">
        <is>
          <t>SALESFORCE TECNOLOGIA LTDA</t>
        </is>
      </c>
      <c r="B52" s="17" t="n">
        <v>3349893.45</v>
      </c>
      <c r="C52" s="18" t="inlineStr">
        <is>
          <t>Grupo Rech</t>
        </is>
      </c>
      <c r="D52" s="19" t="inlineStr">
        <is>
          <t>NEW</t>
        </is>
      </c>
      <c r="E52" s="20" t="inlineStr"/>
      <c r="F52" s="19" t="inlineStr"/>
      <c r="G52" s="20" t="inlineStr"/>
      <c r="H52" s="19" t="inlineStr"/>
      <c r="I52" s="21" t="inlineStr">
        <is>
          <t>Alexandre Costa</t>
        </is>
      </c>
      <c r="J52" s="21" t="inlineStr">
        <is>
          <t>Controller Director</t>
        </is>
      </c>
      <c r="K52" s="21" t="inlineStr">
        <is>
          <t>(11) 2110-3141</t>
        </is>
      </c>
      <c r="L52" s="21" t="inlineStr"/>
      <c r="M52" s="21" t="inlineStr"/>
      <c r="N52" s="21" t="inlineStr">
        <is>
          <t>alexandre.costa@salesforce.com</t>
        </is>
      </c>
      <c r="O52" s="21" t="inlineStr">
        <is>
          <t>mmendes@salesforce.com</t>
        </is>
      </c>
      <c r="P52" s="21" t="inlineStr">
        <is>
          <t>Marcio Mendes</t>
        </is>
      </c>
      <c r="Q52" s="21" t="inlineStr">
        <is>
          <t>Finance Controller</t>
        </is>
      </c>
      <c r="R52" s="21" t="inlineStr"/>
      <c r="S52" s="21" t="inlineStr">
        <is>
          <t>mmendes@salesforce.com</t>
        </is>
      </c>
      <c r="T52" s="21" t="inlineStr">
        <is>
          <t>email verified by Apollo</t>
        </is>
      </c>
      <c r="U52" s="22" t="n">
        <v>3349893.45</v>
      </c>
      <c r="V52" s="23" t="inlineStr">
        <is>
          <t>B</t>
        </is>
      </c>
      <c r="W52" s="24">
        <f>IFERROR(VLOOKUP(V52,Assumptions!$A$7:$F$11,2,FALSE),0)</f>
        <v/>
      </c>
      <c r="X52" s="25">
        <f>IF(V52="A",MAX(1,IFERROR(VLOOKUP(V52,Assumptions!$A$7:$F$11,3,FALSE),3)+IFERROR(VLOOKUP(V52,Assumptions!$A$7:$F$11,4,FALSE),8)/2-MAX(0,IF(AO52="",0,YEAR(TODAY())-AO52)-IFERROR(VLOOKUP(V52,Assumptions!$A$7:$F$11,5,FALSE),1.5))),IFERROR(VLOOKUP(V52,Assumptions!$A$7:$F$11,5,FALSE),2.5)+IFERROR(VLOOKUP(V52,Assumptions!$A$7:$F$11,3,FALSE),3)+IFERROR(VLOOKUP(V52,Assumptions!$A$7:$F$11,4,FALSE),8)/2)</f>
        <v/>
      </c>
      <c r="Y52" s="22">
        <f>U52*W52/(1+Assumptions!$B$3)^X52</f>
        <v/>
      </c>
      <c r="Z52" s="26">
        <f>IF(U52=0,"",ROUND(Y52/U52*100,1))</f>
        <v/>
      </c>
      <c r="AA52" s="27">
        <f>Y52*Assumptions!$B$4</f>
        <v/>
      </c>
      <c r="AB52" s="26">
        <f>IF(U52=0,"",ROUND(AA52/U52*100,1))</f>
        <v/>
      </c>
      <c r="AC52" s="27">
        <f>Y52-AA52</f>
        <v/>
      </c>
      <c r="AD52" s="26">
        <f>IF(U52=0,"",ROUND((Y52-AA52)/U52*100,1))</f>
        <v/>
      </c>
      <c r="AE52" s="36" t="inlineStr">
        <is>
          <t>CHECK — source is not a statutory creditor list</t>
        </is>
      </c>
      <c r="AF52" s="29" t="inlineStr">
        <is>
          <t>https://credibilita.com.br/wp-content/uploads/2025/09/Relacao-Credores-29.04.2026.pdf</t>
        </is>
      </c>
      <c r="AG52" s="28" t="inlineStr">
        <is>
          <t>p2 r16</t>
        </is>
      </c>
      <c r="AH52" s="28" t="inlineStr">
        <is>
          <t>p2: R$ 3.349.893,45</t>
        </is>
      </c>
      <c r="AI52" s="28" t="inlineStr">
        <is>
          <t>Quorum list — NOT an art. 7/51 list</t>
        </is>
      </c>
      <c r="AJ52" s="28" t="inlineStr"/>
      <c r="AK52" s="28" t="inlineStr">
        <is>
          <t>NONE FOUND</t>
        </is>
      </c>
      <c r="AL52" s="30" t="inlineStr">
        <is>
          <t>5057720-48.2025.8.24.0023</t>
        </is>
      </c>
      <c r="AM52" s="30" t="inlineStr">
        <is>
          <t>TJSC</t>
        </is>
      </c>
      <c r="AN52" s="30" t="inlineStr"/>
      <c r="AO52" s="30" t="n">
        <v>2025</v>
      </c>
      <c r="AP52" s="30" t="inlineStr">
        <is>
          <t>live case, no plan document yet</t>
        </is>
      </c>
      <c r="AQ52" s="30" t="inlineStr"/>
      <c r="AR52" s="30" t="inlineStr">
        <is>
          <t>portal page title / URL — not printed on the list</t>
        </is>
      </c>
      <c r="AS52" s="30" t="inlineStr">
        <is>
          <t>SAO PAULO</t>
        </is>
      </c>
      <c r="AT52" s="30" t="inlineStr">
        <is>
          <t>SP</t>
        </is>
      </c>
      <c r="AU52" s="30" t="inlineStr">
        <is>
          <t>Desenvolvimento e licenciamento de programas de computador customizáveis</t>
        </is>
      </c>
      <c r="AV52" s="30" t="inlineStr">
        <is>
          <t>DEMAIS</t>
        </is>
      </c>
      <c r="AW52" s="31" t="n">
        <v>265000</v>
      </c>
      <c r="AX52" s="30" t="inlineStr">
        <is>
          <t>MID-MARKET</t>
        </is>
      </c>
      <c r="AY52" s="30" t="inlineStr">
        <is>
          <t>01080512</t>
        </is>
      </c>
      <c r="AZ52" s="30" t="n">
        <v>1</v>
      </c>
      <c r="BA52" s="30" t="inlineStr">
        <is>
          <t>ROWS:p2r16 UNRECONCILED_SOURCE VALUE_COL:Valor_Após_Analise CASE_NUMBER_CORRECTED</t>
        </is>
      </c>
    </row>
    <row r="53">
      <c r="A53" s="16" t="inlineStr">
        <is>
          <t>TABLEROS IND. E COM. DE PAINEIS LTDA</t>
        </is>
      </c>
      <c r="B53" s="17" t="n">
        <v>12966349.62</v>
      </c>
      <c r="C53" s="18" t="inlineStr">
        <is>
          <t>FORMAPLAN FORMAS PLANEJADAS INDÚSTRIA E COMÉRCIO LTDA</t>
        </is>
      </c>
      <c r="D53" s="19" t="inlineStr">
        <is>
          <t>NEW</t>
        </is>
      </c>
      <c r="E53" s="20" t="inlineStr"/>
      <c r="F53" s="19" t="inlineStr"/>
      <c r="G53" s="20" t="inlineStr"/>
      <c r="H53" s="19" t="inlineStr"/>
      <c r="I53" s="21" t="inlineStr">
        <is>
          <t>MARCIO GERALDO ROSA</t>
        </is>
      </c>
      <c r="J53" s="21" t="inlineStr">
        <is>
          <t>Sócio-Administrador (RFB partner)</t>
        </is>
      </c>
      <c r="K53" s="21" t="inlineStr">
        <is>
          <t>(46) 3263-8500</t>
        </is>
      </c>
      <c r="L53" s="21" t="inlineStr"/>
      <c r="M53" s="21" t="inlineStr"/>
      <c r="N53" s="21" t="inlineStr"/>
      <c r="O53" s="21" t="inlineStr"/>
      <c r="P53" s="21" t="inlineStr"/>
      <c r="Q53" s="21" t="inlineStr"/>
      <c r="R53" s="21" t="inlineStr"/>
      <c r="S53" s="21" t="inlineStr"/>
      <c r="T53" s="21" t="inlineStr">
        <is>
          <t>RFB partner (QSA); no Apollo match</t>
        </is>
      </c>
      <c r="U53" s="22" t="n">
        <v>12966349.62</v>
      </c>
      <c r="V53" s="38" t="inlineStr">
        <is>
          <t>C</t>
        </is>
      </c>
      <c r="W53" s="24">
        <f>IFERROR(VLOOKUP(V53,Assumptions!$A$7:$F$11,2,FALSE),0)</f>
        <v/>
      </c>
      <c r="X53" s="25">
        <f>IF(V53="A",MAX(1,IFERROR(VLOOKUP(V53,Assumptions!$A$7:$F$11,3,FALSE),3)+IFERROR(VLOOKUP(V53,Assumptions!$A$7:$F$11,4,FALSE),8)/2-MAX(0,IF(AO53="",0,YEAR(TODAY())-AO53)-IFERROR(VLOOKUP(V53,Assumptions!$A$7:$F$11,5,FALSE),1.5))),IFERROR(VLOOKUP(V53,Assumptions!$A$7:$F$11,5,FALSE),2.5)+IFERROR(VLOOKUP(V53,Assumptions!$A$7:$F$11,3,FALSE),3)+IFERROR(VLOOKUP(V53,Assumptions!$A$7:$F$11,4,FALSE),8)/2)</f>
        <v/>
      </c>
      <c r="Y53" s="22">
        <f>U53*W53/(1+Assumptions!$B$3)^X53</f>
        <v/>
      </c>
      <c r="Z53" s="26">
        <f>IF(U53=0,"",ROUND(Y53/U53*100,1))</f>
        <v/>
      </c>
      <c r="AA53" s="27">
        <f>Y53*Assumptions!$B$4</f>
        <v/>
      </c>
      <c r="AB53" s="26">
        <f>IF(U53=0,"",ROUND(AA53/U53*100,1))</f>
        <v/>
      </c>
      <c r="AC53" s="27">
        <f>Y53-AA53</f>
        <v/>
      </c>
      <c r="AD53" s="26">
        <f>IF(U53=0,"",ROUND((Y53-AA53)/U53*100,1))</f>
        <v/>
      </c>
      <c r="AE53" s="34" t="inlineStr">
        <is>
          <t>PARTIAL — class III reconciled, other classes not</t>
        </is>
      </c>
      <c r="AF53" s="29" t="inlineStr">
        <is>
          <t>https://marquesadmjudicial.com.br/sgc/download.php?file=files/processo_documento/processo_documento15232121112024_1_.pdf&amp;nome=Relação de Credores</t>
        </is>
      </c>
      <c r="AG53" s="28" t="inlineStr">
        <is>
          <t>p16 r3</t>
        </is>
      </c>
      <c r="AH53" s="28" t="inlineStr">
        <is>
          <t>p16: R$ 12.966.349,62</t>
        </is>
      </c>
      <c r="AI53" s="28" t="inlineStr">
        <is>
          <t>AJ list (art. 7 §2)</t>
        </is>
      </c>
      <c r="AJ53" s="28" t="inlineStr">
        <is>
          <t>2021-01-22</t>
        </is>
      </c>
      <c r="AK53" s="28" t="inlineStr">
        <is>
          <t>NONE FOUND</t>
        </is>
      </c>
      <c r="AL53" s="30" t="inlineStr">
        <is>
          <t>0000410-68.2021.8.16.0174</t>
        </is>
      </c>
      <c r="AM53" s="30" t="inlineStr">
        <is>
          <t>TJPR</t>
        </is>
      </c>
      <c r="AN53" s="30" t="inlineStr">
        <is>
          <t>ACTIVE</t>
        </is>
      </c>
      <c r="AO53" s="30" t="n">
        <v>2021</v>
      </c>
      <c r="AP53" s="30" t="inlineStr">
        <is>
          <t>5y since filing, no plan document</t>
        </is>
      </c>
      <c r="AQ53" s="30" t="inlineStr">
        <is>
          <t>00.262.371/0001-41</t>
        </is>
      </c>
      <c r="AR53" s="30" t="inlineStr">
        <is>
          <t>printed on the list (read twice)</t>
        </is>
      </c>
      <c r="AS53" s="30" t="inlineStr">
        <is>
          <t>PALMAS</t>
        </is>
      </c>
      <c r="AT53" s="30" t="inlineStr">
        <is>
          <t>PR</t>
        </is>
      </c>
      <c r="AU53" s="30" t="inlineStr">
        <is>
          <t>Fabricação de madeira laminada e de chapas de madeira compensada, prensada e aglomerada</t>
        </is>
      </c>
      <c r="AV53" s="30" t="inlineStr">
        <is>
          <t>DEMAIS</t>
        </is>
      </c>
      <c r="AW53" s="31" t="n">
        <v>15300000</v>
      </c>
      <c r="AX53" s="30" t="inlineStr">
        <is>
          <t>MID-MARKET</t>
        </is>
      </c>
      <c r="AY53" s="30" t="inlineStr">
        <is>
          <t>09402999</t>
        </is>
      </c>
      <c r="AZ53" s="30" t="n">
        <v>1</v>
      </c>
      <c r="BA53" s="30" t="inlineStr">
        <is>
          <t>PARTIAL_DOC_CLASS_III_RECONCILED ROWS:p16r3</t>
        </is>
      </c>
    </row>
    <row r="54">
      <c r="A54" s="16" t="inlineStr">
        <is>
          <t>M.K. GALONE CONFECCOES E COMERCIO DE ROUPAS LTDA</t>
        </is>
      </c>
      <c r="B54" s="17" t="n">
        <v>3309751.29</v>
      </c>
      <c r="C54" s="18" t="inlineStr">
        <is>
          <t>GRUPO CATTAN</t>
        </is>
      </c>
      <c r="D54" s="19" t="inlineStr">
        <is>
          <t>NEW</t>
        </is>
      </c>
      <c r="E54" s="20" t="inlineStr"/>
      <c r="F54" s="19" t="inlineStr"/>
      <c r="G54" s="20" t="inlineStr"/>
      <c r="H54" s="19" t="inlineStr"/>
      <c r="I54" s="21" t="inlineStr">
        <is>
          <t>LEANDRO AKIYOSHI HASHIGUTI</t>
        </is>
      </c>
      <c r="J54" s="21" t="inlineStr">
        <is>
          <t>Sócio-Administrador (RFB partner)</t>
        </is>
      </c>
      <c r="K54" s="21" t="inlineStr">
        <is>
          <t>(11) 7213-9030</t>
        </is>
      </c>
      <c r="L54" s="21" t="inlineStr"/>
      <c r="M54" s="21" t="inlineStr"/>
      <c r="N54" s="21" t="inlineStr"/>
      <c r="O54" s="21" t="inlineStr"/>
      <c r="P54" s="21" t="inlineStr">
        <is>
          <t>THIAGO ISSAMI HASHIGUTI</t>
        </is>
      </c>
      <c r="Q54" s="21" t="inlineStr">
        <is>
          <t>Sócio-Administrador (RFB partner)</t>
        </is>
      </c>
      <c r="R54" s="21" t="inlineStr"/>
      <c r="S54" s="21" t="inlineStr"/>
      <c r="T54" s="21" t="inlineStr">
        <is>
          <t>RFB partner (QSA); no Apollo match</t>
        </is>
      </c>
      <c r="U54" s="22" t="n">
        <v>3309751.29</v>
      </c>
      <c r="V54" s="23" t="inlineStr">
        <is>
          <t>B</t>
        </is>
      </c>
      <c r="W54" s="24">
        <f>IFERROR(VLOOKUP(V54,Assumptions!$A$7:$F$11,2,FALSE),0)</f>
        <v/>
      </c>
      <c r="X54" s="25">
        <f>IF(V54="A",MAX(1,IFERROR(VLOOKUP(V54,Assumptions!$A$7:$F$11,3,FALSE),3)+IFERROR(VLOOKUP(V54,Assumptions!$A$7:$F$11,4,FALSE),8)/2-MAX(0,IF(AO54="",0,YEAR(TODAY())-AO54)-IFERROR(VLOOKUP(V54,Assumptions!$A$7:$F$11,5,FALSE),1.5))),IFERROR(VLOOKUP(V54,Assumptions!$A$7:$F$11,5,FALSE),2.5)+IFERROR(VLOOKUP(V54,Assumptions!$A$7:$F$11,3,FALSE),3)+IFERROR(VLOOKUP(V54,Assumptions!$A$7:$F$11,4,FALSE),8)/2)</f>
        <v/>
      </c>
      <c r="Y54" s="22">
        <f>U54*W54/(1+Assumptions!$B$3)^X54</f>
        <v/>
      </c>
      <c r="Z54" s="26">
        <f>IF(U54=0,"",ROUND(Y54/U54*100,1))</f>
        <v/>
      </c>
      <c r="AA54" s="27">
        <f>Y54*Assumptions!$B$4</f>
        <v/>
      </c>
      <c r="AB54" s="26">
        <f>IF(U54=0,"",ROUND(AA54/U54*100,1))</f>
        <v/>
      </c>
      <c r="AC54" s="27">
        <f>Y54-AA54</f>
        <v/>
      </c>
      <c r="AD54" s="26">
        <f>IF(U54=0,"",ROUND((Y54-AA54)/U54*100,1))</f>
        <v/>
      </c>
      <c r="AE54" s="34" t="inlineStr">
        <is>
          <t>PARTIAL — class III reconciled, other classes not</t>
        </is>
      </c>
      <c r="AF54" s="29" t="inlineStr">
        <is>
          <t>https://lrflideres.com.br/wp-content/plugins/download-attachments/includes/download.php?id=4023</t>
        </is>
      </c>
      <c r="AG54" s="28" t="inlineStr">
        <is>
          <t>p4 r87; p7 r111; p9 r84</t>
        </is>
      </c>
      <c r="AH54" s="28" t="inlineStr">
        <is>
          <t>p4: R$ 2.265.469,65; p7: R$ 879.396,72; p9: R$ 164.884,92</t>
        </is>
      </c>
      <c r="AI54" s="28" t="inlineStr">
        <is>
          <t>Debtor list (art. 51)</t>
        </is>
      </c>
      <c r="AJ54" s="28" t="inlineStr"/>
      <c r="AK54" s="28" t="inlineStr">
        <is>
          <t>NONE FOUND</t>
        </is>
      </c>
      <c r="AL54" s="30" t="inlineStr">
        <is>
          <t>0002484-82.2022.8.17.2001</t>
        </is>
      </c>
      <c r="AM54" s="30" t="inlineStr">
        <is>
          <t>TJPE</t>
        </is>
      </c>
      <c r="AN54" s="30" t="inlineStr">
        <is>
          <t>ACTIVE</t>
        </is>
      </c>
      <c r="AO54" s="30" t="n">
        <v>2022</v>
      </c>
      <c r="AP54" s="30" t="inlineStr">
        <is>
          <t>live case, no plan document yet</t>
        </is>
      </c>
      <c r="AQ54" s="30" t="inlineStr"/>
      <c r="AR54" s="30" t="inlineStr">
        <is>
          <t>printed on the list (read twice)</t>
        </is>
      </c>
      <c r="AS54" s="30" t="inlineStr">
        <is>
          <t>SAO PAULO</t>
        </is>
      </c>
      <c r="AT54" s="30" t="inlineStr">
        <is>
          <t>SP</t>
        </is>
      </c>
      <c r="AU54" s="30" t="inlineStr">
        <is>
          <t>Confecção de peças de vestuário, exceto roupas íntimas e as confeccionadas sob medida</t>
        </is>
      </c>
      <c r="AV54" s="30" t="inlineStr">
        <is>
          <t>DEMAIS</t>
        </is>
      </c>
      <c r="AW54" s="31" t="n">
        <v>7500000</v>
      </c>
      <c r="AX54" s="30" t="inlineStr">
        <is>
          <t>MID-MARKET</t>
        </is>
      </c>
      <c r="AY54" s="30" t="inlineStr">
        <is>
          <t>05784234</t>
        </is>
      </c>
      <c r="AZ54" s="30" t="n">
        <v>3</v>
      </c>
      <c r="BA54" s="30" t="inlineStr">
        <is>
          <t>PARTIAL_DOC_CLASS_III_RECONCILED ROWS:p4r87,p7r111,p9r84</t>
        </is>
      </c>
    </row>
    <row r="55">
      <c r="A55" s="16" t="inlineStr">
        <is>
          <t>PARQUE DAS ESTRELAS EMPREENDIMENTOS IMOBILIARIOS LTDA</t>
        </is>
      </c>
      <c r="B55" s="17" t="n">
        <v>1701742.63</v>
      </c>
      <c r="C55" s="18" t="inlineStr">
        <is>
          <t>GRUPO 3E</t>
        </is>
      </c>
      <c r="D55" s="19" t="inlineStr">
        <is>
          <t>NEW</t>
        </is>
      </c>
      <c r="E55" s="20" t="inlineStr"/>
      <c r="F55" s="19" t="inlineStr"/>
      <c r="G55" s="20" t="inlineStr"/>
      <c r="H55" s="19" t="inlineStr"/>
      <c r="I55" s="21" t="inlineStr">
        <is>
          <t>GUSTAVO DINIZ RAMOS</t>
        </is>
      </c>
      <c r="J55" s="21" t="inlineStr">
        <is>
          <t>Administrador (RFB partner)</t>
        </is>
      </c>
      <c r="K55" s="21" t="inlineStr">
        <is>
          <t>(62) 9255-6106</t>
        </is>
      </c>
      <c r="L55" s="21" t="inlineStr">
        <is>
          <t>(62) 9255-6101</t>
        </is>
      </c>
      <c r="M55" s="21" t="inlineStr"/>
      <c r="N55" s="21" t="inlineStr"/>
      <c r="O55" s="21" t="inlineStr"/>
      <c r="P55" s="21" t="inlineStr">
        <is>
          <t>RODRIGO GONCALVES MENDES</t>
        </is>
      </c>
      <c r="Q55" s="21" t="inlineStr">
        <is>
          <t>Administrador (RFB partner)</t>
        </is>
      </c>
      <c r="R55" s="21" t="inlineStr"/>
      <c r="S55" s="21" t="inlineStr"/>
      <c r="T55" s="21" t="inlineStr">
        <is>
          <t>RFB partner (QSA); no Apollo match</t>
        </is>
      </c>
      <c r="U55" s="22" t="n">
        <v>1701742.63</v>
      </c>
      <c r="V55" s="35" t="inlineStr">
        <is>
          <t>A</t>
        </is>
      </c>
      <c r="W55" s="24">
        <f>IFERROR(VLOOKUP(V55,Assumptions!$A$7:$F$11,2,FALSE),0)</f>
        <v/>
      </c>
      <c r="X55" s="25">
        <f>IF(V55="A",MAX(1,IFERROR(VLOOKUP(V55,Assumptions!$A$7:$F$11,3,FALSE),3)+IFERROR(VLOOKUP(V55,Assumptions!$A$7:$F$11,4,FALSE),8)/2-MAX(0,IF(AO55="",0,YEAR(TODAY())-AO55)-IFERROR(VLOOKUP(V55,Assumptions!$A$7:$F$11,5,FALSE),1.5))),IFERROR(VLOOKUP(V55,Assumptions!$A$7:$F$11,5,FALSE),2.5)+IFERROR(VLOOKUP(V55,Assumptions!$A$7:$F$11,3,FALSE),3)+IFERROR(VLOOKUP(V55,Assumptions!$A$7:$F$11,4,FALSE),8)/2)</f>
        <v/>
      </c>
      <c r="Y55" s="22">
        <f>U55*W55/(1+Assumptions!$B$3)^X55</f>
        <v/>
      </c>
      <c r="Z55" s="26">
        <f>IF(U55=0,"",ROUND(Y55/U55*100,1))</f>
        <v/>
      </c>
      <c r="AA55" s="27">
        <f>Y55*Assumptions!$B$4</f>
        <v/>
      </c>
      <c r="AB55" s="26">
        <f>IF(U55=0,"",ROUND(AA55/U55*100,1))</f>
        <v/>
      </c>
      <c r="AC55" s="27">
        <f>Y55-AA55</f>
        <v/>
      </c>
      <c r="AD55" s="26">
        <f>IF(U55=0,"",ROUND((Y55-AA55)/U55*100,1))</f>
        <v/>
      </c>
      <c r="AE55" s="33" t="inlineStr">
        <is>
          <t>NO TOTALS — list prints none; check page</t>
        </is>
      </c>
      <c r="AF55" s="29" t="inlineStr">
        <is>
          <t>https://stenius.com.br/wp-content/uploads/2026/06/EDITAL-GRUPO-3E.pdf</t>
        </is>
      </c>
      <c r="AG55" s="28" t="inlineStr">
        <is>
          <t>p16 r39</t>
        </is>
      </c>
      <c r="AH55" s="28" t="inlineStr">
        <is>
          <t>p16: R$ 1.701.742,63</t>
        </is>
      </c>
      <c r="AI55" s="28" t="inlineStr">
        <is>
          <t>Debtor list (art. 51)</t>
        </is>
      </c>
      <c r="AJ55" s="28" t="inlineStr">
        <is>
          <t>2026-06-22</t>
        </is>
      </c>
      <c r="AK55" s="28" t="inlineStr">
        <is>
          <t>PLAN DOC FOUND</t>
        </is>
      </c>
      <c r="AL55" s="30" t="inlineStr">
        <is>
          <t>5341375-33.2026.8.09.0049</t>
        </is>
      </c>
      <c r="AM55" s="30" t="inlineStr">
        <is>
          <t>TJGO</t>
        </is>
      </c>
      <c r="AN55" s="30" t="inlineStr">
        <is>
          <t>ACTIVE</t>
        </is>
      </c>
      <c r="AO55" s="30" t="n">
        <v>2026</v>
      </c>
      <c r="AP55" s="30" t="inlineStr">
        <is>
          <t>plan/homologation document found</t>
        </is>
      </c>
      <c r="AQ55" s="30" t="inlineStr"/>
      <c r="AR55" s="30" t="inlineStr">
        <is>
          <t>printed on the list (read twice)</t>
        </is>
      </c>
      <c r="AS55" s="30" t="inlineStr">
        <is>
          <t>GOIANESIA</t>
        </is>
      </c>
      <c r="AT55" s="30" t="inlineStr">
        <is>
          <t>GO</t>
        </is>
      </c>
      <c r="AU55" s="30" t="inlineStr">
        <is>
          <t>Compra e venda de imóveis próprios</t>
        </is>
      </c>
      <c r="AV55" s="30" t="inlineStr">
        <is>
          <t>DEMAIS</t>
        </is>
      </c>
      <c r="AW55" s="31" t="n">
        <v>656000</v>
      </c>
      <c r="AX55" s="30" t="inlineStr">
        <is>
          <t>MID-MARKET</t>
        </is>
      </c>
      <c r="AY55" s="30" t="inlineStr">
        <is>
          <t>33676928</t>
        </is>
      </c>
      <c r="AZ55" s="30" t="n">
        <v>1</v>
      </c>
      <c r="BA55" s="30" t="inlineStr">
        <is>
          <t>ROWS:p16r39 UNRECONCILED_SOURCE</t>
        </is>
      </c>
    </row>
    <row r="56">
      <c r="A56" s="16" t="inlineStr">
        <is>
          <t>ALFANI CONFECCOES E COMERCIO LTDA - EM RECUPERACAO JUDICIAL</t>
        </is>
      </c>
      <c r="B56" s="17" t="n">
        <v>3140000</v>
      </c>
      <c r="C56" s="18" t="inlineStr">
        <is>
          <t>GRUPO CATTAN</t>
        </is>
      </c>
      <c r="D56" s="19" t="inlineStr">
        <is>
          <t>NEW</t>
        </is>
      </c>
      <c r="E56" s="20" t="inlineStr"/>
      <c r="F56" s="19" t="inlineStr"/>
      <c r="G56" s="20" t="inlineStr"/>
      <c r="H56" s="19" t="inlineStr"/>
      <c r="I56" s="21" t="inlineStr">
        <is>
          <t>FLAVIO DANTAS CATAO</t>
        </is>
      </c>
      <c r="J56" s="21" t="inlineStr">
        <is>
          <t>Sócio-Administrador (RFB partner)</t>
        </is>
      </c>
      <c r="K56" s="21" t="inlineStr">
        <is>
          <t>(81) 3419-8550</t>
        </is>
      </c>
      <c r="L56" s="21" t="inlineStr">
        <is>
          <t>(81) 3032-8400</t>
        </is>
      </c>
      <c r="M56" s="21" t="inlineStr"/>
      <c r="N56" s="21" t="inlineStr"/>
      <c r="O56" s="21" t="inlineStr"/>
      <c r="P56" s="21" t="inlineStr"/>
      <c r="Q56" s="21" t="inlineStr"/>
      <c r="R56" s="21" t="inlineStr"/>
      <c r="S56" s="21" t="inlineStr"/>
      <c r="T56" s="21" t="inlineStr">
        <is>
          <t>RFB partner (QSA); no Apollo match</t>
        </is>
      </c>
      <c r="U56" s="22" t="n">
        <v>3140000</v>
      </c>
      <c r="V56" s="23" t="inlineStr">
        <is>
          <t>B</t>
        </is>
      </c>
      <c r="W56" s="24">
        <f>IFERROR(VLOOKUP(V56,Assumptions!$A$7:$F$11,2,FALSE),0)</f>
        <v/>
      </c>
      <c r="X56" s="25">
        <f>IF(V56="A",MAX(1,IFERROR(VLOOKUP(V56,Assumptions!$A$7:$F$11,3,FALSE),3)+IFERROR(VLOOKUP(V56,Assumptions!$A$7:$F$11,4,FALSE),8)/2-MAX(0,IF(AO56="",0,YEAR(TODAY())-AO56)-IFERROR(VLOOKUP(V56,Assumptions!$A$7:$F$11,5,FALSE),1.5))),IFERROR(VLOOKUP(V56,Assumptions!$A$7:$F$11,5,FALSE),2.5)+IFERROR(VLOOKUP(V56,Assumptions!$A$7:$F$11,3,FALSE),3)+IFERROR(VLOOKUP(V56,Assumptions!$A$7:$F$11,4,FALSE),8)/2)</f>
        <v/>
      </c>
      <c r="Y56" s="22">
        <f>U56*W56/(1+Assumptions!$B$3)^X56</f>
        <v/>
      </c>
      <c r="Z56" s="26">
        <f>IF(U56=0,"",ROUND(Y56/U56*100,1))</f>
        <v/>
      </c>
      <c r="AA56" s="27">
        <f>Y56*Assumptions!$B$4</f>
        <v/>
      </c>
      <c r="AB56" s="26">
        <f>IF(U56=0,"",ROUND(AA56/U56*100,1))</f>
        <v/>
      </c>
      <c r="AC56" s="27">
        <f>Y56-AA56</f>
        <v/>
      </c>
      <c r="AD56" s="26">
        <f>IF(U56=0,"",ROUND((Y56-AA56)/U56*100,1))</f>
        <v/>
      </c>
      <c r="AE56" s="34" t="inlineStr">
        <is>
          <t>PARTIAL — class III reconciled, other classes not</t>
        </is>
      </c>
      <c r="AF56" s="29" t="inlineStr">
        <is>
          <t>https://lrflideres.com.br/wp-content/plugins/download-attachments/includes/download.php?id=4023</t>
        </is>
      </c>
      <c r="AG56" s="28" t="inlineStr">
        <is>
          <t>p9 r52</t>
        </is>
      </c>
      <c r="AH56" s="28" t="inlineStr">
        <is>
          <t>p9: R$ 3.140.000,00</t>
        </is>
      </c>
      <c r="AI56" s="28" t="inlineStr">
        <is>
          <t>Debtor list (art. 51)</t>
        </is>
      </c>
      <c r="AJ56" s="28" t="inlineStr"/>
      <c r="AK56" s="28" t="inlineStr">
        <is>
          <t>NONE FOUND</t>
        </is>
      </c>
      <c r="AL56" s="30" t="inlineStr">
        <is>
          <t>0002484-82.2022.8.17.2001</t>
        </is>
      </c>
      <c r="AM56" s="30" t="inlineStr">
        <is>
          <t>TJPE</t>
        </is>
      </c>
      <c r="AN56" s="30" t="inlineStr">
        <is>
          <t>ACTIVE</t>
        </is>
      </c>
      <c r="AO56" s="30" t="n">
        <v>2022</v>
      </c>
      <c r="AP56" s="30" t="inlineStr">
        <is>
          <t>live case, no plan document yet</t>
        </is>
      </c>
      <c r="AQ56" s="30" t="inlineStr"/>
      <c r="AR56" s="30" t="inlineStr">
        <is>
          <t>printed on the list (read twice)</t>
        </is>
      </c>
      <c r="AS56" s="30" t="inlineStr">
        <is>
          <t>RECIFE</t>
        </is>
      </c>
      <c r="AT56" s="30" t="inlineStr">
        <is>
          <t>PE</t>
        </is>
      </c>
      <c r="AU56" s="30" t="inlineStr">
        <is>
          <t>Comércio varejista de artigos do vestuário e acessórios</t>
        </is>
      </c>
      <c r="AV56" s="30" t="inlineStr">
        <is>
          <t>DEMAIS</t>
        </is>
      </c>
      <c r="AW56" s="31" t="n">
        <v>1000000</v>
      </c>
      <c r="AX56" s="30" t="inlineStr">
        <is>
          <t>MID-MARKET</t>
        </is>
      </c>
      <c r="AY56" s="30" t="inlineStr">
        <is>
          <t>02524216</t>
        </is>
      </c>
      <c r="AZ56" s="30" t="n">
        <v>1</v>
      </c>
      <c r="BA56" s="30" t="inlineStr">
        <is>
          <t>PARTIAL_DOC_CLASS_III_RECONCILED ROWS:p9r52</t>
        </is>
      </c>
    </row>
    <row r="57">
      <c r="A57" s="16" t="inlineStr">
        <is>
          <t>VIANMAQ EQUIPAMENTOS LTDA</t>
        </is>
      </c>
      <c r="B57" s="17" t="n">
        <v>3083893.62</v>
      </c>
      <c r="C57" s="18" t="inlineStr">
        <is>
          <t>CARAVAGGIO CONSTRUTORA LTDA</t>
        </is>
      </c>
      <c r="D57" s="19" t="inlineStr">
        <is>
          <t>NEW</t>
        </is>
      </c>
      <c r="E57" s="20" t="inlineStr"/>
      <c r="F57" s="19" t="inlineStr"/>
      <c r="G57" s="20" t="inlineStr"/>
      <c r="H57" s="19" t="inlineStr"/>
      <c r="I57" s="21" t="inlineStr">
        <is>
          <t>Emerson Moraes</t>
        </is>
      </c>
      <c r="J57" s="21" t="inlineStr">
        <is>
          <t>Vendedor Equipamentos</t>
        </is>
      </c>
      <c r="K57" s="21" t="inlineStr">
        <is>
          <t>(41) 3555-2161</t>
        </is>
      </c>
      <c r="L57" s="21" t="inlineStr">
        <is>
          <t>(41) 9707-0679</t>
        </is>
      </c>
      <c r="M57" s="21" t="inlineStr"/>
      <c r="N57" s="21" t="inlineStr">
        <is>
          <t>emerson.moraes@vianmaq.com.br</t>
        </is>
      </c>
      <c r="O57" s="21" t="inlineStr"/>
      <c r="P57" s="21" t="inlineStr">
        <is>
          <t>THIERRY FERNAND VIAN</t>
        </is>
      </c>
      <c r="Q57" s="21" t="inlineStr">
        <is>
          <t>Sócio-Administrador (RFB partner)</t>
        </is>
      </c>
      <c r="R57" s="21" t="inlineStr"/>
      <c r="S57" s="21" t="inlineStr"/>
      <c r="T57" s="21" t="inlineStr">
        <is>
          <t>email is pattern-guessed, not verified</t>
        </is>
      </c>
      <c r="U57" s="22" t="n">
        <v>3083893.62</v>
      </c>
      <c r="V57" s="23" t="inlineStr">
        <is>
          <t>B</t>
        </is>
      </c>
      <c r="W57" s="24">
        <f>IFERROR(VLOOKUP(V57,Assumptions!$A$7:$F$11,2,FALSE),0)</f>
        <v/>
      </c>
      <c r="X57" s="25">
        <f>IF(V57="A",MAX(1,IFERROR(VLOOKUP(V57,Assumptions!$A$7:$F$11,3,FALSE),3)+IFERROR(VLOOKUP(V57,Assumptions!$A$7:$F$11,4,FALSE),8)/2-MAX(0,IF(AO57="",0,YEAR(TODAY())-AO57)-IFERROR(VLOOKUP(V57,Assumptions!$A$7:$F$11,5,FALSE),1.5))),IFERROR(VLOOKUP(V57,Assumptions!$A$7:$F$11,5,FALSE),2.5)+IFERROR(VLOOKUP(V57,Assumptions!$A$7:$F$11,3,FALSE),3)+IFERROR(VLOOKUP(V57,Assumptions!$A$7:$F$11,4,FALSE),8)/2)</f>
        <v/>
      </c>
      <c r="Y57" s="22">
        <f>U57*W57/(1+Assumptions!$B$3)^X57</f>
        <v/>
      </c>
      <c r="Z57" s="26">
        <f>IF(U57=0,"",ROUND(Y57/U57*100,1))</f>
        <v/>
      </c>
      <c r="AA57" s="27">
        <f>Y57*Assumptions!$B$4</f>
        <v/>
      </c>
      <c r="AB57" s="26">
        <f>IF(U57=0,"",ROUND(AA57/U57*100,1))</f>
        <v/>
      </c>
      <c r="AC57" s="27">
        <f>Y57-AA57</f>
        <v/>
      </c>
      <c r="AD57" s="26">
        <f>IF(U57=0,"",ROUND((Y57-AA57)/U57*100,1))</f>
        <v/>
      </c>
      <c r="AE57" s="33" t="inlineStr">
        <is>
          <t>NO TOTALS — list prints none; check page</t>
        </is>
      </c>
      <c r="AF57" s="29" t="inlineStr">
        <is>
          <t>https://marquesadmjudicial.com.br/sgc/download.php?file=files/processo_documento/processo_documento16562707032024_1_.pdf&amp;nome=2º Edital-Relação de Credores do art. 7, §2 da LREF e do Plano de Recuperação Judicial</t>
        </is>
      </c>
      <c r="AG57" s="28" t="inlineStr">
        <is>
          <t>p1 r45</t>
        </is>
      </c>
      <c r="AH57" s="28" t="inlineStr">
        <is>
          <t>p1: R$ 3.083.893,62</t>
        </is>
      </c>
      <c r="AI57" s="28" t="inlineStr">
        <is>
          <t>AJ list (art. 7 §2)</t>
        </is>
      </c>
      <c r="AJ57" s="28" t="inlineStr">
        <is>
          <t>2022-11-17</t>
        </is>
      </c>
      <c r="AK57" s="28" t="inlineStr">
        <is>
          <t>NONE FOUND</t>
        </is>
      </c>
      <c r="AL57" s="30" t="inlineStr">
        <is>
          <t>0037411-27.2022.8.16.0021</t>
        </is>
      </c>
      <c r="AM57" s="30" t="inlineStr">
        <is>
          <t>TJPR</t>
        </is>
      </c>
      <c r="AN57" s="30" t="inlineStr">
        <is>
          <t>ACTIVE</t>
        </is>
      </c>
      <c r="AO57" s="30" t="n">
        <v>2022</v>
      </c>
      <c r="AP57" s="30" t="inlineStr">
        <is>
          <t>live case, no plan document yet</t>
        </is>
      </c>
      <c r="AQ57" s="30" t="inlineStr">
        <is>
          <t>04.929.130/0001-64</t>
        </is>
      </c>
      <c r="AR57" s="30" t="inlineStr">
        <is>
          <t>printed on the list (read twice)</t>
        </is>
      </c>
      <c r="AS57" s="30" t="inlineStr">
        <is>
          <t>CAMPO LARGO</t>
        </is>
      </c>
      <c r="AT57" s="30" t="inlineStr">
        <is>
          <t>PR</t>
        </is>
      </c>
      <c r="AU57" s="30" t="inlineStr">
        <is>
          <t>Comércio atacadista de outras máquinas e equipamentos não especificados anteriormente; partes e peças</t>
        </is>
      </c>
      <c r="AV57" s="30" t="inlineStr">
        <is>
          <t>DEMAIS</t>
        </is>
      </c>
      <c r="AW57" s="31" t="n">
        <v>21000000</v>
      </c>
      <c r="AX57" s="30" t="inlineStr">
        <is>
          <t>MID-MARKET</t>
        </is>
      </c>
      <c r="AY57" s="30" t="inlineStr">
        <is>
          <t>01631022</t>
        </is>
      </c>
      <c r="AZ57" s="30" t="n">
        <v>1</v>
      </c>
      <c r="BA57" s="30" t="inlineStr">
        <is>
          <t>MULTI_ROOT ROWS:p1r45 UNRECONCILED_SOURCE</t>
        </is>
      </c>
    </row>
    <row r="58">
      <c r="A58" s="16" t="inlineStr">
        <is>
          <t>SUZANO S.A.</t>
        </is>
      </c>
      <c r="B58" s="17" t="n">
        <v>5686333.34</v>
      </c>
      <c r="C58" s="37" t="inlineStr">
        <is>
          <t>(debtor not identified — see proof)</t>
        </is>
      </c>
      <c r="D58" s="19" t="inlineStr">
        <is>
          <t>NEW</t>
        </is>
      </c>
      <c r="E58" s="20" t="inlineStr"/>
      <c r="F58" s="19" t="inlineStr"/>
      <c r="G58" s="20" t="inlineStr"/>
      <c r="H58" s="19" t="inlineStr"/>
      <c r="I58" s="21" t="inlineStr">
        <is>
          <t>Erik Santos</t>
        </is>
      </c>
      <c r="J58" s="21" t="inlineStr">
        <is>
          <t>Analista Contas a Receber Sênior - CSC</t>
        </is>
      </c>
      <c r="K58" s="21" t="inlineStr">
        <is>
          <t>(11) 3636-5000</t>
        </is>
      </c>
      <c r="L58" s="21" t="inlineStr"/>
      <c r="M58" s="21" t="inlineStr"/>
      <c r="N58" s="21" t="inlineStr"/>
      <c r="O58" s="21" t="inlineStr">
        <is>
          <t>fabiolira@suzano.com.br</t>
        </is>
      </c>
      <c r="P58" s="21" t="inlineStr">
        <is>
          <t>Fabio Lira</t>
        </is>
      </c>
      <c r="Q58" s="21" t="inlineStr">
        <is>
          <t>Analista de Contas a Receber Jr</t>
        </is>
      </c>
      <c r="R58" s="21" t="inlineStr"/>
      <c r="S58" s="21" t="inlineStr">
        <is>
          <t>fabiolira@suzano.com.br</t>
        </is>
      </c>
      <c r="T58" s="21" t="inlineStr">
        <is>
          <t>no work email found in Apollo</t>
        </is>
      </c>
      <c r="U58" s="22" t="n">
        <v>5686333.34</v>
      </c>
      <c r="V58" s="32" t="inlineStr">
        <is>
          <t>U</t>
        </is>
      </c>
      <c r="W58" s="24">
        <f>IFERROR(VLOOKUP(V58,Assumptions!$A$7:$F$11,2,FALSE),0)</f>
        <v/>
      </c>
      <c r="X58" s="25">
        <f>IF(V58="A",MAX(1,IFERROR(VLOOKUP(V58,Assumptions!$A$7:$F$11,3,FALSE),3)+IFERROR(VLOOKUP(V58,Assumptions!$A$7:$F$11,4,FALSE),8)/2-MAX(0,IF(AO58="",0,YEAR(TODAY())-AO58)-IFERROR(VLOOKUP(V58,Assumptions!$A$7:$F$11,5,FALSE),1.5))),IFERROR(VLOOKUP(V58,Assumptions!$A$7:$F$11,5,FALSE),2.5)+IFERROR(VLOOKUP(V58,Assumptions!$A$7:$F$11,3,FALSE),3)+IFERROR(VLOOKUP(V58,Assumptions!$A$7:$F$11,4,FALSE),8)/2)</f>
        <v/>
      </c>
      <c r="Y58" s="22">
        <f>U58*W58/(1+Assumptions!$B$3)^X58</f>
        <v/>
      </c>
      <c r="Z58" s="26">
        <f>IF(U58=0,"",ROUND(Y58/U58*100,1))</f>
        <v/>
      </c>
      <c r="AA58" s="27">
        <f>Y58*Assumptions!$B$4</f>
        <v/>
      </c>
      <c r="AB58" s="26">
        <f>IF(U58=0,"",ROUND(AA58/U58*100,1))</f>
        <v/>
      </c>
      <c r="AC58" s="27">
        <f>Y58-AA58</f>
        <v/>
      </c>
      <c r="AD58" s="26">
        <f>IF(U58=0,"",ROUND((Y58-AA58)/U58*100,1))</f>
        <v/>
      </c>
      <c r="AE58" s="28" t="inlineStr">
        <is>
          <t>OK — totals reconciled</t>
        </is>
      </c>
      <c r="AF58" s="29" t="inlineStr">
        <is>
          <t>https://ajruiz.com.br/sites/default/files/public/arquivos-processos/2023-11/4_relacao_de_credores_analitica_art._51_iii_da_lre.pdf</t>
        </is>
      </c>
      <c r="AG58" s="28" t="inlineStr">
        <is>
          <t>p4 r14</t>
        </is>
      </c>
      <c r="AH58" s="28" t="inlineStr">
        <is>
          <t>p4: R$ 5.686.333,34</t>
        </is>
      </c>
      <c r="AI58" s="28" t="inlineStr">
        <is>
          <t>Unclassified list</t>
        </is>
      </c>
      <c r="AJ58" s="28" t="inlineStr"/>
      <c r="AK58" s="28" t="inlineStr">
        <is>
          <t>NONE FOUND</t>
        </is>
      </c>
      <c r="AL58" s="30" t="inlineStr">
        <is>
          <t>(not printed)</t>
        </is>
      </c>
      <c r="AM58" s="30" t="inlineStr"/>
      <c r="AN58" s="30" t="inlineStr"/>
      <c r="AO58" s="30" t="inlineStr"/>
      <c r="AP58" s="30" t="inlineStr">
        <is>
          <t>RJ case number not identified on the document</t>
        </is>
      </c>
      <c r="AQ58" s="30" t="inlineStr"/>
      <c r="AR58" s="30" t="inlineStr">
        <is>
          <t>not identified</t>
        </is>
      </c>
      <c r="AS58" s="30" t="inlineStr">
        <is>
          <t>SALVADOR</t>
        </is>
      </c>
      <c r="AT58" s="30" t="inlineStr">
        <is>
          <t>BA</t>
        </is>
      </c>
      <c r="AU58" s="30" t="inlineStr">
        <is>
          <t>Fabricação de celulose e outras pastas para a fabricação de papel</t>
        </is>
      </c>
      <c r="AV58" s="30" t="inlineStr">
        <is>
          <t>DEMAIS</t>
        </is>
      </c>
      <c r="AW58" s="31" t="n">
        <v>24283855000</v>
      </c>
      <c r="AX58" s="30" t="inlineStr">
        <is>
          <t>LARGE CORP</t>
        </is>
      </c>
      <c r="AY58" s="30" t="inlineStr">
        <is>
          <t>16404287</t>
        </is>
      </c>
      <c r="AZ58" s="30" t="n">
        <v>1</v>
      </c>
      <c r="BA58" s="30" t="inlineStr">
        <is>
          <t>ROWS:p4r14 CASE_NUMBER_CORRECTED</t>
        </is>
      </c>
    </row>
    <row r="59">
      <c r="A59" s="16" t="inlineStr">
        <is>
          <t>VEGETAL AGRONEGOCIOS LTDA</t>
        </is>
      </c>
      <c r="B59" s="17" t="n">
        <v>3014807.2</v>
      </c>
      <c r="C59" s="18" t="inlineStr">
        <is>
          <t>SOJAL COMERCIAL AGRICOLA LTDA e OUTROS</t>
        </is>
      </c>
      <c r="D59" s="19" t="inlineStr">
        <is>
          <t>NEW</t>
        </is>
      </c>
      <c r="E59" s="20" t="inlineStr"/>
      <c r="F59" s="19" t="inlineStr"/>
      <c r="G59" s="20" t="inlineStr"/>
      <c r="H59" s="19" t="inlineStr"/>
      <c r="I59" s="21" t="inlineStr">
        <is>
          <t>Raul Leite</t>
        </is>
      </c>
      <c r="J59" s="21" t="inlineStr">
        <is>
          <t>Gerente Comercial Filial Cristalina</t>
        </is>
      </c>
      <c r="K59" s="21" t="inlineStr">
        <is>
          <t>(61) 3234-8485</t>
        </is>
      </c>
      <c r="L59" s="21" t="inlineStr"/>
      <c r="M59" s="21" t="inlineStr"/>
      <c r="N59" s="21" t="inlineStr">
        <is>
          <t>raul@vegetalagro.com.br</t>
        </is>
      </c>
      <c r="O59" s="21" t="inlineStr">
        <is>
          <t>lidiane@vegetalagro.com.br</t>
        </is>
      </c>
      <c r="P59" s="21" t="inlineStr">
        <is>
          <t>Lidiane Fernandes</t>
        </is>
      </c>
      <c r="Q59" s="21" t="inlineStr">
        <is>
          <t>Gestora de Crédito e Cobrança.</t>
        </is>
      </c>
      <c r="R59" s="21" t="inlineStr"/>
      <c r="S59" s="21" t="inlineStr">
        <is>
          <t>lidiane@vegetalagro.com.br</t>
        </is>
      </c>
      <c r="T59" s="21" t="inlineStr">
        <is>
          <t>email verified by Apollo</t>
        </is>
      </c>
      <c r="U59" s="22" t="n">
        <v>3014807.2</v>
      </c>
      <c r="V59" s="23" t="inlineStr">
        <is>
          <t>B</t>
        </is>
      </c>
      <c r="W59" s="24">
        <f>IFERROR(VLOOKUP(V59,Assumptions!$A$7:$F$11,2,FALSE),0)</f>
        <v/>
      </c>
      <c r="X59" s="25">
        <f>IF(V59="A",MAX(1,IFERROR(VLOOKUP(V59,Assumptions!$A$7:$F$11,3,FALSE),3)+IFERROR(VLOOKUP(V59,Assumptions!$A$7:$F$11,4,FALSE),8)/2-MAX(0,IF(AO59="",0,YEAR(TODAY())-AO59)-IFERROR(VLOOKUP(V59,Assumptions!$A$7:$F$11,5,FALSE),1.5))),IFERROR(VLOOKUP(V59,Assumptions!$A$7:$F$11,5,FALSE),2.5)+IFERROR(VLOOKUP(V59,Assumptions!$A$7:$F$11,3,FALSE),3)+IFERROR(VLOOKUP(V59,Assumptions!$A$7:$F$11,4,FALSE),8)/2)</f>
        <v/>
      </c>
      <c r="Y59" s="22">
        <f>U59*W59/(1+Assumptions!$B$3)^X59</f>
        <v/>
      </c>
      <c r="Z59" s="26">
        <f>IF(U59=0,"",ROUND(Y59/U59*100,1))</f>
        <v/>
      </c>
      <c r="AA59" s="27">
        <f>Y59*Assumptions!$B$4</f>
        <v/>
      </c>
      <c r="AB59" s="26">
        <f>IF(U59=0,"",ROUND(AA59/U59*100,1))</f>
        <v/>
      </c>
      <c r="AC59" s="27">
        <f>Y59-AA59</f>
        <v/>
      </c>
      <c r="AD59" s="26">
        <f>IF(U59=0,"",ROUND((Y59-AA59)/U59*100,1))</f>
        <v/>
      </c>
      <c r="AE59" s="28" t="inlineStr">
        <is>
          <t>OK — totals reconciled</t>
        </is>
      </c>
      <c r="AF59" s="29" t="inlineStr">
        <is>
          <t>https://lrflideres.com.br/wp-content/plugins/download-attachments/includes/download.php?id=6879</t>
        </is>
      </c>
      <c r="AG59" s="28" t="inlineStr">
        <is>
          <t>p2 r13</t>
        </is>
      </c>
      <c r="AH59" s="28" t="inlineStr">
        <is>
          <t>p2: R$ 3.014.807,20</t>
        </is>
      </c>
      <c r="AI59" s="28" t="inlineStr">
        <is>
          <t>AJ list (art. 7 §2)</t>
        </is>
      </c>
      <c r="AJ59" s="28" t="inlineStr">
        <is>
          <t>2026-01-15</t>
        </is>
      </c>
      <c r="AK59" s="28" t="inlineStr">
        <is>
          <t>NONE FOUND</t>
        </is>
      </c>
      <c r="AL59" s="30" t="inlineStr">
        <is>
          <t>0804401-51.2025.8.14.0039</t>
        </is>
      </c>
      <c r="AM59" s="30" t="inlineStr">
        <is>
          <t>TJPA</t>
        </is>
      </c>
      <c r="AN59" s="30" t="inlineStr">
        <is>
          <t>ACTIVE</t>
        </is>
      </c>
      <c r="AO59" s="30" t="n">
        <v>2025</v>
      </c>
      <c r="AP59" s="30" t="inlineStr">
        <is>
          <t>live case, no plan document yet</t>
        </is>
      </c>
      <c r="AQ59" s="30" t="inlineStr">
        <is>
          <t>15.626.673/0003-90</t>
        </is>
      </c>
      <c r="AR59" s="30" t="inlineStr">
        <is>
          <t>printed on the list (read twice)</t>
        </is>
      </c>
      <c r="AS59" s="30" t="inlineStr">
        <is>
          <t>BRASILIA</t>
        </is>
      </c>
      <c r="AT59" s="30" t="inlineStr">
        <is>
          <t>DF</t>
        </is>
      </c>
      <c r="AU59" s="30" t="inlineStr">
        <is>
          <t>Comércio atacadista de defensivos agrícolas, adubos, fertilizantes e corretivos do solo</t>
        </is>
      </c>
      <c r="AV59" s="30" t="inlineStr">
        <is>
          <t>DEMAIS</t>
        </is>
      </c>
      <c r="AW59" s="31" t="n">
        <v>700000</v>
      </c>
      <c r="AX59" s="30" t="inlineStr">
        <is>
          <t>MID-MARKET</t>
        </is>
      </c>
      <c r="AY59" s="30" t="inlineStr">
        <is>
          <t>05429994</t>
        </is>
      </c>
      <c r="AZ59" s="30" t="n">
        <v>1</v>
      </c>
      <c r="BA59" s="30" t="inlineStr">
        <is>
          <t>ROWS:p2r13</t>
        </is>
      </c>
    </row>
    <row r="60">
      <c r="A60" s="16" t="inlineStr">
        <is>
          <t>IRANY COMERCIO EXTERIOR LTDA</t>
        </is>
      </c>
      <c r="B60" s="17" t="n">
        <v>2916553.74</v>
      </c>
      <c r="C60" s="18" t="inlineStr">
        <is>
          <t>B1 COMÉRCIO DE MANUFATURADOS LTDA</t>
        </is>
      </c>
      <c r="D60" s="19" t="inlineStr">
        <is>
          <t>NEW</t>
        </is>
      </c>
      <c r="E60" s="20" t="inlineStr"/>
      <c r="F60" s="19" t="inlineStr"/>
      <c r="G60" s="20" t="inlineStr"/>
      <c r="H60" s="19" t="inlineStr"/>
      <c r="I60" s="21" t="inlineStr">
        <is>
          <t>IRANY GASPAR PACHECO DOS SANTOS</t>
        </is>
      </c>
      <c r="J60" s="21" t="inlineStr">
        <is>
          <t>Sócio-Administrador (RFB partner)</t>
        </is>
      </c>
      <c r="K60" s="21" t="inlineStr">
        <is>
          <t>(42) 9871-7035</t>
        </is>
      </c>
      <c r="L60" s="21" t="inlineStr"/>
      <c r="M60" s="21" t="inlineStr"/>
      <c r="N60" s="21" t="inlineStr"/>
      <c r="O60" s="21" t="inlineStr"/>
      <c r="P60" s="21" t="inlineStr"/>
      <c r="Q60" s="21" t="inlineStr"/>
      <c r="R60" s="21" t="inlineStr"/>
      <c r="S60" s="21" t="inlineStr"/>
      <c r="T60" s="21" t="inlineStr">
        <is>
          <t>RFB partner (QSA); no Apollo match</t>
        </is>
      </c>
      <c r="U60" s="22" t="n">
        <v>2916553.74</v>
      </c>
      <c r="V60" s="23" t="inlineStr">
        <is>
          <t>B</t>
        </is>
      </c>
      <c r="W60" s="24">
        <f>IFERROR(VLOOKUP(V60,Assumptions!$A$7:$F$11,2,FALSE),0)</f>
        <v/>
      </c>
      <c r="X60" s="25">
        <f>IF(V60="A",MAX(1,IFERROR(VLOOKUP(V60,Assumptions!$A$7:$F$11,3,FALSE),3)+IFERROR(VLOOKUP(V60,Assumptions!$A$7:$F$11,4,FALSE),8)/2-MAX(0,IF(AO60="",0,YEAR(TODAY())-AO60)-IFERROR(VLOOKUP(V60,Assumptions!$A$7:$F$11,5,FALSE),1.5))),IFERROR(VLOOKUP(V60,Assumptions!$A$7:$F$11,5,FALSE),2.5)+IFERROR(VLOOKUP(V60,Assumptions!$A$7:$F$11,3,FALSE),3)+IFERROR(VLOOKUP(V60,Assumptions!$A$7:$F$11,4,FALSE),8)/2)</f>
        <v/>
      </c>
      <c r="Y60" s="22">
        <f>U60*W60/(1+Assumptions!$B$3)^X60</f>
        <v/>
      </c>
      <c r="Z60" s="26">
        <f>IF(U60=0,"",ROUND(Y60/U60*100,1))</f>
        <v/>
      </c>
      <c r="AA60" s="27">
        <f>Y60*Assumptions!$B$4</f>
        <v/>
      </c>
      <c r="AB60" s="26">
        <f>IF(U60=0,"",ROUND(AA60/U60*100,1))</f>
        <v/>
      </c>
      <c r="AC60" s="27">
        <f>Y60-AA60</f>
        <v/>
      </c>
      <c r="AD60" s="26">
        <f>IF(U60=0,"",ROUND((Y60-AA60)/U60*100,1))</f>
        <v/>
      </c>
      <c r="AE60" s="33" t="inlineStr">
        <is>
          <t>NO TOTALS — list prints none; check page</t>
        </is>
      </c>
      <c r="AF60" s="29" t="inlineStr">
        <is>
          <t>https://marquesadmjudicial.com.br/sgc/download.php?file=files/processo_documento/processo_documento18581929042026_1_.pdf&amp;nome=3º Edital - Relação de Credores e PRJ</t>
        </is>
      </c>
      <c r="AG60" s="28" t="inlineStr">
        <is>
          <t>p1 r46</t>
        </is>
      </c>
      <c r="AH60" s="28" t="inlineStr">
        <is>
          <t>p1: R$ 2.916.553,74</t>
        </is>
      </c>
      <c r="AI60" s="28" t="inlineStr">
        <is>
          <t>AJ list (art. 7 §2)</t>
        </is>
      </c>
      <c r="AJ60" s="28" t="inlineStr">
        <is>
          <t>2025-09-12</t>
        </is>
      </c>
      <c r="AK60" s="28" t="inlineStr">
        <is>
          <t>NONE FOUND</t>
        </is>
      </c>
      <c r="AL60" s="30" t="inlineStr">
        <is>
          <t>0043030-30.2025.8.16.0021</t>
        </is>
      </c>
      <c r="AM60" s="30" t="inlineStr">
        <is>
          <t>TJPR</t>
        </is>
      </c>
      <c r="AN60" s="30" t="inlineStr">
        <is>
          <t>ACTIVE</t>
        </is>
      </c>
      <c r="AO60" s="30" t="n">
        <v>2025</v>
      </c>
      <c r="AP60" s="30" t="inlineStr">
        <is>
          <t>live case, no plan document yet</t>
        </is>
      </c>
      <c r="AQ60" s="30" t="inlineStr">
        <is>
          <t>29.448.809/0001-62</t>
        </is>
      </c>
      <c r="AR60" s="30" t="inlineStr">
        <is>
          <t>printed on the list (read twice)</t>
        </is>
      </c>
      <c r="AS60" s="30" t="inlineStr">
        <is>
          <t>ITAPOA</t>
        </is>
      </c>
      <c r="AT60" s="30" t="inlineStr">
        <is>
          <t>SC</t>
        </is>
      </c>
      <c r="AU60" s="30" t="inlineStr">
        <is>
          <t>Comércio atacadista de cereais e leguminosas beneficiados</t>
        </is>
      </c>
      <c r="AV60" s="30" t="inlineStr">
        <is>
          <t>DEMAIS</t>
        </is>
      </c>
      <c r="AW60" s="31" t="n">
        <v>400000</v>
      </c>
      <c r="AX60" s="30" t="inlineStr">
        <is>
          <t>MID-MARKET</t>
        </is>
      </c>
      <c r="AY60" s="30" t="inlineStr">
        <is>
          <t>47320705</t>
        </is>
      </c>
      <c r="AZ60" s="30" t="n">
        <v>1</v>
      </c>
      <c r="BA60" s="30" t="inlineStr">
        <is>
          <t>ROWS:p1r46 UNRECONCILED_SOURCE</t>
        </is>
      </c>
    </row>
    <row r="61">
      <c r="A61" s="16" t="inlineStr">
        <is>
          <t>NNC NORTE E NORDESTE COMMODITIES LTDA</t>
        </is>
      </c>
      <c r="B61" s="17" t="n">
        <v>2859701.32</v>
      </c>
      <c r="C61" s="37" t="inlineStr">
        <is>
          <t>(debtor not identified — see proof)</t>
        </is>
      </c>
      <c r="D61" s="19" t="inlineStr">
        <is>
          <t>NEW</t>
        </is>
      </c>
      <c r="E61" s="20" t="inlineStr"/>
      <c r="F61" s="19" t="inlineStr"/>
      <c r="G61" s="20" t="inlineStr"/>
      <c r="H61" s="19" t="inlineStr"/>
      <c r="I61" s="21" t="inlineStr">
        <is>
          <t>OZILDE LOPES</t>
        </is>
      </c>
      <c r="J61" s="21" t="inlineStr">
        <is>
          <t>Administrador (RFB partner)</t>
        </is>
      </c>
      <c r="K61" s="21" t="inlineStr">
        <is>
          <t>(37) 3271-9801</t>
        </is>
      </c>
      <c r="L61" s="21" t="inlineStr"/>
      <c r="M61" s="21" t="inlineStr"/>
      <c r="N61" s="21" t="inlineStr"/>
      <c r="O61" s="21" t="inlineStr"/>
      <c r="P61" s="21" t="inlineStr"/>
      <c r="Q61" s="21" t="inlineStr"/>
      <c r="R61" s="21" t="inlineStr"/>
      <c r="S61" s="21" t="inlineStr"/>
      <c r="T61" s="21" t="inlineStr">
        <is>
          <t>RFB partner (QSA); no Apollo match</t>
        </is>
      </c>
      <c r="U61" s="22" t="n">
        <v>2859701.32</v>
      </c>
      <c r="V61" s="23" t="inlineStr">
        <is>
          <t>B</t>
        </is>
      </c>
      <c r="W61" s="24">
        <f>IFERROR(VLOOKUP(V61,Assumptions!$A$7:$F$11,2,FALSE),0)</f>
        <v/>
      </c>
      <c r="X61" s="25">
        <f>IF(V61="A",MAX(1,IFERROR(VLOOKUP(V61,Assumptions!$A$7:$F$11,3,FALSE),3)+IFERROR(VLOOKUP(V61,Assumptions!$A$7:$F$11,4,FALSE),8)/2-MAX(0,IF(AO61="",0,YEAR(TODAY())-AO61)-IFERROR(VLOOKUP(V61,Assumptions!$A$7:$F$11,5,FALSE),1.5))),IFERROR(VLOOKUP(V61,Assumptions!$A$7:$F$11,5,FALSE),2.5)+IFERROR(VLOOKUP(V61,Assumptions!$A$7:$F$11,3,FALSE),3)+IFERROR(VLOOKUP(V61,Assumptions!$A$7:$F$11,4,FALSE),8)/2)</f>
        <v/>
      </c>
      <c r="Y61" s="22">
        <f>U61*W61/(1+Assumptions!$B$3)^X61</f>
        <v/>
      </c>
      <c r="Z61" s="26">
        <f>IF(U61=0,"",ROUND(Y61/U61*100,1))</f>
        <v/>
      </c>
      <c r="AA61" s="27">
        <f>Y61*Assumptions!$B$4</f>
        <v/>
      </c>
      <c r="AB61" s="26">
        <f>IF(U61=0,"",ROUND(AA61/U61*100,1))</f>
        <v/>
      </c>
      <c r="AC61" s="27">
        <f>Y61-AA61</f>
        <v/>
      </c>
      <c r="AD61" s="26">
        <f>IF(U61=0,"",ROUND((Y61-AA61)/U61*100,1))</f>
        <v/>
      </c>
      <c r="AE61" s="33" t="inlineStr">
        <is>
          <t>NO TOTALS — list prints none; check page</t>
        </is>
      </c>
      <c r="AF61" s="29" t="inlineStr">
        <is>
          <t>https://scalzilliaj.com.br/sgc/download.php?file=files/processo_documento/processo_documento11421222052026_1_.pdf&amp;nome=08. Lista de credores do edital do art. 52, §1º da LREF</t>
        </is>
      </c>
      <c r="AG61" s="28" t="inlineStr">
        <is>
          <t>p3 r9</t>
        </is>
      </c>
      <c r="AH61" s="28" t="inlineStr">
        <is>
          <t>p3: R$ 2.859.701,32</t>
        </is>
      </c>
      <c r="AI61" s="28" t="inlineStr">
        <is>
          <t>Unclassified list</t>
        </is>
      </c>
      <c r="AJ61" s="28" t="inlineStr"/>
      <c r="AK61" s="28" t="inlineStr">
        <is>
          <t>NONE FOUND</t>
        </is>
      </c>
      <c r="AL61" s="30" t="inlineStr">
        <is>
          <t>5011369-81.2026.8.09.0093</t>
        </is>
      </c>
      <c r="AM61" s="30" t="inlineStr">
        <is>
          <t>TJGO</t>
        </is>
      </c>
      <c r="AN61" s="30" t="inlineStr">
        <is>
          <t>ACTIVE</t>
        </is>
      </c>
      <c r="AO61" s="30" t="n">
        <v>2026</v>
      </c>
      <c r="AP61" s="30" t="inlineStr">
        <is>
          <t>live case, no plan document yet</t>
        </is>
      </c>
      <c r="AQ61" s="30" t="inlineStr"/>
      <c r="AR61" s="30" t="inlineStr">
        <is>
          <t>not identified</t>
        </is>
      </c>
      <c r="AS61" s="30" t="inlineStr">
        <is>
          <t>BALSAS</t>
        </is>
      </c>
      <c r="AT61" s="30" t="inlineStr">
        <is>
          <t>MA</t>
        </is>
      </c>
      <c r="AU61" s="30" t="inlineStr">
        <is>
          <t>Comércio atacadista de cereais e leguminosas beneficiados</t>
        </is>
      </c>
      <c r="AV61" s="30" t="inlineStr">
        <is>
          <t>DEMAIS</t>
        </is>
      </c>
      <c r="AW61" s="31" t="n">
        <v>100000</v>
      </c>
      <c r="AX61" s="30" t="inlineStr">
        <is>
          <t>MID-MARKET</t>
        </is>
      </c>
      <c r="AY61" s="30" t="inlineStr">
        <is>
          <t>40910399</t>
        </is>
      </c>
      <c r="AZ61" s="30" t="n">
        <v>1</v>
      </c>
      <c r="BA61" s="30" t="inlineStr">
        <is>
          <t>ROWS:p3r9 UNRECONCILED_SOURCE</t>
        </is>
      </c>
    </row>
    <row r="62">
      <c r="A62" s="16" t="inlineStr">
        <is>
          <t>SPORT CLUB CORINTHIANS PAULISTA</t>
        </is>
      </c>
      <c r="B62" s="17" t="n">
        <v>2823611.8</v>
      </c>
      <c r="C62" s="18" t="inlineStr">
        <is>
          <t>CLUBE NÁUTICO CAPIBARIBE</t>
        </is>
      </c>
      <c r="D62" s="19" t="inlineStr">
        <is>
          <t>NEW</t>
        </is>
      </c>
      <c r="E62" s="20" t="inlineStr"/>
      <c r="F62" s="19" t="inlineStr"/>
      <c r="G62" s="20" t="inlineStr"/>
      <c r="H62" s="19" t="inlineStr"/>
      <c r="I62" s="21" t="inlineStr">
        <is>
          <t>Joana Saragoca</t>
        </is>
      </c>
      <c r="J62" s="21" t="inlineStr">
        <is>
          <t>Gerente Sênior Financeiro e Administrativo</t>
        </is>
      </c>
      <c r="K62" s="21" t="inlineStr"/>
      <c r="L62" s="21" t="inlineStr"/>
      <c r="M62" s="21" t="inlineStr"/>
      <c r="N62" s="21" t="inlineStr">
        <is>
          <t>joana.saragoca@sccorinthians.com.br</t>
        </is>
      </c>
      <c r="O62" s="21" t="inlineStr"/>
      <c r="P62" s="21" t="inlineStr">
        <is>
          <t>Danyel Reis</t>
        </is>
      </c>
      <c r="Q62" s="21" t="inlineStr">
        <is>
          <t>Encarregado de Tesouraria</t>
        </is>
      </c>
      <c r="R62" s="21" t="inlineStr"/>
      <c r="S62" s="21" t="inlineStr"/>
      <c r="T62" s="21" t="inlineStr">
        <is>
          <t>email verified by Apollo</t>
        </is>
      </c>
      <c r="U62" s="22" t="n">
        <v>2823611.8</v>
      </c>
      <c r="V62" s="23" t="inlineStr">
        <is>
          <t>B</t>
        </is>
      </c>
      <c r="W62" s="24">
        <f>IFERROR(VLOOKUP(V62,Assumptions!$A$7:$F$11,2,FALSE),0)</f>
        <v/>
      </c>
      <c r="X62" s="25">
        <f>IF(V62="A",MAX(1,IFERROR(VLOOKUP(V62,Assumptions!$A$7:$F$11,3,FALSE),3)+IFERROR(VLOOKUP(V62,Assumptions!$A$7:$F$11,4,FALSE),8)/2-MAX(0,IF(AO62="",0,YEAR(TODAY())-AO62)-IFERROR(VLOOKUP(V62,Assumptions!$A$7:$F$11,5,FALSE),1.5))),IFERROR(VLOOKUP(V62,Assumptions!$A$7:$F$11,5,FALSE),2.5)+IFERROR(VLOOKUP(V62,Assumptions!$A$7:$F$11,3,FALSE),3)+IFERROR(VLOOKUP(V62,Assumptions!$A$7:$F$11,4,FALSE),8)/2)</f>
        <v/>
      </c>
      <c r="Y62" s="22">
        <f>U62*W62/(1+Assumptions!$B$3)^X62</f>
        <v/>
      </c>
      <c r="Z62" s="26">
        <f>IF(U62=0,"",ROUND(Y62/U62*100,1))</f>
        <v/>
      </c>
      <c r="AA62" s="27">
        <f>Y62*Assumptions!$B$4</f>
        <v/>
      </c>
      <c r="AB62" s="26">
        <f>IF(U62=0,"",ROUND(AA62/U62*100,1))</f>
        <v/>
      </c>
      <c r="AC62" s="27">
        <f>Y62-AA62</f>
        <v/>
      </c>
      <c r="AD62" s="26">
        <f>IF(U62=0,"",ROUND((Y62-AA62)/U62*100,1))</f>
        <v/>
      </c>
      <c r="AE62" s="34" t="inlineStr">
        <is>
          <t>PARTIAL — class III reconciled, other classes not</t>
        </is>
      </c>
      <c r="AF62" s="29" t="inlineStr">
        <is>
          <t>https://lrflideres.com.br/wp-content/plugins/download-attachments/includes/download.php?id=5589</t>
        </is>
      </c>
      <c r="AG62" s="28" t="inlineStr">
        <is>
          <t>p12 r44</t>
        </is>
      </c>
      <c r="AH62" s="28" t="inlineStr">
        <is>
          <t>p12: R$ 2.823.611,80</t>
        </is>
      </c>
      <c r="AI62" s="28" t="inlineStr">
        <is>
          <t>AJ list (art. 7 §2)</t>
        </is>
      </c>
      <c r="AJ62" s="28" t="inlineStr">
        <is>
          <t>2023-11-27</t>
        </is>
      </c>
      <c r="AK62" s="28" t="inlineStr">
        <is>
          <t>NONE FOUND</t>
        </is>
      </c>
      <c r="AL62" s="30" t="inlineStr">
        <is>
          <t>0011283-80.2023.8.17.2001</t>
        </is>
      </c>
      <c r="AM62" s="30" t="inlineStr">
        <is>
          <t>TJPE</t>
        </is>
      </c>
      <c r="AN62" s="30" t="inlineStr">
        <is>
          <t>ACTIVE</t>
        </is>
      </c>
      <c r="AO62" s="30" t="n">
        <v>2023</v>
      </c>
      <c r="AP62" s="30" t="inlineStr">
        <is>
          <t>live case, no plan document yet</t>
        </is>
      </c>
      <c r="AQ62" s="30" t="inlineStr">
        <is>
          <t>08.145.021/0001-07</t>
        </is>
      </c>
      <c r="AR62" s="30" t="inlineStr">
        <is>
          <t>printed on the list (read twice)</t>
        </is>
      </c>
      <c r="AS62" s="30" t="inlineStr">
        <is>
          <t>SAO PAULO</t>
        </is>
      </c>
      <c r="AT62" s="30" t="inlineStr">
        <is>
          <t>SP</t>
        </is>
      </c>
      <c r="AU62" s="30" t="inlineStr">
        <is>
          <t>Clubes sociais, esportivos e similares</t>
        </is>
      </c>
      <c r="AV62" s="30" t="inlineStr">
        <is>
          <t>DEMAIS</t>
        </is>
      </c>
      <c r="AW62" s="31" t="inlineStr"/>
      <c r="AX62" s="30" t="inlineStr">
        <is>
          <t>MID-MARKET</t>
        </is>
      </c>
      <c r="AY62" s="30" t="inlineStr">
        <is>
          <t>61902722</t>
        </is>
      </c>
      <c r="AZ62" s="30" t="n">
        <v>1</v>
      </c>
      <c r="BA62" s="30" t="inlineStr">
        <is>
          <t>PARTIAL_DOC_CLASS_III_RECONCILED ROWS:p12r44</t>
        </is>
      </c>
    </row>
    <row r="63">
      <c r="A63" s="16" t="inlineStr">
        <is>
          <t>CARGILL AGRICOLA S A</t>
        </is>
      </c>
      <c r="B63" s="17" t="n">
        <v>2748939.47</v>
      </c>
      <c r="C63" s="18" t="inlineStr">
        <is>
          <t>Grupo GE (Condomínio Agropecuário GE)</t>
        </is>
      </c>
      <c r="D63" s="19" t="inlineStr">
        <is>
          <t>NEW</t>
        </is>
      </c>
      <c r="E63" s="20" t="inlineStr"/>
      <c r="F63" s="19" t="inlineStr"/>
      <c r="G63" s="20" t="inlineStr"/>
      <c r="H63" s="19" t="inlineStr"/>
      <c r="I63" s="21" t="inlineStr">
        <is>
          <t>PAULO HUMBERTO ALVES DE SOUSA</t>
        </is>
      </c>
      <c r="J63" s="21" t="inlineStr">
        <is>
          <t>Presidente (RFB partner)</t>
        </is>
      </c>
      <c r="K63" s="21" t="inlineStr">
        <is>
          <t>(11) 5099-3311</t>
        </is>
      </c>
      <c r="L63" s="21" t="inlineStr"/>
      <c r="M63" s="21" t="inlineStr"/>
      <c r="N63" s="21" t="inlineStr"/>
      <c r="O63" s="21" t="inlineStr"/>
      <c r="P63" s="21" t="inlineStr">
        <is>
          <t>ANDREA WANDERLEY DOS ANJOS</t>
        </is>
      </c>
      <c r="Q63" s="21" t="inlineStr">
        <is>
          <t>Diretor (RFB partner)</t>
        </is>
      </c>
      <c r="R63" s="21" t="inlineStr"/>
      <c r="S63" s="21" t="inlineStr"/>
      <c r="T63" s="21" t="inlineStr">
        <is>
          <t>RFB partner (QSA); no Apollo match</t>
        </is>
      </c>
      <c r="U63" s="22" t="n">
        <v>2748939.47</v>
      </c>
      <c r="V63" s="23" t="inlineStr">
        <is>
          <t>B</t>
        </is>
      </c>
      <c r="W63" s="24">
        <f>IFERROR(VLOOKUP(V63,Assumptions!$A$7:$F$11,2,FALSE),0)</f>
        <v/>
      </c>
      <c r="X63" s="25">
        <f>IF(V63="A",MAX(1,IFERROR(VLOOKUP(V63,Assumptions!$A$7:$F$11,3,FALSE),3)+IFERROR(VLOOKUP(V63,Assumptions!$A$7:$F$11,4,FALSE),8)/2-MAX(0,IF(AO63="",0,YEAR(TODAY())-AO63)-IFERROR(VLOOKUP(V63,Assumptions!$A$7:$F$11,5,FALSE),1.5))),IFERROR(VLOOKUP(V63,Assumptions!$A$7:$F$11,5,FALSE),2.5)+IFERROR(VLOOKUP(V63,Assumptions!$A$7:$F$11,3,FALSE),3)+IFERROR(VLOOKUP(V63,Assumptions!$A$7:$F$11,4,FALSE),8)/2)</f>
        <v/>
      </c>
      <c r="Y63" s="22">
        <f>U63*W63/(1+Assumptions!$B$3)^X63</f>
        <v/>
      </c>
      <c r="Z63" s="26">
        <f>IF(U63=0,"",ROUND(Y63/U63*100,1))</f>
        <v/>
      </c>
      <c r="AA63" s="27">
        <f>Y63*Assumptions!$B$4</f>
        <v/>
      </c>
      <c r="AB63" s="26">
        <f>IF(U63=0,"",ROUND(AA63/U63*100,1))</f>
        <v/>
      </c>
      <c r="AC63" s="27">
        <f>Y63-AA63</f>
        <v/>
      </c>
      <c r="AD63" s="26">
        <f>IF(U63=0,"",ROUND((Y63-AA63)/U63*100,1))</f>
        <v/>
      </c>
      <c r="AE63" s="33" t="inlineStr">
        <is>
          <t>NO TOTALS — list prints none; check page</t>
        </is>
      </c>
      <c r="AF63" s="29" t="inlineStr">
        <is>
          <t>https://stenius.com.br/wp-content/uploads/2026/07/EDITAL-1-RELACAO-DE-CREDORES-GRUPO-GE.pdf</t>
        </is>
      </c>
      <c r="AG63" s="28" t="inlineStr">
        <is>
          <t>p5 r10; p5 r11; p5 r12; p5 r13; p5 r14; p5 r15; p5 r16; p5 r17</t>
        </is>
      </c>
      <c r="AH63" s="28" t="inlineStr">
        <is>
          <t>p5: R$ 518.664,47; p5: R$ 1.308.950,00; p5: R$ 1.308.950,00; p5: R$ 682.325,00; p5: R$ 682.325,00; p5: R$ 239.000,00; p5: R$ 239.000,00; p5: R$ 239.000,00</t>
        </is>
      </c>
      <c r="AI63" s="28" t="inlineStr">
        <is>
          <t>Debtor list (art. 51)</t>
        </is>
      </c>
      <c r="AJ63" s="28" t="inlineStr">
        <is>
          <t>2026-07-01</t>
        </is>
      </c>
      <c r="AK63" s="28" t="inlineStr">
        <is>
          <t>NONE FOUND</t>
        </is>
      </c>
      <c r="AL63" s="30" t="inlineStr">
        <is>
          <t>5164979-18.2026.8.09.0110</t>
        </is>
      </c>
      <c r="AM63" s="30" t="inlineStr">
        <is>
          <t>TJGO</t>
        </is>
      </c>
      <c r="AN63" s="30" t="inlineStr">
        <is>
          <t>ACTIVE</t>
        </is>
      </c>
      <c r="AO63" s="30" t="n">
        <v>2026</v>
      </c>
      <c r="AP63" s="30" t="inlineStr">
        <is>
          <t>live case, no plan document yet</t>
        </is>
      </c>
      <c r="AQ63" s="30" t="inlineStr"/>
      <c r="AR63" s="30" t="inlineStr">
        <is>
          <t>printed on the list (read twice)</t>
        </is>
      </c>
      <c r="AS63" s="30" t="inlineStr">
        <is>
          <t>SAO PAULO</t>
        </is>
      </c>
      <c r="AT63" s="30" t="inlineStr">
        <is>
          <t>SP</t>
        </is>
      </c>
      <c r="AU63" s="30" t="inlineStr">
        <is>
          <t>Fabricação de óleos vegetais refinados, exceto óleo de milho</t>
        </is>
      </c>
      <c r="AV63" s="30" t="inlineStr">
        <is>
          <t>DEMAIS</t>
        </is>
      </c>
      <c r="AW63" s="31" t="n">
        <v>8179542500</v>
      </c>
      <c r="AX63" s="30" t="inlineStr">
        <is>
          <t>LARGE CORP</t>
        </is>
      </c>
      <c r="AY63" s="30" t="inlineStr">
        <is>
          <t>60498706</t>
        </is>
      </c>
      <c r="AZ63" s="30" t="n">
        <v>4</v>
      </c>
      <c r="BA63" s="30" t="inlineStr">
        <is>
          <t>ROWS:p5r10,p5r11,p5r13,p5r15 UNRECONCILED_SOURCE</t>
        </is>
      </c>
    </row>
    <row r="64">
      <c r="A64" s="16" t="inlineStr">
        <is>
          <t>JBT MAREL BRASIL LTDA</t>
        </is>
      </c>
      <c r="B64" s="17" t="n">
        <v>1444276.42</v>
      </c>
      <c r="C64" s="18" t="inlineStr">
        <is>
          <t>GRUPO 3E</t>
        </is>
      </c>
      <c r="D64" s="19" t="inlineStr">
        <is>
          <t>NEW</t>
        </is>
      </c>
      <c r="E64" s="20" t="inlineStr"/>
      <c r="F64" s="19" t="inlineStr"/>
      <c r="G64" s="20" t="inlineStr"/>
      <c r="H64" s="19" t="inlineStr"/>
      <c r="I64" s="21" t="inlineStr">
        <is>
          <t>GLAUBER RODRIGUES</t>
        </is>
      </c>
      <c r="J64" s="21" t="inlineStr">
        <is>
          <t>Administrador (RFB partner)</t>
        </is>
      </c>
      <c r="K64" s="21" t="inlineStr">
        <is>
          <t>(16) 3301-2050</t>
        </is>
      </c>
      <c r="L64" s="21" t="inlineStr"/>
      <c r="M64" s="21" t="inlineStr"/>
      <c r="N64" s="21" t="inlineStr"/>
      <c r="O64" s="21" t="inlineStr"/>
      <c r="P64" s="21" t="inlineStr">
        <is>
          <t>JOSE MIGUEL RUIZ</t>
        </is>
      </c>
      <c r="Q64" s="21" t="inlineStr">
        <is>
          <t>Administrador (RFB partner)</t>
        </is>
      </c>
      <c r="R64" s="21" t="inlineStr"/>
      <c r="S64" s="21" t="inlineStr"/>
      <c r="T64" s="21" t="inlineStr">
        <is>
          <t>RFB partner (QSA); no Apollo match</t>
        </is>
      </c>
      <c r="U64" s="22" t="n">
        <v>1444276.42</v>
      </c>
      <c r="V64" s="35" t="inlineStr">
        <is>
          <t>A</t>
        </is>
      </c>
      <c r="W64" s="24">
        <f>IFERROR(VLOOKUP(V64,Assumptions!$A$7:$F$11,2,FALSE),0)</f>
        <v/>
      </c>
      <c r="X64" s="25">
        <f>IF(V64="A",MAX(1,IFERROR(VLOOKUP(V64,Assumptions!$A$7:$F$11,3,FALSE),3)+IFERROR(VLOOKUP(V64,Assumptions!$A$7:$F$11,4,FALSE),8)/2-MAX(0,IF(AO64="",0,YEAR(TODAY())-AO64)-IFERROR(VLOOKUP(V64,Assumptions!$A$7:$F$11,5,FALSE),1.5))),IFERROR(VLOOKUP(V64,Assumptions!$A$7:$F$11,5,FALSE),2.5)+IFERROR(VLOOKUP(V64,Assumptions!$A$7:$F$11,3,FALSE),3)+IFERROR(VLOOKUP(V64,Assumptions!$A$7:$F$11,4,FALSE),8)/2)</f>
        <v/>
      </c>
      <c r="Y64" s="22">
        <f>U64*W64/(1+Assumptions!$B$3)^X64</f>
        <v/>
      </c>
      <c r="Z64" s="26">
        <f>IF(U64=0,"",ROUND(Y64/U64*100,1))</f>
        <v/>
      </c>
      <c r="AA64" s="27">
        <f>Y64*Assumptions!$B$4</f>
        <v/>
      </c>
      <c r="AB64" s="26">
        <f>IF(U64=0,"",ROUND(AA64/U64*100,1))</f>
        <v/>
      </c>
      <c r="AC64" s="27">
        <f>Y64-AA64</f>
        <v/>
      </c>
      <c r="AD64" s="26">
        <f>IF(U64=0,"",ROUND((Y64-AA64)/U64*100,1))</f>
        <v/>
      </c>
      <c r="AE64" s="33" t="inlineStr">
        <is>
          <t>NO TOTALS — list prints none; check page</t>
        </is>
      </c>
      <c r="AF64" s="29" t="inlineStr">
        <is>
          <t>https://stenius.com.br/wp-content/uploads/2026/06/EDITAL-GRUPO-3E.pdf</t>
        </is>
      </c>
      <c r="AG64" s="28" t="inlineStr">
        <is>
          <t>p15 r54</t>
        </is>
      </c>
      <c r="AH64" s="28" t="inlineStr">
        <is>
          <t>p15: R$ 1.444.276,42</t>
        </is>
      </c>
      <c r="AI64" s="28" t="inlineStr">
        <is>
          <t>Debtor list (art. 51)</t>
        </is>
      </c>
      <c r="AJ64" s="28" t="inlineStr">
        <is>
          <t>2026-06-22</t>
        </is>
      </c>
      <c r="AK64" s="28" t="inlineStr">
        <is>
          <t>PLAN DOC FOUND</t>
        </is>
      </c>
      <c r="AL64" s="30" t="inlineStr">
        <is>
          <t>5341375-33.2026.8.09.0049</t>
        </is>
      </c>
      <c r="AM64" s="30" t="inlineStr">
        <is>
          <t>TJGO</t>
        </is>
      </c>
      <c r="AN64" s="30" t="inlineStr">
        <is>
          <t>ACTIVE</t>
        </is>
      </c>
      <c r="AO64" s="30" t="n">
        <v>2026</v>
      </c>
      <c r="AP64" s="30" t="inlineStr">
        <is>
          <t>plan/homologation document found</t>
        </is>
      </c>
      <c r="AQ64" s="30" t="inlineStr"/>
      <c r="AR64" s="30" t="inlineStr">
        <is>
          <t>printed on the list (read twice)</t>
        </is>
      </c>
      <c r="AS64" s="30" t="inlineStr">
        <is>
          <t>CAMPINAS</t>
        </is>
      </c>
      <c r="AT64" s="30" t="inlineStr">
        <is>
          <t>SP</t>
        </is>
      </c>
      <c r="AU64" s="30" t="inlineStr">
        <is>
          <t>Fabricação de máquinas e equipamentos para as indústrias de alimentos, bebidas e fumo, peças e acessórios</t>
        </is>
      </c>
      <c r="AV64" s="30" t="inlineStr">
        <is>
          <t>DEMAIS</t>
        </is>
      </c>
      <c r="AW64" s="31" t="n">
        <v>542726000</v>
      </c>
      <c r="AX64" s="30" t="inlineStr">
        <is>
          <t>MID-MARKET</t>
        </is>
      </c>
      <c r="AY64" s="30" t="inlineStr">
        <is>
          <t>05013050</t>
        </is>
      </c>
      <c r="AZ64" s="30" t="n">
        <v>1</v>
      </c>
      <c r="BA64" s="30" t="inlineStr">
        <is>
          <t>ROWS:p15r54 UNRECONCILED_SOURCE</t>
        </is>
      </c>
    </row>
    <row r="65">
      <c r="A65" s="16" t="inlineStr">
        <is>
          <t>VIBRA ENERGIA S.A</t>
        </is>
      </c>
      <c r="B65" s="17" t="n">
        <v>5004769.6</v>
      </c>
      <c r="C65" s="18" t="inlineStr">
        <is>
          <t>EGESA ENGENHARIA S/A (Consórcio ETDI)</t>
        </is>
      </c>
      <c r="D65" s="19" t="inlineStr">
        <is>
          <t>NEW</t>
        </is>
      </c>
      <c r="E65" s="20" t="inlineStr"/>
      <c r="F65" s="19" t="inlineStr"/>
      <c r="G65" s="20" t="inlineStr"/>
      <c r="H65" s="19" t="inlineStr"/>
      <c r="I65" s="21" t="inlineStr">
        <is>
          <t>ERNESTO PERES POUSADA JUNIOR</t>
        </is>
      </c>
      <c r="J65" s="21" t="inlineStr">
        <is>
          <t>Presidente (RFB partner)</t>
        </is>
      </c>
      <c r="K65" s="21" t="inlineStr">
        <is>
          <t>(21) 2354-3151</t>
        </is>
      </c>
      <c r="L65" s="21" t="inlineStr">
        <is>
          <t>(21) 2354-3146</t>
        </is>
      </c>
      <c r="M65" s="21" t="inlineStr"/>
      <c r="N65" s="21" t="inlineStr"/>
      <c r="O65" s="21" t="inlineStr"/>
      <c r="P65" s="21" t="inlineStr">
        <is>
          <t>DANIEL DRUMOND CAMPOS E SILVA</t>
        </is>
      </c>
      <c r="Q65" s="21" t="inlineStr">
        <is>
          <t>Diretor (RFB partner)</t>
        </is>
      </c>
      <c r="R65" s="21" t="inlineStr"/>
      <c r="S65" s="21" t="inlineStr"/>
      <c r="T65" s="21" t="inlineStr">
        <is>
          <t>RFB partner (QSA); no Apollo match</t>
        </is>
      </c>
      <c r="U65" s="22" t="n">
        <v>5004769.6</v>
      </c>
      <c r="V65" s="32" t="inlineStr">
        <is>
          <t>U</t>
        </is>
      </c>
      <c r="W65" s="24">
        <f>IFERROR(VLOOKUP(V65,Assumptions!$A$7:$F$11,2,FALSE),0)</f>
        <v/>
      </c>
      <c r="X65" s="25">
        <f>IF(V65="A",MAX(1,IFERROR(VLOOKUP(V65,Assumptions!$A$7:$F$11,3,FALSE),3)+IFERROR(VLOOKUP(V65,Assumptions!$A$7:$F$11,4,FALSE),8)/2-MAX(0,IF(AO65="",0,YEAR(TODAY())-AO65)-IFERROR(VLOOKUP(V65,Assumptions!$A$7:$F$11,5,FALSE),1.5))),IFERROR(VLOOKUP(V65,Assumptions!$A$7:$F$11,5,FALSE),2.5)+IFERROR(VLOOKUP(V65,Assumptions!$A$7:$F$11,3,FALSE),3)+IFERROR(VLOOKUP(V65,Assumptions!$A$7:$F$11,4,FALSE),8)/2)</f>
        <v/>
      </c>
      <c r="Y65" s="22">
        <f>U65*W65/(1+Assumptions!$B$3)^X65</f>
        <v/>
      </c>
      <c r="Z65" s="26">
        <f>IF(U65=0,"",ROUND(Y65/U65*100,1))</f>
        <v/>
      </c>
      <c r="AA65" s="27">
        <f>Y65*Assumptions!$B$4</f>
        <v/>
      </c>
      <c r="AB65" s="26">
        <f>IF(U65=0,"",ROUND(AA65/U65*100,1))</f>
        <v/>
      </c>
      <c r="AC65" s="27">
        <f>Y65-AA65</f>
        <v/>
      </c>
      <c r="AD65" s="26">
        <f>IF(U65=0,"",ROUND((Y65-AA65)/U65*100,1))</f>
        <v/>
      </c>
      <c r="AE65" s="28" t="inlineStr">
        <is>
          <t>OK — totals reconciled</t>
        </is>
      </c>
      <c r="AF65" s="29" t="inlineStr">
        <is>
          <t>https://scalzilliaj.com.br/sgc/download.php?file=files/processo_documento/processo_documento09514021082025_1_.pdf&amp;nome=04 - Relação de credores das Recuperandas</t>
        </is>
      </c>
      <c r="AG65" s="28" t="inlineStr">
        <is>
          <t>p71 r8; p76 r5</t>
        </is>
      </c>
      <c r="AH65" s="28" t="inlineStr">
        <is>
          <t>p71: R$ 396.274,51; p76: R$ 4.608.495,09</t>
        </is>
      </c>
      <c r="AI65" s="28" t="inlineStr">
        <is>
          <t>Debtor list (art. 51)</t>
        </is>
      </c>
      <c r="AJ65" s="28" t="inlineStr"/>
      <c r="AK65" s="28" t="inlineStr">
        <is>
          <t>NONE FOUND</t>
        </is>
      </c>
      <c r="AL65" s="30" t="inlineStr">
        <is>
          <t>(not printed)</t>
        </is>
      </c>
      <c r="AM65" s="30" t="inlineStr"/>
      <c r="AN65" s="30" t="inlineStr"/>
      <c r="AO65" s="30" t="inlineStr"/>
      <c r="AP65" s="30" t="inlineStr">
        <is>
          <t>RJ case number not identified on the document</t>
        </is>
      </c>
      <c r="AQ65" s="30" t="inlineStr"/>
      <c r="AR65" s="30" t="inlineStr">
        <is>
          <t>portal page title / URL — not printed on the list</t>
        </is>
      </c>
      <c r="AS65" s="30" t="inlineStr">
        <is>
          <t>RIO DE JANEIRO</t>
        </is>
      </c>
      <c r="AT65" s="30" t="inlineStr">
        <is>
          <t>RJ</t>
        </is>
      </c>
      <c r="AU65" s="30" t="inlineStr">
        <is>
          <t>Comércio atacadista de álcool carburante, biodiesel, gasolina e demais derivados de petróleo, exceto lubrificantes, não realizado por transportador re</t>
        </is>
      </c>
      <c r="AV65" s="30" t="inlineStr">
        <is>
          <t>DEMAIS</t>
        </is>
      </c>
      <c r="AW65" s="31" t="n">
        <v>12051386000</v>
      </c>
      <c r="AX65" s="30" t="inlineStr">
        <is>
          <t>LARGE CORP</t>
        </is>
      </c>
      <c r="AY65" s="30" t="inlineStr">
        <is>
          <t>34274233</t>
        </is>
      </c>
      <c r="AZ65" s="30" t="n">
        <v>2</v>
      </c>
      <c r="BA65" s="30" t="inlineStr">
        <is>
          <t>ROWS:p71r8,p76r5 VALUE_COL:Valor_Atualizado CASE_NUMBER_CORRECTED</t>
        </is>
      </c>
    </row>
    <row r="66">
      <c r="A66" s="16" t="inlineStr">
        <is>
          <t>TRANSPORTADORA MARCAN LTDA.</t>
        </is>
      </c>
      <c r="B66" s="17" t="n">
        <v>4757312.99</v>
      </c>
      <c r="C66" s="18" t="inlineStr">
        <is>
          <t>EGESA ENGENHARIA S/A (Consórcio ETDI)</t>
        </is>
      </c>
      <c r="D66" s="19" t="inlineStr">
        <is>
          <t>NEW</t>
        </is>
      </c>
      <c r="E66" s="20" t="inlineStr"/>
      <c r="F66" s="19" t="inlineStr"/>
      <c r="G66" s="20" t="inlineStr"/>
      <c r="H66" s="19" t="inlineStr"/>
      <c r="I66" s="21" t="inlineStr">
        <is>
          <t>GERVASIO TASSI FILHO</t>
        </is>
      </c>
      <c r="J66" s="21" t="inlineStr">
        <is>
          <t>Sócio-Administrador (RFB partner)</t>
        </is>
      </c>
      <c r="K66" s="21" t="inlineStr">
        <is>
          <t>(81) 3543-0330</t>
        </is>
      </c>
      <c r="L66" s="21" t="inlineStr">
        <is>
          <t>(81) 9267-7488</t>
        </is>
      </c>
      <c r="M66" s="21" t="inlineStr"/>
      <c r="N66" s="21" t="inlineStr"/>
      <c r="O66" s="21" t="inlineStr"/>
      <c r="P66" s="21" t="inlineStr">
        <is>
          <t>MARIA EDUARDA QUEIROZ TASSI</t>
        </is>
      </c>
      <c r="Q66" s="21" t="inlineStr">
        <is>
          <t>Sócio-Administrador (RFB partner)</t>
        </is>
      </c>
      <c r="R66" s="21" t="inlineStr"/>
      <c r="S66" s="21" t="inlineStr"/>
      <c r="T66" s="21" t="inlineStr">
        <is>
          <t>RFB partner (QSA); no Apollo match</t>
        </is>
      </c>
      <c r="U66" s="22" t="n">
        <v>4757312.99</v>
      </c>
      <c r="V66" s="32" t="inlineStr">
        <is>
          <t>U</t>
        </is>
      </c>
      <c r="W66" s="24">
        <f>IFERROR(VLOOKUP(V66,Assumptions!$A$7:$F$11,2,FALSE),0)</f>
        <v/>
      </c>
      <c r="X66" s="25">
        <f>IF(V66="A",MAX(1,IFERROR(VLOOKUP(V66,Assumptions!$A$7:$F$11,3,FALSE),3)+IFERROR(VLOOKUP(V66,Assumptions!$A$7:$F$11,4,FALSE),8)/2-MAX(0,IF(AO66="",0,YEAR(TODAY())-AO66)-IFERROR(VLOOKUP(V66,Assumptions!$A$7:$F$11,5,FALSE),1.5))),IFERROR(VLOOKUP(V66,Assumptions!$A$7:$F$11,5,FALSE),2.5)+IFERROR(VLOOKUP(V66,Assumptions!$A$7:$F$11,3,FALSE),3)+IFERROR(VLOOKUP(V66,Assumptions!$A$7:$F$11,4,FALSE),8)/2)</f>
        <v/>
      </c>
      <c r="Y66" s="22">
        <f>U66*W66/(1+Assumptions!$B$3)^X66</f>
        <v/>
      </c>
      <c r="Z66" s="26">
        <f>IF(U66=0,"",ROUND(Y66/U66*100,1))</f>
        <v/>
      </c>
      <c r="AA66" s="27">
        <f>Y66*Assumptions!$B$4</f>
        <v/>
      </c>
      <c r="AB66" s="26">
        <f>IF(U66=0,"",ROUND(AA66/U66*100,1))</f>
        <v/>
      </c>
      <c r="AC66" s="27">
        <f>Y66-AA66</f>
        <v/>
      </c>
      <c r="AD66" s="26">
        <f>IF(U66=0,"",ROUND((Y66-AA66)/U66*100,1))</f>
        <v/>
      </c>
      <c r="AE66" s="28" t="inlineStr">
        <is>
          <t>OK — totals reconciled</t>
        </is>
      </c>
      <c r="AF66" s="29" t="inlineStr">
        <is>
          <t>https://scalzilliaj.com.br/sgc/download.php?file=files/processo_documento/processo_documento09514021082025_1_.pdf&amp;nome=04 - Relação de credores das Recuperandas</t>
        </is>
      </c>
      <c r="AG66" s="28" t="inlineStr">
        <is>
          <t>p74 r13</t>
        </is>
      </c>
      <c r="AH66" s="28" t="inlineStr">
        <is>
          <t>p74: R$ 4.757.312,99</t>
        </is>
      </c>
      <c r="AI66" s="28" t="inlineStr">
        <is>
          <t>Debtor list (art. 51)</t>
        </is>
      </c>
      <c r="AJ66" s="28" t="inlineStr"/>
      <c r="AK66" s="28" t="inlineStr">
        <is>
          <t>NONE FOUND</t>
        </is>
      </c>
      <c r="AL66" s="30" t="inlineStr">
        <is>
          <t>(not printed)</t>
        </is>
      </c>
      <c r="AM66" s="30" t="inlineStr"/>
      <c r="AN66" s="30" t="inlineStr"/>
      <c r="AO66" s="30" t="inlineStr"/>
      <c r="AP66" s="30" t="inlineStr">
        <is>
          <t>RJ case number not identified on the document</t>
        </is>
      </c>
      <c r="AQ66" s="30" t="inlineStr"/>
      <c r="AR66" s="30" t="inlineStr">
        <is>
          <t>portal page title / URL — not printed on the list</t>
        </is>
      </c>
      <c r="AS66" s="30" t="inlineStr">
        <is>
          <t>IGARASSU</t>
        </is>
      </c>
      <c r="AT66" s="30" t="inlineStr">
        <is>
          <t>PE</t>
        </is>
      </c>
      <c r="AU66" s="30" t="inlineStr">
        <is>
          <t>Transporte rodoviário coletivo de passageiros, com itinerário fixo, intermunicipal em região metropolitana</t>
        </is>
      </c>
      <c r="AV66" s="30" t="inlineStr">
        <is>
          <t>DEMAIS</t>
        </is>
      </c>
      <c r="AW66" s="31" t="n">
        <v>1250000</v>
      </c>
      <c r="AX66" s="30" t="inlineStr">
        <is>
          <t>MID-MARKET</t>
        </is>
      </c>
      <c r="AY66" s="30" t="inlineStr">
        <is>
          <t>19709369</t>
        </is>
      </c>
      <c r="AZ66" s="30" t="n">
        <v>1</v>
      </c>
      <c r="BA66" s="30" t="inlineStr">
        <is>
          <t>ROWS:p74r13 VALUE_COL:Valor_Atualizado CASE_NUMBER_CORRECTED</t>
        </is>
      </c>
    </row>
    <row r="67">
      <c r="A67" s="16" t="inlineStr">
        <is>
          <t>HOHL MAQUINAS AGRICOLAS LTDA</t>
        </is>
      </c>
      <c r="B67" s="17" t="n">
        <v>1324133.99</v>
      </c>
      <c r="C67" s="18" t="inlineStr">
        <is>
          <t>GRUPO 3E</t>
        </is>
      </c>
      <c r="D67" s="19" t="inlineStr">
        <is>
          <t>NEW</t>
        </is>
      </c>
      <c r="E67" s="20" t="inlineStr"/>
      <c r="F67" s="19" t="inlineStr"/>
      <c r="G67" s="20" t="inlineStr"/>
      <c r="H67" s="19" t="inlineStr"/>
      <c r="I67" s="21" t="inlineStr">
        <is>
          <t>ALEXANDER HOHL</t>
        </is>
      </c>
      <c r="J67" s="21" t="inlineStr">
        <is>
          <t>Sócio-Administrador (RFB partner)</t>
        </is>
      </c>
      <c r="K67" s="21" t="inlineStr">
        <is>
          <t>(62) 3142-6515</t>
        </is>
      </c>
      <c r="L67" s="21" t="inlineStr"/>
      <c r="M67" s="21" t="inlineStr"/>
      <c r="N67" s="21" t="inlineStr"/>
      <c r="O67" s="21" t="inlineStr"/>
      <c r="P67" s="21" t="inlineStr">
        <is>
          <t>ADRIANE HOHL</t>
        </is>
      </c>
      <c r="Q67" s="21" t="inlineStr">
        <is>
          <t>Administrador (RFB partner)</t>
        </is>
      </c>
      <c r="R67" s="21" t="inlineStr"/>
      <c r="S67" s="21" t="inlineStr"/>
      <c r="T67" s="21" t="inlineStr">
        <is>
          <t>RFB partner (QSA); no Apollo match</t>
        </is>
      </c>
      <c r="U67" s="22" t="n">
        <v>1324133.99</v>
      </c>
      <c r="V67" s="35" t="inlineStr">
        <is>
          <t>A</t>
        </is>
      </c>
      <c r="W67" s="24">
        <f>IFERROR(VLOOKUP(V67,Assumptions!$A$7:$F$11,2,FALSE),0)</f>
        <v/>
      </c>
      <c r="X67" s="25">
        <f>IF(V67="A",MAX(1,IFERROR(VLOOKUP(V67,Assumptions!$A$7:$F$11,3,FALSE),3)+IFERROR(VLOOKUP(V67,Assumptions!$A$7:$F$11,4,FALSE),8)/2-MAX(0,IF(AO67="",0,YEAR(TODAY())-AO67)-IFERROR(VLOOKUP(V67,Assumptions!$A$7:$F$11,5,FALSE),1.5))),IFERROR(VLOOKUP(V67,Assumptions!$A$7:$F$11,5,FALSE),2.5)+IFERROR(VLOOKUP(V67,Assumptions!$A$7:$F$11,3,FALSE),3)+IFERROR(VLOOKUP(V67,Assumptions!$A$7:$F$11,4,FALSE),8)/2)</f>
        <v/>
      </c>
      <c r="Y67" s="22">
        <f>U67*W67/(1+Assumptions!$B$3)^X67</f>
        <v/>
      </c>
      <c r="Z67" s="26">
        <f>IF(U67=0,"",ROUND(Y67/U67*100,1))</f>
        <v/>
      </c>
      <c r="AA67" s="27">
        <f>Y67*Assumptions!$B$4</f>
        <v/>
      </c>
      <c r="AB67" s="26">
        <f>IF(U67=0,"",ROUND(AA67/U67*100,1))</f>
        <v/>
      </c>
      <c r="AC67" s="27">
        <f>Y67-AA67</f>
        <v/>
      </c>
      <c r="AD67" s="26">
        <f>IF(U67=0,"",ROUND((Y67-AA67)/U67*100,1))</f>
        <v/>
      </c>
      <c r="AE67" s="33" t="inlineStr">
        <is>
          <t>NO TOTALS — list prints none; check page</t>
        </is>
      </c>
      <c r="AF67" s="29" t="inlineStr">
        <is>
          <t>https://stenius.com.br/wp-content/uploads/2026/06/EDITAL-GRUPO-3E.pdf</t>
        </is>
      </c>
      <c r="AG67" s="28" t="inlineStr">
        <is>
          <t>p14 r39; p14 r40</t>
        </is>
      </c>
      <c r="AH67" s="28" t="inlineStr">
        <is>
          <t>p14: R$ 1.323.718,99; p14: R$ 415,00</t>
        </is>
      </c>
      <c r="AI67" s="28" t="inlineStr">
        <is>
          <t>Debtor list (art. 51)</t>
        </is>
      </c>
      <c r="AJ67" s="28" t="inlineStr">
        <is>
          <t>2026-06-22</t>
        </is>
      </c>
      <c r="AK67" s="28" t="inlineStr">
        <is>
          <t>PLAN DOC FOUND</t>
        </is>
      </c>
      <c r="AL67" s="30" t="inlineStr">
        <is>
          <t>5341375-33.2026.8.09.0049</t>
        </is>
      </c>
      <c r="AM67" s="30" t="inlineStr">
        <is>
          <t>TJGO</t>
        </is>
      </c>
      <c r="AN67" s="30" t="inlineStr">
        <is>
          <t>ACTIVE</t>
        </is>
      </c>
      <c r="AO67" s="30" t="n">
        <v>2026</v>
      </c>
      <c r="AP67" s="30" t="inlineStr">
        <is>
          <t>plan/homologation document found</t>
        </is>
      </c>
      <c r="AQ67" s="30" t="inlineStr"/>
      <c r="AR67" s="30" t="inlineStr">
        <is>
          <t>printed on the list (read twice)</t>
        </is>
      </c>
      <c r="AS67" s="30" t="inlineStr">
        <is>
          <t>GOIANIA</t>
        </is>
      </c>
      <c r="AT67" s="30" t="inlineStr">
        <is>
          <t>GO</t>
        </is>
      </c>
      <c r="AU67" s="30" t="inlineStr">
        <is>
          <t>Serviços combinados de escritório e apoio administrativo</t>
        </is>
      </c>
      <c r="AV67" s="30" t="inlineStr">
        <is>
          <t>DEMAIS</t>
        </is>
      </c>
      <c r="AW67" s="31" t="n">
        <v>120000000</v>
      </c>
      <c r="AX67" s="30" t="inlineStr">
        <is>
          <t>MID-MARKET</t>
        </is>
      </c>
      <c r="AY67" s="30" t="inlineStr">
        <is>
          <t>01608488</t>
        </is>
      </c>
      <c r="AZ67" s="30" t="n">
        <v>2</v>
      </c>
      <c r="BA67" s="30" t="inlineStr">
        <is>
          <t>ROWS:p14r39,p14r40 UNRECONCILED_SOURCE</t>
        </is>
      </c>
    </row>
    <row r="68">
      <c r="A68" s="16" t="inlineStr">
        <is>
          <t>IPIRANGA PRODUTOS DE PETROLEO S.A.</t>
        </is>
      </c>
      <c r="B68" s="17" t="n">
        <v>4589364.33</v>
      </c>
      <c r="C68" s="37" t="inlineStr">
        <is>
          <t>(debtor not identified — see proof)</t>
        </is>
      </c>
      <c r="D68" s="19" t="inlineStr">
        <is>
          <t>NEW</t>
        </is>
      </c>
      <c r="E68" s="20" t="inlineStr"/>
      <c r="F68" s="19" t="inlineStr"/>
      <c r="G68" s="20" t="inlineStr"/>
      <c r="H68" s="19" t="inlineStr"/>
      <c r="I68" s="21" t="inlineStr">
        <is>
          <t>CARLOS FREDERICO RESENDE</t>
        </is>
      </c>
      <c r="J68" s="21" t="inlineStr">
        <is>
          <t>Administrador (RFB partner)</t>
        </is>
      </c>
      <c r="K68" s="21" t="inlineStr">
        <is>
          <t>(21) 2574-5858</t>
        </is>
      </c>
      <c r="L68" s="21" t="inlineStr"/>
      <c r="M68" s="21" t="inlineStr"/>
      <c r="N68" s="21" t="inlineStr"/>
      <c r="O68" s="21" t="inlineStr"/>
      <c r="P68" s="21" t="inlineStr">
        <is>
          <t>CRISTIANE SILVA LEITE</t>
        </is>
      </c>
      <c r="Q68" s="21" t="inlineStr">
        <is>
          <t>Diretor (RFB partner)</t>
        </is>
      </c>
      <c r="R68" s="21" t="inlineStr"/>
      <c r="S68" s="21" t="inlineStr"/>
      <c r="T68" s="21" t="inlineStr">
        <is>
          <t>RFB partner (QSA); no Apollo match</t>
        </is>
      </c>
      <c r="U68" s="22" t="n">
        <v>4589364.33</v>
      </c>
      <c r="V68" s="32" t="inlineStr">
        <is>
          <t>U</t>
        </is>
      </c>
      <c r="W68" s="24">
        <f>IFERROR(VLOOKUP(V68,Assumptions!$A$7:$F$11,2,FALSE),0)</f>
        <v/>
      </c>
      <c r="X68" s="25">
        <f>IF(V68="A",MAX(1,IFERROR(VLOOKUP(V68,Assumptions!$A$7:$F$11,3,FALSE),3)+IFERROR(VLOOKUP(V68,Assumptions!$A$7:$F$11,4,FALSE),8)/2-MAX(0,IF(AO68="",0,YEAR(TODAY())-AO68)-IFERROR(VLOOKUP(V68,Assumptions!$A$7:$F$11,5,FALSE),1.5))),IFERROR(VLOOKUP(V68,Assumptions!$A$7:$F$11,5,FALSE),2.5)+IFERROR(VLOOKUP(V68,Assumptions!$A$7:$F$11,3,FALSE),3)+IFERROR(VLOOKUP(V68,Assumptions!$A$7:$F$11,4,FALSE),8)/2)</f>
        <v/>
      </c>
      <c r="Y68" s="22">
        <f>U68*W68/(1+Assumptions!$B$3)^X68</f>
        <v/>
      </c>
      <c r="Z68" s="26">
        <f>IF(U68=0,"",ROUND(Y68/U68*100,1))</f>
        <v/>
      </c>
      <c r="AA68" s="27">
        <f>Y68*Assumptions!$B$4</f>
        <v/>
      </c>
      <c r="AB68" s="26">
        <f>IF(U68=0,"",ROUND(AA68/U68*100,1))</f>
        <v/>
      </c>
      <c r="AC68" s="27">
        <f>Y68-AA68</f>
        <v/>
      </c>
      <c r="AD68" s="26">
        <f>IF(U68=0,"",ROUND((Y68-AA68)/U68*100,1))</f>
        <v/>
      </c>
      <c r="AE68" s="28" t="inlineStr">
        <is>
          <t>OK — totals reconciled</t>
        </is>
      </c>
      <c r="AF68" s="29" t="inlineStr">
        <is>
          <t>https://ajruiz.com.br/sites/default/files/public/arquivos-processos/2023-11/4_relacao_de_credores_analitica_art._51_iii_da_lre.pdf</t>
        </is>
      </c>
      <c r="AG68" s="28" t="inlineStr">
        <is>
          <t>p3 r20</t>
        </is>
      </c>
      <c r="AH68" s="28" t="inlineStr">
        <is>
          <t>p3: R$ 4.589.364,33</t>
        </is>
      </c>
      <c r="AI68" s="28" t="inlineStr">
        <is>
          <t>Unclassified list</t>
        </is>
      </c>
      <c r="AJ68" s="28" t="inlineStr"/>
      <c r="AK68" s="28" t="inlineStr">
        <is>
          <t>NONE FOUND</t>
        </is>
      </c>
      <c r="AL68" s="30" t="inlineStr">
        <is>
          <t>(not printed)</t>
        </is>
      </c>
      <c r="AM68" s="30" t="inlineStr"/>
      <c r="AN68" s="30" t="inlineStr"/>
      <c r="AO68" s="30" t="inlineStr"/>
      <c r="AP68" s="30" t="inlineStr">
        <is>
          <t>RJ case number not identified on the document</t>
        </is>
      </c>
      <c r="AQ68" s="30" t="inlineStr"/>
      <c r="AR68" s="30" t="inlineStr">
        <is>
          <t>not identified</t>
        </is>
      </c>
      <c r="AS68" s="30" t="inlineStr">
        <is>
          <t>RIO DE JANEIRO</t>
        </is>
      </c>
      <c r="AT68" s="30" t="inlineStr">
        <is>
          <t>RJ</t>
        </is>
      </c>
      <c r="AU68" s="30" t="inlineStr">
        <is>
          <t>Comércio atacadista de álcool carburante, biodiesel, gasolina e demais derivados de petróleo, exceto lubrificantes, não realizado por transportador re</t>
        </is>
      </c>
      <c r="AV68" s="30" t="inlineStr">
        <is>
          <t>DEMAIS</t>
        </is>
      </c>
      <c r="AW68" s="31" t="n">
        <v>4668601300</v>
      </c>
      <c r="AX68" s="30" t="inlineStr">
        <is>
          <t>LARGE CORP</t>
        </is>
      </c>
      <c r="AY68" s="30" t="inlineStr">
        <is>
          <t>33337122</t>
        </is>
      </c>
      <c r="AZ68" s="30" t="n">
        <v>1</v>
      </c>
      <c r="BA68" s="30" t="inlineStr">
        <is>
          <t>ROWS:p3r20 CASE_NUMBER_CORRECTED</t>
        </is>
      </c>
    </row>
    <row r="69">
      <c r="A69" s="16" t="inlineStr">
        <is>
          <t>CROMO INDUSTRIA QUIMICA S.A.</t>
        </is>
      </c>
      <c r="B69" s="17" t="n">
        <v>2406485.64</v>
      </c>
      <c r="C69" s="18" t="inlineStr">
        <is>
          <t>SOJAL COMERCIAL AGRICOLA LTDA e OUTROS</t>
        </is>
      </c>
      <c r="D69" s="19" t="inlineStr">
        <is>
          <t>NEW</t>
        </is>
      </c>
      <c r="E69" s="20" t="inlineStr"/>
      <c r="F69" s="19" t="inlineStr"/>
      <c r="G69" s="20" t="inlineStr"/>
      <c r="H69" s="19" t="inlineStr"/>
      <c r="I69" s="21" t="inlineStr">
        <is>
          <t>Jessica Stacke</t>
        </is>
      </c>
      <c r="J69" s="21" t="inlineStr">
        <is>
          <t>Coordenadora de FP&amp;A</t>
        </is>
      </c>
      <c r="K69" s="21" t="inlineStr">
        <is>
          <t>(11) 4130-8138</t>
        </is>
      </c>
      <c r="L69" s="21" t="inlineStr"/>
      <c r="M69" s="21" t="inlineStr"/>
      <c r="N69" s="21" t="inlineStr">
        <is>
          <t>jessica.stacke@cromoquimica.com.br</t>
        </is>
      </c>
      <c r="O69" s="21" t="inlineStr">
        <is>
          <t>bruna.santos@cromoquimica.com.br</t>
        </is>
      </c>
      <c r="P69" s="21" t="inlineStr">
        <is>
          <t>Bruna Santos</t>
        </is>
      </c>
      <c r="Q69" s="21" t="inlineStr">
        <is>
          <t>Technical Sales Representative</t>
        </is>
      </c>
      <c r="R69" s="21" t="inlineStr"/>
      <c r="S69" s="21" t="inlineStr">
        <is>
          <t>bruna.santos@cromoquimica.com.br</t>
        </is>
      </c>
      <c r="T69" s="21" t="inlineStr">
        <is>
          <t>email verified by Apollo</t>
        </is>
      </c>
      <c r="U69" s="22" t="n">
        <v>2406485.64</v>
      </c>
      <c r="V69" s="23" t="inlineStr">
        <is>
          <t>B</t>
        </is>
      </c>
      <c r="W69" s="24">
        <f>IFERROR(VLOOKUP(V69,Assumptions!$A$7:$F$11,2,FALSE),0)</f>
        <v/>
      </c>
      <c r="X69" s="25">
        <f>IF(V69="A",MAX(1,IFERROR(VLOOKUP(V69,Assumptions!$A$7:$F$11,3,FALSE),3)+IFERROR(VLOOKUP(V69,Assumptions!$A$7:$F$11,4,FALSE),8)/2-MAX(0,IF(AO69="",0,YEAR(TODAY())-AO69)-IFERROR(VLOOKUP(V69,Assumptions!$A$7:$F$11,5,FALSE),1.5))),IFERROR(VLOOKUP(V69,Assumptions!$A$7:$F$11,5,FALSE),2.5)+IFERROR(VLOOKUP(V69,Assumptions!$A$7:$F$11,3,FALSE),3)+IFERROR(VLOOKUP(V69,Assumptions!$A$7:$F$11,4,FALSE),8)/2)</f>
        <v/>
      </c>
      <c r="Y69" s="22">
        <f>U69*W69/(1+Assumptions!$B$3)^X69</f>
        <v/>
      </c>
      <c r="Z69" s="26">
        <f>IF(U69=0,"",ROUND(Y69/U69*100,1))</f>
        <v/>
      </c>
      <c r="AA69" s="27">
        <f>Y69*Assumptions!$B$4</f>
        <v/>
      </c>
      <c r="AB69" s="26">
        <f>IF(U69=0,"",ROUND(AA69/U69*100,1))</f>
        <v/>
      </c>
      <c r="AC69" s="27">
        <f>Y69-AA69</f>
        <v/>
      </c>
      <c r="AD69" s="26">
        <f>IF(U69=0,"",ROUND((Y69-AA69)/U69*100,1))</f>
        <v/>
      </c>
      <c r="AE69" s="28" t="inlineStr">
        <is>
          <t>OK — totals reconciled</t>
        </is>
      </c>
      <c r="AF69" s="29" t="inlineStr">
        <is>
          <t>https://lrflideres.com.br/wp-content/plugins/download-attachments/includes/download.php?id=6879</t>
        </is>
      </c>
      <c r="AG69" s="28" t="inlineStr">
        <is>
          <t>p1 r11</t>
        </is>
      </c>
      <c r="AH69" s="28" t="inlineStr">
        <is>
          <t>p1: R$ 2.406.485,64</t>
        </is>
      </c>
      <c r="AI69" s="28" t="inlineStr">
        <is>
          <t>AJ list (art. 7 §2)</t>
        </is>
      </c>
      <c r="AJ69" s="28" t="inlineStr">
        <is>
          <t>2026-01-15</t>
        </is>
      </c>
      <c r="AK69" s="28" t="inlineStr">
        <is>
          <t>NONE FOUND</t>
        </is>
      </c>
      <c r="AL69" s="30" t="inlineStr">
        <is>
          <t>0804401-51.2025.8.14.0039</t>
        </is>
      </c>
      <c r="AM69" s="30" t="inlineStr">
        <is>
          <t>TJPA</t>
        </is>
      </c>
      <c r="AN69" s="30" t="inlineStr">
        <is>
          <t>ACTIVE</t>
        </is>
      </c>
      <c r="AO69" s="30" t="n">
        <v>2025</v>
      </c>
      <c r="AP69" s="30" t="inlineStr">
        <is>
          <t>live case, no plan document yet</t>
        </is>
      </c>
      <c r="AQ69" s="30" t="inlineStr">
        <is>
          <t>15.626.673/0003-90</t>
        </is>
      </c>
      <c r="AR69" s="30" t="inlineStr">
        <is>
          <t>printed on the list (read twice)</t>
        </is>
      </c>
      <c r="AS69" s="30" t="inlineStr">
        <is>
          <t>ESTRELA</t>
        </is>
      </c>
      <c r="AT69" s="30" t="inlineStr">
        <is>
          <t>RS</t>
        </is>
      </c>
      <c r="AU69" s="30" t="inlineStr">
        <is>
          <t>Fabricação de outros produtos químicos não especificados anteriormente</t>
        </is>
      </c>
      <c r="AV69" s="30" t="inlineStr">
        <is>
          <t>DEMAIS</t>
        </is>
      </c>
      <c r="AW69" s="31" t="n">
        <v>25400000</v>
      </c>
      <c r="AX69" s="30" t="inlineStr">
        <is>
          <t>MID-MARKET</t>
        </is>
      </c>
      <c r="AY69" s="30" t="inlineStr">
        <is>
          <t>31281962</t>
        </is>
      </c>
      <c r="AZ69" s="30" t="n">
        <v>1</v>
      </c>
      <c r="BA69" s="30" t="inlineStr">
        <is>
          <t>ROWS:p1r11</t>
        </is>
      </c>
    </row>
    <row r="70">
      <c r="A70" s="16" t="inlineStr">
        <is>
          <t>TRESBOMM COMERCIO E EXPORTACAO DE GRAOS LTDA EM RECUPERACAO JUDICIAL</t>
        </is>
      </c>
      <c r="B70" s="17" t="n">
        <v>2398511.33</v>
      </c>
      <c r="C70" s="18" t="inlineStr">
        <is>
          <t>SUINOCULTURA KUNZLER</t>
        </is>
      </c>
      <c r="D70" s="19" t="inlineStr">
        <is>
          <t>NEW</t>
        </is>
      </c>
      <c r="E70" s="20" t="inlineStr"/>
      <c r="F70" s="19" t="inlineStr"/>
      <c r="G70" s="20" t="inlineStr"/>
      <c r="H70" s="19" t="inlineStr"/>
      <c r="I70" s="21" t="inlineStr">
        <is>
          <t>Rafaela Radtke</t>
        </is>
      </c>
      <c r="J70" s="21" t="inlineStr">
        <is>
          <t>Coordenadora de Controladoria</t>
        </is>
      </c>
      <c r="K70" s="21" t="inlineStr">
        <is>
          <t>(44) 3649-1240</t>
        </is>
      </c>
      <c r="L70" s="21" t="inlineStr"/>
      <c r="M70" s="21" t="inlineStr"/>
      <c r="N70" s="21" t="inlineStr">
        <is>
          <t>rafaela.sereniski@bomm.com.br</t>
        </is>
      </c>
      <c r="O70" s="21" t="inlineStr">
        <is>
          <t>leandro@bomm.com.br</t>
        </is>
      </c>
      <c r="P70" s="21" t="inlineStr">
        <is>
          <t>Leandro Rosa</t>
        </is>
      </c>
      <c r="Q70" s="21" t="inlineStr">
        <is>
          <t>Gerente de Agropecuária</t>
        </is>
      </c>
      <c r="R70" s="21" t="inlineStr"/>
      <c r="S70" s="21" t="inlineStr">
        <is>
          <t>leandro@bomm.com.br</t>
        </is>
      </c>
      <c r="T70" s="21" t="inlineStr">
        <is>
          <t>email verified by Apollo</t>
        </is>
      </c>
      <c r="U70" s="22" t="n">
        <v>2398511.33</v>
      </c>
      <c r="V70" s="23" t="inlineStr">
        <is>
          <t>B</t>
        </is>
      </c>
      <c r="W70" s="24">
        <f>IFERROR(VLOOKUP(V70,Assumptions!$A$7:$F$11,2,FALSE),0)</f>
        <v/>
      </c>
      <c r="X70" s="25">
        <f>IF(V70="A",MAX(1,IFERROR(VLOOKUP(V70,Assumptions!$A$7:$F$11,3,FALSE),3)+IFERROR(VLOOKUP(V70,Assumptions!$A$7:$F$11,4,FALSE),8)/2-MAX(0,IF(AO70="",0,YEAR(TODAY())-AO70)-IFERROR(VLOOKUP(V70,Assumptions!$A$7:$F$11,5,FALSE),1.5))),IFERROR(VLOOKUP(V70,Assumptions!$A$7:$F$11,5,FALSE),2.5)+IFERROR(VLOOKUP(V70,Assumptions!$A$7:$F$11,3,FALSE),3)+IFERROR(VLOOKUP(V70,Assumptions!$A$7:$F$11,4,FALSE),8)/2)</f>
        <v/>
      </c>
      <c r="Y70" s="22">
        <f>U70*W70/(1+Assumptions!$B$3)^X70</f>
        <v/>
      </c>
      <c r="Z70" s="26">
        <f>IF(U70=0,"",ROUND(Y70/U70*100,1))</f>
        <v/>
      </c>
      <c r="AA70" s="27">
        <f>Y70*Assumptions!$B$4</f>
        <v/>
      </c>
      <c r="AB70" s="26">
        <f>IF(U70=0,"",ROUND(AA70/U70*100,1))</f>
        <v/>
      </c>
      <c r="AC70" s="27">
        <f>Y70-AA70</f>
        <v/>
      </c>
      <c r="AD70" s="26">
        <f>IF(U70=0,"",ROUND((Y70-AA70)/U70*100,1))</f>
        <v/>
      </c>
      <c r="AE70" s="33" t="inlineStr">
        <is>
          <t>NO TOTALS — list prints none; check page</t>
        </is>
      </c>
      <c r="AF70" s="29" t="inlineStr">
        <is>
          <t>https://rlg-aj.com.br/wp-content/uploads/2024/11/07.-Relação-de-credores.pdf</t>
        </is>
      </c>
      <c r="AG70" s="28" t="inlineStr">
        <is>
          <t>p1 r36</t>
        </is>
      </c>
      <c r="AH70" s="28" t="inlineStr">
        <is>
          <t>p1: R$ 2.398.511,33</t>
        </is>
      </c>
      <c r="AI70" s="28" t="inlineStr">
        <is>
          <t>Unclassified list</t>
        </is>
      </c>
      <c r="AJ70" s="28" t="inlineStr"/>
      <c r="AK70" s="28" t="inlineStr">
        <is>
          <t>NONE FOUND</t>
        </is>
      </c>
      <c r="AL70" s="30" t="inlineStr">
        <is>
          <t>5009149-92.2024.8.24.0019</t>
        </is>
      </c>
      <c r="AM70" s="30" t="inlineStr">
        <is>
          <t>TJSC</t>
        </is>
      </c>
      <c r="AN70" s="30" t="inlineStr">
        <is>
          <t>ACTIVE</t>
        </is>
      </c>
      <c r="AO70" s="30" t="n">
        <v>2024</v>
      </c>
      <c r="AP70" s="30" t="inlineStr">
        <is>
          <t>live case, no plan document yet</t>
        </is>
      </c>
      <c r="AQ70" s="30" t="inlineStr">
        <is>
          <t>55.365.447/0001-56</t>
        </is>
      </c>
      <c r="AR70" s="30" t="inlineStr">
        <is>
          <t>printed on the list (read twice)</t>
        </is>
      </c>
      <c r="AS70" s="30" t="inlineStr">
        <is>
          <t>PALOTINA</t>
        </is>
      </c>
      <c r="AT70" s="30" t="inlineStr">
        <is>
          <t>PR</t>
        </is>
      </c>
      <c r="AU70" s="30" t="inlineStr">
        <is>
          <t>Comércio atacadista de matérias-primas agrícolas não especificadas anteriormente</t>
        </is>
      </c>
      <c r="AV70" s="30" t="inlineStr">
        <is>
          <t>DEMAIS</t>
        </is>
      </c>
      <c r="AW70" s="31" t="n">
        <v>300000</v>
      </c>
      <c r="AX70" s="30" t="inlineStr">
        <is>
          <t>MID-MARKET</t>
        </is>
      </c>
      <c r="AY70" s="30" t="inlineStr">
        <is>
          <t>15660513</t>
        </is>
      </c>
      <c r="AZ70" s="30" t="n">
        <v>1</v>
      </c>
      <c r="BA70" s="30" t="inlineStr">
        <is>
          <t>ROWS:p1r36 UNRECONCILED_SOURCE</t>
        </is>
      </c>
    </row>
    <row r="71">
      <c r="A71" s="16" t="inlineStr">
        <is>
          <t>ITM LATIN AMERICA INDUSTRIA DE PECAS PARA TRATORES LTDA.</t>
        </is>
      </c>
      <c r="B71" s="17" t="n">
        <v>2360226.69</v>
      </c>
      <c r="C71" s="18" t="inlineStr">
        <is>
          <t>Grupo Rech</t>
        </is>
      </c>
      <c r="D71" s="19" t="inlineStr">
        <is>
          <t>NEW</t>
        </is>
      </c>
      <c r="E71" s="20" t="inlineStr"/>
      <c r="F71" s="19" t="inlineStr"/>
      <c r="G71" s="20" t="inlineStr"/>
      <c r="H71" s="19" t="inlineStr"/>
      <c r="I71" s="21" t="inlineStr">
        <is>
          <t>Sergio Araujo</t>
        </is>
      </c>
      <c r="J71" s="21" t="inlineStr">
        <is>
          <t>Business Specialist</t>
        </is>
      </c>
      <c r="K71" s="21" t="inlineStr">
        <is>
          <t>(11) 4417-7700</t>
        </is>
      </c>
      <c r="L71" s="21" t="inlineStr"/>
      <c r="M71" s="21" t="inlineStr"/>
      <c r="N71" s="21" t="inlineStr">
        <is>
          <t>saraujo@group-itm.com</t>
        </is>
      </c>
      <c r="O71" s="21" t="inlineStr">
        <is>
          <t>csordi@group-itm.com</t>
        </is>
      </c>
      <c r="P71" s="21" t="inlineStr">
        <is>
          <t>Cesar Sordi</t>
        </is>
      </c>
      <c r="Q71" s="21" t="inlineStr">
        <is>
          <t>CEO</t>
        </is>
      </c>
      <c r="R71" s="21" t="inlineStr"/>
      <c r="S71" s="21" t="inlineStr">
        <is>
          <t>csordi@group-itm.com</t>
        </is>
      </c>
      <c r="T71" s="21" t="inlineStr">
        <is>
          <t>email verified by Apollo</t>
        </is>
      </c>
      <c r="U71" s="22" t="n">
        <v>2360226.69</v>
      </c>
      <c r="V71" s="23" t="inlineStr">
        <is>
          <t>B</t>
        </is>
      </c>
      <c r="W71" s="24">
        <f>IFERROR(VLOOKUP(V71,Assumptions!$A$7:$F$11,2,FALSE),0)</f>
        <v/>
      </c>
      <c r="X71" s="25">
        <f>IF(V71="A",MAX(1,IFERROR(VLOOKUP(V71,Assumptions!$A$7:$F$11,3,FALSE),3)+IFERROR(VLOOKUP(V71,Assumptions!$A$7:$F$11,4,FALSE),8)/2-MAX(0,IF(AO71="",0,YEAR(TODAY())-AO71)-IFERROR(VLOOKUP(V71,Assumptions!$A$7:$F$11,5,FALSE),1.5))),IFERROR(VLOOKUP(V71,Assumptions!$A$7:$F$11,5,FALSE),2.5)+IFERROR(VLOOKUP(V71,Assumptions!$A$7:$F$11,3,FALSE),3)+IFERROR(VLOOKUP(V71,Assumptions!$A$7:$F$11,4,FALSE),8)/2)</f>
        <v/>
      </c>
      <c r="Y71" s="22">
        <f>U71*W71/(1+Assumptions!$B$3)^X71</f>
        <v/>
      </c>
      <c r="Z71" s="26">
        <f>IF(U71=0,"",ROUND(Y71/U71*100,1))</f>
        <v/>
      </c>
      <c r="AA71" s="27">
        <f>Y71*Assumptions!$B$4</f>
        <v/>
      </c>
      <c r="AB71" s="26">
        <f>IF(U71=0,"",ROUND(AA71/U71*100,1))</f>
        <v/>
      </c>
      <c r="AC71" s="27">
        <f>Y71-AA71</f>
        <v/>
      </c>
      <c r="AD71" s="26">
        <f>IF(U71=0,"",ROUND((Y71-AA71)/U71*100,1))</f>
        <v/>
      </c>
      <c r="AE71" s="36" t="inlineStr">
        <is>
          <t>CHECK — source is not a statutory creditor list</t>
        </is>
      </c>
      <c r="AF71" s="29" t="inlineStr">
        <is>
          <t>https://credibilita.com.br/wp-content/uploads/2025/09/Relacao-Credores-29.04.2026.pdf</t>
        </is>
      </c>
      <c r="AG71" s="28" t="inlineStr">
        <is>
          <t>p1 r29</t>
        </is>
      </c>
      <c r="AH71" s="28" t="inlineStr">
        <is>
          <t>p1: R$ 2.360.226,69</t>
        </is>
      </c>
      <c r="AI71" s="28" t="inlineStr">
        <is>
          <t>Quorum list — NOT an art. 7/51 list</t>
        </is>
      </c>
      <c r="AJ71" s="28" t="inlineStr"/>
      <c r="AK71" s="28" t="inlineStr">
        <is>
          <t>NONE FOUND</t>
        </is>
      </c>
      <c r="AL71" s="30" t="inlineStr">
        <is>
          <t>5057720-48.2025.8.24.0023</t>
        </is>
      </c>
      <c r="AM71" s="30" t="inlineStr">
        <is>
          <t>TJSC</t>
        </is>
      </c>
      <c r="AN71" s="30" t="inlineStr"/>
      <c r="AO71" s="30" t="n">
        <v>2025</v>
      </c>
      <c r="AP71" s="30" t="inlineStr">
        <is>
          <t>live case, no plan document yet</t>
        </is>
      </c>
      <c r="AQ71" s="30" t="inlineStr"/>
      <c r="AR71" s="30" t="inlineStr">
        <is>
          <t>portal page title / URL — not printed on the list</t>
        </is>
      </c>
      <c r="AS71" s="30" t="inlineStr">
        <is>
          <t>ATIBAIA</t>
        </is>
      </c>
      <c r="AT71" s="30" t="inlineStr">
        <is>
          <t>SP</t>
        </is>
      </c>
      <c r="AU71" s="30" t="inlineStr">
        <is>
          <t>Fabricação de outras peças e acessórios para veículos automotores não especificadas anteriormente</t>
        </is>
      </c>
      <c r="AV71" s="30" t="inlineStr">
        <is>
          <t>DEMAIS</t>
        </is>
      </c>
      <c r="AW71" s="31" t="n">
        <v>97880280</v>
      </c>
      <c r="AX71" s="30" t="inlineStr">
        <is>
          <t>MID-MARKET</t>
        </is>
      </c>
      <c r="AY71" s="30" t="inlineStr">
        <is>
          <t>61352050</t>
        </is>
      </c>
      <c r="AZ71" s="30" t="n">
        <v>1</v>
      </c>
      <c r="BA71" s="30" t="inlineStr">
        <is>
          <t>ROWS:p1r29 UNRECONCILED_SOURCE VALUE_COL:Valor_Após_Analise CASE_NUMBER_CORRECTED</t>
        </is>
      </c>
    </row>
    <row r="72">
      <c r="A72" s="16" t="inlineStr">
        <is>
          <t>THUNDER TOOLS COMERCIO DE MATERIAIS PARA CONSTRUCAO LTDA</t>
        </is>
      </c>
      <c r="B72" s="17" t="n">
        <v>1114761.56</v>
      </c>
      <c r="C72" s="18" t="inlineStr">
        <is>
          <t>JA SANTOS IMPORTACAO E EXPORTACAO DE FERRAMENTAS LTDA</t>
        </is>
      </c>
      <c r="D72" s="19" t="inlineStr">
        <is>
          <t>NEW</t>
        </is>
      </c>
      <c r="E72" s="20" t="inlineStr"/>
      <c r="F72" s="19" t="inlineStr"/>
      <c r="G72" s="20" t="inlineStr"/>
      <c r="H72" s="19" t="inlineStr"/>
      <c r="I72" s="21" t="inlineStr">
        <is>
          <t>BEATRIZ MARQUES RISSARDO</t>
        </is>
      </c>
      <c r="J72" s="21" t="inlineStr">
        <is>
          <t>Sócio-Administrador (RFB partner)</t>
        </is>
      </c>
      <c r="K72" s="21" t="inlineStr">
        <is>
          <t>(11) 2937-4916</t>
        </is>
      </c>
      <c r="L72" s="21" t="inlineStr"/>
      <c r="M72" s="21" t="inlineStr"/>
      <c r="N72" s="21" t="inlineStr"/>
      <c r="O72" s="21" t="inlineStr"/>
      <c r="P72" s="21" t="inlineStr"/>
      <c r="Q72" s="21" t="inlineStr"/>
      <c r="R72" s="21" t="inlineStr"/>
      <c r="S72" s="21" t="inlineStr"/>
      <c r="T72" s="21" t="inlineStr">
        <is>
          <t>RFB partner (QSA); no Apollo match</t>
        </is>
      </c>
      <c r="U72" s="22" t="n">
        <v>1114761.56</v>
      </c>
      <c r="V72" s="35" t="inlineStr">
        <is>
          <t>A</t>
        </is>
      </c>
      <c r="W72" s="24">
        <f>IFERROR(VLOOKUP(V72,Assumptions!$A$7:$F$11,2,FALSE),0)</f>
        <v/>
      </c>
      <c r="X72" s="25">
        <f>IF(V72="A",MAX(1,IFERROR(VLOOKUP(V72,Assumptions!$A$7:$F$11,3,FALSE),3)+IFERROR(VLOOKUP(V72,Assumptions!$A$7:$F$11,4,FALSE),8)/2-MAX(0,IF(AO72="",0,YEAR(TODAY())-AO72)-IFERROR(VLOOKUP(V72,Assumptions!$A$7:$F$11,5,FALSE),1.5))),IFERROR(VLOOKUP(V72,Assumptions!$A$7:$F$11,5,FALSE),2.5)+IFERROR(VLOOKUP(V72,Assumptions!$A$7:$F$11,3,FALSE),3)+IFERROR(VLOOKUP(V72,Assumptions!$A$7:$F$11,4,FALSE),8)/2)</f>
        <v/>
      </c>
      <c r="Y72" s="22">
        <f>U72*W72/(1+Assumptions!$B$3)^X72</f>
        <v/>
      </c>
      <c r="Z72" s="26">
        <f>IF(U72=0,"",ROUND(Y72/U72*100,1))</f>
        <v/>
      </c>
      <c r="AA72" s="27">
        <f>Y72*Assumptions!$B$4</f>
        <v/>
      </c>
      <c r="AB72" s="26">
        <f>IF(U72=0,"",ROUND(AA72/U72*100,1))</f>
        <v/>
      </c>
      <c r="AC72" s="27">
        <f>Y72-AA72</f>
        <v/>
      </c>
      <c r="AD72" s="26">
        <f>IF(U72=0,"",ROUND((Y72-AA72)/U72*100,1))</f>
        <v/>
      </c>
      <c r="AE72" s="28" t="inlineStr">
        <is>
          <t>OK — totals reconciled</t>
        </is>
      </c>
      <c r="AF72" s="29" t="inlineStr">
        <is>
          <t>https://vivanteaj.com.br/wp-content/uploads/2024/11/1a-lista-de-credores-JA-Santos.pdf</t>
        </is>
      </c>
      <c r="AG72" s="28" t="inlineStr">
        <is>
          <t>p1 r36</t>
        </is>
      </c>
      <c r="AH72" s="28" t="inlineStr">
        <is>
          <t>p1: R$ 1.114.761,56</t>
        </is>
      </c>
      <c r="AI72" s="28" t="inlineStr">
        <is>
          <t>Unclassified list</t>
        </is>
      </c>
      <c r="AJ72" s="28" t="inlineStr">
        <is>
          <t>2022-11-02</t>
        </is>
      </c>
      <c r="AK72" s="28" t="inlineStr">
        <is>
          <t>PLAN DOC FOUND</t>
        </is>
      </c>
      <c r="AL72" s="30" t="inlineStr">
        <is>
          <t>1018313-46.2024.8.26.0100</t>
        </is>
      </c>
      <c r="AM72" s="30" t="inlineStr">
        <is>
          <t>TJSP</t>
        </is>
      </c>
      <c r="AN72" s="30" t="inlineStr">
        <is>
          <t>ACTIVE</t>
        </is>
      </c>
      <c r="AO72" s="30" t="n">
        <v>2024</v>
      </c>
      <c r="AP72" s="30" t="inlineStr">
        <is>
          <t>plan/homologation document found</t>
        </is>
      </c>
      <c r="AQ72" s="30" t="inlineStr">
        <is>
          <t>15.408.785/0001-03</t>
        </is>
      </c>
      <c r="AR72" s="30" t="inlineStr">
        <is>
          <t>printed on the list (read twice)</t>
        </is>
      </c>
      <c r="AS72" s="30" t="inlineStr">
        <is>
          <t>DIADEMA</t>
        </is>
      </c>
      <c r="AT72" s="30" t="inlineStr">
        <is>
          <t>SP</t>
        </is>
      </c>
      <c r="AU72" s="30" t="inlineStr">
        <is>
          <t>Comércio atacadista de materiais de construção em geral</t>
        </is>
      </c>
      <c r="AV72" s="30" t="inlineStr">
        <is>
          <t>EMPRESA DE PEQUENO PORTE</t>
        </is>
      </c>
      <c r="AW72" s="31" t="n">
        <v>104500</v>
      </c>
      <c r="AX72" s="30" t="inlineStr">
        <is>
          <t>SMALL</t>
        </is>
      </c>
      <c r="AY72" s="30" t="inlineStr">
        <is>
          <t>36635483</t>
        </is>
      </c>
      <c r="AZ72" s="30" t="n">
        <v>1</v>
      </c>
      <c r="BA72" s="30" t="inlineStr">
        <is>
          <t>ROWS:p1r36 VALUE_COL:Valor</t>
        </is>
      </c>
    </row>
    <row r="73">
      <c r="A73" s="16" t="inlineStr">
        <is>
          <t>BIOTRONIK COMERCIAL MEDICA LTDA.</t>
        </is>
      </c>
      <c r="B73" s="17" t="n">
        <v>2311648.44</v>
      </c>
      <c r="C73" s="18" t="inlineStr">
        <is>
          <t>ASSOCIAÇÃO DE CARIDADE SANTA CASA DO RIO GRANDE</t>
        </is>
      </c>
      <c r="D73" s="19" t="inlineStr">
        <is>
          <t>NEW</t>
        </is>
      </c>
      <c r="E73" s="20" t="inlineStr"/>
      <c r="F73" s="19" t="inlineStr"/>
      <c r="G73" s="20" t="inlineStr"/>
      <c r="H73" s="19" t="inlineStr"/>
      <c r="I73" s="21" t="inlineStr">
        <is>
          <t>CARLOS EDUARDO CAUTERUCCI FIGUEIREDO</t>
        </is>
      </c>
      <c r="J73" s="21" t="inlineStr">
        <is>
          <t>Administrador (RFB partner)</t>
        </is>
      </c>
      <c r="K73" s="21" t="inlineStr">
        <is>
          <t>(11) 5694-7755</t>
        </is>
      </c>
      <c r="L73" s="21" t="inlineStr"/>
      <c r="M73" s="21" t="inlineStr"/>
      <c r="N73" s="21" t="inlineStr"/>
      <c r="O73" s="21" t="inlineStr"/>
      <c r="P73" s="21" t="inlineStr"/>
      <c r="Q73" s="21" t="inlineStr"/>
      <c r="R73" s="21" t="inlineStr"/>
      <c r="S73" s="21" t="inlineStr"/>
      <c r="T73" s="21" t="inlineStr">
        <is>
          <t>RFB partner (QSA); no Apollo match</t>
        </is>
      </c>
      <c r="U73" s="22" t="n">
        <v>2311648.44</v>
      </c>
      <c r="V73" s="23" t="inlineStr">
        <is>
          <t>B</t>
        </is>
      </c>
      <c r="W73" s="24">
        <f>IFERROR(VLOOKUP(V73,Assumptions!$A$7:$F$11,2,FALSE),0)</f>
        <v/>
      </c>
      <c r="X73" s="25">
        <f>IF(V73="A",MAX(1,IFERROR(VLOOKUP(V73,Assumptions!$A$7:$F$11,3,FALSE),3)+IFERROR(VLOOKUP(V73,Assumptions!$A$7:$F$11,4,FALSE),8)/2-MAX(0,IF(AO73="",0,YEAR(TODAY())-AO73)-IFERROR(VLOOKUP(V73,Assumptions!$A$7:$F$11,5,FALSE),1.5))),IFERROR(VLOOKUP(V73,Assumptions!$A$7:$F$11,5,FALSE),2.5)+IFERROR(VLOOKUP(V73,Assumptions!$A$7:$F$11,3,FALSE),3)+IFERROR(VLOOKUP(V73,Assumptions!$A$7:$F$11,4,FALSE),8)/2)</f>
        <v/>
      </c>
      <c r="Y73" s="22">
        <f>U73*W73/(1+Assumptions!$B$3)^X73</f>
        <v/>
      </c>
      <c r="Z73" s="26">
        <f>IF(U73=0,"",ROUND(Y73/U73*100,1))</f>
        <v/>
      </c>
      <c r="AA73" s="27">
        <f>Y73*Assumptions!$B$4</f>
        <v/>
      </c>
      <c r="AB73" s="26">
        <f>IF(U73=0,"",ROUND(AA73/U73*100,1))</f>
        <v/>
      </c>
      <c r="AC73" s="27">
        <f>Y73-AA73</f>
        <v/>
      </c>
      <c r="AD73" s="26">
        <f>IF(U73=0,"",ROUND((Y73-AA73)/U73*100,1))</f>
        <v/>
      </c>
      <c r="AE73" s="33" t="inlineStr">
        <is>
          <t>NO TOTALS — list prints none; check page</t>
        </is>
      </c>
      <c r="AF73" s="29" t="inlineStr">
        <is>
          <t>https://scalzilliaj.com.br/sgc/download.php?file=files/processo_documento/processo_documento09120721032023_1_.pdf&amp;nome=15 - Edital do art. 7º, §2º e 53 da Lei 11.101/2005 (segunda lista de credores e recebimento do plano))</t>
        </is>
      </c>
      <c r="AG73" s="28" t="inlineStr">
        <is>
          <t>p26 r10</t>
        </is>
      </c>
      <c r="AH73" s="28" t="inlineStr">
        <is>
          <t>p26: R$ 2.311.648,44</t>
        </is>
      </c>
      <c r="AI73" s="28" t="inlineStr">
        <is>
          <t>AJ list (art. 7 §2)</t>
        </is>
      </c>
      <c r="AJ73" s="28" t="inlineStr">
        <is>
          <t>2023-03-21</t>
        </is>
      </c>
      <c r="AK73" s="28" t="inlineStr">
        <is>
          <t>NONE FOUND</t>
        </is>
      </c>
      <c r="AL73" s="30" t="inlineStr">
        <is>
          <t>5012306-16.2022.8.21.0023</t>
        </is>
      </c>
      <c r="AM73" s="30" t="inlineStr">
        <is>
          <t>TJRS</t>
        </is>
      </c>
      <c r="AN73" s="30" t="inlineStr">
        <is>
          <t>ACTIVE</t>
        </is>
      </c>
      <c r="AO73" s="30" t="n">
        <v>2022</v>
      </c>
      <c r="AP73" s="30" t="inlineStr">
        <is>
          <t>live case, no plan document yet</t>
        </is>
      </c>
      <c r="AQ73" s="30" t="inlineStr"/>
      <c r="AR73" s="30" t="inlineStr">
        <is>
          <t>printed on the list (read twice)</t>
        </is>
      </c>
      <c r="AS73" s="30" t="inlineStr">
        <is>
          <t>SAO PAULO</t>
        </is>
      </c>
      <c r="AT73" s="30" t="inlineStr">
        <is>
          <t>SP</t>
        </is>
      </c>
      <c r="AU73" s="30" t="inlineStr">
        <is>
          <t>Comércio atacadista de instrumentos e materiais para uso médico, cirúrgico, hospitalar e de laboratórios</t>
        </is>
      </c>
      <c r="AV73" s="30" t="inlineStr">
        <is>
          <t>DEMAIS</t>
        </is>
      </c>
      <c r="AW73" s="31" t="n">
        <v>182925800</v>
      </c>
      <c r="AX73" s="30" t="inlineStr">
        <is>
          <t>MID-MARKET</t>
        </is>
      </c>
      <c r="AY73" s="30" t="inlineStr">
        <is>
          <t>50595271</t>
        </is>
      </c>
      <c r="AZ73" s="30" t="n">
        <v>1</v>
      </c>
      <c r="BA73" s="30" t="inlineStr">
        <is>
          <t>ROWS:p26r10 UNRECONCILED_SOURCE</t>
        </is>
      </c>
    </row>
    <row r="74">
      <c r="A74" s="16" t="inlineStr">
        <is>
          <t>GOIAS RENDERING S/A</t>
        </is>
      </c>
      <c r="B74" s="17" t="n">
        <v>1227904</v>
      </c>
      <c r="C74" s="18" t="inlineStr">
        <is>
          <t>GRUPO 3E</t>
        </is>
      </c>
      <c r="D74" s="19" t="inlineStr">
        <is>
          <t>NEW</t>
        </is>
      </c>
      <c r="E74" s="20" t="inlineStr"/>
      <c r="F74" s="19" t="inlineStr"/>
      <c r="G74" s="20" t="inlineStr"/>
      <c r="H74" s="19" t="inlineStr"/>
      <c r="I74" s="21" t="inlineStr">
        <is>
          <t>JOSADACK ASSIS</t>
        </is>
      </c>
      <c r="J74" s="21" t="inlineStr">
        <is>
          <t>Presidente (RFB partner)</t>
        </is>
      </c>
      <c r="K74" s="21" t="inlineStr">
        <is>
          <t>(62) 3110-8309</t>
        </is>
      </c>
      <c r="L74" s="21" t="inlineStr"/>
      <c r="M74" s="21" t="inlineStr"/>
      <c r="N74" s="21" t="inlineStr"/>
      <c r="O74" s="21" t="inlineStr"/>
      <c r="P74" s="21" t="inlineStr">
        <is>
          <t>FLAVIO DE ABREU BRITO</t>
        </is>
      </c>
      <c r="Q74" s="21" t="inlineStr">
        <is>
          <t>Diretor (RFB partner)</t>
        </is>
      </c>
      <c r="R74" s="21" t="inlineStr"/>
      <c r="S74" s="21" t="inlineStr"/>
      <c r="T74" s="21" t="inlineStr">
        <is>
          <t>RFB partner (QSA); no Apollo match</t>
        </is>
      </c>
      <c r="U74" s="22" t="n">
        <v>1227904</v>
      </c>
      <c r="V74" s="35" t="inlineStr">
        <is>
          <t>A</t>
        </is>
      </c>
      <c r="W74" s="24">
        <f>IFERROR(VLOOKUP(V74,Assumptions!$A$7:$F$11,2,FALSE),0)</f>
        <v/>
      </c>
      <c r="X74" s="25">
        <f>IF(V74="A",MAX(1,IFERROR(VLOOKUP(V74,Assumptions!$A$7:$F$11,3,FALSE),3)+IFERROR(VLOOKUP(V74,Assumptions!$A$7:$F$11,4,FALSE),8)/2-MAX(0,IF(AO74="",0,YEAR(TODAY())-AO74)-IFERROR(VLOOKUP(V74,Assumptions!$A$7:$F$11,5,FALSE),1.5))),IFERROR(VLOOKUP(V74,Assumptions!$A$7:$F$11,5,FALSE),2.5)+IFERROR(VLOOKUP(V74,Assumptions!$A$7:$F$11,3,FALSE),3)+IFERROR(VLOOKUP(V74,Assumptions!$A$7:$F$11,4,FALSE),8)/2)</f>
        <v/>
      </c>
      <c r="Y74" s="22">
        <f>U74*W74/(1+Assumptions!$B$3)^X74</f>
        <v/>
      </c>
      <c r="Z74" s="26">
        <f>IF(U74=0,"",ROUND(Y74/U74*100,1))</f>
        <v/>
      </c>
      <c r="AA74" s="27">
        <f>Y74*Assumptions!$B$4</f>
        <v/>
      </c>
      <c r="AB74" s="26">
        <f>IF(U74=0,"",ROUND(AA74/U74*100,1))</f>
        <v/>
      </c>
      <c r="AC74" s="27">
        <f>Y74-AA74</f>
        <v/>
      </c>
      <c r="AD74" s="26">
        <f>IF(U74=0,"",ROUND((Y74-AA74)/U74*100,1))</f>
        <v/>
      </c>
      <c r="AE74" s="33" t="inlineStr">
        <is>
          <t>NO TOTALS — list prints none; check page</t>
        </is>
      </c>
      <c r="AF74" s="29" t="inlineStr">
        <is>
          <t>https://stenius.com.br/wp-content/uploads/2026/06/EDITAL-GRUPO-3E.pdf</t>
        </is>
      </c>
      <c r="AG74" s="28" t="inlineStr">
        <is>
          <t>p14 r13</t>
        </is>
      </c>
      <c r="AH74" s="28" t="inlineStr">
        <is>
          <t>p14: R$ 1.227.904,00</t>
        </is>
      </c>
      <c r="AI74" s="28" t="inlineStr">
        <is>
          <t>Debtor list (art. 51)</t>
        </is>
      </c>
      <c r="AJ74" s="28" t="inlineStr">
        <is>
          <t>2026-06-22</t>
        </is>
      </c>
      <c r="AK74" s="28" t="inlineStr">
        <is>
          <t>PLAN DOC FOUND</t>
        </is>
      </c>
      <c r="AL74" s="30" t="inlineStr">
        <is>
          <t>5341375-33.2026.8.09.0049</t>
        </is>
      </c>
      <c r="AM74" s="30" t="inlineStr">
        <is>
          <t>TJGO</t>
        </is>
      </c>
      <c r="AN74" s="30" t="inlineStr">
        <is>
          <t>ACTIVE</t>
        </is>
      </c>
      <c r="AO74" s="30" t="n">
        <v>2026</v>
      </c>
      <c r="AP74" s="30" t="inlineStr">
        <is>
          <t>plan/homologation document found</t>
        </is>
      </c>
      <c r="AQ74" s="30" t="inlineStr"/>
      <c r="AR74" s="30" t="inlineStr">
        <is>
          <t>printed on the list (read twice)</t>
        </is>
      </c>
      <c r="AS74" s="30" t="inlineStr">
        <is>
          <t>TRINDADE</t>
        </is>
      </c>
      <c r="AT74" s="30" t="inlineStr">
        <is>
          <t>GO</t>
        </is>
      </c>
      <c r="AU74" s="30" t="inlineStr">
        <is>
          <t>Preparação de subprodutos do abate</t>
        </is>
      </c>
      <c r="AV74" s="30" t="inlineStr">
        <is>
          <t>DEMAIS</t>
        </is>
      </c>
      <c r="AW74" s="31" t="n">
        <v>54000000</v>
      </c>
      <c r="AX74" s="30" t="inlineStr">
        <is>
          <t>MID-MARKET</t>
        </is>
      </c>
      <c r="AY74" s="30" t="inlineStr">
        <is>
          <t>19357388</t>
        </is>
      </c>
      <c r="AZ74" s="30" t="n">
        <v>1</v>
      </c>
      <c r="BA74" s="30" t="inlineStr">
        <is>
          <t>ROWS:p14r13 UNRECONCILED_SOURCE</t>
        </is>
      </c>
    </row>
    <row r="75">
      <c r="A75" s="16" t="inlineStr">
        <is>
          <t>FALCON DISTRIBUICAO, ARMAZENAMENTO E TRANSPORTES S.A.</t>
        </is>
      </c>
      <c r="B75" s="17" t="n">
        <v>2199541.23</v>
      </c>
      <c r="C75" s="18" t="inlineStr">
        <is>
          <t>GRUPO DP4</t>
        </is>
      </c>
      <c r="D75" s="19" t="inlineStr">
        <is>
          <t>NEW</t>
        </is>
      </c>
      <c r="E75" s="20" t="inlineStr"/>
      <c r="F75" s="19" t="inlineStr"/>
      <c r="G75" s="20" t="inlineStr"/>
      <c r="H75" s="19" t="inlineStr"/>
      <c r="I75" s="21" t="inlineStr">
        <is>
          <t>ADRIANO DE CONTI BERNARDI</t>
        </is>
      </c>
      <c r="J75" s="21" t="inlineStr">
        <is>
          <t>Diretor (RFB partner)</t>
        </is>
      </c>
      <c r="K75" s="21" t="inlineStr">
        <is>
          <t>(11) 9177-5953</t>
        </is>
      </c>
      <c r="L75" s="21" t="inlineStr"/>
      <c r="M75" s="21" t="inlineStr"/>
      <c r="N75" s="21" t="inlineStr"/>
      <c r="O75" s="21" t="inlineStr"/>
      <c r="P75" s="21" t="inlineStr">
        <is>
          <t>CELSO UBIRAJARA BLANCO DOS SANTOS</t>
        </is>
      </c>
      <c r="Q75" s="21" t="inlineStr">
        <is>
          <t>Diretor (RFB partner)</t>
        </is>
      </c>
      <c r="R75" s="21" t="inlineStr"/>
      <c r="S75" s="21" t="inlineStr"/>
      <c r="T75" s="21" t="inlineStr">
        <is>
          <t>RFB partner (QSA); no Apollo match</t>
        </is>
      </c>
      <c r="U75" s="22" t="n">
        <v>2199541.23</v>
      </c>
      <c r="V75" s="23" t="inlineStr">
        <is>
          <t>B</t>
        </is>
      </c>
      <c r="W75" s="24">
        <f>IFERROR(VLOOKUP(V75,Assumptions!$A$7:$F$11,2,FALSE),0)</f>
        <v/>
      </c>
      <c r="X75" s="25">
        <f>IF(V75="A",MAX(1,IFERROR(VLOOKUP(V75,Assumptions!$A$7:$F$11,3,FALSE),3)+IFERROR(VLOOKUP(V75,Assumptions!$A$7:$F$11,4,FALSE),8)/2-MAX(0,IF(AO75="",0,YEAR(TODAY())-AO75)-IFERROR(VLOOKUP(V75,Assumptions!$A$7:$F$11,5,FALSE),1.5))),IFERROR(VLOOKUP(V75,Assumptions!$A$7:$F$11,5,FALSE),2.5)+IFERROR(VLOOKUP(V75,Assumptions!$A$7:$F$11,3,FALSE),3)+IFERROR(VLOOKUP(V75,Assumptions!$A$7:$F$11,4,FALSE),8)/2)</f>
        <v/>
      </c>
      <c r="Y75" s="22">
        <f>U75*W75/(1+Assumptions!$B$3)^X75</f>
        <v/>
      </c>
      <c r="Z75" s="26">
        <f>IF(U75=0,"",ROUND(Y75/U75*100,1))</f>
        <v/>
      </c>
      <c r="AA75" s="27">
        <f>Y75*Assumptions!$B$4</f>
        <v/>
      </c>
      <c r="AB75" s="26">
        <f>IF(U75=0,"",ROUND(AA75/U75*100,1))</f>
        <v/>
      </c>
      <c r="AC75" s="27">
        <f>Y75-AA75</f>
        <v/>
      </c>
      <c r="AD75" s="26">
        <f>IF(U75=0,"",ROUND((Y75-AA75)/U75*100,1))</f>
        <v/>
      </c>
      <c r="AE75" s="34" t="inlineStr">
        <is>
          <t>PARTIAL — class III reconciled, other classes not</t>
        </is>
      </c>
      <c r="AF75" s="29" t="inlineStr">
        <is>
          <t>https://marquesadmjudicial.com.br/sgc/download.php?file=files/processo_documento/processo_documento15293208032024_1_.pdf&amp;nome=Relação Nominal de Credores da AJ-Sintética</t>
        </is>
      </c>
      <c r="AG75" s="28" t="inlineStr">
        <is>
          <t>p25 r5</t>
        </is>
      </c>
      <c r="AH75" s="28" t="inlineStr">
        <is>
          <t>p25: R$ 2.199.541,23</t>
        </is>
      </c>
      <c r="AI75" s="28" t="inlineStr">
        <is>
          <t>AJ list (art. 7 §2)</t>
        </is>
      </c>
      <c r="AJ75" s="28" t="inlineStr">
        <is>
          <t>2023-03-02</t>
        </is>
      </c>
      <c r="AK75" s="28" t="inlineStr">
        <is>
          <t>NONE FOUND</t>
        </is>
      </c>
      <c r="AL75" s="30" t="inlineStr">
        <is>
          <t>0005010-98.2023.8.16.0001</t>
        </is>
      </c>
      <c r="AM75" s="30" t="inlineStr">
        <is>
          <t>TJPR</t>
        </is>
      </c>
      <c r="AN75" s="30" t="inlineStr">
        <is>
          <t>ACTIVE</t>
        </is>
      </c>
      <c r="AO75" s="30" t="n">
        <v>2023</v>
      </c>
      <c r="AP75" s="30" t="inlineStr">
        <is>
          <t>live case, no plan document yet</t>
        </is>
      </c>
      <c r="AQ75" s="30" t="inlineStr"/>
      <c r="AR75" s="30" t="inlineStr">
        <is>
          <t>printed on the list (read twice)</t>
        </is>
      </c>
      <c r="AS75" s="30" t="inlineStr">
        <is>
          <t>GOIANIA</t>
        </is>
      </c>
      <c r="AT75" s="30" t="inlineStr">
        <is>
          <t>GO</t>
        </is>
      </c>
      <c r="AU75" s="30" t="inlineStr">
        <is>
          <t>Comércio atacadista de produtos de higiene pessoal</t>
        </is>
      </c>
      <c r="AV75" s="30" t="inlineStr">
        <is>
          <t>DEMAIS</t>
        </is>
      </c>
      <c r="AW75" s="31" t="n">
        <v>246585700</v>
      </c>
      <c r="AX75" s="30" t="inlineStr">
        <is>
          <t>MID-MARKET</t>
        </is>
      </c>
      <c r="AY75" s="30" t="inlineStr">
        <is>
          <t>23191831</t>
        </is>
      </c>
      <c r="AZ75" s="30" t="n">
        <v>1</v>
      </c>
      <c r="BA75" s="30" t="inlineStr">
        <is>
          <t>PARTIAL_DOC_CLASS_III_RECONCILED ROWS:p25r5</t>
        </is>
      </c>
    </row>
    <row r="76">
      <c r="A76" s="16" t="inlineStr">
        <is>
          <t>MINERACAO AURORA LTDA</t>
        </is>
      </c>
      <c r="B76" s="17" t="n">
        <v>8433590.01</v>
      </c>
      <c r="C76" s="18" t="inlineStr">
        <is>
          <t>CONSTRUTORA ANDRADE GUEDES LTDA</t>
        </is>
      </c>
      <c r="D76" s="19" t="inlineStr">
        <is>
          <t>NEW</t>
        </is>
      </c>
      <c r="E76" s="20" t="inlineStr"/>
      <c r="F76" s="19" t="inlineStr"/>
      <c r="G76" s="20" t="inlineStr"/>
      <c r="H76" s="19" t="inlineStr"/>
      <c r="I76" s="21" t="inlineStr">
        <is>
          <t>Jorge Ferraz</t>
        </is>
      </c>
      <c r="J76" s="21" t="inlineStr">
        <is>
          <t>Administrator</t>
        </is>
      </c>
      <c r="K76" s="21" t="inlineStr">
        <is>
          <t>(81) 3972-4964</t>
        </is>
      </c>
      <c r="L76" s="21" t="inlineStr"/>
      <c r="M76" s="21" t="inlineStr"/>
      <c r="N76" s="21" t="inlineStr"/>
      <c r="O76" s="21" t="inlineStr"/>
      <c r="P76" s="21" t="inlineStr">
        <is>
          <t>Raphael Calafange</t>
        </is>
      </c>
      <c r="Q76" s="21" t="inlineStr">
        <is>
          <t>Sales Manager</t>
        </is>
      </c>
      <c r="R76" s="21" t="inlineStr"/>
      <c r="S76" s="21" t="inlineStr"/>
      <c r="T76" s="21" t="inlineStr">
        <is>
          <t>no work email found in Apollo</t>
        </is>
      </c>
      <c r="U76" s="22" t="n">
        <v>8433590.01</v>
      </c>
      <c r="V76" s="38" t="inlineStr">
        <is>
          <t>C</t>
        </is>
      </c>
      <c r="W76" s="24">
        <f>IFERROR(VLOOKUP(V76,Assumptions!$A$7:$F$11,2,FALSE),0)</f>
        <v/>
      </c>
      <c r="X76" s="25">
        <f>IF(V76="A",MAX(1,IFERROR(VLOOKUP(V76,Assumptions!$A$7:$F$11,3,FALSE),3)+IFERROR(VLOOKUP(V76,Assumptions!$A$7:$F$11,4,FALSE),8)/2-MAX(0,IF(AO76="",0,YEAR(TODAY())-AO76)-IFERROR(VLOOKUP(V76,Assumptions!$A$7:$F$11,5,FALSE),1.5))),IFERROR(VLOOKUP(V76,Assumptions!$A$7:$F$11,5,FALSE),2.5)+IFERROR(VLOOKUP(V76,Assumptions!$A$7:$F$11,3,FALSE),3)+IFERROR(VLOOKUP(V76,Assumptions!$A$7:$F$11,4,FALSE),8)/2)</f>
        <v/>
      </c>
      <c r="Y76" s="22">
        <f>U76*W76/(1+Assumptions!$B$3)^X76</f>
        <v/>
      </c>
      <c r="Z76" s="26">
        <f>IF(U76=0,"",ROUND(Y76/U76*100,1))</f>
        <v/>
      </c>
      <c r="AA76" s="27">
        <f>Y76*Assumptions!$B$4</f>
        <v/>
      </c>
      <c r="AB76" s="26">
        <f>IF(U76=0,"",ROUND(AA76/U76*100,1))</f>
        <v/>
      </c>
      <c r="AC76" s="27">
        <f>Y76-AA76</f>
        <v/>
      </c>
      <c r="AD76" s="26">
        <f>IF(U76=0,"",ROUND((Y76-AA76)/U76*100,1))</f>
        <v/>
      </c>
      <c r="AE76" s="33" t="inlineStr">
        <is>
          <t>NO TOTALS — list prints none; check page</t>
        </is>
      </c>
      <c r="AF76" s="29" t="inlineStr">
        <is>
          <t>https://diligence.adm.br/wp-content/plugins/download-attachments/includes/download.php?id=4599</t>
        </is>
      </c>
      <c r="AG76" s="28" t="inlineStr">
        <is>
          <t>p10 r60</t>
        </is>
      </c>
      <c r="AH76" s="28" t="inlineStr">
        <is>
          <t>p10: R$ 8.433.590,01</t>
        </is>
      </c>
      <c r="AI76" s="28" t="inlineStr">
        <is>
          <t>AJ list (art. 7 §2)</t>
        </is>
      </c>
      <c r="AJ76" s="28" t="inlineStr">
        <is>
          <t>2024-06-25</t>
        </is>
      </c>
      <c r="AK76" s="28" t="inlineStr">
        <is>
          <t>NONE FOUND</t>
        </is>
      </c>
      <c r="AL76" s="30" t="inlineStr">
        <is>
          <t>0000880-57.2020.8.17.2001</t>
        </is>
      </c>
      <c r="AM76" s="30" t="inlineStr">
        <is>
          <t>TJPE</t>
        </is>
      </c>
      <c r="AN76" s="30" t="inlineStr">
        <is>
          <t>ACTIVE</t>
        </is>
      </c>
      <c r="AO76" s="30" t="n">
        <v>2020</v>
      </c>
      <c r="AP76" s="30" t="inlineStr">
        <is>
          <t>6y since filing, no plan document</t>
        </is>
      </c>
      <c r="AQ76" s="30" t="inlineStr">
        <is>
          <t>08.073.264/0001-87</t>
        </is>
      </c>
      <c r="AR76" s="30" t="inlineStr">
        <is>
          <t>printed on the list (read twice)</t>
        </is>
      </c>
      <c r="AS76" s="30" t="inlineStr">
        <is>
          <t>JABOATAO DOS GUARARAPES</t>
        </is>
      </c>
      <c r="AT76" s="30" t="inlineStr">
        <is>
          <t>PE</t>
        </is>
      </c>
      <c r="AU76" s="30" t="inlineStr">
        <is>
          <t>Extração e britamento de pedras e outros materiais para construção e beneficiamento associado</t>
        </is>
      </c>
      <c r="AV76" s="30" t="inlineStr">
        <is>
          <t>DEMAIS</t>
        </is>
      </c>
      <c r="AW76" s="31" t="n">
        <v>2500000</v>
      </c>
      <c r="AX76" s="30" t="inlineStr">
        <is>
          <t>MID-MARKET</t>
        </is>
      </c>
      <c r="AY76" s="30" t="inlineStr">
        <is>
          <t>10509915</t>
        </is>
      </c>
      <c r="AZ76" s="30" t="n">
        <v>1</v>
      </c>
      <c r="BA76" s="30" t="inlineStr">
        <is>
          <t>ALT_VALUE:R$2.710.146,67 ALT_VALUE:R$5.723.443,34 ROWS:p10r60 UNRECONCILED_SOURCE VALUE_COL:2ª_Lista</t>
        </is>
      </c>
    </row>
    <row r="77">
      <c r="A77" s="16" t="inlineStr">
        <is>
          <t>VENTISOL DA AMAZONIA INDUSTRIA DE APARELHOS ELETRICOS LTDA</t>
        </is>
      </c>
      <c r="B77" s="17" t="n">
        <v>2121705.89</v>
      </c>
      <c r="C77" s="18" t="inlineStr">
        <is>
          <t>REAL DISTRIBUIDORA ÚNICA RIO COMÉRCIO DE REFRIGERAÇÃO LTDA.</t>
        </is>
      </c>
      <c r="D77" s="19" t="inlineStr">
        <is>
          <t>NEW</t>
        </is>
      </c>
      <c r="E77" s="20" t="inlineStr"/>
      <c r="F77" s="19" t="inlineStr"/>
      <c r="G77" s="20" t="inlineStr"/>
      <c r="H77" s="19" t="inlineStr"/>
      <c r="I77" s="21" t="inlineStr">
        <is>
          <t>Marcos Bittencourt</t>
        </is>
      </c>
      <c r="J77" s="21" t="inlineStr">
        <is>
          <t>Financial Manager</t>
        </is>
      </c>
      <c r="K77" s="21" t="inlineStr">
        <is>
          <t>(92) 3029-1000</t>
        </is>
      </c>
      <c r="L77" s="21" t="inlineStr"/>
      <c r="M77" s="21" t="inlineStr"/>
      <c r="N77" s="21" t="inlineStr">
        <is>
          <t>marcos@ventisol.com.br</t>
        </is>
      </c>
      <c r="O77" s="21" t="inlineStr">
        <is>
          <t>fernanda@ventisol.com.br</t>
        </is>
      </c>
      <c r="P77" s="21" t="inlineStr">
        <is>
          <t>Fernanda Candido</t>
        </is>
      </c>
      <c r="Q77" s="21" t="inlineStr">
        <is>
          <t>Commercial Director</t>
        </is>
      </c>
      <c r="R77" s="21" t="inlineStr"/>
      <c r="S77" s="21" t="inlineStr">
        <is>
          <t>fernanda@ventisol.com.br</t>
        </is>
      </c>
      <c r="T77" s="21" t="inlineStr">
        <is>
          <t>email verified by Apollo</t>
        </is>
      </c>
      <c r="U77" s="22" t="n">
        <v>2121705.89</v>
      </c>
      <c r="V77" s="23" t="inlineStr">
        <is>
          <t>B</t>
        </is>
      </c>
      <c r="W77" s="24">
        <f>IFERROR(VLOOKUP(V77,Assumptions!$A$7:$F$11,2,FALSE),0)</f>
        <v/>
      </c>
      <c r="X77" s="25">
        <f>IF(V77="A",MAX(1,IFERROR(VLOOKUP(V77,Assumptions!$A$7:$F$11,3,FALSE),3)+IFERROR(VLOOKUP(V77,Assumptions!$A$7:$F$11,4,FALSE),8)/2-MAX(0,IF(AO77="",0,YEAR(TODAY())-AO77)-IFERROR(VLOOKUP(V77,Assumptions!$A$7:$F$11,5,FALSE),1.5))),IFERROR(VLOOKUP(V77,Assumptions!$A$7:$F$11,5,FALSE),2.5)+IFERROR(VLOOKUP(V77,Assumptions!$A$7:$F$11,3,FALSE),3)+IFERROR(VLOOKUP(V77,Assumptions!$A$7:$F$11,4,FALSE),8)/2)</f>
        <v/>
      </c>
      <c r="Y77" s="22">
        <f>U77*W77/(1+Assumptions!$B$3)^X77</f>
        <v/>
      </c>
      <c r="Z77" s="26">
        <f>IF(U77=0,"",ROUND(Y77/U77*100,1))</f>
        <v/>
      </c>
      <c r="AA77" s="27">
        <f>Y77*Assumptions!$B$4</f>
        <v/>
      </c>
      <c r="AB77" s="26">
        <f>IF(U77=0,"",ROUND(AA77/U77*100,1))</f>
        <v/>
      </c>
      <c r="AC77" s="27">
        <f>Y77-AA77</f>
        <v/>
      </c>
      <c r="AD77" s="26">
        <f>IF(U77=0,"",ROUND((Y77-AA77)/U77*100,1))</f>
        <v/>
      </c>
      <c r="AE77" s="28" t="inlineStr">
        <is>
          <t>OK — totals reconciled</t>
        </is>
      </c>
      <c r="AF77" s="29" t="inlineStr">
        <is>
          <t>https://inova-aj.com.br/wp-content/uploads/2026/08/1a-Relacao-de-Credores-Real.pdf</t>
        </is>
      </c>
      <c r="AG77" s="28" t="inlineStr">
        <is>
          <t>p2 r16</t>
        </is>
      </c>
      <c r="AH77" s="28" t="inlineStr">
        <is>
          <t>p2: R$ 2.121.705,89</t>
        </is>
      </c>
      <c r="AI77" s="28" t="inlineStr">
        <is>
          <t>AJ list (art. 7 §2)</t>
        </is>
      </c>
      <c r="AJ77" s="28" t="inlineStr">
        <is>
          <t>2023-06-05</t>
        </is>
      </c>
      <c r="AK77" s="28" t="inlineStr">
        <is>
          <t>NONE FOUND</t>
        </is>
      </c>
      <c r="AL77" s="30" t="inlineStr">
        <is>
          <t>0873061-47.2023.8.19.0001</t>
        </is>
      </c>
      <c r="AM77" s="30" t="inlineStr">
        <is>
          <t>TJRJ</t>
        </is>
      </c>
      <c r="AN77" s="30" t="inlineStr"/>
      <c r="AO77" s="30" t="n">
        <v>2023</v>
      </c>
      <c r="AP77" s="30" t="inlineStr">
        <is>
          <t>live case, no plan document yet</t>
        </is>
      </c>
      <c r="AQ77" s="30" t="inlineStr"/>
      <c r="AR77" s="30" t="inlineStr">
        <is>
          <t>printed on the list (read twice)</t>
        </is>
      </c>
      <c r="AS77" s="30" t="inlineStr">
        <is>
          <t>MANAUS</t>
        </is>
      </c>
      <c r="AT77" s="30" t="inlineStr">
        <is>
          <t>AM</t>
        </is>
      </c>
      <c r="AU77" s="30" t="inlineStr">
        <is>
          <t>Fabricação de aparelhos e equipamentos de ar condicionado para uso industrial</t>
        </is>
      </c>
      <c r="AV77" s="30" t="inlineStr">
        <is>
          <t>DEMAIS</t>
        </is>
      </c>
      <c r="AW77" s="31" t="n">
        <v>467377000</v>
      </c>
      <c r="AX77" s="30" t="inlineStr">
        <is>
          <t>MID-MARKET</t>
        </is>
      </c>
      <c r="AY77" s="30" t="inlineStr">
        <is>
          <t>17417928</t>
        </is>
      </c>
      <c r="AZ77" s="30" t="n">
        <v>1</v>
      </c>
      <c r="BA77" s="30" t="inlineStr">
        <is>
          <t>ALT_VALUE:R$1.542.709,43 ROWS:p2r16</t>
        </is>
      </c>
    </row>
    <row r="78">
      <c r="A78" s="16" t="inlineStr">
        <is>
          <t>SRJ INDUSTRIA COMERCIO E EXPORTACAO DE CONFECCOES LTDA</t>
        </is>
      </c>
      <c r="B78" s="17" t="n">
        <v>2113920</v>
      </c>
      <c r="C78" s="18" t="inlineStr">
        <is>
          <t>GRUPO CATTAN</t>
        </is>
      </c>
      <c r="D78" s="19" t="inlineStr">
        <is>
          <t>NEW</t>
        </is>
      </c>
      <c r="E78" s="20" t="inlineStr"/>
      <c r="F78" s="19" t="inlineStr"/>
      <c r="G78" s="20" t="inlineStr"/>
      <c r="H78" s="19" t="inlineStr"/>
      <c r="I78" s="21" t="inlineStr">
        <is>
          <t>JOAQUIM COELHO DE MAGALHAES</t>
        </is>
      </c>
      <c r="J78" s="21" t="inlineStr">
        <is>
          <t>Administrador (RFB partner)</t>
        </is>
      </c>
      <c r="K78" s="21" t="inlineStr"/>
      <c r="L78" s="21" t="inlineStr"/>
      <c r="M78" s="21" t="inlineStr"/>
      <c r="N78" s="21" t="inlineStr"/>
      <c r="O78" s="21" t="inlineStr"/>
      <c r="P78" s="21" t="inlineStr">
        <is>
          <t>RAFAEL COELHO DANTAS</t>
        </is>
      </c>
      <c r="Q78" s="21" t="inlineStr">
        <is>
          <t>Administrador (RFB partner)</t>
        </is>
      </c>
      <c r="R78" s="21" t="inlineStr"/>
      <c r="S78" s="21" t="inlineStr"/>
      <c r="T78" s="21" t="inlineStr">
        <is>
          <t>RFB partner (QSA); no Apollo match</t>
        </is>
      </c>
      <c r="U78" s="22" t="n">
        <v>2113920</v>
      </c>
      <c r="V78" s="23" t="inlineStr">
        <is>
          <t>B</t>
        </is>
      </c>
      <c r="W78" s="24">
        <f>IFERROR(VLOOKUP(V78,Assumptions!$A$7:$F$11,2,FALSE),0)</f>
        <v/>
      </c>
      <c r="X78" s="25">
        <f>IF(V78="A",MAX(1,IFERROR(VLOOKUP(V78,Assumptions!$A$7:$F$11,3,FALSE),3)+IFERROR(VLOOKUP(V78,Assumptions!$A$7:$F$11,4,FALSE),8)/2-MAX(0,IF(AO78="",0,YEAR(TODAY())-AO78)-IFERROR(VLOOKUP(V78,Assumptions!$A$7:$F$11,5,FALSE),1.5))),IFERROR(VLOOKUP(V78,Assumptions!$A$7:$F$11,5,FALSE),2.5)+IFERROR(VLOOKUP(V78,Assumptions!$A$7:$F$11,3,FALSE),3)+IFERROR(VLOOKUP(V78,Assumptions!$A$7:$F$11,4,FALSE),8)/2)</f>
        <v/>
      </c>
      <c r="Y78" s="22">
        <f>U78*W78/(1+Assumptions!$B$3)^X78</f>
        <v/>
      </c>
      <c r="Z78" s="26">
        <f>IF(U78=0,"",ROUND(Y78/U78*100,1))</f>
        <v/>
      </c>
      <c r="AA78" s="27">
        <f>Y78*Assumptions!$B$4</f>
        <v/>
      </c>
      <c r="AB78" s="26">
        <f>IF(U78=0,"",ROUND(AA78/U78*100,1))</f>
        <v/>
      </c>
      <c r="AC78" s="27">
        <f>Y78-AA78</f>
        <v/>
      </c>
      <c r="AD78" s="26">
        <f>IF(U78=0,"",ROUND((Y78-AA78)/U78*100,1))</f>
        <v/>
      </c>
      <c r="AE78" s="34" t="inlineStr">
        <is>
          <t>PARTIAL — class III reconciled, other classes not</t>
        </is>
      </c>
      <c r="AF78" s="29" t="inlineStr">
        <is>
          <t>https://lrflideres.com.br/wp-content/plugins/download-attachments/includes/download.php?id=4023</t>
        </is>
      </c>
      <c r="AG78" s="28" t="inlineStr">
        <is>
          <t>p4 r92; p7 r121</t>
        </is>
      </c>
      <c r="AH78" s="28" t="inlineStr">
        <is>
          <t>p4: R$ 2.113.920,00; p7: R$ 2.113.920,00</t>
        </is>
      </c>
      <c r="AI78" s="28" t="inlineStr">
        <is>
          <t>Debtor list (art. 51)</t>
        </is>
      </c>
      <c r="AJ78" s="28" t="inlineStr"/>
      <c r="AK78" s="28" t="inlineStr">
        <is>
          <t>NONE FOUND</t>
        </is>
      </c>
      <c r="AL78" s="30" t="inlineStr">
        <is>
          <t>0002484-82.2022.8.17.2001</t>
        </is>
      </c>
      <c r="AM78" s="30" t="inlineStr">
        <is>
          <t>TJPE</t>
        </is>
      </c>
      <c r="AN78" s="30" t="inlineStr">
        <is>
          <t>ACTIVE</t>
        </is>
      </c>
      <c r="AO78" s="30" t="n">
        <v>2022</v>
      </c>
      <c r="AP78" s="30" t="inlineStr">
        <is>
          <t>live case, no plan document yet</t>
        </is>
      </c>
      <c r="AQ78" s="30" t="inlineStr"/>
      <c r="AR78" s="30" t="inlineStr">
        <is>
          <t>printed on the list (read twice)</t>
        </is>
      </c>
      <c r="AS78" s="30" t="inlineStr">
        <is>
          <t>CARUARU</t>
        </is>
      </c>
      <c r="AT78" s="30" t="inlineStr">
        <is>
          <t>PE</t>
        </is>
      </c>
      <c r="AU78" s="30" t="inlineStr">
        <is>
          <t>Confecção de peças de vestuário, exceto roupas íntimas e as confeccionadas sob medida</t>
        </is>
      </c>
      <c r="AV78" s="30" t="inlineStr">
        <is>
          <t>DEMAIS</t>
        </is>
      </c>
      <c r="AW78" s="31" t="n">
        <v>220000</v>
      </c>
      <c r="AX78" s="30" t="inlineStr">
        <is>
          <t>MID-MARKET</t>
        </is>
      </c>
      <c r="AY78" s="30" t="inlineStr">
        <is>
          <t>05554669</t>
        </is>
      </c>
      <c r="AZ78" s="30" t="n">
        <v>1</v>
      </c>
      <c r="BA78" s="30" t="inlineStr">
        <is>
          <t>PARTIAL_DOC_CLASS_III_RECONCILED ROWS:p4r92</t>
        </is>
      </c>
    </row>
    <row r="79">
      <c r="A79" s="16" t="inlineStr">
        <is>
          <t>ADM DO BRASIL LTDA</t>
        </is>
      </c>
      <c r="B79" s="17" t="n">
        <v>2086675.04</v>
      </c>
      <c r="C79" s="18" t="inlineStr">
        <is>
          <t>SUINOCULTURA KUNZLER</t>
        </is>
      </c>
      <c r="D79" s="19" t="inlineStr">
        <is>
          <t>NEW</t>
        </is>
      </c>
      <c r="E79" s="20" t="inlineStr"/>
      <c r="F79" s="19" t="inlineStr"/>
      <c r="G79" s="20" t="inlineStr"/>
      <c r="H79" s="19" t="inlineStr"/>
      <c r="I79" s="21" t="inlineStr">
        <is>
          <t>ANDREIELI RIBEIRO PINTO</t>
        </is>
      </c>
      <c r="J79" s="21" t="inlineStr">
        <is>
          <t>Administrador (RFB partner)</t>
        </is>
      </c>
      <c r="K79" s="21" t="inlineStr">
        <is>
          <t>(11) 5185-3500</t>
        </is>
      </c>
      <c r="L79" s="21" t="inlineStr">
        <is>
          <t>(11) 5185-3649</t>
        </is>
      </c>
      <c r="M79" s="21" t="inlineStr"/>
      <c r="N79" s="21" t="inlineStr"/>
      <c r="O79" s="21" t="inlineStr"/>
      <c r="P79" s="21" t="inlineStr">
        <is>
          <t>DOMINGO ALEJANDRO LASTRA</t>
        </is>
      </c>
      <c r="Q79" s="21" t="inlineStr">
        <is>
          <t>Administrador (RFB partner)</t>
        </is>
      </c>
      <c r="R79" s="21" t="inlineStr"/>
      <c r="S79" s="21" t="inlineStr"/>
      <c r="T79" s="21" t="inlineStr">
        <is>
          <t>RFB partner (QSA); no Apollo match</t>
        </is>
      </c>
      <c r="U79" s="22" t="n">
        <v>2086675.04</v>
      </c>
      <c r="V79" s="23" t="inlineStr">
        <is>
          <t>B</t>
        </is>
      </c>
      <c r="W79" s="24">
        <f>IFERROR(VLOOKUP(V79,Assumptions!$A$7:$F$11,2,FALSE),0)</f>
        <v/>
      </c>
      <c r="X79" s="25">
        <f>IF(V79="A",MAX(1,IFERROR(VLOOKUP(V79,Assumptions!$A$7:$F$11,3,FALSE),3)+IFERROR(VLOOKUP(V79,Assumptions!$A$7:$F$11,4,FALSE),8)/2-MAX(0,IF(AO79="",0,YEAR(TODAY())-AO79)-IFERROR(VLOOKUP(V79,Assumptions!$A$7:$F$11,5,FALSE),1.5))),IFERROR(VLOOKUP(V79,Assumptions!$A$7:$F$11,5,FALSE),2.5)+IFERROR(VLOOKUP(V79,Assumptions!$A$7:$F$11,3,FALSE),3)+IFERROR(VLOOKUP(V79,Assumptions!$A$7:$F$11,4,FALSE),8)/2)</f>
        <v/>
      </c>
      <c r="Y79" s="22">
        <f>U79*W79/(1+Assumptions!$B$3)^X79</f>
        <v/>
      </c>
      <c r="Z79" s="26">
        <f>IF(U79=0,"",ROUND(Y79/U79*100,1))</f>
        <v/>
      </c>
      <c r="AA79" s="27">
        <f>Y79*Assumptions!$B$4</f>
        <v/>
      </c>
      <c r="AB79" s="26">
        <f>IF(U79=0,"",ROUND(AA79/U79*100,1))</f>
        <v/>
      </c>
      <c r="AC79" s="27">
        <f>Y79-AA79</f>
        <v/>
      </c>
      <c r="AD79" s="26">
        <f>IF(U79=0,"",ROUND((Y79-AA79)/U79*100,1))</f>
        <v/>
      </c>
      <c r="AE79" s="33" t="inlineStr">
        <is>
          <t>NO TOTALS — list prints none; check page</t>
        </is>
      </c>
      <c r="AF79" s="29" t="inlineStr">
        <is>
          <t>https://rlg-aj.com.br/wp-content/uploads/2024/11/07.-Relação-de-credores.pdf</t>
        </is>
      </c>
      <c r="AG79" s="28" t="inlineStr">
        <is>
          <t>p1 r21</t>
        </is>
      </c>
      <c r="AH79" s="28" t="inlineStr">
        <is>
          <t>p1: R$ 2.086.675,04</t>
        </is>
      </c>
      <c r="AI79" s="28" t="inlineStr">
        <is>
          <t>Unclassified list</t>
        </is>
      </c>
      <c r="AJ79" s="28" t="inlineStr"/>
      <c r="AK79" s="28" t="inlineStr">
        <is>
          <t>NONE FOUND</t>
        </is>
      </c>
      <c r="AL79" s="30" t="inlineStr">
        <is>
          <t>5009149-92.2024.8.24.0019</t>
        </is>
      </c>
      <c r="AM79" s="30" t="inlineStr">
        <is>
          <t>TJSC</t>
        </is>
      </c>
      <c r="AN79" s="30" t="inlineStr">
        <is>
          <t>ACTIVE</t>
        </is>
      </c>
      <c r="AO79" s="30" t="n">
        <v>2024</v>
      </c>
      <c r="AP79" s="30" t="inlineStr">
        <is>
          <t>live case, no plan document yet</t>
        </is>
      </c>
      <c r="AQ79" s="30" t="inlineStr">
        <is>
          <t>55.365.447/0001-56</t>
        </is>
      </c>
      <c r="AR79" s="30" t="inlineStr">
        <is>
          <t>printed on the list (read twice)</t>
        </is>
      </c>
      <c r="AS79" s="30" t="inlineStr">
        <is>
          <t>VITORIA</t>
        </is>
      </c>
      <c r="AT79" s="30" t="inlineStr">
        <is>
          <t>ES</t>
        </is>
      </c>
      <c r="AU79" s="30" t="inlineStr">
        <is>
          <t>Comércio atacadista de matérias-primas agrícolas não especificadas anteriormente</t>
        </is>
      </c>
      <c r="AV79" s="30" t="inlineStr">
        <is>
          <t>DEMAIS</t>
        </is>
      </c>
      <c r="AW79" s="31" t="n">
        <v>5008914000</v>
      </c>
      <c r="AX79" s="30" t="inlineStr">
        <is>
          <t>LARGE CORP</t>
        </is>
      </c>
      <c r="AY79" s="30" t="inlineStr">
        <is>
          <t>02003402</t>
        </is>
      </c>
      <c r="AZ79" s="30" t="n">
        <v>1</v>
      </c>
      <c r="BA79" s="30" t="inlineStr">
        <is>
          <t>ROWS:p1r21 UNRECONCILED_SOURCE</t>
        </is>
      </c>
    </row>
    <row r="80">
      <c r="A80" s="16" t="inlineStr">
        <is>
          <t>TRES TENTOS AGROINDUSTRIAL S/A</t>
        </is>
      </c>
      <c r="B80" s="17" t="n">
        <v>2076705.8</v>
      </c>
      <c r="C80" s="18" t="inlineStr">
        <is>
          <t>SUINOCULTURA KUNZLER</t>
        </is>
      </c>
      <c r="D80" s="19" t="inlineStr">
        <is>
          <t>NEW</t>
        </is>
      </c>
      <c r="E80" s="20" t="inlineStr"/>
      <c r="F80" s="19" t="inlineStr"/>
      <c r="G80" s="20" t="inlineStr"/>
      <c r="H80" s="19" t="inlineStr"/>
      <c r="I80" s="21" t="inlineStr">
        <is>
          <t>Cristiano Costa</t>
        </is>
      </c>
      <c r="J80" s="21" t="inlineStr">
        <is>
          <t>CFO</t>
        </is>
      </c>
      <c r="K80" s="21" t="inlineStr">
        <is>
          <t>(55) 3372-3700</t>
        </is>
      </c>
      <c r="L80" s="21" t="inlineStr">
        <is>
          <t>(55) 3372-3718</t>
        </is>
      </c>
      <c r="M80" s="21" t="inlineStr"/>
      <c r="N80" s="21" t="inlineStr">
        <is>
          <t>cristiano.costa@3tentos.com.br</t>
        </is>
      </c>
      <c r="O80" s="21" t="inlineStr">
        <is>
          <t>everson.ribas@3tentos.com.br</t>
        </is>
      </c>
      <c r="P80" s="21" t="inlineStr">
        <is>
          <t>Everson Ribas</t>
        </is>
      </c>
      <c r="Q80" s="21" t="inlineStr">
        <is>
          <t>Analista de Crédito e Cobrança - Pleno</t>
        </is>
      </c>
      <c r="R80" s="21" t="inlineStr"/>
      <c r="S80" s="21" t="inlineStr">
        <is>
          <t>everson.ribas@3tentos.com.br</t>
        </is>
      </c>
      <c r="T80" s="21" t="inlineStr">
        <is>
          <t>email verified by Apollo</t>
        </is>
      </c>
      <c r="U80" s="22" t="n">
        <v>2076705.8</v>
      </c>
      <c r="V80" s="23" t="inlineStr">
        <is>
          <t>B</t>
        </is>
      </c>
      <c r="W80" s="24">
        <f>IFERROR(VLOOKUP(V80,Assumptions!$A$7:$F$11,2,FALSE),0)</f>
        <v/>
      </c>
      <c r="X80" s="25">
        <f>IF(V80="A",MAX(1,IFERROR(VLOOKUP(V80,Assumptions!$A$7:$F$11,3,FALSE),3)+IFERROR(VLOOKUP(V80,Assumptions!$A$7:$F$11,4,FALSE),8)/2-MAX(0,IF(AO80="",0,YEAR(TODAY())-AO80)-IFERROR(VLOOKUP(V80,Assumptions!$A$7:$F$11,5,FALSE),1.5))),IFERROR(VLOOKUP(V80,Assumptions!$A$7:$F$11,5,FALSE),2.5)+IFERROR(VLOOKUP(V80,Assumptions!$A$7:$F$11,3,FALSE),3)+IFERROR(VLOOKUP(V80,Assumptions!$A$7:$F$11,4,FALSE),8)/2)</f>
        <v/>
      </c>
      <c r="Y80" s="22">
        <f>U80*W80/(1+Assumptions!$B$3)^X80</f>
        <v/>
      </c>
      <c r="Z80" s="26">
        <f>IF(U80=0,"",ROUND(Y80/U80*100,1))</f>
        <v/>
      </c>
      <c r="AA80" s="27">
        <f>Y80*Assumptions!$B$4</f>
        <v/>
      </c>
      <c r="AB80" s="26">
        <f>IF(U80=0,"",ROUND(AA80/U80*100,1))</f>
        <v/>
      </c>
      <c r="AC80" s="27">
        <f>Y80-AA80</f>
        <v/>
      </c>
      <c r="AD80" s="26">
        <f>IF(U80=0,"",ROUND((Y80-AA80)/U80*100,1))</f>
        <v/>
      </c>
      <c r="AE80" s="33" t="inlineStr">
        <is>
          <t>NO TOTALS — list prints none; check page</t>
        </is>
      </c>
      <c r="AF80" s="29" t="inlineStr">
        <is>
          <t>https://rlg-aj.com.br/wp-content/uploads/2024/11/07.-Relação-de-credores.pdf</t>
        </is>
      </c>
      <c r="AG80" s="28" t="inlineStr">
        <is>
          <t>p1 r20</t>
        </is>
      </c>
      <c r="AH80" s="28" t="inlineStr">
        <is>
          <t>p1: R$ 2.076.705,80</t>
        </is>
      </c>
      <c r="AI80" s="28" t="inlineStr">
        <is>
          <t>Unclassified list</t>
        </is>
      </c>
      <c r="AJ80" s="28" t="inlineStr"/>
      <c r="AK80" s="28" t="inlineStr">
        <is>
          <t>NONE FOUND</t>
        </is>
      </c>
      <c r="AL80" s="30" t="inlineStr">
        <is>
          <t>5009149-92.2024.8.24.0019</t>
        </is>
      </c>
      <c r="AM80" s="30" t="inlineStr">
        <is>
          <t>TJSC</t>
        </is>
      </c>
      <c r="AN80" s="30" t="inlineStr">
        <is>
          <t>ACTIVE</t>
        </is>
      </c>
      <c r="AO80" s="30" t="n">
        <v>2024</v>
      </c>
      <c r="AP80" s="30" t="inlineStr">
        <is>
          <t>live case, no plan document yet</t>
        </is>
      </c>
      <c r="AQ80" s="30" t="inlineStr">
        <is>
          <t>55.365.447/0001-56</t>
        </is>
      </c>
      <c r="AR80" s="30" t="inlineStr">
        <is>
          <t>printed on the list (read twice)</t>
        </is>
      </c>
      <c r="AS80" s="30" t="inlineStr">
        <is>
          <t>SANTA BARBARA DO SUL</t>
        </is>
      </c>
      <c r="AT80" s="30" t="inlineStr">
        <is>
          <t>RS</t>
        </is>
      </c>
      <c r="AU80" s="30" t="inlineStr">
        <is>
          <t>Comércio atacadista de cereais e leguminosas beneficiados</t>
        </is>
      </c>
      <c r="AV80" s="30" t="inlineStr">
        <is>
          <t>DEMAIS</t>
        </is>
      </c>
      <c r="AW80" s="31" t="n">
        <v>3481513500</v>
      </c>
      <c r="AX80" s="30" t="inlineStr">
        <is>
          <t>LARGE CORP</t>
        </is>
      </c>
      <c r="AY80" s="30" t="inlineStr">
        <is>
          <t>94813102</t>
        </is>
      </c>
      <c r="AZ80" s="30" t="n">
        <v>1</v>
      </c>
      <c r="BA80" s="30" t="inlineStr">
        <is>
          <t>ROWS:p1r20 UNRECONCILED_SOURCE</t>
        </is>
      </c>
    </row>
    <row r="81">
      <c r="A81" s="16" t="inlineStr">
        <is>
          <t>SEMPRE AGTECH LTDA</t>
        </is>
      </c>
      <c r="B81" s="17" t="n">
        <v>2037616.99</v>
      </c>
      <c r="C81" s="18" t="inlineStr">
        <is>
          <t>SOJAL COMERCIAL AGRICOLA LTDA e OUTROS</t>
        </is>
      </c>
      <c r="D81" s="19" t="inlineStr">
        <is>
          <t>NEW</t>
        </is>
      </c>
      <c r="E81" s="20" t="inlineStr"/>
      <c r="F81" s="19" t="inlineStr"/>
      <c r="G81" s="20" t="inlineStr"/>
      <c r="H81" s="19" t="inlineStr"/>
      <c r="I81" s="21" t="inlineStr">
        <is>
          <t>Graziele Scussiato</t>
        </is>
      </c>
      <c r="J81" s="21" t="inlineStr">
        <is>
          <t>Treasury Manager</t>
        </is>
      </c>
      <c r="K81" s="21" t="inlineStr">
        <is>
          <t>(49) 3441-8200</t>
        </is>
      </c>
      <c r="L81" s="21" t="inlineStr"/>
      <c r="M81" s="21" t="inlineStr"/>
      <c r="N81" s="21" t="inlineStr">
        <is>
          <t>graziele.scussiato@sempre.agr.br</t>
        </is>
      </c>
      <c r="O81" s="21" t="inlineStr">
        <is>
          <t>dionathan.tomasi@sempre.agr.br</t>
        </is>
      </c>
      <c r="P81" s="21" t="inlineStr">
        <is>
          <t>Dionathan Tomasi</t>
        </is>
      </c>
      <c r="Q81" s="21" t="inlineStr">
        <is>
          <t>Analista de Crédito e Cobrança Pleno</t>
        </is>
      </c>
      <c r="R81" s="21" t="inlineStr"/>
      <c r="S81" s="21" t="inlineStr">
        <is>
          <t>dionathan.tomasi@sempre.agr.br</t>
        </is>
      </c>
      <c r="T81" s="21" t="inlineStr">
        <is>
          <t>email is pattern-guessed, not verified</t>
        </is>
      </c>
      <c r="U81" s="22" t="n">
        <v>2037616.99</v>
      </c>
      <c r="V81" s="23" t="inlineStr">
        <is>
          <t>B</t>
        </is>
      </c>
      <c r="W81" s="24">
        <f>IFERROR(VLOOKUP(V81,Assumptions!$A$7:$F$11,2,FALSE),0)</f>
        <v/>
      </c>
      <c r="X81" s="25">
        <f>IF(V81="A",MAX(1,IFERROR(VLOOKUP(V81,Assumptions!$A$7:$F$11,3,FALSE),3)+IFERROR(VLOOKUP(V81,Assumptions!$A$7:$F$11,4,FALSE),8)/2-MAX(0,IF(AO81="",0,YEAR(TODAY())-AO81)-IFERROR(VLOOKUP(V81,Assumptions!$A$7:$F$11,5,FALSE),1.5))),IFERROR(VLOOKUP(V81,Assumptions!$A$7:$F$11,5,FALSE),2.5)+IFERROR(VLOOKUP(V81,Assumptions!$A$7:$F$11,3,FALSE),3)+IFERROR(VLOOKUP(V81,Assumptions!$A$7:$F$11,4,FALSE),8)/2)</f>
        <v/>
      </c>
      <c r="Y81" s="22">
        <f>U81*W81/(1+Assumptions!$B$3)^X81</f>
        <v/>
      </c>
      <c r="Z81" s="26">
        <f>IF(U81=0,"",ROUND(Y81/U81*100,1))</f>
        <v/>
      </c>
      <c r="AA81" s="27">
        <f>Y81*Assumptions!$B$4</f>
        <v/>
      </c>
      <c r="AB81" s="26">
        <f>IF(U81=0,"",ROUND(AA81/U81*100,1))</f>
        <v/>
      </c>
      <c r="AC81" s="27">
        <f>Y81-AA81</f>
        <v/>
      </c>
      <c r="AD81" s="26">
        <f>IF(U81=0,"",ROUND((Y81-AA81)/U81*100,1))</f>
        <v/>
      </c>
      <c r="AE81" s="28" t="inlineStr">
        <is>
          <t>OK — totals reconciled</t>
        </is>
      </c>
      <c r="AF81" s="29" t="inlineStr">
        <is>
          <t>https://lrflideres.com.br/wp-content/plugins/download-attachments/includes/download.php?id=6879</t>
        </is>
      </c>
      <c r="AG81" s="28" t="inlineStr">
        <is>
          <t>p2 r7</t>
        </is>
      </c>
      <c r="AH81" s="28" t="inlineStr">
        <is>
          <t>p2: R$ 2.037.616,99</t>
        </is>
      </c>
      <c r="AI81" s="28" t="inlineStr">
        <is>
          <t>AJ list (art. 7 §2)</t>
        </is>
      </c>
      <c r="AJ81" s="28" t="inlineStr">
        <is>
          <t>2026-01-15</t>
        </is>
      </c>
      <c r="AK81" s="28" t="inlineStr">
        <is>
          <t>NONE FOUND</t>
        </is>
      </c>
      <c r="AL81" s="30" t="inlineStr">
        <is>
          <t>0804401-51.2025.8.14.0039</t>
        </is>
      </c>
      <c r="AM81" s="30" t="inlineStr">
        <is>
          <t>TJPA</t>
        </is>
      </c>
      <c r="AN81" s="30" t="inlineStr">
        <is>
          <t>ACTIVE</t>
        </is>
      </c>
      <c r="AO81" s="30" t="n">
        <v>2025</v>
      </c>
      <c r="AP81" s="30" t="inlineStr">
        <is>
          <t>live case, no plan document yet</t>
        </is>
      </c>
      <c r="AQ81" s="30" t="inlineStr">
        <is>
          <t>15.626.673/0003-90</t>
        </is>
      </c>
      <c r="AR81" s="30" t="inlineStr">
        <is>
          <t>printed on the list (read twice)</t>
        </is>
      </c>
      <c r="AS81" s="30" t="inlineStr">
        <is>
          <t>CHAPECO</t>
        </is>
      </c>
      <c r="AT81" s="30" t="inlineStr">
        <is>
          <t>SC</t>
        </is>
      </c>
      <c r="AU81" s="30" t="inlineStr">
        <is>
          <t>Produção de sementes certificadas, exceto de forrageiras para pasto</t>
        </is>
      </c>
      <c r="AV81" s="30" t="inlineStr">
        <is>
          <t>DEMAIS</t>
        </is>
      </c>
      <c r="AW81" s="31" t="n">
        <v>62000000</v>
      </c>
      <c r="AX81" s="30" t="inlineStr">
        <is>
          <t>MID-MARKET</t>
        </is>
      </c>
      <c r="AY81" s="30" t="inlineStr">
        <is>
          <t>09536120</t>
        </is>
      </c>
      <c r="AZ81" s="30" t="n">
        <v>1</v>
      </c>
      <c r="BA81" s="30" t="inlineStr">
        <is>
          <t>ROWS:p2r7</t>
        </is>
      </c>
    </row>
    <row r="82">
      <c r="A82" s="16" t="inlineStr">
        <is>
          <t>FERTILIZANTES TOCANTINS S.A</t>
        </is>
      </c>
      <c r="B82" s="17" t="n">
        <v>2016948.56</v>
      </c>
      <c r="C82" s="18" t="inlineStr">
        <is>
          <t>SOJAL COMERCIAL AGRICOLA LTDA e OUTROS</t>
        </is>
      </c>
      <c r="D82" s="19" t="inlineStr">
        <is>
          <t>NEW</t>
        </is>
      </c>
      <c r="E82" s="20" t="inlineStr"/>
      <c r="F82" s="19" t="inlineStr"/>
      <c r="G82" s="20" t="inlineStr"/>
      <c r="H82" s="19" t="inlineStr"/>
      <c r="I82" s="21" t="inlineStr">
        <is>
          <t>DMITRY CHERNYKH</t>
        </is>
      </c>
      <c r="J82" s="21" t="inlineStr">
        <is>
          <t>Presidente (RFB partner)</t>
        </is>
      </c>
      <c r="K82" s="21" t="inlineStr">
        <is>
          <t>(62) 3414-6300</t>
        </is>
      </c>
      <c r="L82" s="21" t="inlineStr"/>
      <c r="M82" s="21" t="inlineStr"/>
      <c r="N82" s="21" t="inlineStr"/>
      <c r="O82" s="21" t="inlineStr"/>
      <c r="P82" s="21" t="inlineStr">
        <is>
          <t>ALEKSANDR BENKE</t>
        </is>
      </c>
      <c r="Q82" s="21" t="inlineStr">
        <is>
          <t>Diretor (RFB partner)</t>
        </is>
      </c>
      <c r="R82" s="21" t="inlineStr"/>
      <c r="S82" s="21" t="inlineStr"/>
      <c r="T82" s="21" t="inlineStr">
        <is>
          <t>RFB partner (QSA); no Apollo match</t>
        </is>
      </c>
      <c r="U82" s="22" t="n">
        <v>2016948.56</v>
      </c>
      <c r="V82" s="23" t="inlineStr">
        <is>
          <t>B</t>
        </is>
      </c>
      <c r="W82" s="24">
        <f>IFERROR(VLOOKUP(V82,Assumptions!$A$7:$F$11,2,FALSE),0)</f>
        <v/>
      </c>
      <c r="X82" s="25">
        <f>IF(V82="A",MAX(1,IFERROR(VLOOKUP(V82,Assumptions!$A$7:$F$11,3,FALSE),3)+IFERROR(VLOOKUP(V82,Assumptions!$A$7:$F$11,4,FALSE),8)/2-MAX(0,IF(AO82="",0,YEAR(TODAY())-AO82)-IFERROR(VLOOKUP(V82,Assumptions!$A$7:$F$11,5,FALSE),1.5))),IFERROR(VLOOKUP(V82,Assumptions!$A$7:$F$11,5,FALSE),2.5)+IFERROR(VLOOKUP(V82,Assumptions!$A$7:$F$11,3,FALSE),3)+IFERROR(VLOOKUP(V82,Assumptions!$A$7:$F$11,4,FALSE),8)/2)</f>
        <v/>
      </c>
      <c r="Y82" s="22">
        <f>U82*W82/(1+Assumptions!$B$3)^X82</f>
        <v/>
      </c>
      <c r="Z82" s="26">
        <f>IF(U82=0,"",ROUND(Y82/U82*100,1))</f>
        <v/>
      </c>
      <c r="AA82" s="27">
        <f>Y82*Assumptions!$B$4</f>
        <v/>
      </c>
      <c r="AB82" s="26">
        <f>IF(U82=0,"",ROUND(AA82/U82*100,1))</f>
        <v/>
      </c>
      <c r="AC82" s="27">
        <f>Y82-AA82</f>
        <v/>
      </c>
      <c r="AD82" s="26">
        <f>IF(U82=0,"",ROUND((Y82-AA82)/U82*100,1))</f>
        <v/>
      </c>
      <c r="AE82" s="28" t="inlineStr">
        <is>
          <t>OK — totals reconciled</t>
        </is>
      </c>
      <c r="AF82" s="29" t="inlineStr">
        <is>
          <t>https://lrflideres.com.br/wp-content/plugins/download-attachments/includes/download.php?id=6879</t>
        </is>
      </c>
      <c r="AG82" s="28" t="inlineStr">
        <is>
          <t>p2 r1</t>
        </is>
      </c>
      <c r="AH82" s="28" t="inlineStr">
        <is>
          <t>p2: R$ 2.016.948,56</t>
        </is>
      </c>
      <c r="AI82" s="28" t="inlineStr">
        <is>
          <t>AJ list (art. 7 §2)</t>
        </is>
      </c>
      <c r="AJ82" s="28" t="inlineStr">
        <is>
          <t>2026-01-15</t>
        </is>
      </c>
      <c r="AK82" s="28" t="inlineStr">
        <is>
          <t>NONE FOUND</t>
        </is>
      </c>
      <c r="AL82" s="30" t="inlineStr">
        <is>
          <t>0804401-51.2025.8.14.0039</t>
        </is>
      </c>
      <c r="AM82" s="30" t="inlineStr">
        <is>
          <t>TJPA</t>
        </is>
      </c>
      <c r="AN82" s="30" t="inlineStr">
        <is>
          <t>ACTIVE</t>
        </is>
      </c>
      <c r="AO82" s="30" t="n">
        <v>2025</v>
      </c>
      <c r="AP82" s="30" t="inlineStr">
        <is>
          <t>live case, no plan document yet</t>
        </is>
      </c>
      <c r="AQ82" s="30" t="inlineStr">
        <is>
          <t>15.626.673/0003-90</t>
        </is>
      </c>
      <c r="AR82" s="30" t="inlineStr">
        <is>
          <t>printed on the list (read twice)</t>
        </is>
      </c>
      <c r="AS82" s="30" t="inlineStr">
        <is>
          <t>PORTO NACIONAL</t>
        </is>
      </c>
      <c r="AT82" s="30" t="inlineStr">
        <is>
          <t>TO</t>
        </is>
      </c>
      <c r="AU82" s="30" t="inlineStr">
        <is>
          <t>Fabricação de adubos e fertilizantes, exceto organo-minerais</t>
        </is>
      </c>
      <c r="AV82" s="30" t="inlineStr">
        <is>
          <t>DEMAIS</t>
        </is>
      </c>
      <c r="AW82" s="31" t="n">
        <v>2322453500</v>
      </c>
      <c r="AX82" s="30" t="inlineStr">
        <is>
          <t>LARGE CORP</t>
        </is>
      </c>
      <c r="AY82" s="30" t="inlineStr">
        <is>
          <t>05571228</t>
        </is>
      </c>
      <c r="AZ82" s="30" t="n">
        <v>1</v>
      </c>
      <c r="BA82" s="30" t="inlineStr">
        <is>
          <t>ROWS:p2r1</t>
        </is>
      </c>
    </row>
    <row r="83">
      <c r="A83" s="16" t="inlineStr">
        <is>
          <t>BEM BOM PESCADOS LTDA</t>
        </is>
      </c>
      <c r="B83" s="17" t="n">
        <v>1077136.54</v>
      </c>
      <c r="C83" s="18" t="inlineStr">
        <is>
          <t>GRUPO 3E</t>
        </is>
      </c>
      <c r="D83" s="19" t="inlineStr">
        <is>
          <t>NEW</t>
        </is>
      </c>
      <c r="E83" s="20" t="inlineStr"/>
      <c r="F83" s="19" t="inlineStr"/>
      <c r="G83" s="20" t="inlineStr"/>
      <c r="H83" s="19" t="inlineStr"/>
      <c r="I83" s="21" t="inlineStr">
        <is>
          <t>EDSON VIANDELLI LOPES</t>
        </is>
      </c>
      <c r="J83" s="21" t="inlineStr">
        <is>
          <t>Administrador (RFB partner)</t>
        </is>
      </c>
      <c r="K83" s="21" t="inlineStr">
        <is>
          <t>(62) 8115-0283</t>
        </is>
      </c>
      <c r="L83" s="21" t="inlineStr">
        <is>
          <t>(62) 3389-9200</t>
        </is>
      </c>
      <c r="M83" s="21" t="inlineStr"/>
      <c r="N83" s="21" t="inlineStr"/>
      <c r="O83" s="21" t="inlineStr"/>
      <c r="P83" s="21" t="inlineStr">
        <is>
          <t>ELSON JOSE LOPES</t>
        </is>
      </c>
      <c r="Q83" s="21" t="inlineStr">
        <is>
          <t>Administrador (RFB partner)</t>
        </is>
      </c>
      <c r="R83" s="21" t="inlineStr"/>
      <c r="S83" s="21" t="inlineStr"/>
      <c r="T83" s="21" t="inlineStr">
        <is>
          <t>RFB partner (QSA); no Apollo match</t>
        </is>
      </c>
      <c r="U83" s="22" t="n">
        <v>1077136.54</v>
      </c>
      <c r="V83" s="35" t="inlineStr">
        <is>
          <t>A</t>
        </is>
      </c>
      <c r="W83" s="24">
        <f>IFERROR(VLOOKUP(V83,Assumptions!$A$7:$F$11,2,FALSE),0)</f>
        <v/>
      </c>
      <c r="X83" s="25">
        <f>IF(V83="A",MAX(1,IFERROR(VLOOKUP(V83,Assumptions!$A$7:$F$11,3,FALSE),3)+IFERROR(VLOOKUP(V83,Assumptions!$A$7:$F$11,4,FALSE),8)/2-MAX(0,IF(AO83="",0,YEAR(TODAY())-AO83)-IFERROR(VLOOKUP(V83,Assumptions!$A$7:$F$11,5,FALSE),1.5))),IFERROR(VLOOKUP(V83,Assumptions!$A$7:$F$11,5,FALSE),2.5)+IFERROR(VLOOKUP(V83,Assumptions!$A$7:$F$11,3,FALSE),3)+IFERROR(VLOOKUP(V83,Assumptions!$A$7:$F$11,4,FALSE),8)/2)</f>
        <v/>
      </c>
      <c r="Y83" s="22">
        <f>U83*W83/(1+Assumptions!$B$3)^X83</f>
        <v/>
      </c>
      <c r="Z83" s="26">
        <f>IF(U83=0,"",ROUND(Y83/U83*100,1))</f>
        <v/>
      </c>
      <c r="AA83" s="27">
        <f>Y83*Assumptions!$B$4</f>
        <v/>
      </c>
      <c r="AB83" s="26">
        <f>IF(U83=0,"",ROUND(AA83/U83*100,1))</f>
        <v/>
      </c>
      <c r="AC83" s="27">
        <f>Y83-AA83</f>
        <v/>
      </c>
      <c r="AD83" s="26">
        <f>IF(U83=0,"",ROUND((Y83-AA83)/U83*100,1))</f>
        <v/>
      </c>
      <c r="AE83" s="33" t="inlineStr">
        <is>
          <t>NO TOTALS — list prints none; check page</t>
        </is>
      </c>
      <c r="AF83" s="29" t="inlineStr">
        <is>
          <t>https://stenius.com.br/wp-content/uploads/2026/06/EDITAL-GRUPO-3E.pdf</t>
        </is>
      </c>
      <c r="AG83" s="28" t="inlineStr">
        <is>
          <t>p10 r52; p10 r53; p10 r54; p10 r55</t>
        </is>
      </c>
      <c r="AH83" s="28" t="inlineStr">
        <is>
          <t>p10: R$ 227.290,00; p10: R$ 82.398,28; p10: R$ 601.694,30; p10: R$ 165.753,96</t>
        </is>
      </c>
      <c r="AI83" s="28" t="inlineStr">
        <is>
          <t>Debtor list (art. 51)</t>
        </is>
      </c>
      <c r="AJ83" s="28" t="inlineStr">
        <is>
          <t>2026-06-22</t>
        </is>
      </c>
      <c r="AK83" s="28" t="inlineStr">
        <is>
          <t>PLAN DOC FOUND</t>
        </is>
      </c>
      <c r="AL83" s="30" t="inlineStr">
        <is>
          <t>5341375-33.2026.8.09.0049</t>
        </is>
      </c>
      <c r="AM83" s="30" t="inlineStr">
        <is>
          <t>TJGO</t>
        </is>
      </c>
      <c r="AN83" s="30" t="inlineStr">
        <is>
          <t>ACTIVE</t>
        </is>
      </c>
      <c r="AO83" s="30" t="n">
        <v>2026</v>
      </c>
      <c r="AP83" s="30" t="inlineStr">
        <is>
          <t>plan/homologation document found</t>
        </is>
      </c>
      <c r="AQ83" s="30" t="inlineStr"/>
      <c r="AR83" s="30" t="inlineStr">
        <is>
          <t>printed on the list (read twice)</t>
        </is>
      </c>
      <c r="AS83" s="30" t="inlineStr">
        <is>
          <t>GOIANESIA</t>
        </is>
      </c>
      <c r="AT83" s="30" t="inlineStr">
        <is>
          <t>GO</t>
        </is>
      </c>
      <c r="AU83" s="30" t="inlineStr">
        <is>
          <t>Comércio atacadista de pescados e frutos do mar</t>
        </is>
      </c>
      <c r="AV83" s="30" t="inlineStr">
        <is>
          <t>DEMAIS</t>
        </is>
      </c>
      <c r="AW83" s="31" t="n">
        <v>200000</v>
      </c>
      <c r="AX83" s="30" t="inlineStr">
        <is>
          <t>MID-MARKET</t>
        </is>
      </c>
      <c r="AY83" s="30" t="inlineStr">
        <is>
          <t>27703265</t>
        </is>
      </c>
      <c r="AZ83" s="30" t="n">
        <v>4</v>
      </c>
      <c r="BA83" s="30" t="inlineStr">
        <is>
          <t>ROWS:p10r52,p10r53,p10r54,p10r55 UNRECONCILED_SOURCE</t>
        </is>
      </c>
    </row>
    <row r="84">
      <c r="A84" s="16" t="inlineStr">
        <is>
          <t>REICHENBACH EQUIPAMENTOS INDUSTRIA E COMERCIO LTDA</t>
        </is>
      </c>
      <c r="B84" s="17" t="n">
        <v>2002544.34</v>
      </c>
      <c r="C84" s="18" t="inlineStr">
        <is>
          <t>Grupo Conduscabos</t>
        </is>
      </c>
      <c r="D84" s="19" t="inlineStr">
        <is>
          <t>NEW</t>
        </is>
      </c>
      <c r="E84" s="20" t="inlineStr"/>
      <c r="F84" s="19" t="inlineStr"/>
      <c r="G84" s="20" t="inlineStr"/>
      <c r="H84" s="19" t="inlineStr"/>
      <c r="I84" s="21" t="inlineStr">
        <is>
          <t>Curt Reichenbach</t>
        </is>
      </c>
      <c r="J84" s="21" t="inlineStr">
        <is>
          <t>General Manager</t>
        </is>
      </c>
      <c r="K84" s="21" t="inlineStr">
        <is>
          <t>(11) 4181-5054</t>
        </is>
      </c>
      <c r="L84" s="21" t="inlineStr"/>
      <c r="M84" s="21" t="inlineStr"/>
      <c r="N84" s="21" t="inlineStr">
        <is>
          <t>curt@reichenbach.com.br</t>
        </is>
      </c>
      <c r="O84" s="21" t="inlineStr">
        <is>
          <t>allan@reichenbach.com.br</t>
        </is>
      </c>
      <c r="P84" s="21" t="inlineStr">
        <is>
          <t>Allan Reichenbach</t>
        </is>
      </c>
      <c r="Q84" s="21" t="inlineStr">
        <is>
          <t>Business Development Manager (ex Controller, owner family)</t>
        </is>
      </c>
      <c r="R84" s="21" t="inlineStr"/>
      <c r="S84" s="21" t="inlineStr">
        <is>
          <t>allan@reichenbach.com.br</t>
        </is>
      </c>
      <c r="T84" s="21" t="inlineStr">
        <is>
          <t>email verified by Apollo</t>
        </is>
      </c>
      <c r="U84" s="22" t="n">
        <v>2002544.34</v>
      </c>
      <c r="V84" s="23" t="inlineStr">
        <is>
          <t>B</t>
        </is>
      </c>
      <c r="W84" s="24">
        <f>IFERROR(VLOOKUP(V84,Assumptions!$A$7:$F$11,2,FALSE),0)</f>
        <v/>
      </c>
      <c r="X84" s="25">
        <f>IF(V84="A",MAX(1,IFERROR(VLOOKUP(V84,Assumptions!$A$7:$F$11,3,FALSE),3)+IFERROR(VLOOKUP(V84,Assumptions!$A$7:$F$11,4,FALSE),8)/2-MAX(0,IF(AO84="",0,YEAR(TODAY())-AO84)-IFERROR(VLOOKUP(V84,Assumptions!$A$7:$F$11,5,FALSE),1.5))),IFERROR(VLOOKUP(V84,Assumptions!$A$7:$F$11,5,FALSE),2.5)+IFERROR(VLOOKUP(V84,Assumptions!$A$7:$F$11,3,FALSE),3)+IFERROR(VLOOKUP(V84,Assumptions!$A$7:$F$11,4,FALSE),8)/2)</f>
        <v/>
      </c>
      <c r="Y84" s="22">
        <f>U84*W84/(1+Assumptions!$B$3)^X84</f>
        <v/>
      </c>
      <c r="Z84" s="26">
        <f>IF(U84=0,"",ROUND(Y84/U84*100,1))</f>
        <v/>
      </c>
      <c r="AA84" s="27">
        <f>Y84*Assumptions!$B$4</f>
        <v/>
      </c>
      <c r="AB84" s="26">
        <f>IF(U84=0,"",ROUND(AA84/U84*100,1))</f>
        <v/>
      </c>
      <c r="AC84" s="27">
        <f>Y84-AA84</f>
        <v/>
      </c>
      <c r="AD84" s="26">
        <f>IF(U84=0,"",ROUND((Y84-AA84)/U84*100,1))</f>
        <v/>
      </c>
      <c r="AE84" s="33" t="inlineStr">
        <is>
          <t>NO TOTALS — list prints none; check page</t>
        </is>
      </c>
      <c r="AF84" s="29" t="inlineStr">
        <is>
          <t>https://assistjud.com.br/wp-content/uploads/elementor/forms/65098c80a5824.pdf</t>
        </is>
      </c>
      <c r="AG84" s="28" t="inlineStr">
        <is>
          <t>p19 r6</t>
        </is>
      </c>
      <c r="AH84" s="28" t="inlineStr">
        <is>
          <t>p19: R$ 2.002.544,34</t>
        </is>
      </c>
      <c r="AI84" s="28" t="inlineStr">
        <is>
          <t>AJ list (art. 7 §2)</t>
        </is>
      </c>
      <c r="AJ84" s="28" t="inlineStr">
        <is>
          <t>2023-09-18</t>
        </is>
      </c>
      <c r="AK84" s="28" t="inlineStr">
        <is>
          <t>NONE FOUND</t>
        </is>
      </c>
      <c r="AL84" s="30" t="inlineStr">
        <is>
          <t>8005129-09.2023.8.05.0039</t>
        </is>
      </c>
      <c r="AM84" s="30" t="inlineStr">
        <is>
          <t>TJBA</t>
        </is>
      </c>
      <c r="AN84" s="30" t="inlineStr">
        <is>
          <t>ACTIVE</t>
        </is>
      </c>
      <c r="AO84" s="30" t="n">
        <v>2023</v>
      </c>
      <c r="AP84" s="30" t="inlineStr">
        <is>
          <t>live case, no plan document yet</t>
        </is>
      </c>
      <c r="AQ84" s="30" t="inlineStr"/>
      <c r="AR84" s="30" t="inlineStr">
        <is>
          <t>printed on the list (read twice)</t>
        </is>
      </c>
      <c r="AS84" s="30" t="inlineStr">
        <is>
          <t>CARAPICUIBA</t>
        </is>
      </c>
      <c r="AT84" s="30" t="inlineStr">
        <is>
          <t>SP</t>
        </is>
      </c>
      <c r="AU84" s="30" t="inlineStr">
        <is>
          <t>Fabricação de outras máquinas e equipamentos de uso geral não especificados anteriormente, peças e acessórios</t>
        </is>
      </c>
      <c r="AV84" s="30" t="inlineStr">
        <is>
          <t>DEMAIS</t>
        </is>
      </c>
      <c r="AW84" s="31" t="n">
        <v>400000</v>
      </c>
      <c r="AX84" s="30" t="inlineStr">
        <is>
          <t>MID-MARKET</t>
        </is>
      </c>
      <c r="AY84" s="30" t="inlineStr">
        <is>
          <t>71799001</t>
        </is>
      </c>
      <c r="AZ84" s="30" t="n">
        <v>1</v>
      </c>
      <c r="BA84" s="30" t="inlineStr">
        <is>
          <t>ROWS:p19r6 UNRECONCILED_SOURCE</t>
        </is>
      </c>
    </row>
    <row r="85">
      <c r="A85" s="16" t="inlineStr">
        <is>
          <t>AGRO INDUSTRIA NUTRIHORTO LTDA</t>
        </is>
      </c>
      <c r="B85" s="17" t="n">
        <v>1993755.38</v>
      </c>
      <c r="C85" s="18" t="inlineStr">
        <is>
          <t>Alto Uruguai Indústria e Comércio de Óleos Ltda</t>
        </is>
      </c>
      <c r="D85" s="19" t="inlineStr">
        <is>
          <t>NEW</t>
        </is>
      </c>
      <c r="E85" s="20" t="inlineStr"/>
      <c r="F85" s="19" t="inlineStr"/>
      <c r="G85" s="20" t="inlineStr"/>
      <c r="H85" s="19" t="inlineStr"/>
      <c r="I85" s="21" t="inlineStr">
        <is>
          <t>Nata Santos</t>
        </is>
      </c>
      <c r="J85" s="21" t="inlineStr">
        <is>
          <t>Logistics Manager</t>
        </is>
      </c>
      <c r="K85" s="21" t="inlineStr">
        <is>
          <t>(19) 3199-1270</t>
        </is>
      </c>
      <c r="L85" s="21" t="inlineStr"/>
      <c r="M85" s="21" t="inlineStr"/>
      <c r="N85" s="21" t="inlineStr"/>
      <c r="O85" s="21" t="inlineStr"/>
      <c r="P85" s="21" t="inlineStr">
        <is>
          <t>Nata Santos</t>
        </is>
      </c>
      <c r="Q85" s="21" t="inlineStr">
        <is>
          <t>Logistics Manager</t>
        </is>
      </c>
      <c r="R85" s="21" t="inlineStr"/>
      <c r="S85" s="21" t="inlineStr"/>
      <c r="T85" s="21" t="inlineStr">
        <is>
          <t>no work email found in Apollo</t>
        </is>
      </c>
      <c r="U85" s="22" t="n">
        <v>1993755.38</v>
      </c>
      <c r="V85" s="23" t="inlineStr">
        <is>
          <t>B</t>
        </is>
      </c>
      <c r="W85" s="24">
        <f>IFERROR(VLOOKUP(V85,Assumptions!$A$7:$F$11,2,FALSE),0)</f>
        <v/>
      </c>
      <c r="X85" s="25">
        <f>IF(V85="A",MAX(1,IFERROR(VLOOKUP(V85,Assumptions!$A$7:$F$11,3,FALSE),3)+IFERROR(VLOOKUP(V85,Assumptions!$A$7:$F$11,4,FALSE),8)/2-MAX(0,IF(AO85="",0,YEAR(TODAY())-AO85)-IFERROR(VLOOKUP(V85,Assumptions!$A$7:$F$11,5,FALSE),1.5))),IFERROR(VLOOKUP(V85,Assumptions!$A$7:$F$11,5,FALSE),2.5)+IFERROR(VLOOKUP(V85,Assumptions!$A$7:$F$11,3,FALSE),3)+IFERROR(VLOOKUP(V85,Assumptions!$A$7:$F$11,4,FALSE),8)/2)</f>
        <v/>
      </c>
      <c r="Y85" s="22">
        <f>U85*W85/(1+Assumptions!$B$3)^X85</f>
        <v/>
      </c>
      <c r="Z85" s="26">
        <f>IF(U85=0,"",ROUND(Y85/U85*100,1))</f>
        <v/>
      </c>
      <c r="AA85" s="27">
        <f>Y85*Assumptions!$B$4</f>
        <v/>
      </c>
      <c r="AB85" s="26">
        <f>IF(U85=0,"",ROUND(AA85/U85*100,1))</f>
        <v/>
      </c>
      <c r="AC85" s="27">
        <f>Y85-AA85</f>
        <v/>
      </c>
      <c r="AD85" s="26">
        <f>IF(U85=0,"",ROUND((Y85-AA85)/U85*100,1))</f>
        <v/>
      </c>
      <c r="AE85" s="28" t="inlineStr">
        <is>
          <t>OK — totals reconciled</t>
        </is>
      </c>
      <c r="AF85" s="29" t="inlineStr">
        <is>
          <t>https://ajruiz.com.br/sites/default/files/public/arquivos-processos/2026-06/alto_uruguai_qgc_junho.2026.pdf</t>
        </is>
      </c>
      <c r="AG85" s="28" t="inlineStr">
        <is>
          <t>p1 r3</t>
        </is>
      </c>
      <c r="AH85" s="28" t="inlineStr">
        <is>
          <t>p1: R$ 1.993.755,38</t>
        </is>
      </c>
      <c r="AI85" s="28" t="inlineStr">
        <is>
          <t>Unclassified list</t>
        </is>
      </c>
      <c r="AJ85" s="28" t="inlineStr"/>
      <c r="AK85" s="28" t="inlineStr">
        <is>
          <t>NONE FOUND</t>
        </is>
      </c>
      <c r="AL85" s="30" t="inlineStr">
        <is>
          <t>5012743-51.2023.8.24.0019</t>
        </is>
      </c>
      <c r="AM85" s="30" t="inlineStr">
        <is>
          <t>TJSC</t>
        </is>
      </c>
      <c r="AN85" s="30" t="inlineStr">
        <is>
          <t>ACTIVE</t>
        </is>
      </c>
      <c r="AO85" s="30" t="n">
        <v>2023</v>
      </c>
      <c r="AP85" s="30" t="inlineStr">
        <is>
          <t>live case, no plan document yet</t>
        </is>
      </c>
      <c r="AQ85" s="30" t="inlineStr"/>
      <c r="AR85" s="30" t="inlineStr">
        <is>
          <t>printed on the list (read twice)</t>
        </is>
      </c>
      <c r="AS85" s="30" t="inlineStr">
        <is>
          <t>MONTE MOR</t>
        </is>
      </c>
      <c r="AT85" s="30" t="inlineStr">
        <is>
          <t>SP</t>
        </is>
      </c>
      <c r="AU85" s="30" t="inlineStr">
        <is>
          <t>Recuperação de materiais não especificados anteriormente</t>
        </is>
      </c>
      <c r="AV85" s="30" t="inlineStr">
        <is>
          <t>DEMAIS</t>
        </is>
      </c>
      <c r="AW85" s="31" t="n">
        <v>630000</v>
      </c>
      <c r="AX85" s="30" t="inlineStr">
        <is>
          <t>MID-MARKET</t>
        </is>
      </c>
      <c r="AY85" s="30" t="inlineStr">
        <is>
          <t>29652131</t>
        </is>
      </c>
      <c r="AZ85" s="30" t="n">
        <v>1</v>
      </c>
      <c r="BA85" s="30" t="inlineStr">
        <is>
          <t>ROWS:p1r3 VALUE_COL:Valor_Do_Crédito</t>
        </is>
      </c>
    </row>
    <row r="86">
      <c r="A86" s="16" t="inlineStr">
        <is>
          <t>BRASIL ASFALTOS LTDA</t>
        </is>
      </c>
      <c r="B86" s="17" t="n">
        <v>7707516.4</v>
      </c>
      <c r="C86" s="18" t="inlineStr">
        <is>
          <t>CONSTRUTORA ANDRADE GUEDES LTDA</t>
        </is>
      </c>
      <c r="D86" s="19" t="inlineStr">
        <is>
          <t>NEW</t>
        </is>
      </c>
      <c r="E86" s="20" t="inlineStr"/>
      <c r="F86" s="19" t="inlineStr"/>
      <c r="G86" s="20" t="inlineStr"/>
      <c r="H86" s="19" t="inlineStr"/>
      <c r="I86" s="21" t="inlineStr">
        <is>
          <t>ALBERTO GARRIDO PINON</t>
        </is>
      </c>
      <c r="J86" s="21" t="inlineStr">
        <is>
          <t>Administrador (RFB partner)</t>
        </is>
      </c>
      <c r="K86" s="21" t="inlineStr">
        <is>
          <t>(71) 3118-2100</t>
        </is>
      </c>
      <c r="L86" s="21" t="inlineStr">
        <is>
          <t>(71) 3176-2828</t>
        </is>
      </c>
      <c r="M86" s="21" t="inlineStr"/>
      <c r="N86" s="21" t="inlineStr"/>
      <c r="O86" s="21" t="inlineStr"/>
      <c r="P86" s="21" t="inlineStr">
        <is>
          <t>DANIELA GARRIDO PINON</t>
        </is>
      </c>
      <c r="Q86" s="21" t="inlineStr">
        <is>
          <t>Administrador (RFB partner)</t>
        </is>
      </c>
      <c r="R86" s="21" t="inlineStr"/>
      <c r="S86" s="21" t="inlineStr"/>
      <c r="T86" s="21" t="inlineStr">
        <is>
          <t>RFB partner (QSA); no Apollo match</t>
        </is>
      </c>
      <c r="U86" s="22" t="n">
        <v>7707516.4</v>
      </c>
      <c r="V86" s="38" t="inlineStr">
        <is>
          <t>C</t>
        </is>
      </c>
      <c r="W86" s="24">
        <f>IFERROR(VLOOKUP(V86,Assumptions!$A$7:$F$11,2,FALSE),0)</f>
        <v/>
      </c>
      <c r="X86" s="25">
        <f>IF(V86="A",MAX(1,IFERROR(VLOOKUP(V86,Assumptions!$A$7:$F$11,3,FALSE),3)+IFERROR(VLOOKUP(V86,Assumptions!$A$7:$F$11,4,FALSE),8)/2-MAX(0,IF(AO86="",0,YEAR(TODAY())-AO86)-IFERROR(VLOOKUP(V86,Assumptions!$A$7:$F$11,5,FALSE),1.5))),IFERROR(VLOOKUP(V86,Assumptions!$A$7:$F$11,5,FALSE),2.5)+IFERROR(VLOOKUP(V86,Assumptions!$A$7:$F$11,3,FALSE),3)+IFERROR(VLOOKUP(V86,Assumptions!$A$7:$F$11,4,FALSE),8)/2)</f>
        <v/>
      </c>
      <c r="Y86" s="22">
        <f>U86*W86/(1+Assumptions!$B$3)^X86</f>
        <v/>
      </c>
      <c r="Z86" s="26">
        <f>IF(U86=0,"",ROUND(Y86/U86*100,1))</f>
        <v/>
      </c>
      <c r="AA86" s="27">
        <f>Y86*Assumptions!$B$4</f>
        <v/>
      </c>
      <c r="AB86" s="26">
        <f>IF(U86=0,"",ROUND(AA86/U86*100,1))</f>
        <v/>
      </c>
      <c r="AC86" s="27">
        <f>Y86-AA86</f>
        <v/>
      </c>
      <c r="AD86" s="26">
        <f>IF(U86=0,"",ROUND((Y86-AA86)/U86*100,1))</f>
        <v/>
      </c>
      <c r="AE86" s="33" t="inlineStr">
        <is>
          <t>NO TOTALS — list prints none; check page</t>
        </is>
      </c>
      <c r="AF86" s="29" t="inlineStr">
        <is>
          <t>https://diligence.adm.br/wp-content/plugins/download-attachments/includes/download.php?id=4599</t>
        </is>
      </c>
      <c r="AG86" s="28" t="inlineStr">
        <is>
          <t>p10 r9</t>
        </is>
      </c>
      <c r="AH86" s="28" t="inlineStr">
        <is>
          <t>p10: R$ 7.707.516,40</t>
        </is>
      </c>
      <c r="AI86" s="28" t="inlineStr">
        <is>
          <t>AJ list (art. 7 §2)</t>
        </is>
      </c>
      <c r="AJ86" s="28" t="inlineStr">
        <is>
          <t>2024-06-25</t>
        </is>
      </c>
      <c r="AK86" s="28" t="inlineStr">
        <is>
          <t>NONE FOUND</t>
        </is>
      </c>
      <c r="AL86" s="30" t="inlineStr">
        <is>
          <t>0000880-57.2020.8.17.2001</t>
        </is>
      </c>
      <c r="AM86" s="30" t="inlineStr">
        <is>
          <t>TJPE</t>
        </is>
      </c>
      <c r="AN86" s="30" t="inlineStr">
        <is>
          <t>ACTIVE</t>
        </is>
      </c>
      <c r="AO86" s="30" t="n">
        <v>2020</v>
      </c>
      <c r="AP86" s="30" t="inlineStr">
        <is>
          <t>6y since filing, no plan document</t>
        </is>
      </c>
      <c r="AQ86" s="30" t="inlineStr">
        <is>
          <t>08.073.264/0001-87</t>
        </is>
      </c>
      <c r="AR86" s="30" t="inlineStr">
        <is>
          <t>printed on the list (read twice)</t>
        </is>
      </c>
      <c r="AS86" s="30" t="inlineStr">
        <is>
          <t>CANDEIAS</t>
        </is>
      </c>
      <c r="AT86" s="30" t="inlineStr">
        <is>
          <t>BA</t>
        </is>
      </c>
      <c r="AU86" s="30" t="inlineStr">
        <is>
          <t>Fabricação de outros produtos de minerais não-metálicos não especificados anteriormente</t>
        </is>
      </c>
      <c r="AV86" s="30" t="inlineStr">
        <is>
          <t>DEMAIS</t>
        </is>
      </c>
      <c r="AW86" s="31" t="n">
        <v>56373000</v>
      </c>
      <c r="AX86" s="30" t="inlineStr">
        <is>
          <t>MID-MARKET</t>
        </is>
      </c>
      <c r="AY86" s="30" t="inlineStr">
        <is>
          <t>12447077</t>
        </is>
      </c>
      <c r="AZ86" s="30" t="n">
        <v>1</v>
      </c>
      <c r="BA86" s="30" t="inlineStr">
        <is>
          <t>ALT_VALUE:R$613.244,70 ALT_VALUE:R$7.094.271,70 ROWS:p10r9 UNRECONCILED_SOURCE VALUE_COL:2ª_Lista</t>
        </is>
      </c>
    </row>
    <row r="87">
      <c r="A87" s="16" t="inlineStr">
        <is>
          <t>GEOLAB INDUSTRIA FARMACEUTICA S/A</t>
        </is>
      </c>
      <c r="B87" s="17" t="n">
        <v>1918724.72</v>
      </c>
      <c r="C87" s="18" t="inlineStr">
        <is>
          <t>GRUPO DP4</t>
        </is>
      </c>
      <c r="D87" s="19" t="inlineStr">
        <is>
          <t>NEW</t>
        </is>
      </c>
      <c r="E87" s="20" t="inlineStr"/>
      <c r="F87" s="19" t="inlineStr"/>
      <c r="G87" s="20" t="inlineStr"/>
      <c r="H87" s="19" t="inlineStr"/>
      <c r="I87" s="21" t="inlineStr">
        <is>
          <t>GEORGES HAJJAR JUNIOR</t>
        </is>
      </c>
      <c r="J87" s="21" t="inlineStr">
        <is>
          <t>Presidente (RFB partner)</t>
        </is>
      </c>
      <c r="K87" s="21" t="inlineStr">
        <is>
          <t>(62) 4015-4000</t>
        </is>
      </c>
      <c r="L87" s="21" t="inlineStr"/>
      <c r="M87" s="21" t="inlineStr"/>
      <c r="N87" s="21" t="inlineStr"/>
      <c r="O87" s="21" t="inlineStr"/>
      <c r="P87" s="21" t="inlineStr">
        <is>
          <t>ANDRE LUIZ HAJJAR</t>
        </is>
      </c>
      <c r="Q87" s="21" t="inlineStr">
        <is>
          <t>Diretor (RFB partner)</t>
        </is>
      </c>
      <c r="R87" s="21" t="inlineStr"/>
      <c r="S87" s="21" t="inlineStr"/>
      <c r="T87" s="21" t="inlineStr">
        <is>
          <t>RFB partner (QSA); no Apollo match</t>
        </is>
      </c>
      <c r="U87" s="22" t="n">
        <v>1918724.72</v>
      </c>
      <c r="V87" s="23" t="inlineStr">
        <is>
          <t>B</t>
        </is>
      </c>
      <c r="W87" s="24">
        <f>IFERROR(VLOOKUP(V87,Assumptions!$A$7:$F$11,2,FALSE),0)</f>
        <v/>
      </c>
      <c r="X87" s="25">
        <f>IF(V87="A",MAX(1,IFERROR(VLOOKUP(V87,Assumptions!$A$7:$F$11,3,FALSE),3)+IFERROR(VLOOKUP(V87,Assumptions!$A$7:$F$11,4,FALSE),8)/2-MAX(0,IF(AO87="",0,YEAR(TODAY())-AO87)-IFERROR(VLOOKUP(V87,Assumptions!$A$7:$F$11,5,FALSE),1.5))),IFERROR(VLOOKUP(V87,Assumptions!$A$7:$F$11,5,FALSE),2.5)+IFERROR(VLOOKUP(V87,Assumptions!$A$7:$F$11,3,FALSE),3)+IFERROR(VLOOKUP(V87,Assumptions!$A$7:$F$11,4,FALSE),8)/2)</f>
        <v/>
      </c>
      <c r="Y87" s="22">
        <f>U87*W87/(1+Assumptions!$B$3)^X87</f>
        <v/>
      </c>
      <c r="Z87" s="26">
        <f>IF(U87=0,"",ROUND(Y87/U87*100,1))</f>
        <v/>
      </c>
      <c r="AA87" s="27">
        <f>Y87*Assumptions!$B$4</f>
        <v/>
      </c>
      <c r="AB87" s="26">
        <f>IF(U87=0,"",ROUND(AA87/U87*100,1))</f>
        <v/>
      </c>
      <c r="AC87" s="27">
        <f>Y87-AA87</f>
        <v/>
      </c>
      <c r="AD87" s="26">
        <f>IF(U87=0,"",ROUND((Y87-AA87)/U87*100,1))</f>
        <v/>
      </c>
      <c r="AE87" s="34" t="inlineStr">
        <is>
          <t>PARTIAL — class III reconciled, other classes not</t>
        </is>
      </c>
      <c r="AF87" s="29" t="inlineStr">
        <is>
          <t>https://marquesadmjudicial.com.br/sgc/download.php?file=files/processo_documento/processo_documento15293208032024_1_.pdf&amp;nome=Relação Nominal de Credores da AJ-Sintética</t>
        </is>
      </c>
      <c r="AG87" s="28" t="inlineStr">
        <is>
          <t>p26 r3</t>
        </is>
      </c>
      <c r="AH87" s="28" t="inlineStr">
        <is>
          <t>p26: R$ 1.918.724,72</t>
        </is>
      </c>
      <c r="AI87" s="28" t="inlineStr">
        <is>
          <t>AJ list (art. 7 §2)</t>
        </is>
      </c>
      <c r="AJ87" s="28" t="inlineStr">
        <is>
          <t>2023-03-02</t>
        </is>
      </c>
      <c r="AK87" s="28" t="inlineStr">
        <is>
          <t>NONE FOUND</t>
        </is>
      </c>
      <c r="AL87" s="30" t="inlineStr">
        <is>
          <t>0005010-98.2023.8.16.0001</t>
        </is>
      </c>
      <c r="AM87" s="30" t="inlineStr">
        <is>
          <t>TJPR</t>
        </is>
      </c>
      <c r="AN87" s="30" t="inlineStr">
        <is>
          <t>ACTIVE</t>
        </is>
      </c>
      <c r="AO87" s="30" t="n">
        <v>2023</v>
      </c>
      <c r="AP87" s="30" t="inlineStr">
        <is>
          <t>live case, no plan document yet</t>
        </is>
      </c>
      <c r="AQ87" s="30" t="inlineStr"/>
      <c r="AR87" s="30" t="inlineStr">
        <is>
          <t>printed on the list (read twice)</t>
        </is>
      </c>
      <c r="AS87" s="30" t="inlineStr">
        <is>
          <t>ANAPOLIS</t>
        </is>
      </c>
      <c r="AT87" s="30" t="inlineStr">
        <is>
          <t>GO</t>
        </is>
      </c>
      <c r="AU87" s="30" t="inlineStr">
        <is>
          <t>Fabricação de medicamentos alopáticos para uso humano</t>
        </is>
      </c>
      <c r="AV87" s="30" t="inlineStr">
        <is>
          <t>DEMAIS</t>
        </is>
      </c>
      <c r="AW87" s="31" t="n">
        <v>500000000</v>
      </c>
      <c r="AX87" s="30" t="inlineStr">
        <is>
          <t>LARGE CORP</t>
        </is>
      </c>
      <c r="AY87" s="30" t="inlineStr">
        <is>
          <t>03485572</t>
        </is>
      </c>
      <c r="AZ87" s="30" t="n">
        <v>1</v>
      </c>
      <c r="BA87" s="30" t="inlineStr">
        <is>
          <t>PARTIAL_DOC_CLASS_III_RECONCILED ROWS:p26r3</t>
        </is>
      </c>
    </row>
    <row r="88">
      <c r="A88" s="16" t="inlineStr">
        <is>
          <t>REFRESCOS BANDEIRANTES INDUSTRIA E COMERCIO LTDA</t>
        </is>
      </c>
      <c r="B88" s="17" t="n">
        <v>1020958.23</v>
      </c>
      <c r="C88" s="18" t="inlineStr">
        <is>
          <t>GRUPO 3E</t>
        </is>
      </c>
      <c r="D88" s="19" t="inlineStr">
        <is>
          <t>NEW</t>
        </is>
      </c>
      <c r="E88" s="20" t="inlineStr"/>
      <c r="F88" s="19" t="inlineStr"/>
      <c r="G88" s="20" t="inlineStr"/>
      <c r="H88" s="19" t="inlineStr"/>
      <c r="I88" s="21" t="inlineStr">
        <is>
          <t>Elismeire Ferreira</t>
        </is>
      </c>
      <c r="J88" s="21" t="inlineStr">
        <is>
          <t>Gerente Adm. e Financeiro</t>
        </is>
      </c>
      <c r="K88" s="21" t="inlineStr">
        <is>
          <t>(11) 5502-1200</t>
        </is>
      </c>
      <c r="L88" s="21" t="inlineStr"/>
      <c r="M88" s="21" t="inlineStr"/>
      <c r="N88" s="21" t="inlineStr">
        <is>
          <t>evieira@rebic.com.br</t>
        </is>
      </c>
      <c r="O88" s="21" t="inlineStr">
        <is>
          <t>msilva@rebic.com.br</t>
        </is>
      </c>
      <c r="P88" s="21" t="inlineStr">
        <is>
          <t>Manoel Silva</t>
        </is>
      </c>
      <c r="Q88" s="21" t="inlineStr">
        <is>
          <t>Coordenador Contas A Receber</t>
        </is>
      </c>
      <c r="R88" s="21" t="inlineStr"/>
      <c r="S88" s="21" t="inlineStr">
        <is>
          <t>msilva@rebic.com.br</t>
        </is>
      </c>
      <c r="T88" s="21" t="inlineStr">
        <is>
          <t>email verified by Apollo</t>
        </is>
      </c>
      <c r="U88" s="22" t="n">
        <v>1020958.23</v>
      </c>
      <c r="V88" s="35" t="inlineStr">
        <is>
          <t>A</t>
        </is>
      </c>
      <c r="W88" s="24">
        <f>IFERROR(VLOOKUP(V88,Assumptions!$A$7:$F$11,2,FALSE),0)</f>
        <v/>
      </c>
      <c r="X88" s="25">
        <f>IF(V88="A",MAX(1,IFERROR(VLOOKUP(V88,Assumptions!$A$7:$F$11,3,FALSE),3)+IFERROR(VLOOKUP(V88,Assumptions!$A$7:$F$11,4,FALSE),8)/2-MAX(0,IF(AO88="",0,YEAR(TODAY())-AO88)-IFERROR(VLOOKUP(V88,Assumptions!$A$7:$F$11,5,FALSE),1.5))),IFERROR(VLOOKUP(V88,Assumptions!$A$7:$F$11,5,FALSE),2.5)+IFERROR(VLOOKUP(V88,Assumptions!$A$7:$F$11,3,FALSE),3)+IFERROR(VLOOKUP(V88,Assumptions!$A$7:$F$11,4,FALSE),8)/2)</f>
        <v/>
      </c>
      <c r="Y88" s="22">
        <f>U88*W88/(1+Assumptions!$B$3)^X88</f>
        <v/>
      </c>
      <c r="Z88" s="26">
        <f>IF(U88=0,"",ROUND(Y88/U88*100,1))</f>
        <v/>
      </c>
      <c r="AA88" s="27">
        <f>Y88*Assumptions!$B$4</f>
        <v/>
      </c>
      <c r="AB88" s="26">
        <f>IF(U88=0,"",ROUND(AA88/U88*100,1))</f>
        <v/>
      </c>
      <c r="AC88" s="27">
        <f>Y88-AA88</f>
        <v/>
      </c>
      <c r="AD88" s="26">
        <f>IF(U88=0,"",ROUND((Y88-AA88)/U88*100,1))</f>
        <v/>
      </c>
      <c r="AE88" s="33" t="inlineStr">
        <is>
          <t>NO TOTALS — list prints none; check page</t>
        </is>
      </c>
      <c r="AF88" s="29" t="inlineStr">
        <is>
          <t>https://stenius.com.br/wp-content/uploads/2026/06/EDITAL-GRUPO-3E.pdf</t>
        </is>
      </c>
      <c r="AG88" s="28" t="inlineStr">
        <is>
          <t>p11 r65; p11 r66; p11 r67</t>
        </is>
      </c>
      <c r="AH88" s="28" t="inlineStr">
        <is>
          <t>p11: R$ 424.506,14; p11: R$ 375.601,64; p11: R$ 220.850,45</t>
        </is>
      </c>
      <c r="AI88" s="28" t="inlineStr">
        <is>
          <t>Debtor list (art. 51)</t>
        </is>
      </c>
      <c r="AJ88" s="28" t="inlineStr">
        <is>
          <t>2026-06-22</t>
        </is>
      </c>
      <c r="AK88" s="28" t="inlineStr">
        <is>
          <t>PLAN DOC FOUND</t>
        </is>
      </c>
      <c r="AL88" s="30" t="inlineStr">
        <is>
          <t>5341375-33.2026.8.09.0049</t>
        </is>
      </c>
      <c r="AM88" s="30" t="inlineStr">
        <is>
          <t>TJGO</t>
        </is>
      </c>
      <c r="AN88" s="30" t="inlineStr">
        <is>
          <t>ACTIVE</t>
        </is>
      </c>
      <c r="AO88" s="30" t="n">
        <v>2026</v>
      </c>
      <c r="AP88" s="30" t="inlineStr">
        <is>
          <t>plan/homologation document found</t>
        </is>
      </c>
      <c r="AQ88" s="30" t="inlineStr"/>
      <c r="AR88" s="30" t="inlineStr">
        <is>
          <t>printed on the list (read twice)</t>
        </is>
      </c>
      <c r="AS88" s="30" t="inlineStr">
        <is>
          <t>SAO PAULO</t>
        </is>
      </c>
      <c r="AT88" s="30" t="inlineStr">
        <is>
          <t>SP</t>
        </is>
      </c>
      <c r="AU88" s="30" t="inlineStr">
        <is>
          <t>Fabricação de refrigerantes</t>
        </is>
      </c>
      <c r="AV88" s="30" t="inlineStr">
        <is>
          <t>DEMAIS</t>
        </is>
      </c>
      <c r="AW88" s="31" t="n">
        <v>720753200</v>
      </c>
      <c r="AX88" s="30" t="inlineStr">
        <is>
          <t>MID-MARKET</t>
        </is>
      </c>
      <c r="AY88" s="30" t="inlineStr">
        <is>
          <t>03380763</t>
        </is>
      </c>
      <c r="AZ88" s="30" t="n">
        <v>3</v>
      </c>
      <c r="BA88" s="30" t="inlineStr">
        <is>
          <t>ROWS:p11r65,p11r66,p11r67 UNRECONCILED_SOURCE</t>
        </is>
      </c>
    </row>
    <row r="89">
      <c r="A89" s="16" t="inlineStr">
        <is>
          <t>SOCIEDADE ESPORTIVA PALMEIRAS</t>
        </is>
      </c>
      <c r="B89" s="17" t="n">
        <v>1867912.24</v>
      </c>
      <c r="C89" s="18" t="inlineStr">
        <is>
          <t>CLUBE NÁUTICO CAPIBARIBE</t>
        </is>
      </c>
      <c r="D89" s="19" t="inlineStr">
        <is>
          <t>NEW</t>
        </is>
      </c>
      <c r="E89" s="20" t="inlineStr"/>
      <c r="F89" s="19" t="inlineStr"/>
      <c r="G89" s="20" t="inlineStr"/>
      <c r="H89" s="19" t="inlineStr"/>
      <c r="I89" s="21" t="inlineStr">
        <is>
          <t>Luciano Cavalli</t>
        </is>
      </c>
      <c r="J89" s="21" t="inlineStr">
        <is>
          <t>Diretor Executivo Administrativo</t>
        </is>
      </c>
      <c r="K89" s="21" t="inlineStr">
        <is>
          <t>(11) 3874-6500</t>
        </is>
      </c>
      <c r="L89" s="21" t="inlineStr">
        <is>
          <t>(11) 3679-7859</t>
        </is>
      </c>
      <c r="M89" s="21" t="inlineStr"/>
      <c r="N89" s="21" t="inlineStr">
        <is>
          <t>luciano.cavalli@palmeiras.com.br</t>
        </is>
      </c>
      <c r="O89" s="21" t="inlineStr"/>
      <c r="P89" s="21" t="inlineStr"/>
      <c r="Q89" s="21" t="inlineStr"/>
      <c r="R89" s="21" t="inlineStr"/>
      <c r="S89" s="21" t="inlineStr"/>
      <c r="T89" s="21" t="inlineStr">
        <is>
          <t>email verified by Apollo</t>
        </is>
      </c>
      <c r="U89" s="22" t="n">
        <v>1867912.24</v>
      </c>
      <c r="V89" s="23" t="inlineStr">
        <is>
          <t>B</t>
        </is>
      </c>
      <c r="W89" s="24">
        <f>IFERROR(VLOOKUP(V89,Assumptions!$A$7:$F$11,2,FALSE),0)</f>
        <v/>
      </c>
      <c r="X89" s="25">
        <f>IF(V89="A",MAX(1,IFERROR(VLOOKUP(V89,Assumptions!$A$7:$F$11,3,FALSE),3)+IFERROR(VLOOKUP(V89,Assumptions!$A$7:$F$11,4,FALSE),8)/2-MAX(0,IF(AO89="",0,YEAR(TODAY())-AO89)-IFERROR(VLOOKUP(V89,Assumptions!$A$7:$F$11,5,FALSE),1.5))),IFERROR(VLOOKUP(V89,Assumptions!$A$7:$F$11,5,FALSE),2.5)+IFERROR(VLOOKUP(V89,Assumptions!$A$7:$F$11,3,FALSE),3)+IFERROR(VLOOKUP(V89,Assumptions!$A$7:$F$11,4,FALSE),8)/2)</f>
        <v/>
      </c>
      <c r="Y89" s="22">
        <f>U89*W89/(1+Assumptions!$B$3)^X89</f>
        <v/>
      </c>
      <c r="Z89" s="26">
        <f>IF(U89=0,"",ROUND(Y89/U89*100,1))</f>
        <v/>
      </c>
      <c r="AA89" s="27">
        <f>Y89*Assumptions!$B$4</f>
        <v/>
      </c>
      <c r="AB89" s="26">
        <f>IF(U89=0,"",ROUND(AA89/U89*100,1))</f>
        <v/>
      </c>
      <c r="AC89" s="27">
        <f>Y89-AA89</f>
        <v/>
      </c>
      <c r="AD89" s="26">
        <f>IF(U89=0,"",ROUND((Y89-AA89)/U89*100,1))</f>
        <v/>
      </c>
      <c r="AE89" s="34" t="inlineStr">
        <is>
          <t>PARTIAL — class III reconciled, other classes not</t>
        </is>
      </c>
      <c r="AF89" s="29" t="inlineStr">
        <is>
          <t>https://lrflideres.com.br/wp-content/plugins/download-attachments/includes/download.php?id=5589</t>
        </is>
      </c>
      <c r="AG89" s="28" t="inlineStr">
        <is>
          <t>p12 r43</t>
        </is>
      </c>
      <c r="AH89" s="28" t="inlineStr">
        <is>
          <t>p12: R$ 1.867.912,24</t>
        </is>
      </c>
      <c r="AI89" s="28" t="inlineStr">
        <is>
          <t>AJ list (art. 7 §2)</t>
        </is>
      </c>
      <c r="AJ89" s="28" t="inlineStr">
        <is>
          <t>2023-11-27</t>
        </is>
      </c>
      <c r="AK89" s="28" t="inlineStr">
        <is>
          <t>NONE FOUND</t>
        </is>
      </c>
      <c r="AL89" s="30" t="inlineStr">
        <is>
          <t>0011283-80.2023.8.17.2001</t>
        </is>
      </c>
      <c r="AM89" s="30" t="inlineStr">
        <is>
          <t>TJPE</t>
        </is>
      </c>
      <c r="AN89" s="30" t="inlineStr">
        <is>
          <t>ACTIVE</t>
        </is>
      </c>
      <c r="AO89" s="30" t="n">
        <v>2023</v>
      </c>
      <c r="AP89" s="30" t="inlineStr">
        <is>
          <t>live case, no plan document yet</t>
        </is>
      </c>
      <c r="AQ89" s="30" t="inlineStr">
        <is>
          <t>08.145.021/0001-07</t>
        </is>
      </c>
      <c r="AR89" s="30" t="inlineStr">
        <is>
          <t>printed on the list (read twice)</t>
        </is>
      </c>
      <c r="AS89" s="30" t="inlineStr">
        <is>
          <t>SAO PAULO</t>
        </is>
      </c>
      <c r="AT89" s="30" t="inlineStr">
        <is>
          <t>SP</t>
        </is>
      </c>
      <c r="AU89" s="30" t="inlineStr">
        <is>
          <t>Clubes sociais, esportivos e similares</t>
        </is>
      </c>
      <c r="AV89" s="30" t="inlineStr">
        <is>
          <t>DEMAIS</t>
        </is>
      </c>
      <c r="AW89" s="31" t="inlineStr"/>
      <c r="AX89" s="30" t="inlineStr">
        <is>
          <t>MID-MARKET</t>
        </is>
      </c>
      <c r="AY89" s="30" t="inlineStr">
        <is>
          <t>61750345</t>
        </is>
      </c>
      <c r="AZ89" s="30" t="n">
        <v>1</v>
      </c>
      <c r="BA89" s="30" t="inlineStr">
        <is>
          <t>PARTIAL_DOC_CLASS_III_RECONCILED ROWS:p12r43</t>
        </is>
      </c>
    </row>
    <row r="90">
      <c r="A90" s="16" t="inlineStr">
        <is>
          <t>B S DISTRIBUIDORA DE PRODUTOS DE HIGIENE LTDA</t>
        </is>
      </c>
      <c r="B90" s="17" t="n">
        <v>1819744.46</v>
      </c>
      <c r="C90" s="18" t="inlineStr">
        <is>
          <t>GRUPO DP4</t>
        </is>
      </c>
      <c r="D90" s="19" t="inlineStr">
        <is>
          <t>NEW</t>
        </is>
      </c>
      <c r="E90" s="20" t="inlineStr"/>
      <c r="F90" s="19" t="inlineStr"/>
      <c r="G90" s="20" t="inlineStr"/>
      <c r="H90" s="19" t="inlineStr"/>
      <c r="I90" s="21" t="inlineStr">
        <is>
          <t>ANA CAROLINA DE MORAES FRANZINE</t>
        </is>
      </c>
      <c r="J90" s="21" t="inlineStr">
        <is>
          <t>Sócio-Administrador (RFB partner)</t>
        </is>
      </c>
      <c r="K90" s="21" t="inlineStr">
        <is>
          <t>(11) 5103-5350</t>
        </is>
      </c>
      <c r="L90" s="21" t="inlineStr"/>
      <c r="M90" s="21" t="inlineStr"/>
      <c r="N90" s="21" t="inlineStr"/>
      <c r="O90" s="21" t="inlineStr"/>
      <c r="P90" s="21" t="inlineStr">
        <is>
          <t>RODRIGO REBELO DE MORAES</t>
        </is>
      </c>
      <c r="Q90" s="21" t="inlineStr">
        <is>
          <t>Sócio-Administrador (RFB partner)</t>
        </is>
      </c>
      <c r="R90" s="21" t="inlineStr"/>
      <c r="S90" s="21" t="inlineStr"/>
      <c r="T90" s="21" t="inlineStr">
        <is>
          <t>RFB partner (QSA); no Apollo match</t>
        </is>
      </c>
      <c r="U90" s="22" t="n">
        <v>1819744.46</v>
      </c>
      <c r="V90" s="23" t="inlineStr">
        <is>
          <t>B</t>
        </is>
      </c>
      <c r="W90" s="24">
        <f>IFERROR(VLOOKUP(V90,Assumptions!$A$7:$F$11,2,FALSE),0)</f>
        <v/>
      </c>
      <c r="X90" s="25">
        <f>IF(V90="A",MAX(1,IFERROR(VLOOKUP(V90,Assumptions!$A$7:$F$11,3,FALSE),3)+IFERROR(VLOOKUP(V90,Assumptions!$A$7:$F$11,4,FALSE),8)/2-MAX(0,IF(AO90="",0,YEAR(TODAY())-AO90)-IFERROR(VLOOKUP(V90,Assumptions!$A$7:$F$11,5,FALSE),1.5))),IFERROR(VLOOKUP(V90,Assumptions!$A$7:$F$11,5,FALSE),2.5)+IFERROR(VLOOKUP(V90,Assumptions!$A$7:$F$11,3,FALSE),3)+IFERROR(VLOOKUP(V90,Assumptions!$A$7:$F$11,4,FALSE),8)/2)</f>
        <v/>
      </c>
      <c r="Y90" s="22">
        <f>U90*W90/(1+Assumptions!$B$3)^X90</f>
        <v/>
      </c>
      <c r="Z90" s="26">
        <f>IF(U90=0,"",ROUND(Y90/U90*100,1))</f>
        <v/>
      </c>
      <c r="AA90" s="27">
        <f>Y90*Assumptions!$B$4</f>
        <v/>
      </c>
      <c r="AB90" s="26">
        <f>IF(U90=0,"",ROUND(AA90/U90*100,1))</f>
        <v/>
      </c>
      <c r="AC90" s="27">
        <f>Y90-AA90</f>
        <v/>
      </c>
      <c r="AD90" s="26">
        <f>IF(U90=0,"",ROUND((Y90-AA90)/U90*100,1))</f>
        <v/>
      </c>
      <c r="AE90" s="34" t="inlineStr">
        <is>
          <t>PARTIAL — class III reconciled, other classes not</t>
        </is>
      </c>
      <c r="AF90" s="29" t="inlineStr">
        <is>
          <t>https://marquesadmjudicial.com.br/sgc/download.php?file=files/processo_documento/processo_documento15293208032024_1_.pdf&amp;nome=Relação Nominal de Credores da AJ-Sintética</t>
        </is>
      </c>
      <c r="AG90" s="28" t="inlineStr">
        <is>
          <t>p20 r3</t>
        </is>
      </c>
      <c r="AH90" s="28" t="inlineStr">
        <is>
          <t>p20: R$ 1.819.744,46</t>
        </is>
      </c>
      <c r="AI90" s="28" t="inlineStr">
        <is>
          <t>AJ list (art. 7 §2)</t>
        </is>
      </c>
      <c r="AJ90" s="28" t="inlineStr">
        <is>
          <t>2023-03-02</t>
        </is>
      </c>
      <c r="AK90" s="28" t="inlineStr">
        <is>
          <t>NONE FOUND</t>
        </is>
      </c>
      <c r="AL90" s="30" t="inlineStr">
        <is>
          <t>0005010-98.2023.8.16.0001</t>
        </is>
      </c>
      <c r="AM90" s="30" t="inlineStr">
        <is>
          <t>TJPR</t>
        </is>
      </c>
      <c r="AN90" s="30" t="inlineStr">
        <is>
          <t>ACTIVE</t>
        </is>
      </c>
      <c r="AO90" s="30" t="n">
        <v>2023</v>
      </c>
      <c r="AP90" s="30" t="inlineStr">
        <is>
          <t>live case, no plan document yet</t>
        </is>
      </c>
      <c r="AQ90" s="30" t="inlineStr"/>
      <c r="AR90" s="30" t="inlineStr">
        <is>
          <t>printed on the list (read twice)</t>
        </is>
      </c>
      <c r="AS90" s="30" t="inlineStr">
        <is>
          <t>SAO PAULO</t>
        </is>
      </c>
      <c r="AT90" s="30" t="inlineStr">
        <is>
          <t>SP</t>
        </is>
      </c>
      <c r="AU90" s="30" t="inlineStr">
        <is>
          <t>Comércio atacadista de cosméticos e produtos de perfumaria</t>
        </is>
      </c>
      <c r="AV90" s="30" t="inlineStr">
        <is>
          <t>DEMAIS</t>
        </is>
      </c>
      <c r="AW90" s="31" t="n">
        <v>11315963</v>
      </c>
      <c r="AX90" s="30" t="inlineStr">
        <is>
          <t>MID-MARKET</t>
        </is>
      </c>
      <c r="AY90" s="30" t="inlineStr">
        <is>
          <t>43587344</t>
        </is>
      </c>
      <c r="AZ90" s="30" t="n">
        <v>1</v>
      </c>
      <c r="BA90" s="30" t="inlineStr">
        <is>
          <t>PARTIAL_DOC_CLASS_III_RECONCILED ROWS:p20r3</t>
        </is>
      </c>
    </row>
    <row r="91">
      <c r="A91" s="16" t="inlineStr">
        <is>
          <t>A GERADORA ALUGUEL DE MAQUINAS S.A.</t>
        </is>
      </c>
      <c r="B91" s="17" t="n">
        <v>3379805.88</v>
      </c>
      <c r="C91" s="18" t="inlineStr">
        <is>
          <t>EGESA ENGENHARIA S/A (Consórcio ETDI)</t>
        </is>
      </c>
      <c r="D91" s="19" t="inlineStr">
        <is>
          <t>NEW</t>
        </is>
      </c>
      <c r="E91" s="20" t="inlineStr"/>
      <c r="F91" s="19" t="inlineStr"/>
      <c r="G91" s="20" t="inlineStr"/>
      <c r="H91" s="19" t="inlineStr"/>
      <c r="I91" s="21" t="inlineStr">
        <is>
          <t>JOSE CANDIDO TERCEIRO JUNIOR</t>
        </is>
      </c>
      <c r="J91" s="21" t="inlineStr">
        <is>
          <t>Diretor (RFB partner)</t>
        </is>
      </c>
      <c r="K91" s="21" t="inlineStr">
        <is>
          <t>(71) 3418-2600</t>
        </is>
      </c>
      <c r="L91" s="21" t="inlineStr"/>
      <c r="M91" s="21" t="inlineStr"/>
      <c r="N91" s="21" t="inlineStr"/>
      <c r="O91" s="21" t="inlineStr"/>
      <c r="P91" s="21" t="inlineStr">
        <is>
          <t>MARCELO JOSE CARVALHO TEIXEIRA</t>
        </is>
      </c>
      <c r="Q91" s="21" t="inlineStr">
        <is>
          <t>Diretor (RFB partner)</t>
        </is>
      </c>
      <c r="R91" s="21" t="inlineStr"/>
      <c r="S91" s="21" t="inlineStr"/>
      <c r="T91" s="21" t="inlineStr">
        <is>
          <t>RFB partner (QSA); no Apollo match</t>
        </is>
      </c>
      <c r="U91" s="22" t="n">
        <v>3379805.88</v>
      </c>
      <c r="V91" s="32" t="inlineStr">
        <is>
          <t>U</t>
        </is>
      </c>
      <c r="W91" s="24">
        <f>IFERROR(VLOOKUP(V91,Assumptions!$A$7:$F$11,2,FALSE),0)</f>
        <v/>
      </c>
      <c r="X91" s="25">
        <f>IF(V91="A",MAX(1,IFERROR(VLOOKUP(V91,Assumptions!$A$7:$F$11,3,FALSE),3)+IFERROR(VLOOKUP(V91,Assumptions!$A$7:$F$11,4,FALSE),8)/2-MAX(0,IF(AO91="",0,YEAR(TODAY())-AO91)-IFERROR(VLOOKUP(V91,Assumptions!$A$7:$F$11,5,FALSE),1.5))),IFERROR(VLOOKUP(V91,Assumptions!$A$7:$F$11,5,FALSE),2.5)+IFERROR(VLOOKUP(V91,Assumptions!$A$7:$F$11,3,FALSE),3)+IFERROR(VLOOKUP(V91,Assumptions!$A$7:$F$11,4,FALSE),8)/2)</f>
        <v/>
      </c>
      <c r="Y91" s="22">
        <f>U91*W91/(1+Assumptions!$B$3)^X91</f>
        <v/>
      </c>
      <c r="Z91" s="26">
        <f>IF(U91=0,"",ROUND(Y91/U91*100,1))</f>
        <v/>
      </c>
      <c r="AA91" s="27">
        <f>Y91*Assumptions!$B$4</f>
        <v/>
      </c>
      <c r="AB91" s="26">
        <f>IF(U91=0,"",ROUND(AA91/U91*100,1))</f>
        <v/>
      </c>
      <c r="AC91" s="27">
        <f>Y91-AA91</f>
        <v/>
      </c>
      <c r="AD91" s="26">
        <f>IF(U91=0,"",ROUND((Y91-AA91)/U91*100,1))</f>
        <v/>
      </c>
      <c r="AE91" s="28" t="inlineStr">
        <is>
          <t>OK — totals reconciled</t>
        </is>
      </c>
      <c r="AF91" s="29" t="inlineStr">
        <is>
          <t>https://scalzilliaj.com.br/sgc/download.php?file=files/processo_documento/processo_documento09514021082025_1_.pdf&amp;nome=04 - Relação de credores das Recuperandas</t>
        </is>
      </c>
      <c r="AG91" s="28" t="inlineStr">
        <is>
          <t>p61 r2; p61 r3; p61 r4; p61 r5; p61 r6; p61 r7</t>
        </is>
      </c>
      <c r="AH91" s="28" t="inlineStr">
        <is>
          <t>p61: R$ 157.495,18; p61: R$ 78.391,92; p61: R$ 608.384,03; p61: R$ 589.125,42; p61: R$ 1.879.005,92; p61: R$ 67.403,41</t>
        </is>
      </c>
      <c r="AI91" s="28" t="inlineStr">
        <is>
          <t>Debtor list (art. 51)</t>
        </is>
      </c>
      <c r="AJ91" s="28" t="inlineStr"/>
      <c r="AK91" s="28" t="inlineStr">
        <is>
          <t>NONE FOUND</t>
        </is>
      </c>
      <c r="AL91" s="30" t="inlineStr">
        <is>
          <t>(not printed)</t>
        </is>
      </c>
      <c r="AM91" s="30" t="inlineStr"/>
      <c r="AN91" s="30" t="inlineStr"/>
      <c r="AO91" s="30" t="inlineStr"/>
      <c r="AP91" s="30" t="inlineStr">
        <is>
          <t>RJ case number not identified on the document</t>
        </is>
      </c>
      <c r="AQ91" s="30" t="inlineStr"/>
      <c r="AR91" s="30" t="inlineStr">
        <is>
          <t>portal page title / URL — not printed on the list</t>
        </is>
      </c>
      <c r="AS91" s="30" t="inlineStr">
        <is>
          <t>SALVADOR</t>
        </is>
      </c>
      <c r="AT91" s="30" t="inlineStr">
        <is>
          <t>BA</t>
        </is>
      </c>
      <c r="AU91" s="30" t="inlineStr">
        <is>
          <t>Aluguel de outras máquinas e equipamentos comerciais e industriais não especificados anteriormente, sem operador</t>
        </is>
      </c>
      <c r="AV91" s="30" t="inlineStr">
        <is>
          <t>DEMAIS</t>
        </is>
      </c>
      <c r="AW91" s="31" t="n">
        <v>122184504</v>
      </c>
      <c r="AX91" s="30" t="inlineStr">
        <is>
          <t>MID-MARKET</t>
        </is>
      </c>
      <c r="AY91" s="30" t="inlineStr">
        <is>
          <t>33845322</t>
        </is>
      </c>
      <c r="AZ91" s="30" t="n">
        <v>6</v>
      </c>
      <c r="BA91" s="30" t="inlineStr">
        <is>
          <t>ROWS:p61r2,p61r3,p61r4,p61r5,p61r6,p61r7 VALUE_COL:Valor_Atualizado CASE_NUMBER_CORRECTED</t>
        </is>
      </c>
    </row>
    <row r="92">
      <c r="A92" s="16" t="inlineStr">
        <is>
          <t>FMC QUIMICA DO BRASIL LTDA.</t>
        </is>
      </c>
      <c r="B92" s="17" t="n">
        <v>1785400</v>
      </c>
      <c r="C92" s="37" t="inlineStr">
        <is>
          <t>(debtor not identified — see proof)</t>
        </is>
      </c>
      <c r="D92" s="19" t="inlineStr">
        <is>
          <t>NEW</t>
        </is>
      </c>
      <c r="E92" s="20" t="inlineStr"/>
      <c r="F92" s="19" t="inlineStr"/>
      <c r="G92" s="20" t="inlineStr"/>
      <c r="H92" s="19" t="inlineStr"/>
      <c r="I92" s="21" t="inlineStr">
        <is>
          <t>Vivian Faria</t>
        </is>
      </c>
      <c r="J92" s="21" t="inlineStr">
        <is>
          <t>Treasury</t>
        </is>
      </c>
      <c r="K92" s="21" t="inlineStr">
        <is>
          <t>(19) 2042-4500</t>
        </is>
      </c>
      <c r="L92" s="21" t="inlineStr"/>
      <c r="M92" s="21" t="inlineStr"/>
      <c r="N92" s="21" t="inlineStr"/>
      <c r="O92" s="21" t="inlineStr"/>
      <c r="P92" s="21" t="inlineStr">
        <is>
          <t>MARIA DE LOURDES SETTEN FUSTAINO</t>
        </is>
      </c>
      <c r="Q92" s="21" t="inlineStr">
        <is>
          <t>Administrador (RFB partner)</t>
        </is>
      </c>
      <c r="R92" s="21" t="inlineStr"/>
      <c r="S92" s="21" t="inlineStr"/>
      <c r="T92" s="21" t="inlineStr">
        <is>
          <t>no work email found in Apollo</t>
        </is>
      </c>
      <c r="U92" s="22" t="n">
        <v>1785400</v>
      </c>
      <c r="V92" s="23" t="inlineStr">
        <is>
          <t>B</t>
        </is>
      </c>
      <c r="W92" s="24">
        <f>IFERROR(VLOOKUP(V92,Assumptions!$A$7:$F$11,2,FALSE),0)</f>
        <v/>
      </c>
      <c r="X92" s="25">
        <f>IF(V92="A",MAX(1,IFERROR(VLOOKUP(V92,Assumptions!$A$7:$F$11,3,FALSE),3)+IFERROR(VLOOKUP(V92,Assumptions!$A$7:$F$11,4,FALSE),8)/2-MAX(0,IF(AO92="",0,YEAR(TODAY())-AO92)-IFERROR(VLOOKUP(V92,Assumptions!$A$7:$F$11,5,FALSE),1.5))),IFERROR(VLOOKUP(V92,Assumptions!$A$7:$F$11,5,FALSE),2.5)+IFERROR(VLOOKUP(V92,Assumptions!$A$7:$F$11,3,FALSE),3)+IFERROR(VLOOKUP(V92,Assumptions!$A$7:$F$11,4,FALSE),8)/2)</f>
        <v/>
      </c>
      <c r="Y92" s="22">
        <f>U92*W92/(1+Assumptions!$B$3)^X92</f>
        <v/>
      </c>
      <c r="Z92" s="26">
        <f>IF(U92=0,"",ROUND(Y92/U92*100,1))</f>
        <v/>
      </c>
      <c r="AA92" s="27">
        <f>Y92*Assumptions!$B$4</f>
        <v/>
      </c>
      <c r="AB92" s="26">
        <f>IF(U92=0,"",ROUND(AA92/U92*100,1))</f>
        <v/>
      </c>
      <c r="AC92" s="27">
        <f>Y92-AA92</f>
        <v/>
      </c>
      <c r="AD92" s="26">
        <f>IF(U92=0,"",ROUND((Y92-AA92)/U92*100,1))</f>
        <v/>
      </c>
      <c r="AE92" s="33" t="inlineStr">
        <is>
          <t>NO TOTALS — list prints none; check page</t>
        </is>
      </c>
      <c r="AF92" s="29" t="inlineStr">
        <is>
          <t>https://scalzilliaj.com.br/sgc/download.php?file=files/processo_documento/processo_documento11421222052026_1_.pdf&amp;nome=08. Lista de credores do edital do art. 52, §1º da LREF</t>
        </is>
      </c>
      <c r="AG92" s="28" t="inlineStr">
        <is>
          <t>p3 r10</t>
        </is>
      </c>
      <c r="AH92" s="28" t="inlineStr">
        <is>
          <t>p3: R$ 1.785.400,00</t>
        </is>
      </c>
      <c r="AI92" s="28" t="inlineStr">
        <is>
          <t>Unclassified list</t>
        </is>
      </c>
      <c r="AJ92" s="28" t="inlineStr"/>
      <c r="AK92" s="28" t="inlineStr">
        <is>
          <t>NONE FOUND</t>
        </is>
      </c>
      <c r="AL92" s="30" t="inlineStr">
        <is>
          <t>5011369-81.2026.8.09.0093</t>
        </is>
      </c>
      <c r="AM92" s="30" t="inlineStr">
        <is>
          <t>TJGO</t>
        </is>
      </c>
      <c r="AN92" s="30" t="inlineStr">
        <is>
          <t>ACTIVE</t>
        </is>
      </c>
      <c r="AO92" s="30" t="n">
        <v>2026</v>
      </c>
      <c r="AP92" s="30" t="inlineStr">
        <is>
          <t>live case, no plan document yet</t>
        </is>
      </c>
      <c r="AQ92" s="30" t="inlineStr"/>
      <c r="AR92" s="30" t="inlineStr">
        <is>
          <t>not identified</t>
        </is>
      </c>
      <c r="AS92" s="30" t="inlineStr">
        <is>
          <t>CAMPINAS</t>
        </is>
      </c>
      <c r="AT92" s="30" t="inlineStr">
        <is>
          <t>SP</t>
        </is>
      </c>
      <c r="AU92" s="30" t="inlineStr">
        <is>
          <t>Comércio atacadista de alimentos para animais</t>
        </is>
      </c>
      <c r="AV92" s="30" t="inlineStr">
        <is>
          <t>DEMAIS</t>
        </is>
      </c>
      <c r="AW92" s="31" t="n">
        <v>781129150</v>
      </c>
      <c r="AX92" s="30" t="inlineStr">
        <is>
          <t>MID-MARKET</t>
        </is>
      </c>
      <c r="AY92" s="30" t="inlineStr">
        <is>
          <t>04136367</t>
        </is>
      </c>
      <c r="AZ92" s="30" t="n">
        <v>1</v>
      </c>
      <c r="BA92" s="30" t="inlineStr">
        <is>
          <t>ROWS:p3r10 UNRECONCILED_SOURCE</t>
        </is>
      </c>
    </row>
    <row r="93">
      <c r="A93" s="16" t="inlineStr">
        <is>
          <t>CAMBUCI S/A</t>
        </is>
      </c>
      <c r="B93" s="17" t="n">
        <v>1782661.24</v>
      </c>
      <c r="C93" s="18" t="inlineStr">
        <is>
          <t>CLUBE NÁUTICO CAPIBARIBE</t>
        </is>
      </c>
      <c r="D93" s="19" t="inlineStr">
        <is>
          <t>NEW</t>
        </is>
      </c>
      <c r="E93" s="20" t="inlineStr"/>
      <c r="F93" s="19" t="inlineStr"/>
      <c r="G93" s="20" t="inlineStr"/>
      <c r="H93" s="19" t="inlineStr"/>
      <c r="I93" s="21" t="inlineStr">
        <is>
          <t>ALEXANDRE SCHULER</t>
        </is>
      </c>
      <c r="J93" s="21" t="inlineStr">
        <is>
          <t>Presidente (RFB partner)</t>
        </is>
      </c>
      <c r="K93" s="21" t="inlineStr">
        <is>
          <t>(11) 4713-9500</t>
        </is>
      </c>
      <c r="L93" s="21" t="inlineStr"/>
      <c r="M93" s="21" t="inlineStr"/>
      <c r="N93" s="21" t="inlineStr"/>
      <c r="O93" s="21" t="inlineStr"/>
      <c r="P93" s="21" t="inlineStr">
        <is>
          <t>EMERSON TSUNEJI SHIROMARU</t>
        </is>
      </c>
      <c r="Q93" s="21" t="inlineStr">
        <is>
          <t>Diretor (RFB partner)</t>
        </is>
      </c>
      <c r="R93" s="21" t="inlineStr"/>
      <c r="S93" s="21" t="inlineStr"/>
      <c r="T93" s="21" t="inlineStr">
        <is>
          <t>RFB partner (QSA); no Apollo match</t>
        </is>
      </c>
      <c r="U93" s="22" t="n">
        <v>1782661.24</v>
      </c>
      <c r="V93" s="23" t="inlineStr">
        <is>
          <t>B</t>
        </is>
      </c>
      <c r="W93" s="24">
        <f>IFERROR(VLOOKUP(V93,Assumptions!$A$7:$F$11,2,FALSE),0)</f>
        <v/>
      </c>
      <c r="X93" s="25">
        <f>IF(V93="A",MAX(1,IFERROR(VLOOKUP(V93,Assumptions!$A$7:$F$11,3,FALSE),3)+IFERROR(VLOOKUP(V93,Assumptions!$A$7:$F$11,4,FALSE),8)/2-MAX(0,IF(AO93="",0,YEAR(TODAY())-AO93)-IFERROR(VLOOKUP(V93,Assumptions!$A$7:$F$11,5,FALSE),1.5))),IFERROR(VLOOKUP(V93,Assumptions!$A$7:$F$11,5,FALSE),2.5)+IFERROR(VLOOKUP(V93,Assumptions!$A$7:$F$11,3,FALSE),3)+IFERROR(VLOOKUP(V93,Assumptions!$A$7:$F$11,4,FALSE),8)/2)</f>
        <v/>
      </c>
      <c r="Y93" s="22">
        <f>U93*W93/(1+Assumptions!$B$3)^X93</f>
        <v/>
      </c>
      <c r="Z93" s="26">
        <f>IF(U93=0,"",ROUND(Y93/U93*100,1))</f>
        <v/>
      </c>
      <c r="AA93" s="27">
        <f>Y93*Assumptions!$B$4</f>
        <v/>
      </c>
      <c r="AB93" s="26">
        <f>IF(U93=0,"",ROUND(AA93/U93*100,1))</f>
        <v/>
      </c>
      <c r="AC93" s="27">
        <f>Y93-AA93</f>
        <v/>
      </c>
      <c r="AD93" s="26">
        <f>IF(U93=0,"",ROUND((Y93-AA93)/U93*100,1))</f>
        <v/>
      </c>
      <c r="AE93" s="34" t="inlineStr">
        <is>
          <t>PARTIAL — class III reconciled, other classes not</t>
        </is>
      </c>
      <c r="AF93" s="29" t="inlineStr">
        <is>
          <t>https://lrflideres.com.br/wp-content/plugins/download-attachments/includes/download.php?id=5589</t>
        </is>
      </c>
      <c r="AG93" s="28" t="inlineStr">
        <is>
          <t>p11 r68</t>
        </is>
      </c>
      <c r="AH93" s="28" t="inlineStr">
        <is>
          <t>p11: R$ 1.782.661,24</t>
        </is>
      </c>
      <c r="AI93" s="28" t="inlineStr">
        <is>
          <t>AJ list (art. 7 §2)</t>
        </is>
      </c>
      <c r="AJ93" s="28" t="inlineStr">
        <is>
          <t>2023-11-27</t>
        </is>
      </c>
      <c r="AK93" s="28" t="inlineStr">
        <is>
          <t>NONE FOUND</t>
        </is>
      </c>
      <c r="AL93" s="30" t="inlineStr">
        <is>
          <t>0011283-80.2023.8.17.2001</t>
        </is>
      </c>
      <c r="AM93" s="30" t="inlineStr">
        <is>
          <t>TJPE</t>
        </is>
      </c>
      <c r="AN93" s="30" t="inlineStr">
        <is>
          <t>ACTIVE</t>
        </is>
      </c>
      <c r="AO93" s="30" t="n">
        <v>2023</v>
      </c>
      <c r="AP93" s="30" t="inlineStr">
        <is>
          <t>live case, no plan document yet</t>
        </is>
      </c>
      <c r="AQ93" s="30" t="inlineStr">
        <is>
          <t>08.145.021/0001-07</t>
        </is>
      </c>
      <c r="AR93" s="30" t="inlineStr">
        <is>
          <t>printed on the list (read twice)</t>
        </is>
      </c>
      <c r="AS93" s="30" t="inlineStr">
        <is>
          <t>SAO PAULO</t>
        </is>
      </c>
      <c r="AT93" s="30" t="inlineStr">
        <is>
          <t>SP</t>
        </is>
      </c>
      <c r="AU93" s="30" t="inlineStr">
        <is>
          <t>Fabricação de artefatos de couro não especificados anteriormente</t>
        </is>
      </c>
      <c r="AV93" s="30" t="inlineStr">
        <is>
          <t>DEMAIS</t>
        </is>
      </c>
      <c r="AW93" s="31" t="n">
        <v>270536200</v>
      </c>
      <c r="AX93" s="30" t="inlineStr">
        <is>
          <t>MID-MARKET</t>
        </is>
      </c>
      <c r="AY93" s="30" t="inlineStr">
        <is>
          <t>61088894</t>
        </is>
      </c>
      <c r="AZ93" s="30" t="n">
        <v>1</v>
      </c>
      <c r="BA93" s="30" t="inlineStr">
        <is>
          <t>PARTIAL_DOC_CLASS_III_RECONCILED ROWS:p11r68</t>
        </is>
      </c>
    </row>
    <row r="94">
      <c r="A94" s="16" t="inlineStr">
        <is>
          <t>COMERCIO E EXPORTACAO DE CEREAIS RIO ELIAS LTDA.</t>
        </is>
      </c>
      <c r="B94" s="17" t="n">
        <v>1771559.5</v>
      </c>
      <c r="C94" s="18" t="inlineStr">
        <is>
          <t>SUINOCULTURA KUNZLER</t>
        </is>
      </c>
      <c r="D94" s="19" t="inlineStr">
        <is>
          <t>NEW</t>
        </is>
      </c>
      <c r="E94" s="20" t="inlineStr"/>
      <c r="F94" s="19" t="inlineStr"/>
      <c r="G94" s="20" t="inlineStr"/>
      <c r="H94" s="19" t="inlineStr"/>
      <c r="I94" s="21" t="inlineStr">
        <is>
          <t>ALECIO MARCIO ANDREIS</t>
        </is>
      </c>
      <c r="J94" s="21" t="inlineStr">
        <is>
          <t>Sócio-Administrador (RFB partner)</t>
        </is>
      </c>
      <c r="K94" s="21" t="inlineStr">
        <is>
          <t>(46) 3234-1344</t>
        </is>
      </c>
      <c r="L94" s="21" t="inlineStr"/>
      <c r="M94" s="21" t="inlineStr"/>
      <c r="N94" s="21" t="inlineStr"/>
      <c r="O94" s="21" t="inlineStr"/>
      <c r="P94" s="21" t="inlineStr">
        <is>
          <t>JOSILEI ALVES DE MIRANDA</t>
        </is>
      </c>
      <c r="Q94" s="21" t="inlineStr">
        <is>
          <t>Administrador (RFB partner)</t>
        </is>
      </c>
      <c r="R94" s="21" t="inlineStr"/>
      <c r="S94" s="21" t="inlineStr"/>
      <c r="T94" s="21" t="inlineStr">
        <is>
          <t>RFB partner (QSA); no Apollo match</t>
        </is>
      </c>
      <c r="U94" s="22" t="n">
        <v>1771559.5</v>
      </c>
      <c r="V94" s="23" t="inlineStr">
        <is>
          <t>B</t>
        </is>
      </c>
      <c r="W94" s="24">
        <f>IFERROR(VLOOKUP(V94,Assumptions!$A$7:$F$11,2,FALSE),0)</f>
        <v/>
      </c>
      <c r="X94" s="25">
        <f>IF(V94="A",MAX(1,IFERROR(VLOOKUP(V94,Assumptions!$A$7:$F$11,3,FALSE),3)+IFERROR(VLOOKUP(V94,Assumptions!$A$7:$F$11,4,FALSE),8)/2-MAX(0,IF(AO94="",0,YEAR(TODAY())-AO94)-IFERROR(VLOOKUP(V94,Assumptions!$A$7:$F$11,5,FALSE),1.5))),IFERROR(VLOOKUP(V94,Assumptions!$A$7:$F$11,5,FALSE),2.5)+IFERROR(VLOOKUP(V94,Assumptions!$A$7:$F$11,3,FALSE),3)+IFERROR(VLOOKUP(V94,Assumptions!$A$7:$F$11,4,FALSE),8)/2)</f>
        <v/>
      </c>
      <c r="Y94" s="22">
        <f>U94*W94/(1+Assumptions!$B$3)^X94</f>
        <v/>
      </c>
      <c r="Z94" s="26">
        <f>IF(U94=0,"",ROUND(Y94/U94*100,1))</f>
        <v/>
      </c>
      <c r="AA94" s="27">
        <f>Y94*Assumptions!$B$4</f>
        <v/>
      </c>
      <c r="AB94" s="26">
        <f>IF(U94=0,"",ROUND(AA94/U94*100,1))</f>
        <v/>
      </c>
      <c r="AC94" s="27">
        <f>Y94-AA94</f>
        <v/>
      </c>
      <c r="AD94" s="26">
        <f>IF(U94=0,"",ROUND((Y94-AA94)/U94*100,1))</f>
        <v/>
      </c>
      <c r="AE94" s="33" t="inlineStr">
        <is>
          <t>NO TOTALS — list prints none; check page</t>
        </is>
      </c>
      <c r="AF94" s="29" t="inlineStr">
        <is>
          <t>https://rlg-aj.com.br/wp-content/uploads/2024/11/07.-Relação-de-credores.pdf</t>
        </is>
      </c>
      <c r="AG94" s="28" t="inlineStr">
        <is>
          <t>p1 r31</t>
        </is>
      </c>
      <c r="AH94" s="28" t="inlineStr">
        <is>
          <t>p1: R$ 1.771.559,50</t>
        </is>
      </c>
      <c r="AI94" s="28" t="inlineStr">
        <is>
          <t>Unclassified list</t>
        </is>
      </c>
      <c r="AJ94" s="28" t="inlineStr"/>
      <c r="AK94" s="28" t="inlineStr">
        <is>
          <t>NONE FOUND</t>
        </is>
      </c>
      <c r="AL94" s="30" t="inlineStr">
        <is>
          <t>5009149-92.2024.8.24.0019</t>
        </is>
      </c>
      <c r="AM94" s="30" t="inlineStr">
        <is>
          <t>TJSC</t>
        </is>
      </c>
      <c r="AN94" s="30" t="inlineStr">
        <is>
          <t>ACTIVE</t>
        </is>
      </c>
      <c r="AO94" s="30" t="n">
        <v>2024</v>
      </c>
      <c r="AP94" s="30" t="inlineStr">
        <is>
          <t>live case, no plan document yet</t>
        </is>
      </c>
      <c r="AQ94" s="30" t="inlineStr">
        <is>
          <t>55.365.447/0001-56</t>
        </is>
      </c>
      <c r="AR94" s="30" t="inlineStr">
        <is>
          <t>printed on the list (read twice)</t>
        </is>
      </c>
      <c r="AS94" s="30" t="inlineStr">
        <is>
          <t>BOM SUCESSO DO SUL</t>
        </is>
      </c>
      <c r="AT94" s="30" t="inlineStr">
        <is>
          <t>PR</t>
        </is>
      </c>
      <c r="AU94" s="30" t="inlineStr">
        <is>
          <t>Comércio atacadista de cereais e leguminosas beneficiados</t>
        </is>
      </c>
      <c r="AV94" s="30" t="inlineStr">
        <is>
          <t>DEMAIS</t>
        </is>
      </c>
      <c r="AW94" s="31" t="n">
        <v>3935000</v>
      </c>
      <c r="AX94" s="30" t="inlineStr">
        <is>
          <t>MID-MARKET</t>
        </is>
      </c>
      <c r="AY94" s="30" t="inlineStr">
        <is>
          <t>05056082</t>
        </is>
      </c>
      <c r="AZ94" s="30" t="n">
        <v>1</v>
      </c>
      <c r="BA94" s="30" t="inlineStr">
        <is>
          <t>ROWS:p1r31 UNRECONCILED_SOURCE</t>
        </is>
      </c>
    </row>
    <row r="95">
      <c r="A95" s="16" t="inlineStr">
        <is>
          <t>GERMED FARMACEUTICA LTDA</t>
        </is>
      </c>
      <c r="B95" s="17" t="n">
        <v>1695831.1</v>
      </c>
      <c r="C95" s="18" t="inlineStr">
        <is>
          <t>GRUPO DP4</t>
        </is>
      </c>
      <c r="D95" s="19" t="inlineStr">
        <is>
          <t>NEW</t>
        </is>
      </c>
      <c r="E95" s="20" t="inlineStr"/>
      <c r="F95" s="19" t="inlineStr"/>
      <c r="G95" s="20" t="inlineStr"/>
      <c r="H95" s="19" t="inlineStr"/>
      <c r="I95" s="21" t="inlineStr">
        <is>
          <t>GUSTAVO ANDRE REGIS DUTRA SVENSSON</t>
        </is>
      </c>
      <c r="J95" s="21" t="inlineStr">
        <is>
          <t>Administrador (RFB partner)</t>
        </is>
      </c>
      <c r="K95" s="21" t="inlineStr">
        <is>
          <t>(19) 3887-9800</t>
        </is>
      </c>
      <c r="L95" s="21" t="inlineStr"/>
      <c r="M95" s="21" t="inlineStr"/>
      <c r="N95" s="21" t="inlineStr"/>
      <c r="O95" s="21" t="inlineStr"/>
      <c r="P95" s="21" t="inlineStr">
        <is>
          <t>TATIANA AZEVEDO VILLELA SANTOS FONTES</t>
        </is>
      </c>
      <c r="Q95" s="21" t="inlineStr">
        <is>
          <t>Administrador (RFB partner)</t>
        </is>
      </c>
      <c r="R95" s="21" t="inlineStr"/>
      <c r="S95" s="21" t="inlineStr"/>
      <c r="T95" s="21" t="inlineStr">
        <is>
          <t>RFB partner (QSA); no Apollo match</t>
        </is>
      </c>
      <c r="U95" s="22" t="n">
        <v>1695831.1</v>
      </c>
      <c r="V95" s="23" t="inlineStr">
        <is>
          <t>B</t>
        </is>
      </c>
      <c r="W95" s="24">
        <f>IFERROR(VLOOKUP(V95,Assumptions!$A$7:$F$11,2,FALSE),0)</f>
        <v/>
      </c>
      <c r="X95" s="25">
        <f>IF(V95="A",MAX(1,IFERROR(VLOOKUP(V95,Assumptions!$A$7:$F$11,3,FALSE),3)+IFERROR(VLOOKUP(V95,Assumptions!$A$7:$F$11,4,FALSE),8)/2-MAX(0,IF(AO95="",0,YEAR(TODAY())-AO95)-IFERROR(VLOOKUP(V95,Assumptions!$A$7:$F$11,5,FALSE),1.5))),IFERROR(VLOOKUP(V95,Assumptions!$A$7:$F$11,5,FALSE),2.5)+IFERROR(VLOOKUP(V95,Assumptions!$A$7:$F$11,3,FALSE),3)+IFERROR(VLOOKUP(V95,Assumptions!$A$7:$F$11,4,FALSE),8)/2)</f>
        <v/>
      </c>
      <c r="Y95" s="22">
        <f>U95*W95/(1+Assumptions!$B$3)^X95</f>
        <v/>
      </c>
      <c r="Z95" s="26">
        <f>IF(U95=0,"",ROUND(Y95/U95*100,1))</f>
        <v/>
      </c>
      <c r="AA95" s="27">
        <f>Y95*Assumptions!$B$4</f>
        <v/>
      </c>
      <c r="AB95" s="26">
        <f>IF(U95=0,"",ROUND(AA95/U95*100,1))</f>
        <v/>
      </c>
      <c r="AC95" s="27">
        <f>Y95-AA95</f>
        <v/>
      </c>
      <c r="AD95" s="26">
        <f>IF(U95=0,"",ROUND((Y95-AA95)/U95*100,1))</f>
        <v/>
      </c>
      <c r="AE95" s="34" t="inlineStr">
        <is>
          <t>PARTIAL — class III reconciled, other classes not</t>
        </is>
      </c>
      <c r="AF95" s="29" t="inlineStr">
        <is>
          <t>https://marquesadmjudicial.com.br/sgc/download.php?file=files/processo_documento/processo_documento15293208032024_1_.pdf&amp;nome=Relação Nominal de Credores da AJ-Sintética</t>
        </is>
      </c>
      <c r="AG95" s="28" t="inlineStr">
        <is>
          <t>p26 r5</t>
        </is>
      </c>
      <c r="AH95" s="28" t="inlineStr">
        <is>
          <t>p26: R$ 1.695.831,10</t>
        </is>
      </c>
      <c r="AI95" s="28" t="inlineStr">
        <is>
          <t>AJ list (art. 7 §2)</t>
        </is>
      </c>
      <c r="AJ95" s="28" t="inlineStr">
        <is>
          <t>2023-03-02</t>
        </is>
      </c>
      <c r="AK95" s="28" t="inlineStr">
        <is>
          <t>NONE FOUND</t>
        </is>
      </c>
      <c r="AL95" s="30" t="inlineStr">
        <is>
          <t>0005010-98.2023.8.16.0001</t>
        </is>
      </c>
      <c r="AM95" s="30" t="inlineStr">
        <is>
          <t>TJPR</t>
        </is>
      </c>
      <c r="AN95" s="30" t="inlineStr">
        <is>
          <t>ACTIVE</t>
        </is>
      </c>
      <c r="AO95" s="30" t="n">
        <v>2023</v>
      </c>
      <c r="AP95" s="30" t="inlineStr">
        <is>
          <t>live case, no plan document yet</t>
        </is>
      </c>
      <c r="AQ95" s="30" t="inlineStr"/>
      <c r="AR95" s="30" t="inlineStr">
        <is>
          <t>printed on the list (read twice)</t>
        </is>
      </c>
      <c r="AS95" s="30" t="inlineStr">
        <is>
          <t>HORTOLANDIA</t>
        </is>
      </c>
      <c r="AT95" s="30" t="inlineStr">
        <is>
          <t>SP</t>
        </is>
      </c>
      <c r="AU95" s="30" t="inlineStr">
        <is>
          <t>Fabricação de medicamentos alopáticos para uso humano</t>
        </is>
      </c>
      <c r="AV95" s="30" t="inlineStr">
        <is>
          <t>DEMAIS</t>
        </is>
      </c>
      <c r="AW95" s="31" t="n">
        <v>10272741</v>
      </c>
      <c r="AX95" s="30" t="inlineStr">
        <is>
          <t>MID-MARKET</t>
        </is>
      </c>
      <c r="AY95" s="30" t="inlineStr">
        <is>
          <t>45992062</t>
        </is>
      </c>
      <c r="AZ95" s="30" t="n">
        <v>1</v>
      </c>
      <c r="BA95" s="30" t="inlineStr">
        <is>
          <t>PARTIAL_DOC_CLASS_III_RECONCILED ROWS:p26r5</t>
        </is>
      </c>
    </row>
    <row r="96">
      <c r="A96" s="16" t="inlineStr">
        <is>
          <t>VENTUROSO, VALENTINI &amp; CIA LTDA</t>
        </is>
      </c>
      <c r="B96" s="17" t="n">
        <v>1687942.83</v>
      </c>
      <c r="C96" s="18" t="inlineStr">
        <is>
          <t>Grupo Rech</t>
        </is>
      </c>
      <c r="D96" s="19" t="inlineStr">
        <is>
          <t>NEW</t>
        </is>
      </c>
      <c r="E96" s="20" t="inlineStr"/>
      <c r="F96" s="19" t="inlineStr"/>
      <c r="G96" s="20" t="inlineStr"/>
      <c r="H96" s="19" t="inlineStr"/>
      <c r="I96" s="21" t="inlineStr">
        <is>
          <t>Frank Ferreira</t>
        </is>
      </c>
      <c r="J96" s="21" t="inlineStr">
        <is>
          <t>Coordenador de Desenvolvimento de Produtos</t>
        </is>
      </c>
      <c r="K96" s="21" t="inlineStr">
        <is>
          <t>(16) 3810-1704</t>
        </is>
      </c>
      <c r="L96" s="21" t="inlineStr">
        <is>
          <t>(16) 3810-1727</t>
        </is>
      </c>
      <c r="M96" s="21" t="inlineStr"/>
      <c r="N96" s="21" t="inlineStr">
        <is>
          <t>frank.ferreira@vv.com.br</t>
        </is>
      </c>
      <c r="O96" s="21" t="inlineStr"/>
      <c r="P96" s="21" t="inlineStr">
        <is>
          <t>Carlos Valentini</t>
        </is>
      </c>
      <c r="Q96" s="21" t="inlineStr">
        <is>
          <t>CEO</t>
        </is>
      </c>
      <c r="R96" s="21" t="inlineStr"/>
      <c r="S96" s="21" t="inlineStr"/>
      <c r="T96" s="21" t="inlineStr">
        <is>
          <t>email verified by Apollo</t>
        </is>
      </c>
      <c r="U96" s="22" t="n">
        <v>1687942.83</v>
      </c>
      <c r="V96" s="23" t="inlineStr">
        <is>
          <t>B</t>
        </is>
      </c>
      <c r="W96" s="24">
        <f>IFERROR(VLOOKUP(V96,Assumptions!$A$7:$F$11,2,FALSE),0)</f>
        <v/>
      </c>
      <c r="X96" s="25">
        <f>IF(V96="A",MAX(1,IFERROR(VLOOKUP(V96,Assumptions!$A$7:$F$11,3,FALSE),3)+IFERROR(VLOOKUP(V96,Assumptions!$A$7:$F$11,4,FALSE),8)/2-MAX(0,IF(AO96="",0,YEAR(TODAY())-AO96)-IFERROR(VLOOKUP(V96,Assumptions!$A$7:$F$11,5,FALSE),1.5))),IFERROR(VLOOKUP(V96,Assumptions!$A$7:$F$11,5,FALSE),2.5)+IFERROR(VLOOKUP(V96,Assumptions!$A$7:$F$11,3,FALSE),3)+IFERROR(VLOOKUP(V96,Assumptions!$A$7:$F$11,4,FALSE),8)/2)</f>
        <v/>
      </c>
      <c r="Y96" s="22">
        <f>U96*W96/(1+Assumptions!$B$3)^X96</f>
        <v/>
      </c>
      <c r="Z96" s="26">
        <f>IF(U96=0,"",ROUND(Y96/U96*100,1))</f>
        <v/>
      </c>
      <c r="AA96" s="27">
        <f>Y96*Assumptions!$B$4</f>
        <v/>
      </c>
      <c r="AB96" s="26">
        <f>IF(U96=0,"",ROUND(AA96/U96*100,1))</f>
        <v/>
      </c>
      <c r="AC96" s="27">
        <f>Y96-AA96</f>
        <v/>
      </c>
      <c r="AD96" s="26">
        <f>IF(U96=0,"",ROUND((Y96-AA96)/U96*100,1))</f>
        <v/>
      </c>
      <c r="AE96" s="36" t="inlineStr">
        <is>
          <t>CHECK — source is not a statutory creditor list</t>
        </is>
      </c>
      <c r="AF96" s="29" t="inlineStr">
        <is>
          <t>https://credibilita.com.br/wp-content/uploads/2025/09/Relacao-Credores-29.04.2026.pdf</t>
        </is>
      </c>
      <c r="AG96" s="28" t="inlineStr">
        <is>
          <t>p2 r24</t>
        </is>
      </c>
      <c r="AH96" s="28" t="inlineStr">
        <is>
          <t>p2: R$ 1.687.942,83</t>
        </is>
      </c>
      <c r="AI96" s="28" t="inlineStr">
        <is>
          <t>Quorum list — NOT an art. 7/51 list</t>
        </is>
      </c>
      <c r="AJ96" s="28" t="inlineStr"/>
      <c r="AK96" s="28" t="inlineStr">
        <is>
          <t>NONE FOUND</t>
        </is>
      </c>
      <c r="AL96" s="30" t="inlineStr">
        <is>
          <t>5057720-48.2025.8.24.0023</t>
        </is>
      </c>
      <c r="AM96" s="30" t="inlineStr">
        <is>
          <t>TJSC</t>
        </is>
      </c>
      <c r="AN96" s="30" t="inlineStr"/>
      <c r="AO96" s="30" t="n">
        <v>2025</v>
      </c>
      <c r="AP96" s="30" t="inlineStr">
        <is>
          <t>live case, no plan document yet</t>
        </is>
      </c>
      <c r="AQ96" s="30" t="inlineStr"/>
      <c r="AR96" s="30" t="inlineStr">
        <is>
          <t>portal page title / URL — not printed on the list</t>
        </is>
      </c>
      <c r="AS96" s="30" t="inlineStr">
        <is>
          <t>SAO JOAQUIM DA BARRA</t>
        </is>
      </c>
      <c r="AT96" s="30" t="inlineStr">
        <is>
          <t>SP</t>
        </is>
      </c>
      <c r="AU96" s="30" t="inlineStr">
        <is>
          <t>Fabricação de equipamentos de transmissão para fins industriais, exceto rolamentos</t>
        </is>
      </c>
      <c r="AV96" s="30" t="inlineStr">
        <is>
          <t>DEMAIS</t>
        </is>
      </c>
      <c r="AW96" s="31" t="n">
        <v>45130000</v>
      </c>
      <c r="AX96" s="30" t="inlineStr">
        <is>
          <t>MID-MARKET</t>
        </is>
      </c>
      <c r="AY96" s="30" t="inlineStr">
        <is>
          <t>59850115</t>
        </is>
      </c>
      <c r="AZ96" s="30" t="n">
        <v>1</v>
      </c>
      <c r="BA96" s="30" t="inlineStr">
        <is>
          <t>ROWS:p2r24 UNRECONCILED_SOURCE VALUE_COL:Valor_Após_Analise CASE_NUMBER_CORRECTED</t>
        </is>
      </c>
    </row>
    <row r="97">
      <c r="A97" s="16" t="inlineStr">
        <is>
          <t>COMPANHIA NITRO QUIMICA BRASILEIRA</t>
        </is>
      </c>
      <c r="B97" s="17" t="n">
        <v>1666504.92</v>
      </c>
      <c r="C97" s="37" t="inlineStr">
        <is>
          <t>(debtor not identified — see proof)</t>
        </is>
      </c>
      <c r="D97" s="19" t="inlineStr">
        <is>
          <t>NEW</t>
        </is>
      </c>
      <c r="E97" s="20" t="inlineStr"/>
      <c r="F97" s="19" t="inlineStr"/>
      <c r="G97" s="20" t="inlineStr"/>
      <c r="H97" s="19" t="inlineStr"/>
      <c r="I97" s="21" t="inlineStr">
        <is>
          <t>FRANCISCO JOSE CARRARA FAVA</t>
        </is>
      </c>
      <c r="J97" s="21" t="inlineStr">
        <is>
          <t>Diretor (RFB partner)</t>
        </is>
      </c>
      <c r="K97" s="21" t="inlineStr">
        <is>
          <t>(11) 2246-3214</t>
        </is>
      </c>
      <c r="L97" s="21" t="inlineStr">
        <is>
          <t>(11) 2246-3329</t>
        </is>
      </c>
      <c r="M97" s="21" t="inlineStr"/>
      <c r="N97" s="21" t="inlineStr"/>
      <c r="O97" s="21" t="inlineStr"/>
      <c r="P97" s="21" t="inlineStr">
        <is>
          <t>MARCOS ROMANOSKI</t>
        </is>
      </c>
      <c r="Q97" s="21" t="inlineStr">
        <is>
          <t>Diretor (RFB partner)</t>
        </is>
      </c>
      <c r="R97" s="21" t="inlineStr"/>
      <c r="S97" s="21" t="inlineStr"/>
      <c r="T97" s="21" t="inlineStr">
        <is>
          <t>RFB partner (QSA); no Apollo match</t>
        </is>
      </c>
      <c r="U97" s="22" t="n">
        <v>1666504.92</v>
      </c>
      <c r="V97" s="23" t="inlineStr">
        <is>
          <t>B</t>
        </is>
      </c>
      <c r="W97" s="24">
        <f>IFERROR(VLOOKUP(V97,Assumptions!$A$7:$F$11,2,FALSE),0)</f>
        <v/>
      </c>
      <c r="X97" s="25">
        <f>IF(V97="A",MAX(1,IFERROR(VLOOKUP(V97,Assumptions!$A$7:$F$11,3,FALSE),3)+IFERROR(VLOOKUP(V97,Assumptions!$A$7:$F$11,4,FALSE),8)/2-MAX(0,IF(AO97="",0,YEAR(TODAY())-AO97)-IFERROR(VLOOKUP(V97,Assumptions!$A$7:$F$11,5,FALSE),1.5))),IFERROR(VLOOKUP(V97,Assumptions!$A$7:$F$11,5,FALSE),2.5)+IFERROR(VLOOKUP(V97,Assumptions!$A$7:$F$11,3,FALSE),3)+IFERROR(VLOOKUP(V97,Assumptions!$A$7:$F$11,4,FALSE),8)/2)</f>
        <v/>
      </c>
      <c r="Y97" s="22">
        <f>U97*W97/(1+Assumptions!$B$3)^X97</f>
        <v/>
      </c>
      <c r="Z97" s="26">
        <f>IF(U97=0,"",ROUND(Y97/U97*100,1))</f>
        <v/>
      </c>
      <c r="AA97" s="27">
        <f>Y97*Assumptions!$B$4</f>
        <v/>
      </c>
      <c r="AB97" s="26">
        <f>IF(U97=0,"",ROUND(AA97/U97*100,1))</f>
        <v/>
      </c>
      <c r="AC97" s="27">
        <f>Y97-AA97</f>
        <v/>
      </c>
      <c r="AD97" s="26">
        <f>IF(U97=0,"",ROUND((Y97-AA97)/U97*100,1))</f>
        <v/>
      </c>
      <c r="AE97" s="33" t="inlineStr">
        <is>
          <t>NO TOTALS — list prints none; check page</t>
        </is>
      </c>
      <c r="AF97" s="29" t="inlineStr">
        <is>
          <t>https://scalzilliaj.com.br/sgc/download.php?file=files/processo_documento/processo_documento11421222052026_1_.pdf&amp;nome=08. Lista de credores do edital do art. 52, §1º da LREF</t>
        </is>
      </c>
      <c r="AG97" s="28" t="inlineStr">
        <is>
          <t>p4 r1</t>
        </is>
      </c>
      <c r="AH97" s="28" t="inlineStr">
        <is>
          <t>p4: R$ 1.666.504,92</t>
        </is>
      </c>
      <c r="AI97" s="28" t="inlineStr">
        <is>
          <t>Unclassified list</t>
        </is>
      </c>
      <c r="AJ97" s="28" t="inlineStr"/>
      <c r="AK97" s="28" t="inlineStr">
        <is>
          <t>NONE FOUND</t>
        </is>
      </c>
      <c r="AL97" s="30" t="inlineStr">
        <is>
          <t>5011369-81.2026.8.09.0093</t>
        </is>
      </c>
      <c r="AM97" s="30" t="inlineStr">
        <is>
          <t>TJGO</t>
        </is>
      </c>
      <c r="AN97" s="30" t="inlineStr">
        <is>
          <t>ACTIVE</t>
        </is>
      </c>
      <c r="AO97" s="30" t="n">
        <v>2026</v>
      </c>
      <c r="AP97" s="30" t="inlineStr">
        <is>
          <t>live case, no plan document yet</t>
        </is>
      </c>
      <c r="AQ97" s="30" t="inlineStr"/>
      <c r="AR97" s="30" t="inlineStr">
        <is>
          <t>not identified</t>
        </is>
      </c>
      <c r="AS97" s="30" t="inlineStr">
        <is>
          <t>SAO PAULO</t>
        </is>
      </c>
      <c r="AT97" s="30" t="inlineStr">
        <is>
          <t>SP</t>
        </is>
      </c>
      <c r="AU97" s="30" t="inlineStr">
        <is>
          <t>Fabricação de outros produtos químicos inorgânicos não especificados anteriormente</t>
        </is>
      </c>
      <c r="AV97" s="30" t="inlineStr">
        <is>
          <t>DEMAIS</t>
        </is>
      </c>
      <c r="AW97" s="31" t="n">
        <v>184980690</v>
      </c>
      <c r="AX97" s="30" t="inlineStr">
        <is>
          <t>MID-MARKET</t>
        </is>
      </c>
      <c r="AY97" s="30" t="inlineStr">
        <is>
          <t>61150348</t>
        </is>
      </c>
      <c r="AZ97" s="30" t="n">
        <v>1</v>
      </c>
      <c r="BA97" s="30" t="inlineStr">
        <is>
          <t>ROWS:p4r1 UNRECONCILED_SOURCE</t>
        </is>
      </c>
    </row>
    <row r="98">
      <c r="A98" s="16" t="inlineStr">
        <is>
          <t>DACARTO INDUSTRIA E COMERCIO DE PLASTICOS LTDA</t>
        </is>
      </c>
      <c r="B98" s="17" t="n">
        <v>1624039.19</v>
      </c>
      <c r="C98" s="18" t="inlineStr">
        <is>
          <t>Grupo Conduscabos</t>
        </is>
      </c>
      <c r="D98" s="19" t="inlineStr">
        <is>
          <t>NEW</t>
        </is>
      </c>
      <c r="E98" s="20" t="inlineStr"/>
      <c r="F98" s="19" t="inlineStr"/>
      <c r="G98" s="20" t="inlineStr"/>
      <c r="H98" s="19" t="inlineStr"/>
      <c r="I98" s="21" t="inlineStr">
        <is>
          <t>Barbara Alauck</t>
        </is>
      </c>
      <c r="J98" s="21" t="inlineStr">
        <is>
          <t>Analista de Tesouraria Sênior</t>
        </is>
      </c>
      <c r="K98" s="21" t="inlineStr">
        <is>
          <t>(11) 3658-9459</t>
        </is>
      </c>
      <c r="L98" s="21" t="inlineStr"/>
      <c r="M98" s="21" t="inlineStr"/>
      <c r="N98" s="21" t="inlineStr">
        <is>
          <t>barbara.alauck@dacarto.com.br</t>
        </is>
      </c>
      <c r="O98" s="21" t="inlineStr">
        <is>
          <t>andre.pacheco@dacarto.com.br</t>
        </is>
      </c>
      <c r="P98" s="21" t="inlineStr">
        <is>
          <t>Andre Pacheco</t>
        </is>
      </c>
      <c r="Q98" s="21" t="inlineStr">
        <is>
          <t>Gerente de Contas Pleno</t>
        </is>
      </c>
      <c r="R98" s="21" t="inlineStr"/>
      <c r="S98" s="21" t="inlineStr">
        <is>
          <t>andre.pacheco@dacarto.com.br</t>
        </is>
      </c>
      <c r="T98" s="21" t="inlineStr">
        <is>
          <t>email verified by Apollo</t>
        </is>
      </c>
      <c r="U98" s="22" t="n">
        <v>1624039.19</v>
      </c>
      <c r="V98" s="23" t="inlineStr">
        <is>
          <t>B</t>
        </is>
      </c>
      <c r="W98" s="24">
        <f>IFERROR(VLOOKUP(V98,Assumptions!$A$7:$F$11,2,FALSE),0)</f>
        <v/>
      </c>
      <c r="X98" s="25">
        <f>IF(V98="A",MAX(1,IFERROR(VLOOKUP(V98,Assumptions!$A$7:$F$11,3,FALSE),3)+IFERROR(VLOOKUP(V98,Assumptions!$A$7:$F$11,4,FALSE),8)/2-MAX(0,IF(AO98="",0,YEAR(TODAY())-AO98)-IFERROR(VLOOKUP(V98,Assumptions!$A$7:$F$11,5,FALSE),1.5))),IFERROR(VLOOKUP(V98,Assumptions!$A$7:$F$11,5,FALSE),2.5)+IFERROR(VLOOKUP(V98,Assumptions!$A$7:$F$11,3,FALSE),3)+IFERROR(VLOOKUP(V98,Assumptions!$A$7:$F$11,4,FALSE),8)/2)</f>
        <v/>
      </c>
      <c r="Y98" s="22">
        <f>U98*W98/(1+Assumptions!$B$3)^X98</f>
        <v/>
      </c>
      <c r="Z98" s="26">
        <f>IF(U98=0,"",ROUND(Y98/U98*100,1))</f>
        <v/>
      </c>
      <c r="AA98" s="27">
        <f>Y98*Assumptions!$B$4</f>
        <v/>
      </c>
      <c r="AB98" s="26">
        <f>IF(U98=0,"",ROUND(AA98/U98*100,1))</f>
        <v/>
      </c>
      <c r="AC98" s="27">
        <f>Y98-AA98</f>
        <v/>
      </c>
      <c r="AD98" s="26">
        <f>IF(U98=0,"",ROUND((Y98-AA98)/U98*100,1))</f>
        <v/>
      </c>
      <c r="AE98" s="33" t="inlineStr">
        <is>
          <t>NO TOTALS — list prints none; check page</t>
        </is>
      </c>
      <c r="AF98" s="29" t="inlineStr">
        <is>
          <t>https://assistjud.com.br/wp-content/uploads/elementor/forms/65098c80a5824.pdf</t>
        </is>
      </c>
      <c r="AG98" s="28" t="inlineStr">
        <is>
          <t>p6 r12; p6 r13</t>
        </is>
      </c>
      <c r="AH98" s="28" t="inlineStr">
        <is>
          <t>p6: R$ 534.318,75; p6: R$ 1.089.720,44</t>
        </is>
      </c>
      <c r="AI98" s="28" t="inlineStr">
        <is>
          <t>AJ list (art. 7 §2)</t>
        </is>
      </c>
      <c r="AJ98" s="28" t="inlineStr">
        <is>
          <t>2023-09-18</t>
        </is>
      </c>
      <c r="AK98" s="28" t="inlineStr">
        <is>
          <t>NONE FOUND</t>
        </is>
      </c>
      <c r="AL98" s="30" t="inlineStr">
        <is>
          <t>8005129-09.2023.8.05.0039</t>
        </is>
      </c>
      <c r="AM98" s="30" t="inlineStr">
        <is>
          <t>TJBA</t>
        </is>
      </c>
      <c r="AN98" s="30" t="inlineStr">
        <is>
          <t>ACTIVE</t>
        </is>
      </c>
      <c r="AO98" s="30" t="n">
        <v>2023</v>
      </c>
      <c r="AP98" s="30" t="inlineStr">
        <is>
          <t>live case, no plan document yet</t>
        </is>
      </c>
      <c r="AQ98" s="30" t="inlineStr"/>
      <c r="AR98" s="30" t="inlineStr">
        <is>
          <t>printed on the list (read twice)</t>
        </is>
      </c>
      <c r="AS98" s="30" t="inlineStr">
        <is>
          <t>OSASCO</t>
        </is>
      </c>
      <c r="AT98" s="30" t="inlineStr">
        <is>
          <t>SP</t>
        </is>
      </c>
      <c r="AU98" s="30" t="inlineStr">
        <is>
          <t>Fabricação de artefatos de material plástico para outros usos não especificados anteriormente</t>
        </is>
      </c>
      <c r="AV98" s="30" t="inlineStr">
        <is>
          <t>DEMAIS</t>
        </is>
      </c>
      <c r="AW98" s="31" t="n">
        <v>62111836</v>
      </c>
      <c r="AX98" s="30" t="inlineStr">
        <is>
          <t>MID-MARKET</t>
        </is>
      </c>
      <c r="AY98" s="30" t="inlineStr">
        <is>
          <t>62143847</t>
        </is>
      </c>
      <c r="AZ98" s="30" t="n">
        <v>2</v>
      </c>
      <c r="BA98" s="30" t="inlineStr">
        <is>
          <t>ROWS:p6r12,p6r13 UNRECONCILED_SOURCE</t>
        </is>
      </c>
    </row>
    <row r="99">
      <c r="A99" s="16" t="inlineStr">
        <is>
          <t>BRUSINOX INDUSTRIA COMERCIO MAQUINAS EQUIPAMENTOS LTDA.</t>
        </is>
      </c>
      <c r="B99" s="17" t="n">
        <v>870843.88</v>
      </c>
      <c r="C99" s="18" t="inlineStr">
        <is>
          <t>GRUPO 3E</t>
        </is>
      </c>
      <c r="D99" s="19" t="inlineStr">
        <is>
          <t>NEW</t>
        </is>
      </c>
      <c r="E99" s="20" t="inlineStr"/>
      <c r="F99" s="19" t="inlineStr"/>
      <c r="G99" s="20" t="inlineStr"/>
      <c r="H99" s="19" t="inlineStr"/>
      <c r="I99" s="21" t="inlineStr">
        <is>
          <t>Marcos Brandt</t>
        </is>
      </c>
      <c r="J99" s="21" t="inlineStr">
        <is>
          <t>(no title)</t>
        </is>
      </c>
      <c r="K99" s="21" t="inlineStr">
        <is>
          <t>(47) 3351-4500</t>
        </is>
      </c>
      <c r="L99" s="21" t="inlineStr"/>
      <c r="M99" s="21" t="inlineStr"/>
      <c r="N99" s="21" t="inlineStr">
        <is>
          <t>marcos@brusinox.com.br</t>
        </is>
      </c>
      <c r="O99" s="21" t="inlineStr">
        <is>
          <t>marcos@brusinox.com.br</t>
        </is>
      </c>
      <c r="P99" s="21" t="inlineStr">
        <is>
          <t>Marcos Brandt</t>
        </is>
      </c>
      <c r="Q99" s="21" t="inlineStr">
        <is>
          <t>(no title)</t>
        </is>
      </c>
      <c r="R99" s="21" t="inlineStr"/>
      <c r="S99" s="21" t="inlineStr">
        <is>
          <t>marcos@brusinox.com.br</t>
        </is>
      </c>
      <c r="T99" s="21" t="inlineStr">
        <is>
          <t>email verified by Apollo</t>
        </is>
      </c>
      <c r="U99" s="22" t="n">
        <v>870843.88</v>
      </c>
      <c r="V99" s="35" t="inlineStr">
        <is>
          <t>A</t>
        </is>
      </c>
      <c r="W99" s="24">
        <f>IFERROR(VLOOKUP(V99,Assumptions!$A$7:$F$11,2,FALSE),0)</f>
        <v/>
      </c>
      <c r="X99" s="25">
        <f>IF(V99="A",MAX(1,IFERROR(VLOOKUP(V99,Assumptions!$A$7:$F$11,3,FALSE),3)+IFERROR(VLOOKUP(V99,Assumptions!$A$7:$F$11,4,FALSE),8)/2-MAX(0,IF(AO99="",0,YEAR(TODAY())-AO99)-IFERROR(VLOOKUP(V99,Assumptions!$A$7:$F$11,5,FALSE),1.5))),IFERROR(VLOOKUP(V99,Assumptions!$A$7:$F$11,5,FALSE),2.5)+IFERROR(VLOOKUP(V99,Assumptions!$A$7:$F$11,3,FALSE),3)+IFERROR(VLOOKUP(V99,Assumptions!$A$7:$F$11,4,FALSE),8)/2)</f>
        <v/>
      </c>
      <c r="Y99" s="22">
        <f>U99*W99/(1+Assumptions!$B$3)^X99</f>
        <v/>
      </c>
      <c r="Z99" s="26">
        <f>IF(U99=0,"",ROUND(Y99/U99*100,1))</f>
        <v/>
      </c>
      <c r="AA99" s="27">
        <f>Y99*Assumptions!$B$4</f>
        <v/>
      </c>
      <c r="AB99" s="26">
        <f>IF(U99=0,"",ROUND(AA99/U99*100,1))</f>
        <v/>
      </c>
      <c r="AC99" s="27">
        <f>Y99-AA99</f>
        <v/>
      </c>
      <c r="AD99" s="26">
        <f>IF(U99=0,"",ROUND((Y99-AA99)/U99*100,1))</f>
        <v/>
      </c>
      <c r="AE99" s="33" t="inlineStr">
        <is>
          <t>NO TOTALS — list prints none; check page</t>
        </is>
      </c>
      <c r="AF99" s="29" t="inlineStr">
        <is>
          <t>https://stenius.com.br/wp-content/uploads/2026/06/EDITAL-GRUPO-3E.pdf</t>
        </is>
      </c>
      <c r="AG99" s="28" t="inlineStr">
        <is>
          <t>p11 r17</t>
        </is>
      </c>
      <c r="AH99" s="28" t="inlineStr">
        <is>
          <t>p11: R$ 870.843,88</t>
        </is>
      </c>
      <c r="AI99" s="28" t="inlineStr">
        <is>
          <t>Debtor list (art. 51)</t>
        </is>
      </c>
      <c r="AJ99" s="28" t="inlineStr">
        <is>
          <t>2026-06-22</t>
        </is>
      </c>
      <c r="AK99" s="28" t="inlineStr">
        <is>
          <t>PLAN DOC FOUND</t>
        </is>
      </c>
      <c r="AL99" s="30" t="inlineStr">
        <is>
          <t>5341375-33.2026.8.09.0049</t>
        </is>
      </c>
      <c r="AM99" s="30" t="inlineStr">
        <is>
          <t>TJGO</t>
        </is>
      </c>
      <c r="AN99" s="30" t="inlineStr">
        <is>
          <t>ACTIVE</t>
        </is>
      </c>
      <c r="AO99" s="30" t="n">
        <v>2026</v>
      </c>
      <c r="AP99" s="30" t="inlineStr">
        <is>
          <t>plan/homologation document found</t>
        </is>
      </c>
      <c r="AQ99" s="30" t="inlineStr"/>
      <c r="AR99" s="30" t="inlineStr">
        <is>
          <t>printed on the list (read twice)</t>
        </is>
      </c>
      <c r="AS99" s="30" t="inlineStr">
        <is>
          <t>BRUSQUE</t>
        </is>
      </c>
      <c r="AT99" s="30" t="inlineStr">
        <is>
          <t>SC</t>
        </is>
      </c>
      <c r="AU99" s="30" t="inlineStr">
        <is>
          <t>Fabricação de outras máquinas e equipamentos de uso geral não especificados anteriormente, peças e acessórios</t>
        </is>
      </c>
      <c r="AV99" s="30" t="inlineStr">
        <is>
          <t>DEMAIS</t>
        </is>
      </c>
      <c r="AW99" s="31" t="n">
        <v>2000000</v>
      </c>
      <c r="AX99" s="30" t="inlineStr">
        <is>
          <t>MID-MARKET</t>
        </is>
      </c>
      <c r="AY99" s="30" t="inlineStr">
        <is>
          <t>00939873</t>
        </is>
      </c>
      <c r="AZ99" s="30" t="n">
        <v>1</v>
      </c>
      <c r="BA99" s="30" t="inlineStr">
        <is>
          <t>ROWS:p11r17 UNRECONCILED_SOURCE</t>
        </is>
      </c>
    </row>
    <row r="100">
      <c r="A100" s="16" t="inlineStr">
        <is>
          <t>FARMAX S.A.</t>
        </is>
      </c>
      <c r="B100" s="17" t="n">
        <v>1610365.54</v>
      </c>
      <c r="C100" s="18" t="inlineStr">
        <is>
          <t>GRUPO DP4</t>
        </is>
      </c>
      <c r="D100" s="19" t="inlineStr">
        <is>
          <t>NEW</t>
        </is>
      </c>
      <c r="E100" s="20" t="inlineStr"/>
      <c r="F100" s="19" t="inlineStr"/>
      <c r="G100" s="20" t="inlineStr"/>
      <c r="H100" s="19" t="inlineStr"/>
      <c r="I100" s="21" t="inlineStr">
        <is>
          <t>Rodrigo Amoroso</t>
        </is>
      </c>
      <c r="J100" s="21" t="inlineStr">
        <is>
          <t>Head de Tesouraria e Controladoria</t>
        </is>
      </c>
      <c r="K100" s="21" t="inlineStr">
        <is>
          <t>(37) 2101-9696</t>
        </is>
      </c>
      <c r="L100" s="21" t="inlineStr">
        <is>
          <t>(37) 2101-9603</t>
        </is>
      </c>
      <c r="M100" s="21" t="inlineStr"/>
      <c r="N100" s="21" t="inlineStr"/>
      <c r="O100" s="21" t="inlineStr">
        <is>
          <t>joziane.rachid@farmax.com.br</t>
        </is>
      </c>
      <c r="P100" s="21" t="inlineStr">
        <is>
          <t>Joziane Rachid</t>
        </is>
      </c>
      <c r="Q100" s="21" t="inlineStr">
        <is>
          <t>Analista Crédito e Cobrança</t>
        </is>
      </c>
      <c r="R100" s="21" t="inlineStr"/>
      <c r="S100" s="21" t="inlineStr">
        <is>
          <t>joziane.rachid@farmax.com.br</t>
        </is>
      </c>
      <c r="T100" s="21" t="inlineStr">
        <is>
          <t>no work email found in Apollo</t>
        </is>
      </c>
      <c r="U100" s="22" t="n">
        <v>1610365.54</v>
      </c>
      <c r="V100" s="23" t="inlineStr">
        <is>
          <t>B</t>
        </is>
      </c>
      <c r="W100" s="24">
        <f>IFERROR(VLOOKUP(V100,Assumptions!$A$7:$F$11,2,FALSE),0)</f>
        <v/>
      </c>
      <c r="X100" s="25">
        <f>IF(V100="A",MAX(1,IFERROR(VLOOKUP(V100,Assumptions!$A$7:$F$11,3,FALSE),3)+IFERROR(VLOOKUP(V100,Assumptions!$A$7:$F$11,4,FALSE),8)/2-MAX(0,IF(AO100="",0,YEAR(TODAY())-AO100)-IFERROR(VLOOKUP(V100,Assumptions!$A$7:$F$11,5,FALSE),1.5))),IFERROR(VLOOKUP(V100,Assumptions!$A$7:$F$11,5,FALSE),2.5)+IFERROR(VLOOKUP(V100,Assumptions!$A$7:$F$11,3,FALSE),3)+IFERROR(VLOOKUP(V100,Assumptions!$A$7:$F$11,4,FALSE),8)/2)</f>
        <v/>
      </c>
      <c r="Y100" s="22">
        <f>U100*W100/(1+Assumptions!$B$3)^X100</f>
        <v/>
      </c>
      <c r="Z100" s="26">
        <f>IF(U100=0,"",ROUND(Y100/U100*100,1))</f>
        <v/>
      </c>
      <c r="AA100" s="27">
        <f>Y100*Assumptions!$B$4</f>
        <v/>
      </c>
      <c r="AB100" s="26">
        <f>IF(U100=0,"",ROUND(AA100/U100*100,1))</f>
        <v/>
      </c>
      <c r="AC100" s="27">
        <f>Y100-AA100</f>
        <v/>
      </c>
      <c r="AD100" s="26">
        <f>IF(U100=0,"",ROUND((Y100-AA100)/U100*100,1))</f>
        <v/>
      </c>
      <c r="AE100" s="34" t="inlineStr">
        <is>
          <t>PARTIAL — class III reconciled, other classes not</t>
        </is>
      </c>
      <c r="AF100" s="29" t="inlineStr">
        <is>
          <t>https://marquesadmjudicial.com.br/sgc/download.php?file=files/processo_documento/processo_documento15293208032024_1_.pdf&amp;nome=Relação Nominal de Credores da AJ-Sintética</t>
        </is>
      </c>
      <c r="AG100" s="28" t="inlineStr">
        <is>
          <t>p25 r6</t>
        </is>
      </c>
      <c r="AH100" s="28" t="inlineStr">
        <is>
          <t>p25: R$ 1.610.365,54</t>
        </is>
      </c>
      <c r="AI100" s="28" t="inlineStr">
        <is>
          <t>AJ list (art. 7 §2)</t>
        </is>
      </c>
      <c r="AJ100" s="28" t="inlineStr">
        <is>
          <t>2023-03-02</t>
        </is>
      </c>
      <c r="AK100" s="28" t="inlineStr">
        <is>
          <t>NONE FOUND</t>
        </is>
      </c>
      <c r="AL100" s="30" t="inlineStr">
        <is>
          <t>0005010-98.2023.8.16.0001</t>
        </is>
      </c>
      <c r="AM100" s="30" t="inlineStr">
        <is>
          <t>TJPR</t>
        </is>
      </c>
      <c r="AN100" s="30" t="inlineStr">
        <is>
          <t>ACTIVE</t>
        </is>
      </c>
      <c r="AO100" s="30" t="n">
        <v>2023</v>
      </c>
      <c r="AP100" s="30" t="inlineStr">
        <is>
          <t>live case, no plan document yet</t>
        </is>
      </c>
      <c r="AQ100" s="30" t="inlineStr"/>
      <c r="AR100" s="30" t="inlineStr">
        <is>
          <t>printed on the list (read twice)</t>
        </is>
      </c>
      <c r="AS100" s="30" t="inlineStr">
        <is>
          <t>DIVINOPOLIS</t>
        </is>
      </c>
      <c r="AT100" s="30" t="inlineStr">
        <is>
          <t>MG</t>
        </is>
      </c>
      <c r="AU100" s="30" t="inlineStr">
        <is>
          <t>Fabricação de cosméticos, produtos de perfumaria e de higiene pessoal</t>
        </is>
      </c>
      <c r="AV100" s="30" t="inlineStr">
        <is>
          <t>DEMAIS</t>
        </is>
      </c>
      <c r="AW100" s="31" t="n">
        <v>611989760</v>
      </c>
      <c r="AX100" s="30" t="inlineStr">
        <is>
          <t>LARGE CORP</t>
        </is>
      </c>
      <c r="AY100" s="30" t="inlineStr">
        <is>
          <t>21759758</t>
        </is>
      </c>
      <c r="AZ100" s="30" t="n">
        <v>1</v>
      </c>
      <c r="BA100" s="30" t="inlineStr">
        <is>
          <t>PARTIAL_DOC_CLASS_III_RECONCILED ROWS:p25r6</t>
        </is>
      </c>
    </row>
    <row r="101">
      <c r="A101" s="16" t="inlineStr">
        <is>
          <t>ROCHE DIABETES CARE BRASIL LTDA</t>
        </is>
      </c>
      <c r="B101" s="17" t="n">
        <v>1608447.77</v>
      </c>
      <c r="C101" s="18" t="inlineStr">
        <is>
          <t>GRUPO DP4</t>
        </is>
      </c>
      <c r="D101" s="19" t="inlineStr">
        <is>
          <t>NEW</t>
        </is>
      </c>
      <c r="E101" s="20" t="inlineStr"/>
      <c r="F101" s="19" t="inlineStr"/>
      <c r="G101" s="20" t="inlineStr"/>
      <c r="H101" s="19" t="inlineStr"/>
      <c r="I101" s="21" t="inlineStr">
        <is>
          <t>ANA TUNON ORRICO</t>
        </is>
      </c>
      <c r="J101" s="21" t="inlineStr">
        <is>
          <t>Administrador (RFB partner)</t>
        </is>
      </c>
      <c r="K101" s="21" t="inlineStr">
        <is>
          <t>(11) 3719-8888</t>
        </is>
      </c>
      <c r="L101" s="21" t="inlineStr"/>
      <c r="M101" s="21" t="inlineStr"/>
      <c r="N101" s="21" t="inlineStr"/>
      <c r="O101" s="21" t="inlineStr"/>
      <c r="P101" s="21" t="inlineStr">
        <is>
          <t>CAMILA HERNANDEZ MUSLEH</t>
        </is>
      </c>
      <c r="Q101" s="21" t="inlineStr">
        <is>
          <t>Administrador (RFB partner)</t>
        </is>
      </c>
      <c r="R101" s="21" t="inlineStr"/>
      <c r="S101" s="21" t="inlineStr"/>
      <c r="T101" s="21" t="inlineStr">
        <is>
          <t>RFB partner (QSA); no Apollo match</t>
        </is>
      </c>
      <c r="U101" s="22" t="n">
        <v>1608447.77</v>
      </c>
      <c r="V101" s="23" t="inlineStr">
        <is>
          <t>B</t>
        </is>
      </c>
      <c r="W101" s="24">
        <f>IFERROR(VLOOKUP(V101,Assumptions!$A$7:$F$11,2,FALSE),0)</f>
        <v/>
      </c>
      <c r="X101" s="25">
        <f>IF(V101="A",MAX(1,IFERROR(VLOOKUP(V101,Assumptions!$A$7:$F$11,3,FALSE),3)+IFERROR(VLOOKUP(V101,Assumptions!$A$7:$F$11,4,FALSE),8)/2-MAX(0,IF(AO101="",0,YEAR(TODAY())-AO101)-IFERROR(VLOOKUP(V101,Assumptions!$A$7:$F$11,5,FALSE),1.5))),IFERROR(VLOOKUP(V101,Assumptions!$A$7:$F$11,5,FALSE),2.5)+IFERROR(VLOOKUP(V101,Assumptions!$A$7:$F$11,3,FALSE),3)+IFERROR(VLOOKUP(V101,Assumptions!$A$7:$F$11,4,FALSE),8)/2)</f>
        <v/>
      </c>
      <c r="Y101" s="22">
        <f>U101*W101/(1+Assumptions!$B$3)^X101</f>
        <v/>
      </c>
      <c r="Z101" s="26">
        <f>IF(U101=0,"",ROUND(Y101/U101*100,1))</f>
        <v/>
      </c>
      <c r="AA101" s="27">
        <f>Y101*Assumptions!$B$4</f>
        <v/>
      </c>
      <c r="AB101" s="26">
        <f>IF(U101=0,"",ROUND(AA101/U101*100,1))</f>
        <v/>
      </c>
      <c r="AC101" s="27">
        <f>Y101-AA101</f>
        <v/>
      </c>
      <c r="AD101" s="26">
        <f>IF(U101=0,"",ROUND((Y101-AA101)/U101*100,1))</f>
        <v/>
      </c>
      <c r="AE101" s="34" t="inlineStr">
        <is>
          <t>PARTIAL — class III reconciled, other classes not</t>
        </is>
      </c>
      <c r="AF101" s="29" t="inlineStr">
        <is>
          <t>https://marquesadmjudicial.com.br/sgc/download.php?file=files/processo_documento/processo_documento15293208032024_1_.pdf&amp;nome=Relação Nominal de Credores da AJ-Sintética</t>
        </is>
      </c>
      <c r="AG101" s="28" t="inlineStr">
        <is>
          <t>p30 r12</t>
        </is>
      </c>
      <c r="AH101" s="28" t="inlineStr">
        <is>
          <t>p30: R$ 1.608.447,77</t>
        </is>
      </c>
      <c r="AI101" s="28" t="inlineStr">
        <is>
          <t>AJ list (art. 7 §2)</t>
        </is>
      </c>
      <c r="AJ101" s="28" t="inlineStr">
        <is>
          <t>2023-03-02</t>
        </is>
      </c>
      <c r="AK101" s="28" t="inlineStr">
        <is>
          <t>NONE FOUND</t>
        </is>
      </c>
      <c r="AL101" s="30" t="inlineStr">
        <is>
          <t>0005010-98.2023.8.16.0001</t>
        </is>
      </c>
      <c r="AM101" s="30" t="inlineStr">
        <is>
          <t>TJPR</t>
        </is>
      </c>
      <c r="AN101" s="30" t="inlineStr">
        <is>
          <t>ACTIVE</t>
        </is>
      </c>
      <c r="AO101" s="30" t="n">
        <v>2023</v>
      </c>
      <c r="AP101" s="30" t="inlineStr">
        <is>
          <t>live case, no plan document yet</t>
        </is>
      </c>
      <c r="AQ101" s="30" t="inlineStr"/>
      <c r="AR101" s="30" t="inlineStr">
        <is>
          <t>printed on the list (read twice)</t>
        </is>
      </c>
      <c r="AS101" s="30" t="inlineStr">
        <is>
          <t>SAO PAULO</t>
        </is>
      </c>
      <c r="AT101" s="30" t="inlineStr">
        <is>
          <t>SP</t>
        </is>
      </c>
      <c r="AU101" s="30" t="inlineStr">
        <is>
          <t>Serviços combinados de escritório e apoio administrativo</t>
        </is>
      </c>
      <c r="AV101" s="30" t="inlineStr">
        <is>
          <t>DEMAIS</t>
        </is>
      </c>
      <c r="AW101" s="31" t="n">
        <v>44388330</v>
      </c>
      <c r="AX101" s="30" t="inlineStr">
        <is>
          <t>MID-MARKET</t>
        </is>
      </c>
      <c r="AY101" s="30" t="inlineStr">
        <is>
          <t>23552212</t>
        </is>
      </c>
      <c r="AZ101" s="30" t="n">
        <v>1</v>
      </c>
      <c r="BA101" s="30" t="inlineStr">
        <is>
          <t>PARTIAL_DOC_CLASS_III_RECONCILED ROWS:p30r12</t>
        </is>
      </c>
    </row>
    <row r="102">
      <c r="A102" s="16" t="inlineStr">
        <is>
          <t>BRACELL SP CELULOSE LTDA</t>
        </is>
      </c>
      <c r="B102" s="17" t="n">
        <v>3000000</v>
      </c>
      <c r="C102" s="37" t="inlineStr">
        <is>
          <t>(debtor not identified — see proof)</t>
        </is>
      </c>
      <c r="D102" s="19" t="inlineStr">
        <is>
          <t>NEW</t>
        </is>
      </c>
      <c r="E102" s="20" t="inlineStr"/>
      <c r="F102" s="19" t="inlineStr"/>
      <c r="G102" s="20" t="inlineStr"/>
      <c r="H102" s="19" t="inlineStr"/>
      <c r="I102" s="21" t="inlineStr">
        <is>
          <t>William Troelsen</t>
        </is>
      </c>
      <c r="J102" s="21" t="inlineStr">
        <is>
          <t>Financial Director</t>
        </is>
      </c>
      <c r="K102" s="21" t="inlineStr">
        <is>
          <t>(14) 3269-5100</t>
        </is>
      </c>
      <c r="L102" s="21" t="inlineStr"/>
      <c r="M102" s="21" t="inlineStr"/>
      <c r="N102" s="21" t="inlineStr">
        <is>
          <t>william_troelsen@bracell.com</t>
        </is>
      </c>
      <c r="O102" s="21" t="inlineStr">
        <is>
          <t>ariadne_vilar@bracell.com</t>
        </is>
      </c>
      <c r="P102" s="21" t="inlineStr">
        <is>
          <t>Ariadne Vilar</t>
        </is>
      </c>
      <c r="Q102" s="21" t="inlineStr">
        <is>
          <t>Coordenadora de Tesouraria</t>
        </is>
      </c>
      <c r="R102" s="21" t="inlineStr"/>
      <c r="S102" s="21" t="inlineStr">
        <is>
          <t>ariadne_vilar@bracell.com</t>
        </is>
      </c>
      <c r="T102" s="21" t="inlineStr">
        <is>
          <t>email verified by Apollo</t>
        </is>
      </c>
      <c r="U102" s="22" t="n">
        <v>3000000</v>
      </c>
      <c r="V102" s="32" t="inlineStr">
        <is>
          <t>U</t>
        </is>
      </c>
      <c r="W102" s="24">
        <f>IFERROR(VLOOKUP(V102,Assumptions!$A$7:$F$11,2,FALSE),0)</f>
        <v/>
      </c>
      <c r="X102" s="25">
        <f>IF(V102="A",MAX(1,IFERROR(VLOOKUP(V102,Assumptions!$A$7:$F$11,3,FALSE),3)+IFERROR(VLOOKUP(V102,Assumptions!$A$7:$F$11,4,FALSE),8)/2-MAX(0,IF(AO102="",0,YEAR(TODAY())-AO102)-IFERROR(VLOOKUP(V102,Assumptions!$A$7:$F$11,5,FALSE),1.5))),IFERROR(VLOOKUP(V102,Assumptions!$A$7:$F$11,5,FALSE),2.5)+IFERROR(VLOOKUP(V102,Assumptions!$A$7:$F$11,3,FALSE),3)+IFERROR(VLOOKUP(V102,Assumptions!$A$7:$F$11,4,FALSE),8)/2)</f>
        <v/>
      </c>
      <c r="Y102" s="22">
        <f>U102*W102/(1+Assumptions!$B$3)^X102</f>
        <v/>
      </c>
      <c r="Z102" s="26">
        <f>IF(U102=0,"",ROUND(Y102/U102*100,1))</f>
        <v/>
      </c>
      <c r="AA102" s="27">
        <f>Y102*Assumptions!$B$4</f>
        <v/>
      </c>
      <c r="AB102" s="26">
        <f>IF(U102=0,"",ROUND(AA102/U102*100,1))</f>
        <v/>
      </c>
      <c r="AC102" s="27">
        <f>Y102-AA102</f>
        <v/>
      </c>
      <c r="AD102" s="26">
        <f>IF(U102=0,"",ROUND((Y102-AA102)/U102*100,1))</f>
        <v/>
      </c>
      <c r="AE102" s="28" t="inlineStr">
        <is>
          <t>OK — totals reconciled</t>
        </is>
      </c>
      <c r="AF102" s="29" t="inlineStr">
        <is>
          <t>https://ajruiz.com.br/sites/default/files/public/arquivos-processos/2023-11/4_relacao_de_credores_analitica_art._51_iii_da_lre.pdf</t>
        </is>
      </c>
      <c r="AG102" s="28" t="inlineStr">
        <is>
          <t>p2 r21</t>
        </is>
      </c>
      <c r="AH102" s="28" t="inlineStr">
        <is>
          <t>p2: R$ 3.000.000,00</t>
        </is>
      </c>
      <c r="AI102" s="28" t="inlineStr">
        <is>
          <t>Unclassified list</t>
        </is>
      </c>
      <c r="AJ102" s="28" t="inlineStr"/>
      <c r="AK102" s="28" t="inlineStr">
        <is>
          <t>NONE FOUND</t>
        </is>
      </c>
      <c r="AL102" s="30" t="inlineStr">
        <is>
          <t>(not printed)</t>
        </is>
      </c>
      <c r="AM102" s="30" t="inlineStr"/>
      <c r="AN102" s="30" t="inlineStr"/>
      <c r="AO102" s="30" t="inlineStr"/>
      <c r="AP102" s="30" t="inlineStr">
        <is>
          <t>RJ case number not identified on the document</t>
        </is>
      </c>
      <c r="AQ102" s="30" t="inlineStr"/>
      <c r="AR102" s="30" t="inlineStr">
        <is>
          <t>not identified</t>
        </is>
      </c>
      <c r="AS102" s="30" t="inlineStr">
        <is>
          <t>LENCOIS PAULISTA</t>
        </is>
      </c>
      <c r="AT102" s="30" t="inlineStr">
        <is>
          <t>SP</t>
        </is>
      </c>
      <c r="AU102" s="30" t="inlineStr">
        <is>
          <t>Fabricação de celulose e outras pastas para a fabricação de papel</t>
        </is>
      </c>
      <c r="AV102" s="30" t="inlineStr">
        <is>
          <t>DEMAIS</t>
        </is>
      </c>
      <c r="AW102" s="31" t="n">
        <v>2878296600</v>
      </c>
      <c r="AX102" s="30" t="inlineStr">
        <is>
          <t>LARGE CORP</t>
        </is>
      </c>
      <c r="AY102" s="30" t="inlineStr">
        <is>
          <t>53943098</t>
        </is>
      </c>
      <c r="AZ102" s="30" t="n">
        <v>1</v>
      </c>
      <c r="BA102" s="30" t="inlineStr">
        <is>
          <t>ALT_VALUE:cliente ROWS:p2r21 VALUE_COL:Valor_Do_Crédito CASE_NUMBER_CORRECTED</t>
        </is>
      </c>
    </row>
    <row r="103">
      <c r="A103" s="16" t="inlineStr">
        <is>
          <t>KARINA PLASTICOS LTDA</t>
        </is>
      </c>
      <c r="B103" s="17" t="n">
        <v>1557723.71</v>
      </c>
      <c r="C103" s="18" t="inlineStr">
        <is>
          <t>Grupo Conduscabos</t>
        </is>
      </c>
      <c r="D103" s="19" t="inlineStr">
        <is>
          <t>NEW</t>
        </is>
      </c>
      <c r="E103" s="20" t="inlineStr"/>
      <c r="F103" s="19" t="inlineStr"/>
      <c r="G103" s="20" t="inlineStr"/>
      <c r="H103" s="19" t="inlineStr"/>
      <c r="I103" s="21" t="inlineStr">
        <is>
          <t>Camila Sartori</t>
        </is>
      </c>
      <c r="J103" s="21" t="inlineStr">
        <is>
          <t>Coordenadora de Crédito e Cobrança</t>
        </is>
      </c>
      <c r="K103" s="21" t="inlineStr">
        <is>
          <t>(11) 2440-8477</t>
        </is>
      </c>
      <c r="L103" s="21" t="inlineStr">
        <is>
          <t>(11) 2463-2920</t>
        </is>
      </c>
      <c r="M103" s="21" t="inlineStr"/>
      <c r="N103" s="21" t="inlineStr"/>
      <c r="O103" s="21" t="inlineStr">
        <is>
          <t>fernando.costa@karina.com.br</t>
        </is>
      </c>
      <c r="P103" s="21" t="inlineStr">
        <is>
          <t>Fernando Costa</t>
        </is>
      </c>
      <c r="Q103" s="21" t="inlineStr">
        <is>
          <t>Director</t>
        </is>
      </c>
      <c r="R103" s="21" t="inlineStr"/>
      <c r="S103" s="21" t="inlineStr">
        <is>
          <t>fernando.costa@karina.com.br</t>
        </is>
      </c>
      <c r="T103" s="21" t="inlineStr">
        <is>
          <t>no work email found in Apollo</t>
        </is>
      </c>
      <c r="U103" s="22" t="n">
        <v>1557723.71</v>
      </c>
      <c r="V103" s="23" t="inlineStr">
        <is>
          <t>B</t>
        </is>
      </c>
      <c r="W103" s="24">
        <f>IFERROR(VLOOKUP(V103,Assumptions!$A$7:$F$11,2,FALSE),0)</f>
        <v/>
      </c>
      <c r="X103" s="25">
        <f>IF(V103="A",MAX(1,IFERROR(VLOOKUP(V103,Assumptions!$A$7:$F$11,3,FALSE),3)+IFERROR(VLOOKUP(V103,Assumptions!$A$7:$F$11,4,FALSE),8)/2-MAX(0,IF(AO103="",0,YEAR(TODAY())-AO103)-IFERROR(VLOOKUP(V103,Assumptions!$A$7:$F$11,5,FALSE),1.5))),IFERROR(VLOOKUP(V103,Assumptions!$A$7:$F$11,5,FALSE),2.5)+IFERROR(VLOOKUP(V103,Assumptions!$A$7:$F$11,3,FALSE),3)+IFERROR(VLOOKUP(V103,Assumptions!$A$7:$F$11,4,FALSE),8)/2)</f>
        <v/>
      </c>
      <c r="Y103" s="22">
        <f>U103*W103/(1+Assumptions!$B$3)^X103</f>
        <v/>
      </c>
      <c r="Z103" s="26">
        <f>IF(U103=0,"",ROUND(Y103/U103*100,1))</f>
        <v/>
      </c>
      <c r="AA103" s="27">
        <f>Y103*Assumptions!$B$4</f>
        <v/>
      </c>
      <c r="AB103" s="26">
        <f>IF(U103=0,"",ROUND(AA103/U103*100,1))</f>
        <v/>
      </c>
      <c r="AC103" s="27">
        <f>Y103-AA103</f>
        <v/>
      </c>
      <c r="AD103" s="26">
        <f>IF(U103=0,"",ROUND((Y103-AA103)/U103*100,1))</f>
        <v/>
      </c>
      <c r="AE103" s="33" t="inlineStr">
        <is>
          <t>NO TOTALS — list prints none; check page</t>
        </is>
      </c>
      <c r="AF103" s="29" t="inlineStr">
        <is>
          <t>https://assistjud.com.br/wp-content/uploads/elementor/forms/65098c80a5824.pdf</t>
        </is>
      </c>
      <c r="AG103" s="28" t="inlineStr">
        <is>
          <t>p8 r5</t>
        </is>
      </c>
      <c r="AH103" s="28" t="inlineStr">
        <is>
          <t>p8: R$ 1.557.723,71</t>
        </is>
      </c>
      <c r="AI103" s="28" t="inlineStr">
        <is>
          <t>AJ list (art. 7 §2)</t>
        </is>
      </c>
      <c r="AJ103" s="28" t="inlineStr">
        <is>
          <t>2023-09-18</t>
        </is>
      </c>
      <c r="AK103" s="28" t="inlineStr">
        <is>
          <t>NONE FOUND</t>
        </is>
      </c>
      <c r="AL103" s="30" t="inlineStr">
        <is>
          <t>8005129-09.2023.8.05.0039</t>
        </is>
      </c>
      <c r="AM103" s="30" t="inlineStr">
        <is>
          <t>TJBA</t>
        </is>
      </c>
      <c r="AN103" s="30" t="inlineStr">
        <is>
          <t>ACTIVE</t>
        </is>
      </c>
      <c r="AO103" s="30" t="n">
        <v>2023</v>
      </c>
      <c r="AP103" s="30" t="inlineStr">
        <is>
          <t>live case, no plan document yet</t>
        </is>
      </c>
      <c r="AQ103" s="30" t="inlineStr"/>
      <c r="AR103" s="30" t="inlineStr">
        <is>
          <t>printed on the list (read twice)</t>
        </is>
      </c>
      <c r="AS103" s="30" t="inlineStr">
        <is>
          <t>GUARULHOS</t>
        </is>
      </c>
      <c r="AT103" s="30" t="inlineStr">
        <is>
          <t>SP</t>
        </is>
      </c>
      <c r="AU103" s="30" t="inlineStr">
        <is>
          <t>Fabricação de resinas termoplásticas</t>
        </is>
      </c>
      <c r="AV103" s="30" t="inlineStr">
        <is>
          <t>DEMAIS</t>
        </is>
      </c>
      <c r="AW103" s="31" t="n">
        <v>50000000</v>
      </c>
      <c r="AX103" s="30" t="inlineStr">
        <is>
          <t>MID-MARKET</t>
        </is>
      </c>
      <c r="AY103" s="30" t="inlineStr">
        <is>
          <t>51254159</t>
        </is>
      </c>
      <c r="AZ103" s="30" t="n">
        <v>1</v>
      </c>
      <c r="BA103" s="30" t="inlineStr">
        <is>
          <t>ROWS:p8r5 UNRECONCILED_SOURCE</t>
        </is>
      </c>
    </row>
    <row r="104">
      <c r="A104" s="16" t="inlineStr">
        <is>
          <t>RECYCLE BAG INDUSTRIA E SERVICOS LTDA</t>
        </is>
      </c>
      <c r="B104" s="17" t="n">
        <v>1547270.31</v>
      </c>
      <c r="C104" s="18" t="inlineStr">
        <is>
          <t>TOP TEXTIL EMBALAGENS LTDA</t>
        </is>
      </c>
      <c r="D104" s="19" t="inlineStr">
        <is>
          <t>NEW</t>
        </is>
      </c>
      <c r="E104" s="20" t="inlineStr"/>
      <c r="F104" s="19" t="inlineStr"/>
      <c r="G104" s="20" t="inlineStr"/>
      <c r="H104" s="19" t="inlineStr"/>
      <c r="I104" s="21" t="inlineStr">
        <is>
          <t>LUIZA CRISTHINA MIRANDA CORREA</t>
        </is>
      </c>
      <c r="J104" s="21" t="inlineStr">
        <is>
          <t>Sócio-Administrador (RFB partner)</t>
        </is>
      </c>
      <c r="K104" s="21" t="inlineStr">
        <is>
          <t>(33) 3339-1000</t>
        </is>
      </c>
      <c r="L104" s="21" t="inlineStr"/>
      <c r="M104" s="21" t="inlineStr"/>
      <c r="N104" s="21" t="inlineStr"/>
      <c r="O104" s="21" t="inlineStr"/>
      <c r="P104" s="21" t="inlineStr"/>
      <c r="Q104" s="21" t="inlineStr"/>
      <c r="R104" s="21" t="inlineStr"/>
      <c r="S104" s="21" t="inlineStr"/>
      <c r="T104" s="21" t="inlineStr">
        <is>
          <t>RFB partner (QSA); no Apollo match</t>
        </is>
      </c>
      <c r="U104" s="22" t="n">
        <v>1547270.31</v>
      </c>
      <c r="V104" s="23" t="inlineStr">
        <is>
          <t>B</t>
        </is>
      </c>
      <c r="W104" s="24">
        <f>IFERROR(VLOOKUP(V104,Assumptions!$A$7:$F$11,2,FALSE),0)</f>
        <v/>
      </c>
      <c r="X104" s="25">
        <f>IF(V104="A",MAX(1,IFERROR(VLOOKUP(V104,Assumptions!$A$7:$F$11,3,FALSE),3)+IFERROR(VLOOKUP(V104,Assumptions!$A$7:$F$11,4,FALSE),8)/2-MAX(0,IF(AO104="",0,YEAR(TODAY())-AO104)-IFERROR(VLOOKUP(V104,Assumptions!$A$7:$F$11,5,FALSE),1.5))),IFERROR(VLOOKUP(V104,Assumptions!$A$7:$F$11,5,FALSE),2.5)+IFERROR(VLOOKUP(V104,Assumptions!$A$7:$F$11,3,FALSE),3)+IFERROR(VLOOKUP(V104,Assumptions!$A$7:$F$11,4,FALSE),8)/2)</f>
        <v/>
      </c>
      <c r="Y104" s="22">
        <f>U104*W104/(1+Assumptions!$B$3)^X104</f>
        <v/>
      </c>
      <c r="Z104" s="26">
        <f>IF(U104=0,"",ROUND(Y104/U104*100,1))</f>
        <v/>
      </c>
      <c r="AA104" s="27">
        <f>Y104*Assumptions!$B$4</f>
        <v/>
      </c>
      <c r="AB104" s="26">
        <f>IF(U104=0,"",ROUND(AA104/U104*100,1))</f>
        <v/>
      </c>
      <c r="AC104" s="27">
        <f>Y104-AA104</f>
        <v/>
      </c>
      <c r="AD104" s="26">
        <f>IF(U104=0,"",ROUND((Y104-AA104)/U104*100,1))</f>
        <v/>
      </c>
      <c r="AE104" s="33" t="inlineStr">
        <is>
          <t>NO TOTALS — list prints none; check page</t>
        </is>
      </c>
      <c r="AF104" s="29" t="inlineStr">
        <is>
          <t>https://cataliseaj.com.br/sgc/download.php?file=files/processo_documento/processo_documento15092204102024_1_.pdf&amp;nome=02. RELAÇÃO DE CREDORES</t>
        </is>
      </c>
      <c r="AG104" s="28" t="inlineStr">
        <is>
          <t>p3 r10</t>
        </is>
      </c>
      <c r="AH104" s="28" t="inlineStr">
        <is>
          <t>p3: R$ 1.547.270,31</t>
        </is>
      </c>
      <c r="AI104" s="28" t="inlineStr">
        <is>
          <t>Debtor list (art. 51)</t>
        </is>
      </c>
      <c r="AJ104" s="28" t="inlineStr"/>
      <c r="AK104" s="28" t="inlineStr">
        <is>
          <t>NONE FOUND</t>
        </is>
      </c>
      <c r="AL104" s="30" t="inlineStr">
        <is>
          <t>5011460-87.2023.8.24.0020</t>
        </is>
      </c>
      <c r="AM104" s="30" t="inlineStr">
        <is>
          <t>TJSC</t>
        </is>
      </c>
      <c r="AN104" s="30" t="inlineStr">
        <is>
          <t>ACTIVE</t>
        </is>
      </c>
      <c r="AO104" s="30" t="n">
        <v>2023</v>
      </c>
      <c r="AP104" s="30" t="inlineStr">
        <is>
          <t>live case, no plan document yet</t>
        </is>
      </c>
      <c r="AQ104" s="30" t="inlineStr">
        <is>
          <t>26.588.741/0001-29</t>
        </is>
      </c>
      <c r="AR104" s="30" t="inlineStr">
        <is>
          <t>printed on the list (read twice)</t>
        </is>
      </c>
      <c r="AS104" s="30" t="inlineStr">
        <is>
          <t>MANHUACU</t>
        </is>
      </c>
      <c r="AT104" s="30" t="inlineStr">
        <is>
          <t>MG</t>
        </is>
      </c>
      <c r="AU104" s="30" t="inlineStr">
        <is>
          <t>Fabricação de outros produtos têxteis não especificados anteriormente</t>
        </is>
      </c>
      <c r="AV104" s="30" t="inlineStr">
        <is>
          <t>EMPRESA DE PEQUENO PORTE</t>
        </is>
      </c>
      <c r="AW104" s="31" t="n">
        <v>6000000</v>
      </c>
      <c r="AX104" s="30" t="inlineStr">
        <is>
          <t>SMALL</t>
        </is>
      </c>
      <c r="AY104" s="30" t="inlineStr">
        <is>
          <t>23141884</t>
        </is>
      </c>
      <c r="AZ104" s="30" t="n">
        <v>1</v>
      </c>
      <c r="BA104" s="30" t="inlineStr">
        <is>
          <t>ROWS:p3r10 UNRECONCILED_SOURCE</t>
        </is>
      </c>
    </row>
    <row r="105">
      <c r="A105" s="16" t="inlineStr">
        <is>
          <t>FML INCORPORADORA LTDA</t>
        </is>
      </c>
      <c r="B105" s="17" t="n">
        <v>1535860.08</v>
      </c>
      <c r="C105" s="18" t="inlineStr">
        <is>
          <t>GRUPO DP4</t>
        </is>
      </c>
      <c r="D105" s="19" t="inlineStr">
        <is>
          <t>NEW</t>
        </is>
      </c>
      <c r="E105" s="20" t="inlineStr"/>
      <c r="F105" s="19" t="inlineStr"/>
      <c r="G105" s="20" t="inlineStr"/>
      <c r="H105" s="19" t="inlineStr"/>
      <c r="I105" s="21" t="inlineStr">
        <is>
          <t>JOSE CARLOS SALVADORI</t>
        </is>
      </c>
      <c r="J105" s="21" t="inlineStr">
        <is>
          <t>Administrador (RFB partner)</t>
        </is>
      </c>
      <c r="K105" s="21" t="inlineStr">
        <is>
          <t>(41) 2169-2874</t>
        </is>
      </c>
      <c r="L105" s="21" t="inlineStr">
        <is>
          <t>(41) 2169-2800</t>
        </is>
      </c>
      <c r="M105" s="21" t="inlineStr"/>
      <c r="N105" s="21" t="inlineStr"/>
      <c r="O105" s="21" t="inlineStr"/>
      <c r="P105" s="21" t="inlineStr"/>
      <c r="Q105" s="21" t="inlineStr"/>
      <c r="R105" s="21" t="inlineStr"/>
      <c r="S105" s="21" t="inlineStr"/>
      <c r="T105" s="21" t="inlineStr">
        <is>
          <t>RFB partner (QSA); no Apollo match</t>
        </is>
      </c>
      <c r="U105" s="22" t="n">
        <v>1535860.08</v>
      </c>
      <c r="V105" s="23" t="inlineStr">
        <is>
          <t>B</t>
        </is>
      </c>
      <c r="W105" s="24">
        <f>IFERROR(VLOOKUP(V105,Assumptions!$A$7:$F$11,2,FALSE),0)</f>
        <v/>
      </c>
      <c r="X105" s="25">
        <f>IF(V105="A",MAX(1,IFERROR(VLOOKUP(V105,Assumptions!$A$7:$F$11,3,FALSE),3)+IFERROR(VLOOKUP(V105,Assumptions!$A$7:$F$11,4,FALSE),8)/2-MAX(0,IF(AO105="",0,YEAR(TODAY())-AO105)-IFERROR(VLOOKUP(V105,Assumptions!$A$7:$F$11,5,FALSE),1.5))),IFERROR(VLOOKUP(V105,Assumptions!$A$7:$F$11,5,FALSE),2.5)+IFERROR(VLOOKUP(V105,Assumptions!$A$7:$F$11,3,FALSE),3)+IFERROR(VLOOKUP(V105,Assumptions!$A$7:$F$11,4,FALSE),8)/2)</f>
        <v/>
      </c>
      <c r="Y105" s="22">
        <f>U105*W105/(1+Assumptions!$B$3)^X105</f>
        <v/>
      </c>
      <c r="Z105" s="26">
        <f>IF(U105=0,"",ROUND(Y105/U105*100,1))</f>
        <v/>
      </c>
      <c r="AA105" s="27">
        <f>Y105*Assumptions!$B$4</f>
        <v/>
      </c>
      <c r="AB105" s="26">
        <f>IF(U105=0,"",ROUND(AA105/U105*100,1))</f>
        <v/>
      </c>
      <c r="AC105" s="27">
        <f>Y105-AA105</f>
        <v/>
      </c>
      <c r="AD105" s="26">
        <f>IF(U105=0,"",ROUND((Y105-AA105)/U105*100,1))</f>
        <v/>
      </c>
      <c r="AE105" s="34" t="inlineStr">
        <is>
          <t>PARTIAL — class III reconciled, other classes not</t>
        </is>
      </c>
      <c r="AF105" s="29" t="inlineStr">
        <is>
          <t>https://marquesadmjudicial.com.br/sgc/download.php?file=files/processo_documento/processo_documento15293208032024_1_.pdf&amp;nome=Relação Nominal de Credores da AJ-Sintética</t>
        </is>
      </c>
      <c r="AG105" s="28" t="inlineStr">
        <is>
          <t>p25 r10</t>
        </is>
      </c>
      <c r="AH105" s="28" t="inlineStr">
        <is>
          <t>p25: R$ 1.535.860,08</t>
        </is>
      </c>
      <c r="AI105" s="28" t="inlineStr">
        <is>
          <t>AJ list (art. 7 §2)</t>
        </is>
      </c>
      <c r="AJ105" s="28" t="inlineStr">
        <is>
          <t>2023-03-02</t>
        </is>
      </c>
      <c r="AK105" s="28" t="inlineStr">
        <is>
          <t>NONE FOUND</t>
        </is>
      </c>
      <c r="AL105" s="30" t="inlineStr">
        <is>
          <t>0005010-98.2023.8.16.0001</t>
        </is>
      </c>
      <c r="AM105" s="30" t="inlineStr">
        <is>
          <t>TJPR</t>
        </is>
      </c>
      <c r="AN105" s="30" t="inlineStr">
        <is>
          <t>ACTIVE</t>
        </is>
      </c>
      <c r="AO105" s="30" t="n">
        <v>2023</v>
      </c>
      <c r="AP105" s="30" t="inlineStr">
        <is>
          <t>live case, no plan document yet</t>
        </is>
      </c>
      <c r="AQ105" s="30" t="inlineStr"/>
      <c r="AR105" s="30" t="inlineStr">
        <is>
          <t>printed on the list (read twice)</t>
        </is>
      </c>
      <c r="AS105" s="30" t="inlineStr">
        <is>
          <t>CURITIBA</t>
        </is>
      </c>
      <c r="AT105" s="30" t="inlineStr">
        <is>
          <t>PR</t>
        </is>
      </c>
      <c r="AU105" s="30" t="inlineStr">
        <is>
          <t>Incorporação de empreendimentos imobiliários</t>
        </is>
      </c>
      <c r="AV105" s="30" t="inlineStr">
        <is>
          <t>DEMAIS</t>
        </is>
      </c>
      <c r="AW105" s="31" t="n">
        <v>3659577</v>
      </c>
      <c r="AX105" s="30" t="inlineStr">
        <is>
          <t>MID-MARKET</t>
        </is>
      </c>
      <c r="AY105" s="30" t="inlineStr">
        <is>
          <t>75724070</t>
        </is>
      </c>
      <c r="AZ105" s="30" t="n">
        <v>1</v>
      </c>
      <c r="BA105" s="30" t="inlineStr">
        <is>
          <t>PARTIAL_DOC_CLASS_III_RECONCILED ROWS:p25r10</t>
        </is>
      </c>
    </row>
    <row r="106">
      <c r="A106" s="16" t="inlineStr">
        <is>
          <t>MOJ CONSULTORIA E NEGOCIOS S/A</t>
        </is>
      </c>
      <c r="B106" s="17" t="n">
        <v>1528248.6</v>
      </c>
      <c r="C106" s="18" t="inlineStr">
        <is>
          <t>VENEZA SERVIÇOS ADMINISTRATIVOS LTDA.</t>
        </is>
      </c>
      <c r="D106" s="19" t="inlineStr">
        <is>
          <t>NEW</t>
        </is>
      </c>
      <c r="E106" s="20" t="inlineStr"/>
      <c r="F106" s="19" t="inlineStr"/>
      <c r="G106" s="20" t="inlineStr"/>
      <c r="H106" s="19" t="inlineStr"/>
      <c r="I106" s="21" t="inlineStr">
        <is>
          <t>ANA MARIA ALVES DA ROCHA NEVES</t>
        </is>
      </c>
      <c r="J106" s="21" t="inlineStr">
        <is>
          <t>Diretor (RFB partner)</t>
        </is>
      </c>
      <c r="K106" s="21" t="inlineStr">
        <is>
          <t>(21) 4106-5038</t>
        </is>
      </c>
      <c r="L106" s="21" t="inlineStr"/>
      <c r="M106" s="21" t="inlineStr"/>
      <c r="N106" s="21" t="inlineStr"/>
      <c r="O106" s="21" t="inlineStr"/>
      <c r="P106" s="21" t="inlineStr">
        <is>
          <t>SAMELA VAZ DOS SANTOS</t>
        </is>
      </c>
      <c r="Q106" s="21" t="inlineStr">
        <is>
          <t>Diretor (RFB partner)</t>
        </is>
      </c>
      <c r="R106" s="21" t="inlineStr"/>
      <c r="S106" s="21" t="inlineStr"/>
      <c r="T106" s="21" t="inlineStr">
        <is>
          <t>RFB partner (QSA); no Apollo match</t>
        </is>
      </c>
      <c r="U106" s="22" t="n">
        <v>1528248.6</v>
      </c>
      <c r="V106" s="23" t="inlineStr">
        <is>
          <t>B</t>
        </is>
      </c>
      <c r="W106" s="24">
        <f>IFERROR(VLOOKUP(V106,Assumptions!$A$7:$F$11,2,FALSE),0)</f>
        <v/>
      </c>
      <c r="X106" s="25">
        <f>IF(V106="A",MAX(1,IFERROR(VLOOKUP(V106,Assumptions!$A$7:$F$11,3,FALSE),3)+IFERROR(VLOOKUP(V106,Assumptions!$A$7:$F$11,4,FALSE),8)/2-MAX(0,IF(AO106="",0,YEAR(TODAY())-AO106)-IFERROR(VLOOKUP(V106,Assumptions!$A$7:$F$11,5,FALSE),1.5))),IFERROR(VLOOKUP(V106,Assumptions!$A$7:$F$11,5,FALSE),2.5)+IFERROR(VLOOKUP(V106,Assumptions!$A$7:$F$11,3,FALSE),3)+IFERROR(VLOOKUP(V106,Assumptions!$A$7:$F$11,4,FALSE),8)/2)</f>
        <v/>
      </c>
      <c r="Y106" s="22">
        <f>U106*W106/(1+Assumptions!$B$3)^X106</f>
        <v/>
      </c>
      <c r="Z106" s="26">
        <f>IF(U106=0,"",ROUND(Y106/U106*100,1))</f>
        <v/>
      </c>
      <c r="AA106" s="27">
        <f>Y106*Assumptions!$B$4</f>
        <v/>
      </c>
      <c r="AB106" s="26">
        <f>IF(U106=0,"",ROUND(AA106/U106*100,1))</f>
        <v/>
      </c>
      <c r="AC106" s="27">
        <f>Y106-AA106</f>
        <v/>
      </c>
      <c r="AD106" s="26">
        <f>IF(U106=0,"",ROUND((Y106-AA106)/U106*100,1))</f>
        <v/>
      </c>
      <c r="AE106" s="28" t="inlineStr">
        <is>
          <t>OK — totals reconciled</t>
        </is>
      </c>
      <c r="AF106" s="29" t="inlineStr">
        <is>
          <t>https://bugarimecoelho.com.br/ws/media-library/b6b7ea42b9fa2afe30bc728fe00cd5c6/07---edital-do-processamento-da-recuperacao-judicial.pdf</t>
        </is>
      </c>
      <c r="AG106" s="28" t="inlineStr">
        <is>
          <t>p16 r10</t>
        </is>
      </c>
      <c r="AH106" s="28" t="inlineStr">
        <is>
          <t>p16: R$ 1.528.248,60</t>
        </is>
      </c>
      <c r="AI106" s="28" t="inlineStr">
        <is>
          <t>Unclassified list</t>
        </is>
      </c>
      <c r="AJ106" s="28" t="inlineStr">
        <is>
          <t>2026-07-09</t>
        </is>
      </c>
      <c r="AK106" s="28" t="inlineStr">
        <is>
          <t>NONE FOUND</t>
        </is>
      </c>
      <c r="AL106" s="30" t="inlineStr">
        <is>
          <t>3000117-40.2025.8.06.0512</t>
        </is>
      </c>
      <c r="AM106" s="30" t="inlineStr">
        <is>
          <t>TJCE</t>
        </is>
      </c>
      <c r="AN106" s="30" t="inlineStr">
        <is>
          <t>ACTIVE</t>
        </is>
      </c>
      <c r="AO106" s="30" t="n">
        <v>2025</v>
      </c>
      <c r="AP106" s="30" t="inlineStr">
        <is>
          <t>live case, no plan document yet</t>
        </is>
      </c>
      <c r="AQ106" s="30" t="inlineStr">
        <is>
          <t>11.399.787/0001-22</t>
        </is>
      </c>
      <c r="AR106" s="30" t="inlineStr">
        <is>
          <t>printed on the list (read twice)</t>
        </is>
      </c>
      <c r="AS106" s="30" t="inlineStr">
        <is>
          <t>RIO DE JANEIRO</t>
        </is>
      </c>
      <c r="AT106" s="30" t="inlineStr">
        <is>
          <t>RJ</t>
        </is>
      </c>
      <c r="AU106" s="30" t="inlineStr">
        <is>
          <t>Atividades de produção cinematográfica, de vídeos e de programas de televisão não especificadas anteriormente</t>
        </is>
      </c>
      <c r="AV106" s="30" t="inlineStr">
        <is>
          <t>DEMAIS</t>
        </is>
      </c>
      <c r="AW106" s="31" t="n">
        <v>10000</v>
      </c>
      <c r="AX106" s="30" t="inlineStr">
        <is>
          <t>MID-MARKET</t>
        </is>
      </c>
      <c r="AY106" s="30" t="inlineStr">
        <is>
          <t>21132562</t>
        </is>
      </c>
      <c r="AZ106" s="30" t="n">
        <v>1</v>
      </c>
      <c r="BA106" s="30" t="inlineStr">
        <is>
          <t>ROWS:p16r10</t>
        </is>
      </c>
    </row>
    <row r="107">
      <c r="A107" s="16" t="inlineStr">
        <is>
          <t>BELLOTA BRASIL LTDA</t>
        </is>
      </c>
      <c r="B107" s="17" t="n">
        <v>1492675.94</v>
      </c>
      <c r="C107" s="18" t="inlineStr">
        <is>
          <t>Grupo Rech</t>
        </is>
      </c>
      <c r="D107" s="19" t="inlineStr">
        <is>
          <t>NEW</t>
        </is>
      </c>
      <c r="E107" s="20" t="inlineStr"/>
      <c r="F107" s="19" t="inlineStr"/>
      <c r="G107" s="20" t="inlineStr"/>
      <c r="H107" s="19" t="inlineStr"/>
      <c r="I107" s="21" t="inlineStr">
        <is>
          <t>Cleuri Decker</t>
        </is>
      </c>
      <c r="J107" s="21" t="inlineStr">
        <is>
          <t>Operations Manager</t>
        </is>
      </c>
      <c r="K107" s="21" t="inlineStr">
        <is>
          <t>(47) 3301-8030</t>
        </is>
      </c>
      <c r="L107" s="21" t="inlineStr"/>
      <c r="M107" s="21" t="inlineStr"/>
      <c r="N107" s="21" t="inlineStr"/>
      <c r="O107" s="21" t="inlineStr">
        <is>
          <t>jose.renato@bellota.com.br</t>
        </is>
      </c>
      <c r="P107" s="21" t="inlineStr">
        <is>
          <t>Jose Renato</t>
        </is>
      </c>
      <c r="Q107" s="21" t="inlineStr">
        <is>
          <t>Cost Analyst</t>
        </is>
      </c>
      <c r="R107" s="21" t="inlineStr"/>
      <c r="S107" s="21" t="inlineStr">
        <is>
          <t>jose.renato@bellota.com.br</t>
        </is>
      </c>
      <c r="T107" s="21" t="inlineStr">
        <is>
          <t>no work email found in Apollo</t>
        </is>
      </c>
      <c r="U107" s="22" t="n">
        <v>1492675.94</v>
      </c>
      <c r="V107" s="23" t="inlineStr">
        <is>
          <t>B</t>
        </is>
      </c>
      <c r="W107" s="24">
        <f>IFERROR(VLOOKUP(V107,Assumptions!$A$7:$F$11,2,FALSE),0)</f>
        <v/>
      </c>
      <c r="X107" s="25">
        <f>IF(V107="A",MAX(1,IFERROR(VLOOKUP(V107,Assumptions!$A$7:$F$11,3,FALSE),3)+IFERROR(VLOOKUP(V107,Assumptions!$A$7:$F$11,4,FALSE),8)/2-MAX(0,IF(AO107="",0,YEAR(TODAY())-AO107)-IFERROR(VLOOKUP(V107,Assumptions!$A$7:$F$11,5,FALSE),1.5))),IFERROR(VLOOKUP(V107,Assumptions!$A$7:$F$11,5,FALSE),2.5)+IFERROR(VLOOKUP(V107,Assumptions!$A$7:$F$11,3,FALSE),3)+IFERROR(VLOOKUP(V107,Assumptions!$A$7:$F$11,4,FALSE),8)/2)</f>
        <v/>
      </c>
      <c r="Y107" s="22">
        <f>U107*W107/(1+Assumptions!$B$3)^X107</f>
        <v/>
      </c>
      <c r="Z107" s="26">
        <f>IF(U107=0,"",ROUND(Y107/U107*100,1))</f>
        <v/>
      </c>
      <c r="AA107" s="27">
        <f>Y107*Assumptions!$B$4</f>
        <v/>
      </c>
      <c r="AB107" s="26">
        <f>IF(U107=0,"",ROUND(AA107/U107*100,1))</f>
        <v/>
      </c>
      <c r="AC107" s="27">
        <f>Y107-AA107</f>
        <v/>
      </c>
      <c r="AD107" s="26">
        <f>IF(U107=0,"",ROUND((Y107-AA107)/U107*100,1))</f>
        <v/>
      </c>
      <c r="AE107" s="36" t="inlineStr">
        <is>
          <t>CHECK — source is not a statutory creditor list</t>
        </is>
      </c>
      <c r="AF107" s="29" t="inlineStr">
        <is>
          <t>https://credibilita.com.br/wp-content/uploads/2025/09/Relacao-Credores-29.04.2026.pdf</t>
        </is>
      </c>
      <c r="AG107" s="28" t="inlineStr">
        <is>
          <t>p1 r14</t>
        </is>
      </c>
      <c r="AH107" s="28" t="inlineStr">
        <is>
          <t>p1: R$ 1.492.675,94</t>
        </is>
      </c>
      <c r="AI107" s="28" t="inlineStr">
        <is>
          <t>Quorum list — NOT an art. 7/51 list</t>
        </is>
      </c>
      <c r="AJ107" s="28" t="inlineStr"/>
      <c r="AK107" s="28" t="inlineStr">
        <is>
          <t>NONE FOUND</t>
        </is>
      </c>
      <c r="AL107" s="30" t="inlineStr">
        <is>
          <t>5057720-48.2025.8.24.0023</t>
        </is>
      </c>
      <c r="AM107" s="30" t="inlineStr">
        <is>
          <t>TJSC</t>
        </is>
      </c>
      <c r="AN107" s="30" t="inlineStr"/>
      <c r="AO107" s="30" t="n">
        <v>2025</v>
      </c>
      <c r="AP107" s="30" t="inlineStr">
        <is>
          <t>live case, no plan document yet</t>
        </is>
      </c>
      <c r="AQ107" s="30" t="inlineStr"/>
      <c r="AR107" s="30" t="inlineStr">
        <is>
          <t>portal page title / URL — not printed on the list</t>
        </is>
      </c>
      <c r="AS107" s="30" t="inlineStr">
        <is>
          <t>INDAIAL</t>
        </is>
      </c>
      <c r="AT107" s="30" t="inlineStr">
        <is>
          <t>SC</t>
        </is>
      </c>
      <c r="AU107" s="30" t="inlineStr">
        <is>
          <t>Fabricação de máquinas e equipamentos para a agricultura e pecuária, peças e acessórios, exceto para irrigação</t>
        </is>
      </c>
      <c r="AV107" s="30" t="inlineStr">
        <is>
          <t>DEMAIS</t>
        </is>
      </c>
      <c r="AW107" s="31" t="n">
        <v>53247908</v>
      </c>
      <c r="AX107" s="30" t="inlineStr">
        <is>
          <t>MID-MARKET</t>
        </is>
      </c>
      <c r="AY107" s="30" t="inlineStr">
        <is>
          <t>02588815</t>
        </is>
      </c>
      <c r="AZ107" s="30" t="n">
        <v>1</v>
      </c>
      <c r="BA107" s="30" t="inlineStr">
        <is>
          <t>ROWS:p1r14 UNRECONCILED_SOURCE VALUE_COL:Valor_Após_Analise CASE_NUMBER_CORRECTED</t>
        </is>
      </c>
    </row>
    <row r="108">
      <c r="A108" s="16" t="inlineStr">
        <is>
          <t>NATULAB LABORATORIO S.A</t>
        </is>
      </c>
      <c r="B108" s="17" t="n">
        <v>1481337.86</v>
      </c>
      <c r="C108" s="18" t="inlineStr">
        <is>
          <t>GRUPO DP4</t>
        </is>
      </c>
      <c r="D108" s="19" t="inlineStr">
        <is>
          <t>NEW</t>
        </is>
      </c>
      <c r="E108" s="20" t="inlineStr"/>
      <c r="F108" s="19" t="inlineStr"/>
      <c r="G108" s="20" t="inlineStr"/>
      <c r="H108" s="19" t="inlineStr"/>
      <c r="I108" s="21" t="inlineStr">
        <is>
          <t>Alexandre Yazbek</t>
        </is>
      </c>
      <c r="J108" s="21" t="inlineStr">
        <is>
          <t>CFO | Diretor Financeiro</t>
        </is>
      </c>
      <c r="K108" s="21" t="inlineStr">
        <is>
          <t>(75) 3311-5555</t>
        </is>
      </c>
      <c r="L108" s="21" t="inlineStr"/>
      <c r="M108" s="21" t="inlineStr"/>
      <c r="N108" s="21" t="inlineStr">
        <is>
          <t>alexandreyazbek@natulab.com.br</t>
        </is>
      </c>
      <c r="O108" s="21" t="inlineStr">
        <is>
          <t>emersonpimentel@natulab.com.br</t>
        </is>
      </c>
      <c r="P108" s="21" t="inlineStr">
        <is>
          <t>Emerson Pimentel</t>
        </is>
      </c>
      <c r="Q108" s="21" t="inlineStr">
        <is>
          <t>Analista de Crédito e Cobrança Sênior</t>
        </is>
      </c>
      <c r="R108" s="21" t="inlineStr"/>
      <c r="S108" s="21" t="inlineStr">
        <is>
          <t>emersonpimentel@natulab.com.br</t>
        </is>
      </c>
      <c r="T108" s="21" t="inlineStr">
        <is>
          <t>email verified by Apollo</t>
        </is>
      </c>
      <c r="U108" s="22" t="n">
        <v>1481337.86</v>
      </c>
      <c r="V108" s="23" t="inlineStr">
        <is>
          <t>B</t>
        </is>
      </c>
      <c r="W108" s="24">
        <f>IFERROR(VLOOKUP(V108,Assumptions!$A$7:$F$11,2,FALSE),0)</f>
        <v/>
      </c>
      <c r="X108" s="25">
        <f>IF(V108="A",MAX(1,IFERROR(VLOOKUP(V108,Assumptions!$A$7:$F$11,3,FALSE),3)+IFERROR(VLOOKUP(V108,Assumptions!$A$7:$F$11,4,FALSE),8)/2-MAX(0,IF(AO108="",0,YEAR(TODAY())-AO108)-IFERROR(VLOOKUP(V108,Assumptions!$A$7:$F$11,5,FALSE),1.5))),IFERROR(VLOOKUP(V108,Assumptions!$A$7:$F$11,5,FALSE),2.5)+IFERROR(VLOOKUP(V108,Assumptions!$A$7:$F$11,3,FALSE),3)+IFERROR(VLOOKUP(V108,Assumptions!$A$7:$F$11,4,FALSE),8)/2)</f>
        <v/>
      </c>
      <c r="Y108" s="22">
        <f>U108*W108/(1+Assumptions!$B$3)^X108</f>
        <v/>
      </c>
      <c r="Z108" s="26">
        <f>IF(U108=0,"",ROUND(Y108/U108*100,1))</f>
        <v/>
      </c>
      <c r="AA108" s="27">
        <f>Y108*Assumptions!$B$4</f>
        <v/>
      </c>
      <c r="AB108" s="26">
        <f>IF(U108=0,"",ROUND(AA108/U108*100,1))</f>
        <v/>
      </c>
      <c r="AC108" s="27">
        <f>Y108-AA108</f>
        <v/>
      </c>
      <c r="AD108" s="26">
        <f>IF(U108=0,"",ROUND((Y108-AA108)/U108*100,1))</f>
        <v/>
      </c>
      <c r="AE108" s="34" t="inlineStr">
        <is>
          <t>PARTIAL — class III reconciled, other classes not</t>
        </is>
      </c>
      <c r="AF108" s="29" t="inlineStr">
        <is>
          <t>https://marquesadmjudicial.com.br/sgc/download.php?file=files/processo_documento/processo_documento15293208032024_1_.pdf&amp;nome=Relação Nominal de Credores da AJ-Sintética</t>
        </is>
      </c>
      <c r="AG108" s="28" t="inlineStr">
        <is>
          <t>p29 r10</t>
        </is>
      </c>
      <c r="AH108" s="28" t="inlineStr">
        <is>
          <t>p29: R$ 1.481.337,86</t>
        </is>
      </c>
      <c r="AI108" s="28" t="inlineStr">
        <is>
          <t>AJ list (art. 7 §2)</t>
        </is>
      </c>
      <c r="AJ108" s="28" t="inlineStr">
        <is>
          <t>2023-03-02</t>
        </is>
      </c>
      <c r="AK108" s="28" t="inlineStr">
        <is>
          <t>NONE FOUND</t>
        </is>
      </c>
      <c r="AL108" s="30" t="inlineStr">
        <is>
          <t>0005010-98.2023.8.16.0001</t>
        </is>
      </c>
      <c r="AM108" s="30" t="inlineStr">
        <is>
          <t>TJPR</t>
        </is>
      </c>
      <c r="AN108" s="30" t="inlineStr">
        <is>
          <t>ACTIVE</t>
        </is>
      </c>
      <c r="AO108" s="30" t="n">
        <v>2023</v>
      </c>
      <c r="AP108" s="30" t="inlineStr">
        <is>
          <t>live case, no plan document yet</t>
        </is>
      </c>
      <c r="AQ108" s="30" t="inlineStr"/>
      <c r="AR108" s="30" t="inlineStr">
        <is>
          <t>printed on the list (read twice)</t>
        </is>
      </c>
      <c r="AS108" s="30" t="inlineStr">
        <is>
          <t>SANTO ANTONIO DE JESUS</t>
        </is>
      </c>
      <c r="AT108" s="30" t="inlineStr">
        <is>
          <t>BA</t>
        </is>
      </c>
      <c r="AU108" s="30" t="inlineStr">
        <is>
          <t>Fabricação de medicamentos alopáticos para uso humano</t>
        </is>
      </c>
      <c r="AV108" s="30" t="inlineStr">
        <is>
          <t>DEMAIS</t>
        </is>
      </c>
      <c r="AW108" s="31" t="n">
        <v>471846660</v>
      </c>
      <c r="AX108" s="30" t="inlineStr">
        <is>
          <t>LARGE CORP</t>
        </is>
      </c>
      <c r="AY108" s="30" t="inlineStr">
        <is>
          <t>02456955</t>
        </is>
      </c>
      <c r="AZ108" s="30" t="n">
        <v>1</v>
      </c>
      <c r="BA108" s="30" t="inlineStr">
        <is>
          <t>PARTIAL_DOC_CLASS_III_RECONCILED ROWS:p29r10</t>
        </is>
      </c>
    </row>
    <row r="109">
      <c r="A109" s="16" t="inlineStr">
        <is>
          <t>PESCADO CENTRAL LTDA</t>
        </is>
      </c>
      <c r="B109" s="17" t="n">
        <v>793333.33</v>
      </c>
      <c r="C109" s="18" t="inlineStr">
        <is>
          <t>GRUPO 3E</t>
        </is>
      </c>
      <c r="D109" s="19" t="inlineStr">
        <is>
          <t>NEW</t>
        </is>
      </c>
      <c r="E109" s="20" t="inlineStr"/>
      <c r="F109" s="19" t="inlineStr"/>
      <c r="G109" s="20" t="inlineStr"/>
      <c r="H109" s="19" t="inlineStr"/>
      <c r="I109" s="21" t="inlineStr">
        <is>
          <t>FORTUNATO ANTUNES DE OLIVEIRA</t>
        </is>
      </c>
      <c r="J109" s="21" t="inlineStr">
        <is>
          <t>Sócio-Administrador (RFB partner)</t>
        </is>
      </c>
      <c r="K109" s="21" t="inlineStr">
        <is>
          <t>(34) 3293-0600</t>
        </is>
      </c>
      <c r="L109" s="21" t="inlineStr"/>
      <c r="M109" s="21" t="inlineStr"/>
      <c r="N109" s="21" t="inlineStr"/>
      <c r="O109" s="21" t="inlineStr"/>
      <c r="P109" s="21" t="inlineStr"/>
      <c r="Q109" s="21" t="inlineStr"/>
      <c r="R109" s="21" t="inlineStr"/>
      <c r="S109" s="21" t="inlineStr"/>
      <c r="T109" s="21" t="inlineStr">
        <is>
          <t>RFB partner (QSA); no Apollo match</t>
        </is>
      </c>
      <c r="U109" s="22" t="n">
        <v>793333.33</v>
      </c>
      <c r="V109" s="35" t="inlineStr">
        <is>
          <t>A</t>
        </is>
      </c>
      <c r="W109" s="24">
        <f>IFERROR(VLOOKUP(V109,Assumptions!$A$7:$F$11,2,FALSE),0)</f>
        <v/>
      </c>
      <c r="X109" s="25">
        <f>IF(V109="A",MAX(1,IFERROR(VLOOKUP(V109,Assumptions!$A$7:$F$11,3,FALSE),3)+IFERROR(VLOOKUP(V109,Assumptions!$A$7:$F$11,4,FALSE),8)/2-MAX(0,IF(AO109="",0,YEAR(TODAY())-AO109)-IFERROR(VLOOKUP(V109,Assumptions!$A$7:$F$11,5,FALSE),1.5))),IFERROR(VLOOKUP(V109,Assumptions!$A$7:$F$11,5,FALSE),2.5)+IFERROR(VLOOKUP(V109,Assumptions!$A$7:$F$11,3,FALSE),3)+IFERROR(VLOOKUP(V109,Assumptions!$A$7:$F$11,4,FALSE),8)/2)</f>
        <v/>
      </c>
      <c r="Y109" s="22">
        <f>U109*W109/(1+Assumptions!$B$3)^X109</f>
        <v/>
      </c>
      <c r="Z109" s="26">
        <f>IF(U109=0,"",ROUND(Y109/U109*100,1))</f>
        <v/>
      </c>
      <c r="AA109" s="27">
        <f>Y109*Assumptions!$B$4</f>
        <v/>
      </c>
      <c r="AB109" s="26">
        <f>IF(U109=0,"",ROUND(AA109/U109*100,1))</f>
        <v/>
      </c>
      <c r="AC109" s="27">
        <f>Y109-AA109</f>
        <v/>
      </c>
      <c r="AD109" s="26">
        <f>IF(U109=0,"",ROUND((Y109-AA109)/U109*100,1))</f>
        <v/>
      </c>
      <c r="AE109" s="33" t="inlineStr">
        <is>
          <t>NO TOTALS — list prints none; check page</t>
        </is>
      </c>
      <c r="AF109" s="29" t="inlineStr">
        <is>
          <t>https://stenius.com.br/wp-content/uploads/2026/06/EDITAL-GRUPO-3E.pdf</t>
        </is>
      </c>
      <c r="AG109" s="28" t="inlineStr">
        <is>
          <t>p17 r8</t>
        </is>
      </c>
      <c r="AH109" s="28" t="inlineStr">
        <is>
          <t>p17: R$ 793.333,33</t>
        </is>
      </c>
      <c r="AI109" s="28" t="inlineStr">
        <is>
          <t>Debtor list (art. 51)</t>
        </is>
      </c>
      <c r="AJ109" s="28" t="inlineStr">
        <is>
          <t>2026-06-22</t>
        </is>
      </c>
      <c r="AK109" s="28" t="inlineStr">
        <is>
          <t>PLAN DOC FOUND</t>
        </is>
      </c>
      <c r="AL109" s="30" t="inlineStr">
        <is>
          <t>5341375-33.2026.8.09.0049</t>
        </is>
      </c>
      <c r="AM109" s="30" t="inlineStr">
        <is>
          <t>TJGO</t>
        </is>
      </c>
      <c r="AN109" s="30" t="inlineStr">
        <is>
          <t>ACTIVE</t>
        </is>
      </c>
      <c r="AO109" s="30" t="n">
        <v>2026</v>
      </c>
      <c r="AP109" s="30" t="inlineStr">
        <is>
          <t>plan/homologation document found</t>
        </is>
      </c>
      <c r="AQ109" s="30" t="inlineStr"/>
      <c r="AR109" s="30" t="inlineStr">
        <is>
          <t>printed on the list (read twice)</t>
        </is>
      </c>
      <c r="AS109" s="30" t="inlineStr">
        <is>
          <t>IPIACU</t>
        </is>
      </c>
      <c r="AT109" s="30" t="inlineStr">
        <is>
          <t>MG</t>
        </is>
      </c>
      <c r="AU109" s="30" t="inlineStr">
        <is>
          <t>Fabricação de conservas de peixes, crustáceos e moluscos</t>
        </is>
      </c>
      <c r="AV109" s="30" t="inlineStr">
        <is>
          <t>DEMAIS</t>
        </is>
      </c>
      <c r="AW109" s="31" t="n">
        <v>99800</v>
      </c>
      <c r="AX109" s="30" t="inlineStr">
        <is>
          <t>MID-MARKET</t>
        </is>
      </c>
      <c r="AY109" s="30" t="inlineStr">
        <is>
          <t>32126501</t>
        </is>
      </c>
      <c r="AZ109" s="30" t="n">
        <v>1</v>
      </c>
      <c r="BA109" s="30" t="inlineStr">
        <is>
          <t>ROWS:p17r8 UNRECONCILED_SOURCE</t>
        </is>
      </c>
    </row>
    <row r="110">
      <c r="A110" s="16" t="inlineStr">
        <is>
          <t>BBR AGRO SUPLEMENTOS LTDA EM RECUPERACAO JUDICIAL</t>
        </is>
      </c>
      <c r="B110" s="17" t="n">
        <v>1437303</v>
      </c>
      <c r="C110" s="18" t="inlineStr">
        <is>
          <t>Grupo Agromeal</t>
        </is>
      </c>
      <c r="D110" s="19" t="inlineStr">
        <is>
          <t>NEW</t>
        </is>
      </c>
      <c r="E110" s="20" t="inlineStr"/>
      <c r="F110" s="19" t="inlineStr"/>
      <c r="G110" s="20" t="inlineStr"/>
      <c r="H110" s="19" t="inlineStr"/>
      <c r="I110" s="21" t="inlineStr">
        <is>
          <t>MAYNARA MARCONDES BARRONE DE SOUSA</t>
        </is>
      </c>
      <c r="J110" s="21" t="inlineStr">
        <is>
          <t>Sócio-Administrador (RFB partner)</t>
        </is>
      </c>
      <c r="K110" s="21" t="inlineStr">
        <is>
          <t>(43) 3122-0376</t>
        </is>
      </c>
      <c r="L110" s="21" t="inlineStr"/>
      <c r="M110" s="21" t="inlineStr"/>
      <c r="N110" s="21" t="inlineStr"/>
      <c r="O110" s="21" t="inlineStr"/>
      <c r="P110" s="21" t="inlineStr"/>
      <c r="Q110" s="21" t="inlineStr"/>
      <c r="R110" s="21" t="inlineStr"/>
      <c r="S110" s="21" t="inlineStr"/>
      <c r="T110" s="21" t="inlineStr">
        <is>
          <t>RFB partner (QSA); no Apollo match</t>
        </is>
      </c>
      <c r="U110" s="22" t="n">
        <v>1437303</v>
      </c>
      <c r="V110" s="23" t="inlineStr">
        <is>
          <t>B</t>
        </is>
      </c>
      <c r="W110" s="24">
        <f>IFERROR(VLOOKUP(V110,Assumptions!$A$7:$F$11,2,FALSE),0)</f>
        <v/>
      </c>
      <c r="X110" s="25">
        <f>IF(V110="A",MAX(1,IFERROR(VLOOKUP(V110,Assumptions!$A$7:$F$11,3,FALSE),3)+IFERROR(VLOOKUP(V110,Assumptions!$A$7:$F$11,4,FALSE),8)/2-MAX(0,IF(AO110="",0,YEAR(TODAY())-AO110)-IFERROR(VLOOKUP(V110,Assumptions!$A$7:$F$11,5,FALSE),1.5))),IFERROR(VLOOKUP(V110,Assumptions!$A$7:$F$11,5,FALSE),2.5)+IFERROR(VLOOKUP(V110,Assumptions!$A$7:$F$11,3,FALSE),3)+IFERROR(VLOOKUP(V110,Assumptions!$A$7:$F$11,4,FALSE),8)/2)</f>
        <v/>
      </c>
      <c r="Y110" s="22">
        <f>U110*W110/(1+Assumptions!$B$3)^X110</f>
        <v/>
      </c>
      <c r="Z110" s="26">
        <f>IF(U110=0,"",ROUND(Y110/U110*100,1))</f>
        <v/>
      </c>
      <c r="AA110" s="27">
        <f>Y110*Assumptions!$B$4</f>
        <v/>
      </c>
      <c r="AB110" s="26">
        <f>IF(U110=0,"",ROUND(AA110/U110*100,1))</f>
        <v/>
      </c>
      <c r="AC110" s="27">
        <f>Y110-AA110</f>
        <v/>
      </c>
      <c r="AD110" s="26">
        <f>IF(U110=0,"",ROUND((Y110-AA110)/U110*100,1))</f>
        <v/>
      </c>
      <c r="AE110" s="34" t="inlineStr">
        <is>
          <t>PARTIAL — class III reconciled, other classes not</t>
        </is>
      </c>
      <c r="AF110" s="29" t="inlineStr">
        <is>
          <t>https://marquesadmjudicial.com.br/sgc/download.php?file=files/processo_documento/processo_documento17040729052024_1_.pdf&amp;nome=Relação Nominal de Credores AJ-Sintética</t>
        </is>
      </c>
      <c r="AG110" s="28" t="inlineStr">
        <is>
          <t>p10 r8</t>
        </is>
      </c>
      <c r="AH110" s="28" t="inlineStr">
        <is>
          <t>p10: R$ 1.437.303,00</t>
        </is>
      </c>
      <c r="AI110" s="28" t="inlineStr">
        <is>
          <t>AJ list (art. 7 §2)</t>
        </is>
      </c>
      <c r="AJ110" s="28" t="inlineStr">
        <is>
          <t>2024-05-27</t>
        </is>
      </c>
      <c r="AK110" s="28" t="inlineStr">
        <is>
          <t>NONE FOUND</t>
        </is>
      </c>
      <c r="AL110" s="30" t="inlineStr">
        <is>
          <t>0003971-03.2023.8.16.0119</t>
        </is>
      </c>
      <c r="AM110" s="30" t="inlineStr">
        <is>
          <t>TJPR</t>
        </is>
      </c>
      <c r="AN110" s="30" t="inlineStr">
        <is>
          <t>ACTIVE</t>
        </is>
      </c>
      <c r="AO110" s="30" t="n">
        <v>2023</v>
      </c>
      <c r="AP110" s="30" t="inlineStr">
        <is>
          <t>live case, no plan document yet</t>
        </is>
      </c>
      <c r="AQ110" s="30" t="inlineStr">
        <is>
          <t>11.624.776/0001-07</t>
        </is>
      </c>
      <c r="AR110" s="30" t="inlineStr">
        <is>
          <t>printed on the list (read twice)</t>
        </is>
      </c>
      <c r="AS110" s="30" t="inlineStr">
        <is>
          <t>APUCARANA</t>
        </is>
      </c>
      <c r="AT110" s="30" t="inlineStr">
        <is>
          <t>PR</t>
        </is>
      </c>
      <c r="AU110" s="30" t="inlineStr">
        <is>
          <t>Preparação de subprodutos do abate</t>
        </is>
      </c>
      <c r="AV110" s="30" t="inlineStr">
        <is>
          <t>DEMAIS</t>
        </is>
      </c>
      <c r="AW110" s="31" t="n">
        <v>110000</v>
      </c>
      <c r="AX110" s="30" t="inlineStr">
        <is>
          <t>MID-MARKET</t>
        </is>
      </c>
      <c r="AY110" s="30" t="inlineStr">
        <is>
          <t>31158176</t>
        </is>
      </c>
      <c r="AZ110" s="30" t="n">
        <v>1</v>
      </c>
      <c r="BA110" s="30" t="inlineStr">
        <is>
          <t>PARTIAL_DOC_CLASS_III_RECONCILED ROWS:p10r8</t>
        </is>
      </c>
    </row>
    <row r="111">
      <c r="A111" s="16" t="inlineStr">
        <is>
          <t>MAXLIFT LOCADORA DE EQUIPAMENTOS LTDA.</t>
        </is>
      </c>
      <c r="B111" s="17" t="n">
        <v>2680302.42</v>
      </c>
      <c r="C111" s="18" t="inlineStr">
        <is>
          <t>EGESA ENGENHARIA S/A (Consórcio ETDI)</t>
        </is>
      </c>
      <c r="D111" s="19" t="inlineStr">
        <is>
          <t>NEW</t>
        </is>
      </c>
      <c r="E111" s="20" t="inlineStr"/>
      <c r="F111" s="19" t="inlineStr"/>
      <c r="G111" s="20" t="inlineStr"/>
      <c r="H111" s="19" t="inlineStr"/>
      <c r="I111" s="21" t="inlineStr">
        <is>
          <t>Vander Bartolomeu</t>
        </is>
      </c>
      <c r="J111" s="21" t="inlineStr">
        <is>
          <t>Operational Manager</t>
        </is>
      </c>
      <c r="K111" s="21" t="inlineStr">
        <is>
          <t>(11) 4191-4480</t>
        </is>
      </c>
      <c r="L111" s="21" t="inlineStr">
        <is>
          <t>(11) 4152-2907</t>
        </is>
      </c>
      <c r="M111" s="21" t="inlineStr"/>
      <c r="N111" s="21" t="inlineStr"/>
      <c r="O111" s="21" t="inlineStr">
        <is>
          <t>marcos@maxlift.com.br</t>
        </is>
      </c>
      <c r="P111" s="21" t="inlineStr">
        <is>
          <t>Marcos Silva</t>
        </is>
      </c>
      <c r="Q111" s="21" t="inlineStr">
        <is>
          <t>Sales Department</t>
        </is>
      </c>
      <c r="R111" s="21" t="inlineStr"/>
      <c r="S111" s="21" t="inlineStr">
        <is>
          <t>marcos@maxlift.com.br</t>
        </is>
      </c>
      <c r="T111" s="21" t="inlineStr">
        <is>
          <t>no work email found in Apollo</t>
        </is>
      </c>
      <c r="U111" s="22" t="n">
        <v>2680302.42</v>
      </c>
      <c r="V111" s="32" t="inlineStr">
        <is>
          <t>U</t>
        </is>
      </c>
      <c r="W111" s="24">
        <f>IFERROR(VLOOKUP(V111,Assumptions!$A$7:$F$11,2,FALSE),0)</f>
        <v/>
      </c>
      <c r="X111" s="25">
        <f>IF(V111="A",MAX(1,IFERROR(VLOOKUP(V111,Assumptions!$A$7:$F$11,3,FALSE),3)+IFERROR(VLOOKUP(V111,Assumptions!$A$7:$F$11,4,FALSE),8)/2-MAX(0,IF(AO111="",0,YEAR(TODAY())-AO111)-IFERROR(VLOOKUP(V111,Assumptions!$A$7:$F$11,5,FALSE),1.5))),IFERROR(VLOOKUP(V111,Assumptions!$A$7:$F$11,5,FALSE),2.5)+IFERROR(VLOOKUP(V111,Assumptions!$A$7:$F$11,3,FALSE),3)+IFERROR(VLOOKUP(V111,Assumptions!$A$7:$F$11,4,FALSE),8)/2)</f>
        <v/>
      </c>
      <c r="Y111" s="22">
        <f>U111*W111/(1+Assumptions!$B$3)^X111</f>
        <v/>
      </c>
      <c r="Z111" s="26">
        <f>IF(U111=0,"",ROUND(Y111/U111*100,1))</f>
        <v/>
      </c>
      <c r="AA111" s="27">
        <f>Y111*Assumptions!$B$4</f>
        <v/>
      </c>
      <c r="AB111" s="26">
        <f>IF(U111=0,"",ROUND(AA111/U111*100,1))</f>
        <v/>
      </c>
      <c r="AC111" s="27">
        <f>Y111-AA111</f>
        <v/>
      </c>
      <c r="AD111" s="26">
        <f>IF(U111=0,"",ROUND((Y111-AA111)/U111*100,1))</f>
        <v/>
      </c>
      <c r="AE111" s="28" t="inlineStr">
        <is>
          <t>OK — totals reconciled</t>
        </is>
      </c>
      <c r="AF111" s="29" t="inlineStr">
        <is>
          <t>https://scalzilliaj.com.br/sgc/download.php?file=files/processo_documento/processo_documento09514021082025_1_.pdf&amp;nome=04 - Relação de credores das Recuperandas</t>
        </is>
      </c>
      <c r="AG111" s="28" t="inlineStr">
        <is>
          <t>p69 r16</t>
        </is>
      </c>
      <c r="AH111" s="28" t="inlineStr">
        <is>
          <t>p69: R$ 2.680.302,42</t>
        </is>
      </c>
      <c r="AI111" s="28" t="inlineStr">
        <is>
          <t>Debtor list (art. 51)</t>
        </is>
      </c>
      <c r="AJ111" s="28" t="inlineStr"/>
      <c r="AK111" s="28" t="inlineStr">
        <is>
          <t>NONE FOUND</t>
        </is>
      </c>
      <c r="AL111" s="30" t="inlineStr">
        <is>
          <t>(not printed)</t>
        </is>
      </c>
      <c r="AM111" s="30" t="inlineStr"/>
      <c r="AN111" s="30" t="inlineStr"/>
      <c r="AO111" s="30" t="inlineStr"/>
      <c r="AP111" s="30" t="inlineStr">
        <is>
          <t>RJ case number not identified on the document</t>
        </is>
      </c>
      <c r="AQ111" s="30" t="inlineStr"/>
      <c r="AR111" s="30" t="inlineStr">
        <is>
          <t>portal page title / URL — not printed on the list</t>
        </is>
      </c>
      <c r="AS111" s="30" t="inlineStr">
        <is>
          <t>SAO PAULO</t>
        </is>
      </c>
      <c r="AT111" s="30" t="inlineStr">
        <is>
          <t>SP</t>
        </is>
      </c>
      <c r="AU111" s="30" t="inlineStr">
        <is>
          <t>Aluguel de outras máquinas e equipamentos comerciais e industriais não especificados anteriormente, sem operador</t>
        </is>
      </c>
      <c r="AV111" s="30" t="inlineStr">
        <is>
          <t>DEMAIS</t>
        </is>
      </c>
      <c r="AW111" s="31" t="n">
        <v>4350000</v>
      </c>
      <c r="AX111" s="30" t="inlineStr">
        <is>
          <t>MID-MARKET</t>
        </is>
      </c>
      <c r="AY111" s="30" t="inlineStr">
        <is>
          <t>08992890</t>
        </is>
      </c>
      <c r="AZ111" s="30" t="n">
        <v>1</v>
      </c>
      <c r="BA111" s="30" t="inlineStr">
        <is>
          <t>ROWS:p69r16 VALUE_COL:Valor_Atualizado CASE_NUMBER_CORRECTED</t>
        </is>
      </c>
    </row>
    <row r="112">
      <c r="A112" s="16" t="inlineStr">
        <is>
          <t>GALVANI ENGENHARIA E PARTICIPACOES LTDA</t>
        </is>
      </c>
      <c r="B112" s="17" t="n">
        <v>2654550.86</v>
      </c>
      <c r="C112" s="18" t="inlineStr">
        <is>
          <t>EGESA ENGENHARIA S/A (Consórcio ETDI)</t>
        </is>
      </c>
      <c r="D112" s="19" t="inlineStr">
        <is>
          <t>NEW</t>
        </is>
      </c>
      <c r="E112" s="20" t="inlineStr"/>
      <c r="F112" s="19" t="inlineStr"/>
      <c r="G112" s="20" t="inlineStr"/>
      <c r="H112" s="19" t="inlineStr"/>
      <c r="I112" s="21" t="inlineStr">
        <is>
          <t>Graciela Anastacio</t>
        </is>
      </c>
      <c r="J112" s="21" t="inlineStr">
        <is>
          <t>Financial Coordinator</t>
        </is>
      </c>
      <c r="K112" s="21" t="inlineStr">
        <is>
          <t>(19) 3844-9900</t>
        </is>
      </c>
      <c r="L112" s="21" t="inlineStr">
        <is>
          <t>(19) 3844-9667</t>
        </is>
      </c>
      <c r="M112" s="21" t="inlineStr"/>
      <c r="N112" s="21" t="inlineStr">
        <is>
          <t>ganastacio@galvaniengenharia.com.br</t>
        </is>
      </c>
      <c r="O112" s="21" t="inlineStr">
        <is>
          <t>dfsilva@galvaniengenharia.com.br</t>
        </is>
      </c>
      <c r="P112" s="21" t="inlineStr">
        <is>
          <t>Daiane Silva</t>
        </is>
      </c>
      <c r="Q112" s="21" t="inlineStr">
        <is>
          <t>Analista Financeiro FP &amp; A</t>
        </is>
      </c>
      <c r="R112" s="21" t="inlineStr"/>
      <c r="S112" s="21" t="inlineStr">
        <is>
          <t>dfsilva@galvaniengenharia.com.br</t>
        </is>
      </c>
      <c r="T112" s="21" t="inlineStr">
        <is>
          <t>email verified by Apollo</t>
        </is>
      </c>
      <c r="U112" s="22" t="n">
        <v>2654550.86</v>
      </c>
      <c r="V112" s="32" t="inlineStr">
        <is>
          <t>U</t>
        </is>
      </c>
      <c r="W112" s="24">
        <f>IFERROR(VLOOKUP(V112,Assumptions!$A$7:$F$11,2,FALSE),0)</f>
        <v/>
      </c>
      <c r="X112" s="25">
        <f>IF(V112="A",MAX(1,IFERROR(VLOOKUP(V112,Assumptions!$A$7:$F$11,3,FALSE),3)+IFERROR(VLOOKUP(V112,Assumptions!$A$7:$F$11,4,FALSE),8)/2-MAX(0,IF(AO112="",0,YEAR(TODAY())-AO112)-IFERROR(VLOOKUP(V112,Assumptions!$A$7:$F$11,5,FALSE),1.5))),IFERROR(VLOOKUP(V112,Assumptions!$A$7:$F$11,5,FALSE),2.5)+IFERROR(VLOOKUP(V112,Assumptions!$A$7:$F$11,3,FALSE),3)+IFERROR(VLOOKUP(V112,Assumptions!$A$7:$F$11,4,FALSE),8)/2)</f>
        <v/>
      </c>
      <c r="Y112" s="22">
        <f>U112*W112/(1+Assumptions!$B$3)^X112</f>
        <v/>
      </c>
      <c r="Z112" s="26">
        <f>IF(U112=0,"",ROUND(Y112/U112*100,1))</f>
        <v/>
      </c>
      <c r="AA112" s="27">
        <f>Y112*Assumptions!$B$4</f>
        <v/>
      </c>
      <c r="AB112" s="26">
        <f>IF(U112=0,"",ROUND(AA112/U112*100,1))</f>
        <v/>
      </c>
      <c r="AC112" s="27">
        <f>Y112-AA112</f>
        <v/>
      </c>
      <c r="AD112" s="26">
        <f>IF(U112=0,"",ROUND((Y112-AA112)/U112*100,1))</f>
        <v/>
      </c>
      <c r="AE112" s="28" t="inlineStr">
        <is>
          <t>OK — totals reconciled</t>
        </is>
      </c>
      <c r="AF112" s="29" t="inlineStr">
        <is>
          <t>https://scalzilliaj.com.br/sgc/download.php?file=files/processo_documento/processo_documento09514021082025_1_.pdf&amp;nome=04 - Relação de credores das Recuperandas</t>
        </is>
      </c>
      <c r="AG112" s="28" t="inlineStr">
        <is>
          <t>p67 r2; p67 r3</t>
        </is>
      </c>
      <c r="AH112" s="28" t="inlineStr">
        <is>
          <t>p67: R$ 2.209.334,79; p67: R$ 445.216,07</t>
        </is>
      </c>
      <c r="AI112" s="28" t="inlineStr">
        <is>
          <t>Debtor list (art. 51)</t>
        </is>
      </c>
      <c r="AJ112" s="28" t="inlineStr"/>
      <c r="AK112" s="28" t="inlineStr">
        <is>
          <t>NONE FOUND</t>
        </is>
      </c>
      <c r="AL112" s="30" t="inlineStr">
        <is>
          <t>(not printed)</t>
        </is>
      </c>
      <c r="AM112" s="30" t="inlineStr"/>
      <c r="AN112" s="30" t="inlineStr"/>
      <c r="AO112" s="30" t="inlineStr"/>
      <c r="AP112" s="30" t="inlineStr">
        <is>
          <t>RJ case number not identified on the document</t>
        </is>
      </c>
      <c r="AQ112" s="30" t="inlineStr"/>
      <c r="AR112" s="30" t="inlineStr">
        <is>
          <t>portal page title / URL — not printed on the list</t>
        </is>
      </c>
      <c r="AS112" s="30" t="inlineStr">
        <is>
          <t>PAULINIA</t>
        </is>
      </c>
      <c r="AT112" s="30" t="inlineStr">
        <is>
          <t>SP</t>
        </is>
      </c>
      <c r="AU112" s="30" t="inlineStr">
        <is>
          <t>Obras de urbanização - ruas, praças e calçadas</t>
        </is>
      </c>
      <c r="AV112" s="30" t="inlineStr">
        <is>
          <t>DEMAIS</t>
        </is>
      </c>
      <c r="AW112" s="31" t="n">
        <v>14628607</v>
      </c>
      <c r="AX112" s="30" t="inlineStr">
        <is>
          <t>MID-MARKET</t>
        </is>
      </c>
      <c r="AY112" s="30" t="inlineStr">
        <is>
          <t>09422727</t>
        </is>
      </c>
      <c r="AZ112" s="30" t="n">
        <v>2</v>
      </c>
      <c r="BA112" s="30" t="inlineStr">
        <is>
          <t>ROWS:p67r2,p67r3 VALUE_COL:Valor_Atualizado CASE_NUMBER_CORRECTED</t>
        </is>
      </c>
    </row>
    <row r="113">
      <c r="A113" s="16" t="inlineStr">
        <is>
          <t>BRF S.A.</t>
        </is>
      </c>
      <c r="B113" s="17" t="n">
        <v>741289.9</v>
      </c>
      <c r="C113" s="18" t="inlineStr">
        <is>
          <t>GRUPO 3E</t>
        </is>
      </c>
      <c r="D113" s="19" t="inlineStr">
        <is>
          <t>NEW</t>
        </is>
      </c>
      <c r="E113" s="20" t="inlineStr"/>
      <c r="F113" s="19" t="inlineStr"/>
      <c r="G113" s="20" t="inlineStr"/>
      <c r="H113" s="19" t="inlineStr"/>
      <c r="I113" s="21" t="inlineStr">
        <is>
          <t>MIGUEL DE SOUZA GULARTE</t>
        </is>
      </c>
      <c r="J113" s="21" t="inlineStr">
        <is>
          <t>Presidente (RFB partner)</t>
        </is>
      </c>
      <c r="K113" s="21" t="inlineStr">
        <is>
          <t>(47) 3249-4100</t>
        </is>
      </c>
      <c r="L113" s="21" t="inlineStr"/>
      <c r="M113" s="21" t="inlineStr"/>
      <c r="N113" s="21" t="inlineStr"/>
      <c r="O113" s="21" t="inlineStr"/>
      <c r="P113" s="21" t="inlineStr">
        <is>
          <t>ARTEMIO LISTONI</t>
        </is>
      </c>
      <c r="Q113" s="21" t="inlineStr">
        <is>
          <t>Diretor (RFB partner)</t>
        </is>
      </c>
      <c r="R113" s="21" t="inlineStr"/>
      <c r="S113" s="21" t="inlineStr"/>
      <c r="T113" s="21" t="inlineStr">
        <is>
          <t>RFB partner (QSA); no Apollo match</t>
        </is>
      </c>
      <c r="U113" s="22" t="n">
        <v>741289.9</v>
      </c>
      <c r="V113" s="35" t="inlineStr">
        <is>
          <t>A</t>
        </is>
      </c>
      <c r="W113" s="24">
        <f>IFERROR(VLOOKUP(V113,Assumptions!$A$7:$F$11,2,FALSE),0)</f>
        <v/>
      </c>
      <c r="X113" s="25">
        <f>IF(V113="A",MAX(1,IFERROR(VLOOKUP(V113,Assumptions!$A$7:$F$11,3,FALSE),3)+IFERROR(VLOOKUP(V113,Assumptions!$A$7:$F$11,4,FALSE),8)/2-MAX(0,IF(AO113="",0,YEAR(TODAY())-AO113)-IFERROR(VLOOKUP(V113,Assumptions!$A$7:$F$11,5,FALSE),1.5))),IFERROR(VLOOKUP(V113,Assumptions!$A$7:$F$11,5,FALSE),2.5)+IFERROR(VLOOKUP(V113,Assumptions!$A$7:$F$11,3,FALSE),3)+IFERROR(VLOOKUP(V113,Assumptions!$A$7:$F$11,4,FALSE),8)/2)</f>
        <v/>
      </c>
      <c r="Y113" s="22">
        <f>U113*W113/(1+Assumptions!$B$3)^X113</f>
        <v/>
      </c>
      <c r="Z113" s="26">
        <f>IF(U113=0,"",ROUND(Y113/U113*100,1))</f>
        <v/>
      </c>
      <c r="AA113" s="27">
        <f>Y113*Assumptions!$B$4</f>
        <v/>
      </c>
      <c r="AB113" s="26">
        <f>IF(U113=0,"",ROUND(AA113/U113*100,1))</f>
        <v/>
      </c>
      <c r="AC113" s="27">
        <f>Y113-AA113</f>
        <v/>
      </c>
      <c r="AD113" s="26">
        <f>IF(U113=0,"",ROUND((Y113-AA113)/U113*100,1))</f>
        <v/>
      </c>
      <c r="AE113" s="33" t="inlineStr">
        <is>
          <t>NO TOTALS — list prints none; check page</t>
        </is>
      </c>
      <c r="AF113" s="29" t="inlineStr">
        <is>
          <t>https://stenius.com.br/wp-content/uploads/2026/06/EDITAL-GRUPO-3E.pdf</t>
        </is>
      </c>
      <c r="AG113" s="28" t="inlineStr">
        <is>
          <t>p11 r11</t>
        </is>
      </c>
      <c r="AH113" s="28" t="inlineStr">
        <is>
          <t>p11: R$ 741.289,90</t>
        </is>
      </c>
      <c r="AI113" s="28" t="inlineStr">
        <is>
          <t>Debtor list (art. 51)</t>
        </is>
      </c>
      <c r="AJ113" s="28" t="inlineStr">
        <is>
          <t>2026-06-22</t>
        </is>
      </c>
      <c r="AK113" s="28" t="inlineStr">
        <is>
          <t>PLAN DOC FOUND</t>
        </is>
      </c>
      <c r="AL113" s="30" t="inlineStr">
        <is>
          <t>5341375-33.2026.8.09.0049</t>
        </is>
      </c>
      <c r="AM113" s="30" t="inlineStr">
        <is>
          <t>TJGO</t>
        </is>
      </c>
      <c r="AN113" s="30" t="inlineStr">
        <is>
          <t>ACTIVE</t>
        </is>
      </c>
      <c r="AO113" s="30" t="n">
        <v>2026</v>
      </c>
      <c r="AP113" s="30" t="inlineStr">
        <is>
          <t>plan/homologation document found</t>
        </is>
      </c>
      <c r="AQ113" s="30" t="inlineStr"/>
      <c r="AR113" s="30" t="inlineStr">
        <is>
          <t>printed on the list (read twice)</t>
        </is>
      </c>
      <c r="AS113" s="30" t="inlineStr">
        <is>
          <t>ITAJAI</t>
        </is>
      </c>
      <c r="AT113" s="30" t="inlineStr">
        <is>
          <t>SC</t>
        </is>
      </c>
      <c r="AU113" s="30" t="inlineStr">
        <is>
          <t>Abate de aves</t>
        </is>
      </c>
      <c r="AV113" s="30" t="inlineStr">
        <is>
          <t>DEMAIS</t>
        </is>
      </c>
      <c r="AW113" s="31" t="n">
        <v>13653418000</v>
      </c>
      <c r="AX113" s="30" t="inlineStr">
        <is>
          <t>LARGE CORP</t>
        </is>
      </c>
      <c r="AY113" s="30" t="inlineStr">
        <is>
          <t>01838723</t>
        </is>
      </c>
      <c r="AZ113" s="30" t="n">
        <v>1</v>
      </c>
      <c r="BA113" s="30" t="inlineStr">
        <is>
          <t>ROWS:p11r11 UNRECONCILED_SOURCE</t>
        </is>
      </c>
    </row>
    <row r="114">
      <c r="A114" s="16" t="inlineStr">
        <is>
          <t>DISCOMED COMERCIO DE PRODUTOS HOSPITALARES LTDA</t>
        </is>
      </c>
      <c r="B114" s="17" t="n">
        <v>1372648.38</v>
      </c>
      <c r="C114" s="18" t="inlineStr">
        <is>
          <t>ASSOCIAÇÃO DE CARIDADE SANTA CASA DO RIO GRANDE</t>
        </is>
      </c>
      <c r="D114" s="19" t="inlineStr">
        <is>
          <t>NEW</t>
        </is>
      </c>
      <c r="E114" s="20" t="inlineStr"/>
      <c r="F114" s="19" t="inlineStr"/>
      <c r="G114" s="20" t="inlineStr"/>
      <c r="H114" s="19" t="inlineStr"/>
      <c r="I114" s="21" t="inlineStr">
        <is>
          <t>David Feijo</t>
        </is>
      </c>
      <c r="J114" s="21" t="inlineStr">
        <is>
          <t>Financial Coordinator</t>
        </is>
      </c>
      <c r="K114" s="21" t="inlineStr"/>
      <c r="L114" s="21" t="inlineStr"/>
      <c r="M114" s="21" t="inlineStr"/>
      <c r="N114" s="21" t="inlineStr">
        <is>
          <t>david@discomed.com.br</t>
        </is>
      </c>
      <c r="O114" s="21" t="inlineStr">
        <is>
          <t>juliana@discomed.com.br</t>
        </is>
      </c>
      <c r="P114" s="21" t="inlineStr">
        <is>
          <t>Juliana Silveira</t>
        </is>
      </c>
      <c r="Q114" s="21" t="inlineStr">
        <is>
          <t>Financial / Controladoria</t>
        </is>
      </c>
      <c r="R114" s="21" t="inlineStr"/>
      <c r="S114" s="21" t="inlineStr">
        <is>
          <t>juliana@discomed.com.br</t>
        </is>
      </c>
      <c r="T114" s="21" t="inlineStr">
        <is>
          <t>email verified by Apollo</t>
        </is>
      </c>
      <c r="U114" s="22" t="n">
        <v>1372648.38</v>
      </c>
      <c r="V114" s="23" t="inlineStr">
        <is>
          <t>B</t>
        </is>
      </c>
      <c r="W114" s="24">
        <f>IFERROR(VLOOKUP(V114,Assumptions!$A$7:$F$11,2,FALSE),0)</f>
        <v/>
      </c>
      <c r="X114" s="25">
        <f>IF(V114="A",MAX(1,IFERROR(VLOOKUP(V114,Assumptions!$A$7:$F$11,3,FALSE),3)+IFERROR(VLOOKUP(V114,Assumptions!$A$7:$F$11,4,FALSE),8)/2-MAX(0,IF(AO114="",0,YEAR(TODAY())-AO114)-IFERROR(VLOOKUP(V114,Assumptions!$A$7:$F$11,5,FALSE),1.5))),IFERROR(VLOOKUP(V114,Assumptions!$A$7:$F$11,5,FALSE),2.5)+IFERROR(VLOOKUP(V114,Assumptions!$A$7:$F$11,3,FALSE),3)+IFERROR(VLOOKUP(V114,Assumptions!$A$7:$F$11,4,FALSE),8)/2)</f>
        <v/>
      </c>
      <c r="Y114" s="22">
        <f>U114*W114/(1+Assumptions!$B$3)^X114</f>
        <v/>
      </c>
      <c r="Z114" s="26">
        <f>IF(U114=0,"",ROUND(Y114/U114*100,1))</f>
        <v/>
      </c>
      <c r="AA114" s="27">
        <f>Y114*Assumptions!$B$4</f>
        <v/>
      </c>
      <c r="AB114" s="26">
        <f>IF(U114=0,"",ROUND(AA114/U114*100,1))</f>
        <v/>
      </c>
      <c r="AC114" s="27">
        <f>Y114-AA114</f>
        <v/>
      </c>
      <c r="AD114" s="26">
        <f>IF(U114=0,"",ROUND((Y114-AA114)/U114*100,1))</f>
        <v/>
      </c>
      <c r="AE114" s="33" t="inlineStr">
        <is>
          <t>NO TOTALS — list prints none; check page</t>
        </is>
      </c>
      <c r="AF114" s="29" t="inlineStr">
        <is>
          <t>https://scalzilliaj.com.br/sgc/download.php?file=files/processo_documento/processo_documento09120721032023_1_.pdf&amp;nome=15 - Edital do art. 7º, §2º e 53 da Lei 11.101/2005 (segunda lista de credores e recebimento do plano))</t>
        </is>
      </c>
      <c r="AG114" s="28" t="inlineStr">
        <is>
          <t>p27 r9</t>
        </is>
      </c>
      <c r="AH114" s="28" t="inlineStr">
        <is>
          <t>p27: R$ 1.372.648,38</t>
        </is>
      </c>
      <c r="AI114" s="28" t="inlineStr">
        <is>
          <t>AJ list (art. 7 §2)</t>
        </is>
      </c>
      <c r="AJ114" s="28" t="inlineStr">
        <is>
          <t>2023-03-21</t>
        </is>
      </c>
      <c r="AK114" s="28" t="inlineStr">
        <is>
          <t>NONE FOUND</t>
        </is>
      </c>
      <c r="AL114" s="30" t="inlineStr">
        <is>
          <t>5012306-16.2022.8.21.0023</t>
        </is>
      </c>
      <c r="AM114" s="30" t="inlineStr">
        <is>
          <t>TJRS</t>
        </is>
      </c>
      <c r="AN114" s="30" t="inlineStr">
        <is>
          <t>ACTIVE</t>
        </is>
      </c>
      <c r="AO114" s="30" t="n">
        <v>2022</v>
      </c>
      <c r="AP114" s="30" t="inlineStr">
        <is>
          <t>live case, no plan document yet</t>
        </is>
      </c>
      <c r="AQ114" s="30" t="inlineStr"/>
      <c r="AR114" s="30" t="inlineStr">
        <is>
          <t>printed on the list (read twice)</t>
        </is>
      </c>
      <c r="AS114" s="30" t="inlineStr">
        <is>
          <t>PORTO ALEGRE</t>
        </is>
      </c>
      <c r="AT114" s="30" t="inlineStr">
        <is>
          <t>RS</t>
        </is>
      </c>
      <c r="AU114" s="30" t="inlineStr">
        <is>
          <t>Comércio atacadista de instrumentos e materiais para uso médico, cirúrgico, hospitalar e de laboratórios</t>
        </is>
      </c>
      <c r="AV114" s="30" t="inlineStr">
        <is>
          <t>DEMAIS</t>
        </is>
      </c>
      <c r="AW114" s="31" t="n">
        <v>5000000</v>
      </c>
      <c r="AX114" s="30" t="inlineStr">
        <is>
          <t>MID-MARKET</t>
        </is>
      </c>
      <c r="AY114" s="30" t="inlineStr">
        <is>
          <t>00417145</t>
        </is>
      </c>
      <c r="AZ114" s="30" t="n">
        <v>1</v>
      </c>
      <c r="BA114" s="30" t="inlineStr">
        <is>
          <t>ROWS:p27r9 UNRECONCILED_SOURCE</t>
        </is>
      </c>
    </row>
    <row r="115">
      <c r="A115" s="16" t="inlineStr">
        <is>
          <t>CASA BUGRE GOIAS COMERCIO E REPRESENTACAO LTDA</t>
        </is>
      </c>
      <c r="B115" s="17" t="n">
        <v>1367817.98</v>
      </c>
      <c r="C115" s="18" t="inlineStr">
        <is>
          <t>SOJAL COMERCIAL AGRICOLA LTDA e OUTROS</t>
        </is>
      </c>
      <c r="D115" s="19" t="inlineStr">
        <is>
          <t>NEW</t>
        </is>
      </c>
      <c r="E115" s="20" t="inlineStr"/>
      <c r="F115" s="19" t="inlineStr"/>
      <c r="G115" s="20" t="inlineStr"/>
      <c r="H115" s="19" t="inlineStr"/>
      <c r="I115" s="21" t="inlineStr">
        <is>
          <t>Marcos Gomes</t>
        </is>
      </c>
      <c r="J115" s="21" t="inlineStr">
        <is>
          <t>Partner (sócio)</t>
        </is>
      </c>
      <c r="K115" s="21" t="inlineStr">
        <is>
          <t>(61) 3770-0199</t>
        </is>
      </c>
      <c r="L115" s="21" t="inlineStr"/>
      <c r="M115" s="21" t="inlineStr"/>
      <c r="N115" s="21" t="inlineStr">
        <is>
          <t>marcos@casabugre.com.br</t>
        </is>
      </c>
      <c r="O115" s="21" t="inlineStr">
        <is>
          <t>sue.domingues@casabugre.com.br</t>
        </is>
      </c>
      <c r="P115" s="21" t="inlineStr">
        <is>
          <t>Sue Domingues</t>
        </is>
      </c>
      <c r="Q115" s="21" t="inlineStr">
        <is>
          <t>Supply Specialist</t>
        </is>
      </c>
      <c r="R115" s="21" t="inlineStr"/>
      <c r="S115" s="21" t="inlineStr">
        <is>
          <t>sue.domingues@casabugre.com.br</t>
        </is>
      </c>
      <c r="T115" s="21" t="inlineStr">
        <is>
          <t>email verified by Apollo</t>
        </is>
      </c>
      <c r="U115" s="22" t="n">
        <v>1367817.98</v>
      </c>
      <c r="V115" s="23" t="inlineStr">
        <is>
          <t>B</t>
        </is>
      </c>
      <c r="W115" s="24">
        <f>IFERROR(VLOOKUP(V115,Assumptions!$A$7:$F$11,2,FALSE),0)</f>
        <v/>
      </c>
      <c r="X115" s="25">
        <f>IF(V115="A",MAX(1,IFERROR(VLOOKUP(V115,Assumptions!$A$7:$F$11,3,FALSE),3)+IFERROR(VLOOKUP(V115,Assumptions!$A$7:$F$11,4,FALSE),8)/2-MAX(0,IF(AO115="",0,YEAR(TODAY())-AO115)-IFERROR(VLOOKUP(V115,Assumptions!$A$7:$F$11,5,FALSE),1.5))),IFERROR(VLOOKUP(V115,Assumptions!$A$7:$F$11,5,FALSE),2.5)+IFERROR(VLOOKUP(V115,Assumptions!$A$7:$F$11,3,FALSE),3)+IFERROR(VLOOKUP(V115,Assumptions!$A$7:$F$11,4,FALSE),8)/2)</f>
        <v/>
      </c>
      <c r="Y115" s="22">
        <f>U115*W115/(1+Assumptions!$B$3)^X115</f>
        <v/>
      </c>
      <c r="Z115" s="26">
        <f>IF(U115=0,"",ROUND(Y115/U115*100,1))</f>
        <v/>
      </c>
      <c r="AA115" s="27">
        <f>Y115*Assumptions!$B$4</f>
        <v/>
      </c>
      <c r="AB115" s="26">
        <f>IF(U115=0,"",ROUND(AA115/U115*100,1))</f>
        <v/>
      </c>
      <c r="AC115" s="27">
        <f>Y115-AA115</f>
        <v/>
      </c>
      <c r="AD115" s="26">
        <f>IF(U115=0,"",ROUND((Y115-AA115)/U115*100,1))</f>
        <v/>
      </c>
      <c r="AE115" s="28" t="inlineStr">
        <is>
          <t>OK — totals reconciled</t>
        </is>
      </c>
      <c r="AF115" s="29" t="inlineStr">
        <is>
          <t>https://lrflideres.com.br/wp-content/plugins/download-attachments/includes/download.php?id=6879</t>
        </is>
      </c>
      <c r="AG115" s="28" t="inlineStr">
        <is>
          <t>p1 r9</t>
        </is>
      </c>
      <c r="AH115" s="28" t="inlineStr">
        <is>
          <t>p1: R$ 1.367.817,98</t>
        </is>
      </c>
      <c r="AI115" s="28" t="inlineStr">
        <is>
          <t>AJ list (art. 7 §2)</t>
        </is>
      </c>
      <c r="AJ115" s="28" t="inlineStr">
        <is>
          <t>2026-01-15</t>
        </is>
      </c>
      <c r="AK115" s="28" t="inlineStr">
        <is>
          <t>NONE FOUND</t>
        </is>
      </c>
      <c r="AL115" s="30" t="inlineStr">
        <is>
          <t>0804401-51.2025.8.14.0039</t>
        </is>
      </c>
      <c r="AM115" s="30" t="inlineStr">
        <is>
          <t>TJPA</t>
        </is>
      </c>
      <c r="AN115" s="30" t="inlineStr">
        <is>
          <t>ACTIVE</t>
        </is>
      </c>
      <c r="AO115" s="30" t="n">
        <v>2025</v>
      </c>
      <c r="AP115" s="30" t="inlineStr">
        <is>
          <t>live case, no plan document yet</t>
        </is>
      </c>
      <c r="AQ115" s="30" t="inlineStr">
        <is>
          <t>15.626.673/0003-90</t>
        </is>
      </c>
      <c r="AR115" s="30" t="inlineStr">
        <is>
          <t>printed on the list (read twice)</t>
        </is>
      </c>
      <c r="AS115" s="30" t="inlineStr">
        <is>
          <t>ANAPOLIS</t>
        </is>
      </c>
      <c r="AT115" s="30" t="inlineStr">
        <is>
          <t>GO</t>
        </is>
      </c>
      <c r="AU115" s="30" t="inlineStr">
        <is>
          <t>Comércio atacadista de sementes, flores, plantas e gramas</t>
        </is>
      </c>
      <c r="AV115" s="30" t="inlineStr">
        <is>
          <t>DEMAIS</t>
        </is>
      </c>
      <c r="AW115" s="31" t="n">
        <v>1329899.6</v>
      </c>
      <c r="AX115" s="30" t="inlineStr">
        <is>
          <t>MID-MARKET</t>
        </is>
      </c>
      <c r="AY115" s="30" t="inlineStr">
        <is>
          <t>20366728</t>
        </is>
      </c>
      <c r="AZ115" s="30" t="n">
        <v>1</v>
      </c>
      <c r="BA115" s="30" t="inlineStr">
        <is>
          <t>ROWS:p1r9</t>
        </is>
      </c>
    </row>
    <row r="116">
      <c r="A116" s="16" t="inlineStr">
        <is>
          <t>IBRAME INDUSTRIA BRASILEIRA DE METAIS S/A</t>
        </is>
      </c>
      <c r="B116" s="17" t="n">
        <v>1359881.3</v>
      </c>
      <c r="C116" s="18" t="inlineStr">
        <is>
          <t>Grupo Conduscabos</t>
        </is>
      </c>
      <c r="D116" s="19" t="inlineStr">
        <is>
          <t>NEW</t>
        </is>
      </c>
      <c r="E116" s="20" t="inlineStr"/>
      <c r="F116" s="19" t="inlineStr"/>
      <c r="G116" s="20" t="inlineStr"/>
      <c r="H116" s="19" t="inlineStr"/>
      <c r="I116" s="21" t="inlineStr">
        <is>
          <t>LUIZ OSVALDO PASTORE</t>
        </is>
      </c>
      <c r="J116" s="21" t="inlineStr">
        <is>
          <t>Presidente (RFB partner)</t>
        </is>
      </c>
      <c r="K116" s="21" t="inlineStr">
        <is>
          <t>(47) 2101-0049</t>
        </is>
      </c>
      <c r="L116" s="21" t="inlineStr"/>
      <c r="M116" s="21" t="inlineStr"/>
      <c r="N116" s="21" t="inlineStr"/>
      <c r="O116" s="21" t="inlineStr"/>
      <c r="P116" s="21" t="inlineStr">
        <is>
          <t>ALEXANDRE FERREIRA BOUCINHAS</t>
        </is>
      </c>
      <c r="Q116" s="21" t="inlineStr">
        <is>
          <t>Diretor (RFB partner)</t>
        </is>
      </c>
      <c r="R116" s="21" t="inlineStr"/>
      <c r="S116" s="21" t="inlineStr"/>
      <c r="T116" s="21" t="inlineStr">
        <is>
          <t>RFB partner (QSA); no Apollo match</t>
        </is>
      </c>
      <c r="U116" s="22" t="n">
        <v>1359881.3</v>
      </c>
      <c r="V116" s="23" t="inlineStr">
        <is>
          <t>B</t>
        </is>
      </c>
      <c r="W116" s="24">
        <f>IFERROR(VLOOKUP(V116,Assumptions!$A$7:$F$11,2,FALSE),0)</f>
        <v/>
      </c>
      <c r="X116" s="25">
        <f>IF(V116="A",MAX(1,IFERROR(VLOOKUP(V116,Assumptions!$A$7:$F$11,3,FALSE),3)+IFERROR(VLOOKUP(V116,Assumptions!$A$7:$F$11,4,FALSE),8)/2-MAX(0,IF(AO116="",0,YEAR(TODAY())-AO116)-IFERROR(VLOOKUP(V116,Assumptions!$A$7:$F$11,5,FALSE),1.5))),IFERROR(VLOOKUP(V116,Assumptions!$A$7:$F$11,5,FALSE),2.5)+IFERROR(VLOOKUP(V116,Assumptions!$A$7:$F$11,3,FALSE),3)+IFERROR(VLOOKUP(V116,Assumptions!$A$7:$F$11,4,FALSE),8)/2)</f>
        <v/>
      </c>
      <c r="Y116" s="22">
        <f>U116*W116/(1+Assumptions!$B$3)^X116</f>
        <v/>
      </c>
      <c r="Z116" s="26">
        <f>IF(U116=0,"",ROUND(Y116/U116*100,1))</f>
        <v/>
      </c>
      <c r="AA116" s="27">
        <f>Y116*Assumptions!$B$4</f>
        <v/>
      </c>
      <c r="AB116" s="26">
        <f>IF(U116=0,"",ROUND(AA116/U116*100,1))</f>
        <v/>
      </c>
      <c r="AC116" s="27">
        <f>Y116-AA116</f>
        <v/>
      </c>
      <c r="AD116" s="26">
        <f>IF(U116=0,"",ROUND((Y116-AA116)/U116*100,1))</f>
        <v/>
      </c>
      <c r="AE116" s="33" t="inlineStr">
        <is>
          <t>NO TOTALS — list prints none; check page</t>
        </is>
      </c>
      <c r="AF116" s="29" t="inlineStr">
        <is>
          <t>https://assistjud.com.br/wp-content/uploads/elementor/forms/65098c80a5824.pdf</t>
        </is>
      </c>
      <c r="AG116" s="28" t="inlineStr">
        <is>
          <t>p7 r11; p18 r3</t>
        </is>
      </c>
      <c r="AH116" s="28" t="inlineStr">
        <is>
          <t>p7: R$ 815.928,78; p18: R$ 543.952,52</t>
        </is>
      </c>
      <c r="AI116" s="28" t="inlineStr">
        <is>
          <t>AJ list (art. 7 §2)</t>
        </is>
      </c>
      <c r="AJ116" s="28" t="inlineStr">
        <is>
          <t>2023-09-18</t>
        </is>
      </c>
      <c r="AK116" s="28" t="inlineStr">
        <is>
          <t>NONE FOUND</t>
        </is>
      </c>
      <c r="AL116" s="30" t="inlineStr">
        <is>
          <t>8005129-09.2023.8.05.0039</t>
        </is>
      </c>
      <c r="AM116" s="30" t="inlineStr">
        <is>
          <t>TJBA</t>
        </is>
      </c>
      <c r="AN116" s="30" t="inlineStr">
        <is>
          <t>ACTIVE</t>
        </is>
      </c>
      <c r="AO116" s="30" t="n">
        <v>2023</v>
      </c>
      <c r="AP116" s="30" t="inlineStr">
        <is>
          <t>live case, no plan document yet</t>
        </is>
      </c>
      <c r="AQ116" s="30" t="inlineStr"/>
      <c r="AR116" s="30" t="inlineStr">
        <is>
          <t>printed on the list (read twice)</t>
        </is>
      </c>
      <c r="AS116" s="30" t="inlineStr">
        <is>
          <t>VITORIA</t>
        </is>
      </c>
      <c r="AT116" s="30" t="inlineStr">
        <is>
          <t>ES</t>
        </is>
      </c>
      <c r="AU116" s="30" t="inlineStr">
        <is>
          <t>Comércio atacadista de mercadorias em geral, sem predominância de alimentos ou de insumos agropecuários</t>
        </is>
      </c>
      <c r="AV116" s="30" t="inlineStr">
        <is>
          <t>DEMAIS</t>
        </is>
      </c>
      <c r="AW116" s="31" t="n">
        <v>281444400</v>
      </c>
      <c r="AX116" s="30" t="inlineStr">
        <is>
          <t>MID-MARKET</t>
        </is>
      </c>
      <c r="AY116" s="30" t="inlineStr">
        <is>
          <t>60846599</t>
        </is>
      </c>
      <c r="AZ116" s="30" t="n">
        <v>2</v>
      </c>
      <c r="BA116" s="30" t="inlineStr">
        <is>
          <t>ROWS:p7r11,p18r3 UNRECONCILED_SOURCE</t>
        </is>
      </c>
    </row>
    <row r="117">
      <c r="A117" s="16" t="inlineStr">
        <is>
          <t>MULTISAUDE FARMACEUTICA E NUTRICIONAL S/A</t>
        </is>
      </c>
      <c r="B117" s="17" t="n">
        <v>1349574.1</v>
      </c>
      <c r="C117" s="18" t="inlineStr">
        <is>
          <t>GRUPO DP4</t>
        </is>
      </c>
      <c r="D117" s="19" t="inlineStr">
        <is>
          <t>NEW</t>
        </is>
      </c>
      <c r="E117" s="20" t="inlineStr"/>
      <c r="F117" s="19" t="inlineStr"/>
      <c r="G117" s="20" t="inlineStr"/>
      <c r="H117" s="19" t="inlineStr"/>
      <c r="I117" s="21" t="inlineStr">
        <is>
          <t>IGOR GEORGE FARIAS DE MEDEIROS</t>
        </is>
      </c>
      <c r="J117" s="21" t="inlineStr">
        <is>
          <t>Presidente (RFB partner)</t>
        </is>
      </c>
      <c r="K117" s="21" t="inlineStr">
        <is>
          <t>(41) 3679-5858</t>
        </is>
      </c>
      <c r="L117" s="21" t="inlineStr"/>
      <c r="M117" s="21" t="inlineStr"/>
      <c r="N117" s="21" t="inlineStr"/>
      <c r="O117" s="21" t="inlineStr"/>
      <c r="P117" s="21" t="inlineStr">
        <is>
          <t>ROBERTO FRANCISCO DA SILVA</t>
        </is>
      </c>
      <c r="Q117" s="21" t="inlineStr">
        <is>
          <t>Diretor (RFB partner)</t>
        </is>
      </c>
      <c r="R117" s="21" t="inlineStr"/>
      <c r="S117" s="21" t="inlineStr"/>
      <c r="T117" s="21" t="inlineStr">
        <is>
          <t>RFB partner (QSA); no Apollo match</t>
        </is>
      </c>
      <c r="U117" s="22" t="n">
        <v>1349574.1</v>
      </c>
      <c r="V117" s="23" t="inlineStr">
        <is>
          <t>B</t>
        </is>
      </c>
      <c r="W117" s="24">
        <f>IFERROR(VLOOKUP(V117,Assumptions!$A$7:$F$11,2,FALSE),0)</f>
        <v/>
      </c>
      <c r="X117" s="25">
        <f>IF(V117="A",MAX(1,IFERROR(VLOOKUP(V117,Assumptions!$A$7:$F$11,3,FALSE),3)+IFERROR(VLOOKUP(V117,Assumptions!$A$7:$F$11,4,FALSE),8)/2-MAX(0,IF(AO117="",0,YEAR(TODAY())-AO117)-IFERROR(VLOOKUP(V117,Assumptions!$A$7:$F$11,5,FALSE),1.5))),IFERROR(VLOOKUP(V117,Assumptions!$A$7:$F$11,5,FALSE),2.5)+IFERROR(VLOOKUP(V117,Assumptions!$A$7:$F$11,3,FALSE),3)+IFERROR(VLOOKUP(V117,Assumptions!$A$7:$F$11,4,FALSE),8)/2)</f>
        <v/>
      </c>
      <c r="Y117" s="22">
        <f>U117*W117/(1+Assumptions!$B$3)^X117</f>
        <v/>
      </c>
      <c r="Z117" s="26">
        <f>IF(U117=0,"",ROUND(Y117/U117*100,1))</f>
        <v/>
      </c>
      <c r="AA117" s="27">
        <f>Y117*Assumptions!$B$4</f>
        <v/>
      </c>
      <c r="AB117" s="26">
        <f>IF(U117=0,"",ROUND(AA117/U117*100,1))</f>
        <v/>
      </c>
      <c r="AC117" s="27">
        <f>Y117-AA117</f>
        <v/>
      </c>
      <c r="AD117" s="26">
        <f>IF(U117=0,"",ROUND((Y117-AA117)/U117*100,1))</f>
        <v/>
      </c>
      <c r="AE117" s="34" t="inlineStr">
        <is>
          <t>PARTIAL — class III reconciled, other classes not</t>
        </is>
      </c>
      <c r="AF117" s="29" t="inlineStr">
        <is>
          <t>https://marquesadmjudicial.com.br/sgc/download.php?file=files/processo_documento/processo_documento15293208032024_1_.pdf&amp;nome=Relação Nominal de Credores da AJ-Sintética</t>
        </is>
      </c>
      <c r="AG117" s="28" t="inlineStr">
        <is>
          <t>p29 r9</t>
        </is>
      </c>
      <c r="AH117" s="28" t="inlineStr">
        <is>
          <t>p29: R$ 1.349.574,10</t>
        </is>
      </c>
      <c r="AI117" s="28" t="inlineStr">
        <is>
          <t>AJ list (art. 7 §2)</t>
        </is>
      </c>
      <c r="AJ117" s="28" t="inlineStr">
        <is>
          <t>2023-03-02</t>
        </is>
      </c>
      <c r="AK117" s="28" t="inlineStr">
        <is>
          <t>NONE FOUND</t>
        </is>
      </c>
      <c r="AL117" s="30" t="inlineStr">
        <is>
          <t>0005010-98.2023.8.16.0001</t>
        </is>
      </c>
      <c r="AM117" s="30" t="inlineStr">
        <is>
          <t>TJPR</t>
        </is>
      </c>
      <c r="AN117" s="30" t="inlineStr">
        <is>
          <t>ACTIVE</t>
        </is>
      </c>
      <c r="AO117" s="30" t="n">
        <v>2023</v>
      </c>
      <c r="AP117" s="30" t="inlineStr">
        <is>
          <t>live case, no plan document yet</t>
        </is>
      </c>
      <c r="AQ117" s="30" t="inlineStr"/>
      <c r="AR117" s="30" t="inlineStr">
        <is>
          <t>printed on the list (read twice)</t>
        </is>
      </c>
      <c r="AS117" s="30" t="inlineStr">
        <is>
          <t>GOIANA</t>
        </is>
      </c>
      <c r="AT117" s="30" t="inlineStr">
        <is>
          <t>PE</t>
        </is>
      </c>
      <c r="AU117" s="30" t="inlineStr">
        <is>
          <t>Fabricação de medicamentos alopáticos para uso humano</t>
        </is>
      </c>
      <c r="AV117" s="30" t="inlineStr">
        <is>
          <t>DEMAIS</t>
        </is>
      </c>
      <c r="AW117" s="31" t="n">
        <v>1200000</v>
      </c>
      <c r="AX117" s="30" t="inlineStr">
        <is>
          <t>MID-MARKET</t>
        </is>
      </c>
      <c r="AY117" s="30" t="inlineStr">
        <is>
          <t>07159913</t>
        </is>
      </c>
      <c r="AZ117" s="30" t="n">
        <v>1</v>
      </c>
      <c r="BA117" s="30" t="inlineStr">
        <is>
          <t>PARTIAL_DOC_CLASS_III_RECONCILED ROWS:p29r9</t>
        </is>
      </c>
    </row>
    <row r="118">
      <c r="A118" s="16" t="inlineStr">
        <is>
          <t>STONEX COMERCIO E EXPORTACAO DE COMMODITIES LTDA.</t>
        </is>
      </c>
      <c r="B118" s="17" t="n">
        <v>1343951.77</v>
      </c>
      <c r="C118" s="37" t="inlineStr">
        <is>
          <t>(debtor not identified — see proof)</t>
        </is>
      </c>
      <c r="D118" s="19" t="inlineStr">
        <is>
          <t>NEW</t>
        </is>
      </c>
      <c r="E118" s="20" t="inlineStr"/>
      <c r="F118" s="19" t="inlineStr"/>
      <c r="G118" s="20" t="inlineStr"/>
      <c r="H118" s="19" t="inlineStr"/>
      <c r="I118" s="21" t="inlineStr">
        <is>
          <t>ARIEL GAGLIARDONE COELHO</t>
        </is>
      </c>
      <c r="J118" s="21" t="inlineStr">
        <is>
          <t>Administrador (RFB partner)</t>
        </is>
      </c>
      <c r="K118" s="21" t="inlineStr">
        <is>
          <t>(11) 3509-5404</t>
        </is>
      </c>
      <c r="L118" s="21" t="inlineStr"/>
      <c r="M118" s="21" t="inlineStr"/>
      <c r="N118" s="21" t="inlineStr"/>
      <c r="O118" s="21" t="inlineStr"/>
      <c r="P118" s="21" t="inlineStr">
        <is>
          <t>FERNANDO GHIDETTI MAZZANTI</t>
        </is>
      </c>
      <c r="Q118" s="21" t="inlineStr">
        <is>
          <t>Administrador (RFB partner)</t>
        </is>
      </c>
      <c r="R118" s="21" t="inlineStr"/>
      <c r="S118" s="21" t="inlineStr"/>
      <c r="T118" s="21" t="inlineStr">
        <is>
          <t>RFB partner (QSA); no Apollo match</t>
        </is>
      </c>
      <c r="U118" s="22" t="n">
        <v>1343951.77</v>
      </c>
      <c r="V118" s="23" t="inlineStr">
        <is>
          <t>B</t>
        </is>
      </c>
      <c r="W118" s="24">
        <f>IFERROR(VLOOKUP(V118,Assumptions!$A$7:$F$11,2,FALSE),0)</f>
        <v/>
      </c>
      <c r="X118" s="25">
        <f>IF(V118="A",MAX(1,IFERROR(VLOOKUP(V118,Assumptions!$A$7:$F$11,3,FALSE),3)+IFERROR(VLOOKUP(V118,Assumptions!$A$7:$F$11,4,FALSE),8)/2-MAX(0,IF(AO118="",0,YEAR(TODAY())-AO118)-IFERROR(VLOOKUP(V118,Assumptions!$A$7:$F$11,5,FALSE),1.5))),IFERROR(VLOOKUP(V118,Assumptions!$A$7:$F$11,5,FALSE),2.5)+IFERROR(VLOOKUP(V118,Assumptions!$A$7:$F$11,3,FALSE),3)+IFERROR(VLOOKUP(V118,Assumptions!$A$7:$F$11,4,FALSE),8)/2)</f>
        <v/>
      </c>
      <c r="Y118" s="22">
        <f>U118*W118/(1+Assumptions!$B$3)^X118</f>
        <v/>
      </c>
      <c r="Z118" s="26">
        <f>IF(U118=0,"",ROUND(Y118/U118*100,1))</f>
        <v/>
      </c>
      <c r="AA118" s="27">
        <f>Y118*Assumptions!$B$4</f>
        <v/>
      </c>
      <c r="AB118" s="26">
        <f>IF(U118=0,"",ROUND(AA118/U118*100,1))</f>
        <v/>
      </c>
      <c r="AC118" s="27">
        <f>Y118-AA118</f>
        <v/>
      </c>
      <c r="AD118" s="26">
        <f>IF(U118=0,"",ROUND((Y118-AA118)/U118*100,1))</f>
        <v/>
      </c>
      <c r="AE118" s="33" t="inlineStr">
        <is>
          <t>NO TOTALS — list prints none; check page</t>
        </is>
      </c>
      <c r="AF118" s="29" t="inlineStr">
        <is>
          <t>https://scalzilliaj.com.br/sgc/download.php?file=files/processo_documento/processo_documento11421222052026_1_.pdf&amp;nome=08. Lista de credores do edital do art. 52, §1º da LREF</t>
        </is>
      </c>
      <c r="AG118" s="28" t="inlineStr">
        <is>
          <t>p3 r11</t>
        </is>
      </c>
      <c r="AH118" s="28" t="inlineStr">
        <is>
          <t>p3: R$ 1.343.951,77</t>
        </is>
      </c>
      <c r="AI118" s="28" t="inlineStr">
        <is>
          <t>Unclassified list</t>
        </is>
      </c>
      <c r="AJ118" s="28" t="inlineStr"/>
      <c r="AK118" s="28" t="inlineStr">
        <is>
          <t>NONE FOUND</t>
        </is>
      </c>
      <c r="AL118" s="30" t="inlineStr">
        <is>
          <t>5011369-81.2026.8.09.0093</t>
        </is>
      </c>
      <c r="AM118" s="30" t="inlineStr">
        <is>
          <t>TJGO</t>
        </is>
      </c>
      <c r="AN118" s="30" t="inlineStr">
        <is>
          <t>ACTIVE</t>
        </is>
      </c>
      <c r="AO118" s="30" t="n">
        <v>2026</v>
      </c>
      <c r="AP118" s="30" t="inlineStr">
        <is>
          <t>live case, no plan document yet</t>
        </is>
      </c>
      <c r="AQ118" s="30" t="inlineStr"/>
      <c r="AR118" s="30" t="inlineStr">
        <is>
          <t>not identified</t>
        </is>
      </c>
      <c r="AS118" s="30" t="inlineStr">
        <is>
          <t>CAMPINAS</t>
        </is>
      </c>
      <c r="AT118" s="30" t="inlineStr">
        <is>
          <t>SP</t>
        </is>
      </c>
      <c r="AU118" s="30" t="inlineStr">
        <is>
          <t>Comércio atacadista de algodão</t>
        </is>
      </c>
      <c r="AV118" s="30" t="inlineStr">
        <is>
          <t>DEMAIS</t>
        </is>
      </c>
      <c r="AW118" s="31" t="n">
        <v>80000000</v>
      </c>
      <c r="AX118" s="30" t="inlineStr">
        <is>
          <t>MID-MARKET</t>
        </is>
      </c>
      <c r="AY118" s="30" t="inlineStr">
        <is>
          <t>19684286</t>
        </is>
      </c>
      <c r="AZ118" s="30" t="n">
        <v>1</v>
      </c>
      <c r="BA118" s="30" t="inlineStr">
        <is>
          <t>ROWS:p3r11 UNRECONCILED_SOURCE</t>
        </is>
      </c>
    </row>
    <row r="119">
      <c r="A119" s="16" t="inlineStr">
        <is>
          <t>WHITE MARTINS GASES INDUSTRIAIS LTDA</t>
        </is>
      </c>
      <c r="B119" s="17" t="n">
        <v>1341862.73</v>
      </c>
      <c r="C119" s="18" t="inlineStr">
        <is>
          <t>ASSOCIAÇÃO DE CARIDADE SANTA CASA DO RIO GRANDE</t>
        </is>
      </c>
      <c r="D119" s="19" t="inlineStr">
        <is>
          <t>NEW</t>
        </is>
      </c>
      <c r="E119" s="20" t="inlineStr"/>
      <c r="F119" s="19" t="inlineStr"/>
      <c r="G119" s="20" t="inlineStr"/>
      <c r="H119" s="19" t="inlineStr"/>
      <c r="I119" s="21" t="inlineStr">
        <is>
          <t>Claudio Ferreira</t>
        </is>
      </c>
      <c r="J119" s="21" t="inlineStr">
        <is>
          <t>Supervisor Contas a Receber</t>
        </is>
      </c>
      <c r="K119" s="21" t="inlineStr">
        <is>
          <t>(21) 3279-9000</t>
        </is>
      </c>
      <c r="L119" s="21" t="inlineStr"/>
      <c r="M119" s="21" t="inlineStr"/>
      <c r="N119" s="21" t="inlineStr"/>
      <c r="O119" s="21" t="inlineStr"/>
      <c r="P119" s="21" t="inlineStr">
        <is>
          <t>Livia Pestana</t>
        </is>
      </c>
      <c r="Q119" s="21" t="inlineStr">
        <is>
          <t>Supervisor de Cobrança / Contas a Receber</t>
        </is>
      </c>
      <c r="R119" s="21" t="inlineStr"/>
      <c r="S119" s="21" t="inlineStr"/>
      <c r="T119" s="21" t="inlineStr">
        <is>
          <t>no work email found in Apollo</t>
        </is>
      </c>
      <c r="U119" s="22" t="n">
        <v>1341862.73</v>
      </c>
      <c r="V119" s="23" t="inlineStr">
        <is>
          <t>B</t>
        </is>
      </c>
      <c r="W119" s="24">
        <f>IFERROR(VLOOKUP(V119,Assumptions!$A$7:$F$11,2,FALSE),0)</f>
        <v/>
      </c>
      <c r="X119" s="25">
        <f>IF(V119="A",MAX(1,IFERROR(VLOOKUP(V119,Assumptions!$A$7:$F$11,3,FALSE),3)+IFERROR(VLOOKUP(V119,Assumptions!$A$7:$F$11,4,FALSE),8)/2-MAX(0,IF(AO119="",0,YEAR(TODAY())-AO119)-IFERROR(VLOOKUP(V119,Assumptions!$A$7:$F$11,5,FALSE),1.5))),IFERROR(VLOOKUP(V119,Assumptions!$A$7:$F$11,5,FALSE),2.5)+IFERROR(VLOOKUP(V119,Assumptions!$A$7:$F$11,3,FALSE),3)+IFERROR(VLOOKUP(V119,Assumptions!$A$7:$F$11,4,FALSE),8)/2)</f>
        <v/>
      </c>
      <c r="Y119" s="22">
        <f>U119*W119/(1+Assumptions!$B$3)^X119</f>
        <v/>
      </c>
      <c r="Z119" s="26">
        <f>IF(U119=0,"",ROUND(Y119/U119*100,1))</f>
        <v/>
      </c>
      <c r="AA119" s="27">
        <f>Y119*Assumptions!$B$4</f>
        <v/>
      </c>
      <c r="AB119" s="26">
        <f>IF(U119=0,"",ROUND(AA119/U119*100,1))</f>
        <v/>
      </c>
      <c r="AC119" s="27">
        <f>Y119-AA119</f>
        <v/>
      </c>
      <c r="AD119" s="26">
        <f>IF(U119=0,"",ROUND((Y119-AA119)/U119*100,1))</f>
        <v/>
      </c>
      <c r="AE119" s="33" t="inlineStr">
        <is>
          <t>NO TOTALS — list prints none; check page</t>
        </is>
      </c>
      <c r="AF119" s="29" t="inlineStr">
        <is>
          <t>https://scalzilliaj.com.br/sgc/download.php?file=files/processo_documento/processo_documento09120721032023_1_.pdf&amp;nome=15 - Edital do art. 7º, §2º e 53 da Lei 11.101/2005 (segunda lista de credores e recebimento do plano))</t>
        </is>
      </c>
      <c r="AG119" s="28" t="inlineStr">
        <is>
          <t>p30 r37</t>
        </is>
      </c>
      <c r="AH119" s="28" t="inlineStr">
        <is>
          <t>p30: R$ 1.341.862,73</t>
        </is>
      </c>
      <c r="AI119" s="28" t="inlineStr">
        <is>
          <t>AJ list (art. 7 §2)</t>
        </is>
      </c>
      <c r="AJ119" s="28" t="inlineStr">
        <is>
          <t>2023-03-21</t>
        </is>
      </c>
      <c r="AK119" s="28" t="inlineStr">
        <is>
          <t>NONE FOUND</t>
        </is>
      </c>
      <c r="AL119" s="30" t="inlineStr">
        <is>
          <t>5012306-16.2022.8.21.0023</t>
        </is>
      </c>
      <c r="AM119" s="30" t="inlineStr">
        <is>
          <t>TJRS</t>
        </is>
      </c>
      <c r="AN119" s="30" t="inlineStr">
        <is>
          <t>ACTIVE</t>
        </is>
      </c>
      <c r="AO119" s="30" t="n">
        <v>2022</v>
      </c>
      <c r="AP119" s="30" t="inlineStr">
        <is>
          <t>live case, no plan document yet</t>
        </is>
      </c>
      <c r="AQ119" s="30" t="inlineStr"/>
      <c r="AR119" s="30" t="inlineStr">
        <is>
          <t>printed on the list (read twice)</t>
        </is>
      </c>
      <c r="AS119" s="30" t="inlineStr">
        <is>
          <t>RIO DE JANEIRO</t>
        </is>
      </c>
      <c r="AT119" s="30" t="inlineStr">
        <is>
          <t>RJ</t>
        </is>
      </c>
      <c r="AU119" s="30" t="inlineStr">
        <is>
          <t>Atividades de consultoria em gestão empresarial, exceto consultoria técnica específica</t>
        </is>
      </c>
      <c r="AV119" s="30" t="inlineStr">
        <is>
          <t>DEMAIS</t>
        </is>
      </c>
      <c r="AW119" s="31" t="n">
        <v>8532698000</v>
      </c>
      <c r="AX119" s="30" t="inlineStr">
        <is>
          <t>LARGE CORP</t>
        </is>
      </c>
      <c r="AY119" s="30" t="inlineStr">
        <is>
          <t>35820448</t>
        </is>
      </c>
      <c r="AZ119" s="30" t="n">
        <v>1</v>
      </c>
      <c r="BA119" s="30" t="inlineStr">
        <is>
          <t>ROWS:p30r37 UNRECONCILED_SOURCE</t>
        </is>
      </c>
    </row>
    <row r="120">
      <c r="A120" s="16" t="inlineStr">
        <is>
          <t>CHARRUA COMERCIAL AGRICOLA LTDA</t>
        </is>
      </c>
      <c r="B120" s="17" t="n">
        <v>704080</v>
      </c>
      <c r="C120" s="18" t="inlineStr">
        <is>
          <t>GRUPO 3E</t>
        </is>
      </c>
      <c r="D120" s="19" t="inlineStr">
        <is>
          <t>NEW</t>
        </is>
      </c>
      <c r="E120" s="20" t="inlineStr"/>
      <c r="F120" s="19" t="inlineStr"/>
      <c r="G120" s="20" t="inlineStr"/>
      <c r="H120" s="19" t="inlineStr"/>
      <c r="I120" s="21" t="inlineStr">
        <is>
          <t>Leiliane Lima</t>
        </is>
      </c>
      <c r="J120" s="21" t="inlineStr">
        <is>
          <t>Executiva de Recursos Humanos</t>
        </is>
      </c>
      <c r="K120" s="21" t="inlineStr">
        <is>
          <t>(54) 3311-2615</t>
        </is>
      </c>
      <c r="L120" s="21" t="inlineStr"/>
      <c r="M120" s="21" t="inlineStr"/>
      <c r="N120" s="21" t="inlineStr">
        <is>
          <t>leiliane.lima@charrua.agr.br</t>
        </is>
      </c>
      <c r="O120" s="21" t="inlineStr">
        <is>
          <t>leiliane.lima@charrua.agr.br</t>
        </is>
      </c>
      <c r="P120" s="21" t="inlineStr">
        <is>
          <t>Leiliane Lima</t>
        </is>
      </c>
      <c r="Q120" s="21" t="inlineStr">
        <is>
          <t>Executiva de Recursos Humanos</t>
        </is>
      </c>
      <c r="R120" s="21" t="inlineStr"/>
      <c r="S120" s="21" t="inlineStr">
        <is>
          <t>leiliane.lima@charrua.agr.br</t>
        </is>
      </c>
      <c r="T120" s="21" t="inlineStr">
        <is>
          <t>email verified by Apollo</t>
        </is>
      </c>
      <c r="U120" s="22" t="n">
        <v>704080</v>
      </c>
      <c r="V120" s="35" t="inlineStr">
        <is>
          <t>A</t>
        </is>
      </c>
      <c r="W120" s="24">
        <f>IFERROR(VLOOKUP(V120,Assumptions!$A$7:$F$11,2,FALSE),0)</f>
        <v/>
      </c>
      <c r="X120" s="25">
        <f>IF(V120="A",MAX(1,IFERROR(VLOOKUP(V120,Assumptions!$A$7:$F$11,3,FALSE),3)+IFERROR(VLOOKUP(V120,Assumptions!$A$7:$F$11,4,FALSE),8)/2-MAX(0,IF(AO120="",0,YEAR(TODAY())-AO120)-IFERROR(VLOOKUP(V120,Assumptions!$A$7:$F$11,5,FALSE),1.5))),IFERROR(VLOOKUP(V120,Assumptions!$A$7:$F$11,5,FALSE),2.5)+IFERROR(VLOOKUP(V120,Assumptions!$A$7:$F$11,3,FALSE),3)+IFERROR(VLOOKUP(V120,Assumptions!$A$7:$F$11,4,FALSE),8)/2)</f>
        <v/>
      </c>
      <c r="Y120" s="22">
        <f>U120*W120/(1+Assumptions!$B$3)^X120</f>
        <v/>
      </c>
      <c r="Z120" s="26">
        <f>IF(U120=0,"",ROUND(Y120/U120*100,1))</f>
        <v/>
      </c>
      <c r="AA120" s="27">
        <f>Y120*Assumptions!$B$4</f>
        <v/>
      </c>
      <c r="AB120" s="26">
        <f>IF(U120=0,"",ROUND(AA120/U120*100,1))</f>
        <v/>
      </c>
      <c r="AC120" s="27">
        <f>Y120-AA120</f>
        <v/>
      </c>
      <c r="AD120" s="26">
        <f>IF(U120=0,"",ROUND((Y120-AA120)/U120*100,1))</f>
        <v/>
      </c>
      <c r="AE120" s="33" t="inlineStr">
        <is>
          <t>NO TOTALS — list prints none; check page</t>
        </is>
      </c>
      <c r="AF120" s="29" t="inlineStr">
        <is>
          <t>https://stenius.com.br/wp-content/uploads/2026/06/EDITAL-GRUPO-3E.pdf</t>
        </is>
      </c>
      <c r="AG120" s="28" t="inlineStr">
        <is>
          <t>p11 r59</t>
        </is>
      </c>
      <c r="AH120" s="28" t="inlineStr">
        <is>
          <t>p11: R$ 704.080,00</t>
        </is>
      </c>
      <c r="AI120" s="28" t="inlineStr">
        <is>
          <t>Debtor list (art. 51)</t>
        </is>
      </c>
      <c r="AJ120" s="28" t="inlineStr">
        <is>
          <t>2026-06-22</t>
        </is>
      </c>
      <c r="AK120" s="28" t="inlineStr">
        <is>
          <t>PLAN DOC FOUND</t>
        </is>
      </c>
      <c r="AL120" s="30" t="inlineStr">
        <is>
          <t>5341375-33.2026.8.09.0049</t>
        </is>
      </c>
      <c r="AM120" s="30" t="inlineStr">
        <is>
          <t>TJGO</t>
        </is>
      </c>
      <c r="AN120" s="30" t="inlineStr">
        <is>
          <t>ACTIVE</t>
        </is>
      </c>
      <c r="AO120" s="30" t="n">
        <v>2026</v>
      </c>
      <c r="AP120" s="30" t="inlineStr">
        <is>
          <t>plan/homologation document found</t>
        </is>
      </c>
      <c r="AQ120" s="30" t="inlineStr"/>
      <c r="AR120" s="30" t="inlineStr">
        <is>
          <t>printed on the list (read twice)</t>
        </is>
      </c>
      <c r="AS120" s="30" t="inlineStr">
        <is>
          <t>FORMOSA</t>
        </is>
      </c>
      <c r="AT120" s="30" t="inlineStr">
        <is>
          <t>GO</t>
        </is>
      </c>
      <c r="AU120" s="30" t="inlineStr">
        <is>
          <t>Comércio atacadista de defensivos agrícolas, adubos, fertilizantes e corretivos do solo</t>
        </is>
      </c>
      <c r="AV120" s="30" t="inlineStr">
        <is>
          <t>DEMAIS</t>
        </is>
      </c>
      <c r="AW120" s="31" t="n">
        <v>20000000</v>
      </c>
      <c r="AX120" s="30" t="inlineStr">
        <is>
          <t>MID-MARKET</t>
        </is>
      </c>
      <c r="AY120" s="30" t="inlineStr">
        <is>
          <t>37031044</t>
        </is>
      </c>
      <c r="AZ120" s="30" t="n">
        <v>1</v>
      </c>
      <c r="BA120" s="30" t="inlineStr">
        <is>
          <t>ROWS:p11r59 UNRECONCILED_SOURCE</t>
        </is>
      </c>
    </row>
    <row r="121">
      <c r="A121" s="16" t="inlineStr">
        <is>
          <t>AGROCERES MULTIMIX NUTRICAO ANIMAL LTDA</t>
        </is>
      </c>
      <c r="B121" s="17" t="n">
        <v>1268978.32</v>
      </c>
      <c r="C121" s="18" t="inlineStr">
        <is>
          <t>SUINOCULTURA KUNZLER</t>
        </is>
      </c>
      <c r="D121" s="19" t="inlineStr">
        <is>
          <t>NEW</t>
        </is>
      </c>
      <c r="E121" s="20" t="inlineStr"/>
      <c r="F121" s="19" t="inlineStr"/>
      <c r="G121" s="20" t="inlineStr"/>
      <c r="H121" s="19" t="inlineStr"/>
      <c r="I121" s="21" t="inlineStr">
        <is>
          <t>Renata Campos</t>
        </is>
      </c>
      <c r="J121" s="21" t="inlineStr">
        <is>
          <t>Analista de Crédito e Cobrança Sênior</t>
        </is>
      </c>
      <c r="K121" s="21" t="inlineStr">
        <is>
          <t>(19) 3526-8500</t>
        </is>
      </c>
      <c r="L121" s="21" t="inlineStr"/>
      <c r="M121" s="21" t="inlineStr"/>
      <c r="N121" s="21" t="inlineStr">
        <is>
          <t>renata@agroceres.com</t>
        </is>
      </c>
      <c r="O121" s="21" t="inlineStr">
        <is>
          <t>pedroso.kelly@agroceresmultimix.com.br</t>
        </is>
      </c>
      <c r="P121" s="21" t="inlineStr">
        <is>
          <t>Kelly Pedroso</t>
        </is>
      </c>
      <c r="Q121" s="21" t="inlineStr">
        <is>
          <t>Analista de Crédito e Cobrança Jr</t>
        </is>
      </c>
      <c r="R121" s="21" t="inlineStr"/>
      <c r="S121" s="21" t="inlineStr">
        <is>
          <t>pedroso.kelly@agroceresmultimix.com.br</t>
        </is>
      </c>
      <c r="T121" s="21" t="inlineStr">
        <is>
          <t>email verified by Apollo</t>
        </is>
      </c>
      <c r="U121" s="22" t="n">
        <v>1268978.32</v>
      </c>
      <c r="V121" s="23" t="inlineStr">
        <is>
          <t>B</t>
        </is>
      </c>
      <c r="W121" s="24">
        <f>IFERROR(VLOOKUP(V121,Assumptions!$A$7:$F$11,2,FALSE),0)</f>
        <v/>
      </c>
      <c r="X121" s="25">
        <f>IF(V121="A",MAX(1,IFERROR(VLOOKUP(V121,Assumptions!$A$7:$F$11,3,FALSE),3)+IFERROR(VLOOKUP(V121,Assumptions!$A$7:$F$11,4,FALSE),8)/2-MAX(0,IF(AO121="",0,YEAR(TODAY())-AO121)-IFERROR(VLOOKUP(V121,Assumptions!$A$7:$F$11,5,FALSE),1.5))),IFERROR(VLOOKUP(V121,Assumptions!$A$7:$F$11,5,FALSE),2.5)+IFERROR(VLOOKUP(V121,Assumptions!$A$7:$F$11,3,FALSE),3)+IFERROR(VLOOKUP(V121,Assumptions!$A$7:$F$11,4,FALSE),8)/2)</f>
        <v/>
      </c>
      <c r="Y121" s="22">
        <f>U121*W121/(1+Assumptions!$B$3)^X121</f>
        <v/>
      </c>
      <c r="Z121" s="26">
        <f>IF(U121=0,"",ROUND(Y121/U121*100,1))</f>
        <v/>
      </c>
      <c r="AA121" s="27">
        <f>Y121*Assumptions!$B$4</f>
        <v/>
      </c>
      <c r="AB121" s="26">
        <f>IF(U121=0,"",ROUND(AA121/U121*100,1))</f>
        <v/>
      </c>
      <c r="AC121" s="27">
        <f>Y121-AA121</f>
        <v/>
      </c>
      <c r="AD121" s="26">
        <f>IF(U121=0,"",ROUND((Y121-AA121)/U121*100,1))</f>
        <v/>
      </c>
      <c r="AE121" s="33" t="inlineStr">
        <is>
          <t>NO TOTALS — list prints none; check page</t>
        </is>
      </c>
      <c r="AF121" s="29" t="inlineStr">
        <is>
          <t>https://rlg-aj.com.br/wp-content/uploads/2024/11/07.-Relação-de-credores.pdf</t>
        </is>
      </c>
      <c r="AG121" s="28" t="inlineStr">
        <is>
          <t>p1 r22</t>
        </is>
      </c>
      <c r="AH121" s="28" t="inlineStr">
        <is>
          <t>p1: R$ 1.268.978,32</t>
        </is>
      </c>
      <c r="AI121" s="28" t="inlineStr">
        <is>
          <t>Unclassified list</t>
        </is>
      </c>
      <c r="AJ121" s="28" t="inlineStr"/>
      <c r="AK121" s="28" t="inlineStr">
        <is>
          <t>NONE FOUND</t>
        </is>
      </c>
      <c r="AL121" s="30" t="inlineStr">
        <is>
          <t>5009149-92.2024.8.24.0019</t>
        </is>
      </c>
      <c r="AM121" s="30" t="inlineStr">
        <is>
          <t>TJSC</t>
        </is>
      </c>
      <c r="AN121" s="30" t="inlineStr">
        <is>
          <t>ACTIVE</t>
        </is>
      </c>
      <c r="AO121" s="30" t="n">
        <v>2024</v>
      </c>
      <c r="AP121" s="30" t="inlineStr">
        <is>
          <t>live case, no plan document yet</t>
        </is>
      </c>
      <c r="AQ121" s="30" t="inlineStr">
        <is>
          <t>55.365.447/0001-56</t>
        </is>
      </c>
      <c r="AR121" s="30" t="inlineStr">
        <is>
          <t>printed on the list (read twice)</t>
        </is>
      </c>
      <c r="AS121" s="30" t="inlineStr">
        <is>
          <t>RIO CLARO</t>
        </is>
      </c>
      <c r="AT121" s="30" t="inlineStr">
        <is>
          <t>SP</t>
        </is>
      </c>
      <c r="AU121" s="30" t="inlineStr">
        <is>
          <t>Fabricação de alimentos para animais</t>
        </is>
      </c>
      <c r="AV121" s="30" t="inlineStr">
        <is>
          <t>DEMAIS</t>
        </is>
      </c>
      <c r="AW121" s="31" t="n">
        <v>751230900</v>
      </c>
      <c r="AX121" s="30" t="inlineStr">
        <is>
          <t>MID-MARKET</t>
        </is>
      </c>
      <c r="AY121" s="30" t="inlineStr">
        <is>
          <t>28622744</t>
        </is>
      </c>
      <c r="AZ121" s="30" t="n">
        <v>1</v>
      </c>
      <c r="BA121" s="30" t="inlineStr">
        <is>
          <t>ROWS:p1r22 UNRECONCILED_SOURCE</t>
        </is>
      </c>
    </row>
    <row r="122">
      <c r="A122" s="16" t="inlineStr">
        <is>
          <t>CAMINERO INDUSTRIA E COMERCIO DE OLEOS LTDA</t>
        </is>
      </c>
      <c r="B122" s="17" t="n">
        <v>1251475.5</v>
      </c>
      <c r="C122" s="18" t="inlineStr">
        <is>
          <t>Grupo Agromeal</t>
        </is>
      </c>
      <c r="D122" s="19" t="inlineStr">
        <is>
          <t>NEW</t>
        </is>
      </c>
      <c r="E122" s="20" t="inlineStr"/>
      <c r="F122" s="19" t="inlineStr"/>
      <c r="G122" s="20" t="inlineStr"/>
      <c r="H122" s="19" t="inlineStr"/>
      <c r="I122" s="21" t="inlineStr">
        <is>
          <t>DENILSON JORGE DO NASCIMENTO</t>
        </is>
      </c>
      <c r="J122" s="21" t="inlineStr">
        <is>
          <t>Sócio-Administrador (RFB partner)</t>
        </is>
      </c>
      <c r="K122" s="21" t="inlineStr">
        <is>
          <t>(14) 3662-9499</t>
        </is>
      </c>
      <c r="L122" s="21" t="inlineStr"/>
      <c r="M122" s="21" t="inlineStr"/>
      <c r="N122" s="21" t="inlineStr"/>
      <c r="O122" s="21" t="inlineStr"/>
      <c r="P122" s="21" t="inlineStr"/>
      <c r="Q122" s="21" t="inlineStr"/>
      <c r="R122" s="21" t="inlineStr"/>
      <c r="S122" s="21" t="inlineStr"/>
      <c r="T122" s="21" t="inlineStr">
        <is>
          <t>RFB partner (QSA); no Apollo match</t>
        </is>
      </c>
      <c r="U122" s="22" t="n">
        <v>1251475.5</v>
      </c>
      <c r="V122" s="23" t="inlineStr">
        <is>
          <t>B</t>
        </is>
      </c>
      <c r="W122" s="24">
        <f>IFERROR(VLOOKUP(V122,Assumptions!$A$7:$F$11,2,FALSE),0)</f>
        <v/>
      </c>
      <c r="X122" s="25">
        <f>IF(V122="A",MAX(1,IFERROR(VLOOKUP(V122,Assumptions!$A$7:$F$11,3,FALSE),3)+IFERROR(VLOOKUP(V122,Assumptions!$A$7:$F$11,4,FALSE),8)/2-MAX(0,IF(AO122="",0,YEAR(TODAY())-AO122)-IFERROR(VLOOKUP(V122,Assumptions!$A$7:$F$11,5,FALSE),1.5))),IFERROR(VLOOKUP(V122,Assumptions!$A$7:$F$11,5,FALSE),2.5)+IFERROR(VLOOKUP(V122,Assumptions!$A$7:$F$11,3,FALSE),3)+IFERROR(VLOOKUP(V122,Assumptions!$A$7:$F$11,4,FALSE),8)/2)</f>
        <v/>
      </c>
      <c r="Y122" s="22">
        <f>U122*W122/(1+Assumptions!$B$3)^X122</f>
        <v/>
      </c>
      <c r="Z122" s="26">
        <f>IF(U122=0,"",ROUND(Y122/U122*100,1))</f>
        <v/>
      </c>
      <c r="AA122" s="27">
        <f>Y122*Assumptions!$B$4</f>
        <v/>
      </c>
      <c r="AB122" s="26">
        <f>IF(U122=0,"",ROUND(AA122/U122*100,1))</f>
        <v/>
      </c>
      <c r="AC122" s="27">
        <f>Y122-AA122</f>
        <v/>
      </c>
      <c r="AD122" s="26">
        <f>IF(U122=0,"",ROUND((Y122-AA122)/U122*100,1))</f>
        <v/>
      </c>
      <c r="AE122" s="34" t="inlineStr">
        <is>
          <t>PARTIAL — class III reconciled, other classes not</t>
        </is>
      </c>
      <c r="AF122" s="29" t="inlineStr">
        <is>
          <t>https://marquesadmjudicial.com.br/sgc/download.php?file=files/processo_documento/processo_documento17040729052024_1_.pdf&amp;nome=Relação Nominal de Credores AJ-Sintética</t>
        </is>
      </c>
      <c r="AG122" s="28" t="inlineStr">
        <is>
          <t>p10 r12</t>
        </is>
      </c>
      <c r="AH122" s="28" t="inlineStr">
        <is>
          <t>p10: R$ 1.251.475,50</t>
        </is>
      </c>
      <c r="AI122" s="28" t="inlineStr">
        <is>
          <t>AJ list (art. 7 §2)</t>
        </is>
      </c>
      <c r="AJ122" s="28" t="inlineStr">
        <is>
          <t>2024-05-27</t>
        </is>
      </c>
      <c r="AK122" s="28" t="inlineStr">
        <is>
          <t>NONE FOUND</t>
        </is>
      </c>
      <c r="AL122" s="30" t="inlineStr">
        <is>
          <t>0003971-03.2023.8.16.0119</t>
        </is>
      </c>
      <c r="AM122" s="30" t="inlineStr">
        <is>
          <t>TJPR</t>
        </is>
      </c>
      <c r="AN122" s="30" t="inlineStr">
        <is>
          <t>ACTIVE</t>
        </is>
      </c>
      <c r="AO122" s="30" t="n">
        <v>2023</v>
      </c>
      <c r="AP122" s="30" t="inlineStr">
        <is>
          <t>live case, no plan document yet</t>
        </is>
      </c>
      <c r="AQ122" s="30" t="inlineStr">
        <is>
          <t>11.624.776/0001-07</t>
        </is>
      </c>
      <c r="AR122" s="30" t="inlineStr">
        <is>
          <t>printed on the list (read twice)</t>
        </is>
      </c>
      <c r="AS122" s="30" t="inlineStr">
        <is>
          <t>BARIRI</t>
        </is>
      </c>
      <c r="AT122" s="30" t="inlineStr">
        <is>
          <t>SP</t>
        </is>
      </c>
      <c r="AU122" s="30" t="inlineStr">
        <is>
          <t>Fabricação de margarina e outras gorduras vegetais e de óleos não-comestíveis de animais</t>
        </is>
      </c>
      <c r="AV122" s="30" t="inlineStr">
        <is>
          <t>DEMAIS</t>
        </is>
      </c>
      <c r="AW122" s="31" t="n">
        <v>120000</v>
      </c>
      <c r="AX122" s="30" t="inlineStr">
        <is>
          <t>MID-MARKET</t>
        </is>
      </c>
      <c r="AY122" s="30" t="inlineStr">
        <is>
          <t>00474698</t>
        </is>
      </c>
      <c r="AZ122" s="30" t="n">
        <v>1</v>
      </c>
      <c r="BA122" s="30" t="inlineStr">
        <is>
          <t>PARTIAL_DOC_CLASS_III_RECONCILED ROWS:p10r12</t>
        </is>
      </c>
    </row>
    <row r="123">
      <c r="A123" s="16" t="inlineStr">
        <is>
          <t>DIMACI MATERIAL CIRURGICO LTDA</t>
        </is>
      </c>
      <c r="B123" s="17" t="n">
        <v>1222974.01</v>
      </c>
      <c r="C123" s="18" t="inlineStr">
        <is>
          <t>ASSOCIAÇÃO DE CARIDADE SANTA CASA DO RIO GRANDE</t>
        </is>
      </c>
      <c r="D123" s="19" t="inlineStr">
        <is>
          <t>NEW</t>
        </is>
      </c>
      <c r="E123" s="20" t="inlineStr"/>
      <c r="F123" s="19" t="inlineStr"/>
      <c r="G123" s="20" t="inlineStr"/>
      <c r="H123" s="19" t="inlineStr"/>
      <c r="I123" s="21" t="inlineStr">
        <is>
          <t>Sabrina Rosa</t>
        </is>
      </c>
      <c r="J123" s="21" t="inlineStr">
        <is>
          <t>Sales Coordinator</t>
        </is>
      </c>
      <c r="K123" s="21" t="inlineStr">
        <is>
          <t>(51) 3330-6111</t>
        </is>
      </c>
      <c r="L123" s="21" t="inlineStr"/>
      <c r="M123" s="21" t="inlineStr"/>
      <c r="N123" s="21" t="inlineStr"/>
      <c r="O123" s="21" t="inlineStr"/>
      <c r="P123" s="21" t="inlineStr">
        <is>
          <t>PAULO CESAR LAPINSCKI</t>
        </is>
      </c>
      <c r="Q123" s="21" t="inlineStr">
        <is>
          <t>Administrador (RFB partner)</t>
        </is>
      </c>
      <c r="R123" s="21" t="inlineStr"/>
      <c r="S123" s="21" t="inlineStr"/>
      <c r="T123" s="21" t="inlineStr">
        <is>
          <t>no work email found in Apollo</t>
        </is>
      </c>
      <c r="U123" s="22" t="n">
        <v>1222974.01</v>
      </c>
      <c r="V123" s="23" t="inlineStr">
        <is>
          <t>B</t>
        </is>
      </c>
      <c r="W123" s="24">
        <f>IFERROR(VLOOKUP(V123,Assumptions!$A$7:$F$11,2,FALSE),0)</f>
        <v/>
      </c>
      <c r="X123" s="25">
        <f>IF(V123="A",MAX(1,IFERROR(VLOOKUP(V123,Assumptions!$A$7:$F$11,3,FALSE),3)+IFERROR(VLOOKUP(V123,Assumptions!$A$7:$F$11,4,FALSE),8)/2-MAX(0,IF(AO123="",0,YEAR(TODAY())-AO123)-IFERROR(VLOOKUP(V123,Assumptions!$A$7:$F$11,5,FALSE),1.5))),IFERROR(VLOOKUP(V123,Assumptions!$A$7:$F$11,5,FALSE),2.5)+IFERROR(VLOOKUP(V123,Assumptions!$A$7:$F$11,3,FALSE),3)+IFERROR(VLOOKUP(V123,Assumptions!$A$7:$F$11,4,FALSE),8)/2)</f>
        <v/>
      </c>
      <c r="Y123" s="22">
        <f>U123*W123/(1+Assumptions!$B$3)^X123</f>
        <v/>
      </c>
      <c r="Z123" s="26">
        <f>IF(U123=0,"",ROUND(Y123/U123*100,1))</f>
        <v/>
      </c>
      <c r="AA123" s="27">
        <f>Y123*Assumptions!$B$4</f>
        <v/>
      </c>
      <c r="AB123" s="26">
        <f>IF(U123=0,"",ROUND(AA123/U123*100,1))</f>
        <v/>
      </c>
      <c r="AC123" s="27">
        <f>Y123-AA123</f>
        <v/>
      </c>
      <c r="AD123" s="26">
        <f>IF(U123=0,"",ROUND((Y123-AA123)/U123*100,1))</f>
        <v/>
      </c>
      <c r="AE123" s="33" t="inlineStr">
        <is>
          <t>NO TOTALS — list prints none; check page</t>
        </is>
      </c>
      <c r="AF123" s="29" t="inlineStr">
        <is>
          <t>https://scalzilliaj.com.br/sgc/download.php?file=files/processo_documento/processo_documento09120721032023_1_.pdf&amp;nome=15 - Edital do art. 7º, §2º e 53 da Lei 11.101/2005 (segunda lista de credores e recebimento do plano))</t>
        </is>
      </c>
      <c r="AG123" s="28" t="inlineStr">
        <is>
          <t>p27 r6</t>
        </is>
      </c>
      <c r="AH123" s="28" t="inlineStr">
        <is>
          <t>p27: R$ 1.222.974,01</t>
        </is>
      </c>
      <c r="AI123" s="28" t="inlineStr">
        <is>
          <t>AJ list (art. 7 §2)</t>
        </is>
      </c>
      <c r="AJ123" s="28" t="inlineStr">
        <is>
          <t>2023-03-21</t>
        </is>
      </c>
      <c r="AK123" s="28" t="inlineStr">
        <is>
          <t>NONE FOUND</t>
        </is>
      </c>
      <c r="AL123" s="30" t="inlineStr">
        <is>
          <t>5012306-16.2022.8.21.0023</t>
        </is>
      </c>
      <c r="AM123" s="30" t="inlineStr">
        <is>
          <t>TJRS</t>
        </is>
      </c>
      <c r="AN123" s="30" t="inlineStr">
        <is>
          <t>ACTIVE</t>
        </is>
      </c>
      <c r="AO123" s="30" t="n">
        <v>2022</v>
      </c>
      <c r="AP123" s="30" t="inlineStr">
        <is>
          <t>live case, no plan document yet</t>
        </is>
      </c>
      <c r="AQ123" s="30" t="inlineStr"/>
      <c r="AR123" s="30" t="inlineStr">
        <is>
          <t>printed on the list (read twice)</t>
        </is>
      </c>
      <c r="AS123" s="30" t="inlineStr">
        <is>
          <t>ELDORADO DO SUL</t>
        </is>
      </c>
      <c r="AT123" s="30" t="inlineStr">
        <is>
          <t>RS</t>
        </is>
      </c>
      <c r="AU123" s="30" t="inlineStr">
        <is>
          <t>Comércio atacadista de medicamentos e drogas de uso humano</t>
        </is>
      </c>
      <c r="AV123" s="30" t="inlineStr">
        <is>
          <t>DEMAIS</t>
        </is>
      </c>
      <c r="AW123" s="31" t="n">
        <v>61477400</v>
      </c>
      <c r="AX123" s="30" t="inlineStr">
        <is>
          <t>MID-MARKET</t>
        </is>
      </c>
      <c r="AY123" s="30" t="inlineStr">
        <is>
          <t>90251109</t>
        </is>
      </c>
      <c r="AZ123" s="30" t="n">
        <v>1</v>
      </c>
      <c r="BA123" s="30" t="inlineStr">
        <is>
          <t>ROWS:p27r6 UNRECONCILED_SOURCE</t>
        </is>
      </c>
    </row>
    <row r="124">
      <c r="A124" s="16" t="inlineStr">
        <is>
          <t>GONCALVES &amp; TORTOLA S/A</t>
        </is>
      </c>
      <c r="B124" s="17" t="n">
        <v>1218354.25</v>
      </c>
      <c r="C124" s="18" t="inlineStr">
        <is>
          <t>Grupo Agromeal</t>
        </is>
      </c>
      <c r="D124" s="19" t="inlineStr">
        <is>
          <t>NEW</t>
        </is>
      </c>
      <c r="E124" s="20" t="inlineStr"/>
      <c r="F124" s="19" t="inlineStr"/>
      <c r="G124" s="20" t="inlineStr"/>
      <c r="H124" s="19" t="inlineStr"/>
      <c r="I124" s="21" t="inlineStr">
        <is>
          <t>VINICIUS DEMORI MARTINI GONCALVES</t>
        </is>
      </c>
      <c r="J124" s="21" t="inlineStr">
        <is>
          <t>Administrador (RFB partner)</t>
        </is>
      </c>
      <c r="K124" s="21" t="inlineStr">
        <is>
          <t>(44) 3218-3605</t>
        </is>
      </c>
      <c r="L124" s="21" t="inlineStr"/>
      <c r="M124" s="21" t="inlineStr"/>
      <c r="N124" s="21" t="inlineStr"/>
      <c r="O124" s="21" t="inlineStr"/>
      <c r="P124" s="21" t="inlineStr">
        <is>
          <t>RAFAEL GONCALVES TORTOLA</t>
        </is>
      </c>
      <c r="Q124" s="21" t="inlineStr">
        <is>
          <t>Presidente (RFB partner)</t>
        </is>
      </c>
      <c r="R124" s="21" t="inlineStr"/>
      <c r="S124" s="21" t="inlineStr"/>
      <c r="T124" s="21" t="inlineStr">
        <is>
          <t>RFB partner (QSA); no Apollo match</t>
        </is>
      </c>
      <c r="U124" s="22" t="n">
        <v>1218354.25</v>
      </c>
      <c r="V124" s="23" t="inlineStr">
        <is>
          <t>B</t>
        </is>
      </c>
      <c r="W124" s="24">
        <f>IFERROR(VLOOKUP(V124,Assumptions!$A$7:$F$11,2,FALSE),0)</f>
        <v/>
      </c>
      <c r="X124" s="25">
        <f>IF(V124="A",MAX(1,IFERROR(VLOOKUP(V124,Assumptions!$A$7:$F$11,3,FALSE),3)+IFERROR(VLOOKUP(V124,Assumptions!$A$7:$F$11,4,FALSE),8)/2-MAX(0,IF(AO124="",0,YEAR(TODAY())-AO124)-IFERROR(VLOOKUP(V124,Assumptions!$A$7:$F$11,5,FALSE),1.5))),IFERROR(VLOOKUP(V124,Assumptions!$A$7:$F$11,5,FALSE),2.5)+IFERROR(VLOOKUP(V124,Assumptions!$A$7:$F$11,3,FALSE),3)+IFERROR(VLOOKUP(V124,Assumptions!$A$7:$F$11,4,FALSE),8)/2)</f>
        <v/>
      </c>
      <c r="Y124" s="22">
        <f>U124*W124/(1+Assumptions!$B$3)^X124</f>
        <v/>
      </c>
      <c r="Z124" s="26">
        <f>IF(U124=0,"",ROUND(Y124/U124*100,1))</f>
        <v/>
      </c>
      <c r="AA124" s="27">
        <f>Y124*Assumptions!$B$4</f>
        <v/>
      </c>
      <c r="AB124" s="26">
        <f>IF(U124=0,"",ROUND(AA124/U124*100,1))</f>
        <v/>
      </c>
      <c r="AC124" s="27">
        <f>Y124-AA124</f>
        <v/>
      </c>
      <c r="AD124" s="26">
        <f>IF(U124=0,"",ROUND((Y124-AA124)/U124*100,1))</f>
        <v/>
      </c>
      <c r="AE124" s="34" t="inlineStr">
        <is>
          <t>PARTIAL — class III reconciled, other classes not</t>
        </is>
      </c>
      <c r="AF124" s="29" t="inlineStr">
        <is>
          <t>https://marquesadmjudicial.com.br/sgc/download.php?file=files/processo_documento/processo_documento17040729052024_1_.pdf&amp;nome=Relação Nominal de Credores AJ-Sintética</t>
        </is>
      </c>
      <c r="AG124" s="28" t="inlineStr">
        <is>
          <t>p11 r11; p11 r12; p11 r13; p11 r14</t>
        </is>
      </c>
      <c r="AH124" s="28" t="inlineStr">
        <is>
          <t>p11: R$ 749.027,25; p11: R$ 73.168,00; p11: R$ 368.143,00; p11: R$ 28.016,00</t>
        </is>
      </c>
      <c r="AI124" s="28" t="inlineStr">
        <is>
          <t>AJ list (art. 7 §2)</t>
        </is>
      </c>
      <c r="AJ124" s="28" t="inlineStr">
        <is>
          <t>2024-05-27</t>
        </is>
      </c>
      <c r="AK124" s="28" t="inlineStr">
        <is>
          <t>NONE FOUND</t>
        </is>
      </c>
      <c r="AL124" s="30" t="inlineStr">
        <is>
          <t>0003971-03.2023.8.16.0119</t>
        </is>
      </c>
      <c r="AM124" s="30" t="inlineStr">
        <is>
          <t>TJPR</t>
        </is>
      </c>
      <c r="AN124" s="30" t="inlineStr">
        <is>
          <t>ACTIVE</t>
        </is>
      </c>
      <c r="AO124" s="30" t="n">
        <v>2023</v>
      </c>
      <c r="AP124" s="30" t="inlineStr">
        <is>
          <t>live case, no plan document yet</t>
        </is>
      </c>
      <c r="AQ124" s="30" t="inlineStr">
        <is>
          <t>11.624.776/0001-07</t>
        </is>
      </c>
      <c r="AR124" s="30" t="inlineStr">
        <is>
          <t>printed on the list (read twice)</t>
        </is>
      </c>
      <c r="AS124" s="30" t="inlineStr">
        <is>
          <t>MARINGA</t>
        </is>
      </c>
      <c r="AT124" s="30" t="inlineStr">
        <is>
          <t>PR</t>
        </is>
      </c>
      <c r="AU124" s="30" t="inlineStr">
        <is>
          <t>Abate de aves</t>
        </is>
      </c>
      <c r="AV124" s="30" t="inlineStr">
        <is>
          <t>DEMAIS</t>
        </is>
      </c>
      <c r="AW124" s="31" t="n">
        <v>614400000</v>
      </c>
      <c r="AX124" s="30" t="inlineStr">
        <is>
          <t>LARGE CORP</t>
        </is>
      </c>
      <c r="AY124" s="30" t="inlineStr">
        <is>
          <t>85070068</t>
        </is>
      </c>
      <c r="AZ124" s="30" t="n">
        <v>4</v>
      </c>
      <c r="BA124" s="30" t="inlineStr">
        <is>
          <t>PARTIAL_DOC_CLASS_III_RECONCILED ROWS:p11r11,p11r12,p11r13,p11r14</t>
        </is>
      </c>
    </row>
    <row r="125">
      <c r="A125" s="16" t="inlineStr">
        <is>
          <t>RAIZEN S.A.</t>
        </is>
      </c>
      <c r="B125" s="17" t="n">
        <v>2280760.72</v>
      </c>
      <c r="C125" s="37" t="inlineStr">
        <is>
          <t>(debtor not identified — see proof)</t>
        </is>
      </c>
      <c r="D125" s="19" t="inlineStr">
        <is>
          <t>NEW</t>
        </is>
      </c>
      <c r="E125" s="20" t="inlineStr"/>
      <c r="F125" s="19" t="inlineStr"/>
      <c r="G125" s="20" t="inlineStr"/>
      <c r="H125" s="19" t="inlineStr"/>
      <c r="I125" s="21" t="inlineStr">
        <is>
          <t>Fabio Franceschi</t>
        </is>
      </c>
      <c r="J125" s="21" t="inlineStr">
        <is>
          <t>Coordenador de Contas a Receber</t>
        </is>
      </c>
      <c r="K125" s="21" t="inlineStr">
        <is>
          <t>(19) 3423-8000</t>
        </is>
      </c>
      <c r="L125" s="21" t="inlineStr"/>
      <c r="M125" s="21" t="inlineStr"/>
      <c r="N125" s="21" t="inlineStr">
        <is>
          <t>fabio.franceschi@raizen.com</t>
        </is>
      </c>
      <c r="O125" s="21" t="inlineStr">
        <is>
          <t>carla.barbosa@raizen.com</t>
        </is>
      </c>
      <c r="P125" s="21" t="inlineStr">
        <is>
          <t>Carla Barbosa</t>
        </is>
      </c>
      <c r="Q125" s="21" t="inlineStr">
        <is>
          <t>Gestão de Contas a Receber</t>
        </is>
      </c>
      <c r="R125" s="21" t="inlineStr"/>
      <c r="S125" s="21" t="inlineStr">
        <is>
          <t>carla.barbosa@raizen.com</t>
        </is>
      </c>
      <c r="T125" s="21" t="inlineStr">
        <is>
          <t>email verified by Apollo</t>
        </is>
      </c>
      <c r="U125" s="22" t="n">
        <v>2280760.72</v>
      </c>
      <c r="V125" s="32" t="inlineStr">
        <is>
          <t>U</t>
        </is>
      </c>
      <c r="W125" s="24">
        <f>IFERROR(VLOOKUP(V125,Assumptions!$A$7:$F$11,2,FALSE),0)</f>
        <v/>
      </c>
      <c r="X125" s="25">
        <f>IF(V125="A",MAX(1,IFERROR(VLOOKUP(V125,Assumptions!$A$7:$F$11,3,FALSE),3)+IFERROR(VLOOKUP(V125,Assumptions!$A$7:$F$11,4,FALSE),8)/2-MAX(0,IF(AO125="",0,YEAR(TODAY())-AO125)-IFERROR(VLOOKUP(V125,Assumptions!$A$7:$F$11,5,FALSE),1.5))),IFERROR(VLOOKUP(V125,Assumptions!$A$7:$F$11,5,FALSE),2.5)+IFERROR(VLOOKUP(V125,Assumptions!$A$7:$F$11,3,FALSE),3)+IFERROR(VLOOKUP(V125,Assumptions!$A$7:$F$11,4,FALSE),8)/2)</f>
        <v/>
      </c>
      <c r="Y125" s="22">
        <f>U125*W125/(1+Assumptions!$B$3)^X125</f>
        <v/>
      </c>
      <c r="Z125" s="26">
        <f>IF(U125=0,"",ROUND(Y125/U125*100,1))</f>
        <v/>
      </c>
      <c r="AA125" s="27">
        <f>Y125*Assumptions!$B$4</f>
        <v/>
      </c>
      <c r="AB125" s="26">
        <f>IF(U125=0,"",ROUND(AA125/U125*100,1))</f>
        <v/>
      </c>
      <c r="AC125" s="27">
        <f>Y125-AA125</f>
        <v/>
      </c>
      <c r="AD125" s="26">
        <f>IF(U125=0,"",ROUND((Y125-AA125)/U125*100,1))</f>
        <v/>
      </c>
      <c r="AE125" s="28" t="inlineStr">
        <is>
          <t>OK — totals reconciled</t>
        </is>
      </c>
      <c r="AF125" s="29" t="inlineStr">
        <is>
          <t>https://ajruiz.com.br/sites/default/files/public/arquivos-processos/2023-11/4_relacao_de_credores_analitica_art._51_iii_da_lre.pdf</t>
        </is>
      </c>
      <c r="AG125" s="28" t="inlineStr">
        <is>
          <t>p3 r49</t>
        </is>
      </c>
      <c r="AH125" s="28" t="inlineStr">
        <is>
          <t>p3: R$ 2.280.760,72</t>
        </is>
      </c>
      <c r="AI125" s="28" t="inlineStr">
        <is>
          <t>Unclassified list</t>
        </is>
      </c>
      <c r="AJ125" s="28" t="inlineStr"/>
      <c r="AK125" s="28" t="inlineStr">
        <is>
          <t>NONE FOUND</t>
        </is>
      </c>
      <c r="AL125" s="30" t="inlineStr">
        <is>
          <t>(not printed)</t>
        </is>
      </c>
      <c r="AM125" s="30" t="inlineStr"/>
      <c r="AN125" s="30" t="inlineStr"/>
      <c r="AO125" s="30" t="inlineStr"/>
      <c r="AP125" s="30" t="inlineStr">
        <is>
          <t>RJ case number not identified on the document</t>
        </is>
      </c>
      <c r="AQ125" s="30" t="inlineStr"/>
      <c r="AR125" s="30" t="inlineStr">
        <is>
          <t>not identified</t>
        </is>
      </c>
      <c r="AS125" s="30" t="inlineStr">
        <is>
          <t>RIO DE JANEIRO</t>
        </is>
      </c>
      <c r="AT125" s="30" t="inlineStr">
        <is>
          <t>RJ</t>
        </is>
      </c>
      <c r="AU125" s="30" t="inlineStr">
        <is>
          <t>Comércio atacadista de álcool carburante, biodiesel, gasolina e demais derivados de petróleo, exceto lubrificantes, não realizado por transportador re</t>
        </is>
      </c>
      <c r="AV125" s="30" t="inlineStr">
        <is>
          <t>DEMAIS</t>
        </is>
      </c>
      <c r="AW125" s="31" t="n">
        <v>6859670000</v>
      </c>
      <c r="AX125" s="30" t="inlineStr">
        <is>
          <t>LARGE CORP</t>
        </is>
      </c>
      <c r="AY125" s="30" t="inlineStr">
        <is>
          <t>33453598</t>
        </is>
      </c>
      <c r="AZ125" s="30" t="n">
        <v>1</v>
      </c>
      <c r="BA125" s="30" t="inlineStr">
        <is>
          <t>ROWS:p3r49 CASE_NUMBER_CORRECTED</t>
        </is>
      </c>
    </row>
    <row r="126">
      <c r="A126" s="16" t="inlineStr">
        <is>
          <t>MTM BURGER COMERCIO DE ALIMENTOS LTDA</t>
        </is>
      </c>
      <c r="B126" s="17" t="n">
        <v>1200000</v>
      </c>
      <c r="C126" s="18" t="inlineStr">
        <is>
          <t>Grupo Tendas</t>
        </is>
      </c>
      <c r="D126" s="19" t="inlineStr">
        <is>
          <t>NEW</t>
        </is>
      </c>
      <c r="E126" s="20" t="inlineStr"/>
      <c r="F126" s="19" t="inlineStr"/>
      <c r="G126" s="20" t="inlineStr"/>
      <c r="H126" s="19" t="inlineStr"/>
      <c r="I126" s="21" t="inlineStr">
        <is>
          <t>MATHEUS LOBO DUARTE</t>
        </is>
      </c>
      <c r="J126" s="21" t="inlineStr">
        <is>
          <t>Sócio-Administrador (RFB partner)</t>
        </is>
      </c>
      <c r="K126" s="21" t="inlineStr">
        <is>
          <t>(62) 9334-8515</t>
        </is>
      </c>
      <c r="L126" s="21" t="inlineStr">
        <is>
          <t>(62) 9356-1942</t>
        </is>
      </c>
      <c r="M126" s="21" t="inlineStr"/>
      <c r="N126" s="21" t="inlineStr"/>
      <c r="O126" s="21" t="inlineStr"/>
      <c r="P126" s="21" t="inlineStr"/>
      <c r="Q126" s="21" t="inlineStr"/>
      <c r="R126" s="21" t="inlineStr"/>
      <c r="S126" s="21" t="inlineStr"/>
      <c r="T126" s="21" t="inlineStr">
        <is>
          <t>RFB partner (QSA); no Apollo match</t>
        </is>
      </c>
      <c r="U126" s="22" t="n">
        <v>1200000</v>
      </c>
      <c r="V126" s="23" t="inlineStr">
        <is>
          <t>B</t>
        </is>
      </c>
      <c r="W126" s="24">
        <f>IFERROR(VLOOKUP(V126,Assumptions!$A$7:$F$11,2,FALSE),0)</f>
        <v/>
      </c>
      <c r="X126" s="25">
        <f>IF(V126="A",MAX(1,IFERROR(VLOOKUP(V126,Assumptions!$A$7:$F$11,3,FALSE),3)+IFERROR(VLOOKUP(V126,Assumptions!$A$7:$F$11,4,FALSE),8)/2-MAX(0,IF(AO126="",0,YEAR(TODAY())-AO126)-IFERROR(VLOOKUP(V126,Assumptions!$A$7:$F$11,5,FALSE),1.5))),IFERROR(VLOOKUP(V126,Assumptions!$A$7:$F$11,5,FALSE),2.5)+IFERROR(VLOOKUP(V126,Assumptions!$A$7:$F$11,3,FALSE),3)+IFERROR(VLOOKUP(V126,Assumptions!$A$7:$F$11,4,FALSE),8)/2)</f>
        <v/>
      </c>
      <c r="Y126" s="22">
        <f>U126*W126/(1+Assumptions!$B$3)^X126</f>
        <v/>
      </c>
      <c r="Z126" s="26">
        <f>IF(U126=0,"",ROUND(Y126/U126*100,1))</f>
        <v/>
      </c>
      <c r="AA126" s="27">
        <f>Y126*Assumptions!$B$4</f>
        <v/>
      </c>
      <c r="AB126" s="26">
        <f>IF(U126=0,"",ROUND(AA126/U126*100,1))</f>
        <v/>
      </c>
      <c r="AC126" s="27">
        <f>Y126-AA126</f>
        <v/>
      </c>
      <c r="AD126" s="26">
        <f>IF(U126=0,"",ROUND((Y126-AA126)/U126*100,1))</f>
        <v/>
      </c>
      <c r="AE126" s="33" t="inlineStr">
        <is>
          <t>NO TOTALS — list prints none; check page</t>
        </is>
      </c>
      <c r="AF126" s="29" t="inlineStr">
        <is>
          <t>https://stenius.com.br/wp-content/uploads/2026/08/1°-EDITAL-GRUPO-TENDAS.pdf</t>
        </is>
      </c>
      <c r="AG126" s="28" t="inlineStr">
        <is>
          <t>p5 r25</t>
        </is>
      </c>
      <c r="AH126" s="28" t="inlineStr">
        <is>
          <t>p5: R$ 1.200.000,00</t>
        </is>
      </c>
      <c r="AI126" s="28" t="inlineStr">
        <is>
          <t>AJ list (art. 7 §2)</t>
        </is>
      </c>
      <c r="AJ126" s="28" t="inlineStr">
        <is>
          <t>2026-08-13</t>
        </is>
      </c>
      <c r="AK126" s="28" t="inlineStr">
        <is>
          <t>NONE FOUND</t>
        </is>
      </c>
      <c r="AL126" s="30" t="inlineStr">
        <is>
          <t>5401053-70.2026.8.09.0051</t>
        </is>
      </c>
      <c r="AM126" s="30" t="inlineStr">
        <is>
          <t>TJGO</t>
        </is>
      </c>
      <c r="AN126" s="30" t="inlineStr">
        <is>
          <t>ACTIVE</t>
        </is>
      </c>
      <c r="AO126" s="30" t="n">
        <v>2026</v>
      </c>
      <c r="AP126" s="30" t="inlineStr">
        <is>
          <t>live case, no plan document yet</t>
        </is>
      </c>
      <c r="AQ126" s="30" t="inlineStr">
        <is>
          <t>05.047.886/0001-42</t>
        </is>
      </c>
      <c r="AR126" s="30" t="inlineStr">
        <is>
          <t>printed on the list (read twice)</t>
        </is>
      </c>
      <c r="AS126" s="30" t="inlineStr">
        <is>
          <t>GOIANIA</t>
        </is>
      </c>
      <c r="AT126" s="30" t="inlineStr">
        <is>
          <t>GO</t>
        </is>
      </c>
      <c r="AU126" s="30" t="inlineStr">
        <is>
          <t>Restaurantes e similares</t>
        </is>
      </c>
      <c r="AV126" s="30" t="inlineStr">
        <is>
          <t>DEMAIS</t>
        </is>
      </c>
      <c r="AW126" s="31" t="n">
        <v>300000</v>
      </c>
      <c r="AX126" s="30" t="inlineStr">
        <is>
          <t>MID-MARKET</t>
        </is>
      </c>
      <c r="AY126" s="30" t="inlineStr">
        <is>
          <t>20120709</t>
        </is>
      </c>
      <c r="AZ126" s="30" t="n">
        <v>1</v>
      </c>
      <c r="BA126" s="30" t="inlineStr">
        <is>
          <t>ROWS:p5r25 UNRECONCILED_SOURCE VALUE_COL:Valor</t>
        </is>
      </c>
    </row>
    <row r="127">
      <c r="A127" s="16" t="inlineStr">
        <is>
          <t>VEREDA ALIMENTOS LTDA</t>
        </is>
      </c>
      <c r="B127" s="17" t="n">
        <v>634021.16</v>
      </c>
      <c r="C127" s="18" t="inlineStr">
        <is>
          <t>GRUPO 3E</t>
        </is>
      </c>
      <c r="D127" s="19" t="inlineStr">
        <is>
          <t>NEW</t>
        </is>
      </c>
      <c r="E127" s="20" t="inlineStr"/>
      <c r="F127" s="19" t="inlineStr"/>
      <c r="G127" s="20" t="inlineStr"/>
      <c r="H127" s="19" t="inlineStr"/>
      <c r="I127" s="21" t="inlineStr">
        <is>
          <t>Rogerio Rocha</t>
        </is>
      </c>
      <c r="J127" s="21" t="inlineStr">
        <is>
          <t>Sales Manager</t>
        </is>
      </c>
      <c r="K127" s="21" t="inlineStr">
        <is>
          <t>(62) 8147-9122</t>
        </is>
      </c>
      <c r="L127" s="21" t="inlineStr"/>
      <c r="M127" s="21" t="inlineStr"/>
      <c r="N127" s="21" t="inlineStr">
        <is>
          <t>rogerio@vereda.com</t>
        </is>
      </c>
      <c r="O127" s="21" t="inlineStr"/>
      <c r="P127" s="21" t="inlineStr"/>
      <c r="Q127" s="21" t="inlineStr"/>
      <c r="R127" s="21" t="inlineStr"/>
      <c r="S127" s="21" t="inlineStr"/>
      <c r="T127" s="21" t="inlineStr">
        <is>
          <t>email verified by Apollo</t>
        </is>
      </c>
      <c r="U127" s="22" t="n">
        <v>634021.16</v>
      </c>
      <c r="V127" s="35" t="inlineStr">
        <is>
          <t>A</t>
        </is>
      </c>
      <c r="W127" s="24">
        <f>IFERROR(VLOOKUP(V127,Assumptions!$A$7:$F$11,2,FALSE),0)</f>
        <v/>
      </c>
      <c r="X127" s="25">
        <f>IF(V127="A",MAX(1,IFERROR(VLOOKUP(V127,Assumptions!$A$7:$F$11,3,FALSE),3)+IFERROR(VLOOKUP(V127,Assumptions!$A$7:$F$11,4,FALSE),8)/2-MAX(0,IF(AO127="",0,YEAR(TODAY())-AO127)-IFERROR(VLOOKUP(V127,Assumptions!$A$7:$F$11,5,FALSE),1.5))),IFERROR(VLOOKUP(V127,Assumptions!$A$7:$F$11,5,FALSE),2.5)+IFERROR(VLOOKUP(V127,Assumptions!$A$7:$F$11,3,FALSE),3)+IFERROR(VLOOKUP(V127,Assumptions!$A$7:$F$11,4,FALSE),8)/2)</f>
        <v/>
      </c>
      <c r="Y127" s="22">
        <f>U127*W127/(1+Assumptions!$B$3)^X127</f>
        <v/>
      </c>
      <c r="Z127" s="26">
        <f>IF(U127=0,"",ROUND(Y127/U127*100,1))</f>
        <v/>
      </c>
      <c r="AA127" s="27">
        <f>Y127*Assumptions!$B$4</f>
        <v/>
      </c>
      <c r="AB127" s="26">
        <f>IF(U127=0,"",ROUND(AA127/U127*100,1))</f>
        <v/>
      </c>
      <c r="AC127" s="27">
        <f>Y127-AA127</f>
        <v/>
      </c>
      <c r="AD127" s="26">
        <f>IF(U127=0,"",ROUND((Y127-AA127)/U127*100,1))</f>
        <v/>
      </c>
      <c r="AE127" s="33" t="inlineStr">
        <is>
          <t>NO TOTALS — list prints none; check page</t>
        </is>
      </c>
      <c r="AF127" s="29" t="inlineStr">
        <is>
          <t>https://stenius.com.br/wp-content/uploads/2026/06/EDITAL-GRUPO-3E.pdf</t>
        </is>
      </c>
      <c r="AG127" s="28" t="inlineStr">
        <is>
          <t>p9 r11</t>
        </is>
      </c>
      <c r="AH127" s="28" t="inlineStr">
        <is>
          <t>p9: R$ 634.021,16</t>
        </is>
      </c>
      <c r="AI127" s="28" t="inlineStr">
        <is>
          <t>Debtor list (art. 51)</t>
        </is>
      </c>
      <c r="AJ127" s="28" t="inlineStr">
        <is>
          <t>2026-06-22</t>
        </is>
      </c>
      <c r="AK127" s="28" t="inlineStr">
        <is>
          <t>PLAN DOC FOUND</t>
        </is>
      </c>
      <c r="AL127" s="30" t="inlineStr">
        <is>
          <t>5341375-33.2026.8.09.0049</t>
        </is>
      </c>
      <c r="AM127" s="30" t="inlineStr">
        <is>
          <t>TJGO</t>
        </is>
      </c>
      <c r="AN127" s="30" t="inlineStr">
        <is>
          <t>ACTIVE</t>
        </is>
      </c>
      <c r="AO127" s="30" t="n">
        <v>2026</v>
      </c>
      <c r="AP127" s="30" t="inlineStr">
        <is>
          <t>plan/homologation document found</t>
        </is>
      </c>
      <c r="AQ127" s="30" t="inlineStr"/>
      <c r="AR127" s="30" t="inlineStr">
        <is>
          <t>printed on the list (read twice)</t>
        </is>
      </c>
      <c r="AS127" s="30" t="inlineStr">
        <is>
          <t>GOIANESIA</t>
        </is>
      </c>
      <c r="AT127" s="30" t="inlineStr">
        <is>
          <t>GO</t>
        </is>
      </c>
      <c r="AU127" s="30" t="inlineStr">
        <is>
          <t>Frigorífico - abate de bovinos</t>
        </is>
      </c>
      <c r="AV127" s="30" t="inlineStr">
        <is>
          <t>DEMAIS</t>
        </is>
      </c>
      <c r="AW127" s="31" t="n">
        <v>10000</v>
      </c>
      <c r="AX127" s="30" t="inlineStr">
        <is>
          <t>MID-MARKET</t>
        </is>
      </c>
      <c r="AY127" s="30" t="inlineStr">
        <is>
          <t>04454667</t>
        </is>
      </c>
      <c r="AZ127" s="30" t="n">
        <v>1</v>
      </c>
      <c r="BA127" s="30" t="inlineStr">
        <is>
          <t>ROWS:p9r11 UNRECONCILED_SOURCE</t>
        </is>
      </c>
    </row>
    <row r="128">
      <c r="A128" s="16" t="inlineStr">
        <is>
          <t>NORTEAGRI COMERCIO E REPRESENTACOES DE INSUMOS AGROPECUARIOS LTDA</t>
        </is>
      </c>
      <c r="B128" s="17" t="n">
        <v>1155000</v>
      </c>
      <c r="C128" s="18" t="inlineStr">
        <is>
          <t>Grupo Tendas</t>
        </is>
      </c>
      <c r="D128" s="19" t="inlineStr">
        <is>
          <t>NEW</t>
        </is>
      </c>
      <c r="E128" s="20" t="inlineStr"/>
      <c r="F128" s="19" t="inlineStr"/>
      <c r="G128" s="20" t="inlineStr"/>
      <c r="H128" s="19" t="inlineStr"/>
      <c r="I128" s="21" t="inlineStr">
        <is>
          <t>Dionatan Follmann</t>
        </is>
      </c>
      <c r="J128" s="21" t="inlineStr">
        <is>
          <t>Manager / Subsidiary Manager</t>
        </is>
      </c>
      <c r="K128" s="21" t="inlineStr">
        <is>
          <t>(94) 9192-4705</t>
        </is>
      </c>
      <c r="L128" s="21" t="inlineStr"/>
      <c r="M128" s="21" t="inlineStr"/>
      <c r="N128" s="21" t="inlineStr"/>
      <c r="O128" s="21" t="inlineStr"/>
      <c r="P128" s="21" t="inlineStr"/>
      <c r="Q128" s="21" t="inlineStr"/>
      <c r="R128" s="21" t="inlineStr"/>
      <c r="S128" s="21" t="inlineStr"/>
      <c r="T128" s="21" t="inlineStr">
        <is>
          <t>no work email found in Apollo</t>
        </is>
      </c>
      <c r="U128" s="22" t="n">
        <v>1155000</v>
      </c>
      <c r="V128" s="23" t="inlineStr">
        <is>
          <t>B</t>
        </is>
      </c>
      <c r="W128" s="24">
        <f>IFERROR(VLOOKUP(V128,Assumptions!$A$7:$F$11,2,FALSE),0)</f>
        <v/>
      </c>
      <c r="X128" s="25">
        <f>IF(V128="A",MAX(1,IFERROR(VLOOKUP(V128,Assumptions!$A$7:$F$11,3,FALSE),3)+IFERROR(VLOOKUP(V128,Assumptions!$A$7:$F$11,4,FALSE),8)/2-MAX(0,IF(AO128="",0,YEAR(TODAY())-AO128)-IFERROR(VLOOKUP(V128,Assumptions!$A$7:$F$11,5,FALSE),1.5))),IFERROR(VLOOKUP(V128,Assumptions!$A$7:$F$11,5,FALSE),2.5)+IFERROR(VLOOKUP(V128,Assumptions!$A$7:$F$11,3,FALSE),3)+IFERROR(VLOOKUP(V128,Assumptions!$A$7:$F$11,4,FALSE),8)/2)</f>
        <v/>
      </c>
      <c r="Y128" s="22">
        <f>U128*W128/(1+Assumptions!$B$3)^X128</f>
        <v/>
      </c>
      <c r="Z128" s="26">
        <f>IF(U128=0,"",ROUND(Y128/U128*100,1))</f>
        <v/>
      </c>
      <c r="AA128" s="27">
        <f>Y128*Assumptions!$B$4</f>
        <v/>
      </c>
      <c r="AB128" s="26">
        <f>IF(U128=0,"",ROUND(AA128/U128*100,1))</f>
        <v/>
      </c>
      <c r="AC128" s="27">
        <f>Y128-AA128</f>
        <v/>
      </c>
      <c r="AD128" s="26">
        <f>IF(U128=0,"",ROUND((Y128-AA128)/U128*100,1))</f>
        <v/>
      </c>
      <c r="AE128" s="33" t="inlineStr">
        <is>
          <t>NO TOTALS — list prints none; check page</t>
        </is>
      </c>
      <c r="AF128" s="29" t="inlineStr">
        <is>
          <t>https://stenius.com.br/wp-content/uploads/2026/08/1°-EDITAL-GRUPO-TENDAS.pdf</t>
        </is>
      </c>
      <c r="AG128" s="28" t="inlineStr">
        <is>
          <t>p5 r27</t>
        </is>
      </c>
      <c r="AH128" s="28" t="inlineStr">
        <is>
          <t>p5: R$ 1.155.000,00</t>
        </is>
      </c>
      <c r="AI128" s="28" t="inlineStr">
        <is>
          <t>AJ list (art. 7 §2)</t>
        </is>
      </c>
      <c r="AJ128" s="28" t="inlineStr">
        <is>
          <t>2026-08-13</t>
        </is>
      </c>
      <c r="AK128" s="28" t="inlineStr">
        <is>
          <t>NONE FOUND</t>
        </is>
      </c>
      <c r="AL128" s="30" t="inlineStr">
        <is>
          <t>5401053-70.2026.8.09.0051</t>
        </is>
      </c>
      <c r="AM128" s="30" t="inlineStr">
        <is>
          <t>TJGO</t>
        </is>
      </c>
      <c r="AN128" s="30" t="inlineStr">
        <is>
          <t>ACTIVE</t>
        </is>
      </c>
      <c r="AO128" s="30" t="n">
        <v>2026</v>
      </c>
      <c r="AP128" s="30" t="inlineStr">
        <is>
          <t>live case, no plan document yet</t>
        </is>
      </c>
      <c r="AQ128" s="30" t="inlineStr">
        <is>
          <t>05.047.886/0001-42</t>
        </is>
      </c>
      <c r="AR128" s="30" t="inlineStr">
        <is>
          <t>printed on the list (read twice)</t>
        </is>
      </c>
      <c r="AS128" s="30" t="inlineStr">
        <is>
          <t>REDENCAO</t>
        </is>
      </c>
      <c r="AT128" s="30" t="inlineStr">
        <is>
          <t>PA</t>
        </is>
      </c>
      <c r="AU128" s="30" t="inlineStr">
        <is>
          <t>Comércio atacadista de mercadorias em geral, com predominância de insumos agropecuários</t>
        </is>
      </c>
      <c r="AV128" s="30" t="inlineStr">
        <is>
          <t>DEMAIS</t>
        </is>
      </c>
      <c r="AW128" s="31" t="n">
        <v>35000000</v>
      </c>
      <c r="AX128" s="30" t="inlineStr">
        <is>
          <t>MID-MARKET</t>
        </is>
      </c>
      <c r="AY128" s="30" t="inlineStr">
        <is>
          <t>20431395</t>
        </is>
      </c>
      <c r="AZ128" s="30" t="n">
        <v>1</v>
      </c>
      <c r="BA128" s="30" t="inlineStr">
        <is>
          <t>ROWS:p5r27 UNRECONCILED_SOURCE VALUE_COL:Valor</t>
        </is>
      </c>
    </row>
    <row r="129">
      <c r="A129" s="16" t="inlineStr">
        <is>
          <t>AGROSUL INDUSTRIA AGRICOLA LTDA EM RECUPERACAO JUDICIAL</t>
        </is>
      </c>
      <c r="B129" s="17" t="n">
        <v>1153122.7</v>
      </c>
      <c r="C129" s="18" t="inlineStr">
        <is>
          <t>Alto Uruguai Indústria e Comércio de Óleos Ltda</t>
        </is>
      </c>
      <c r="D129" s="19" t="inlineStr">
        <is>
          <t>NEW</t>
        </is>
      </c>
      <c r="E129" s="20" t="inlineStr"/>
      <c r="F129" s="19" t="inlineStr"/>
      <c r="G129" s="20" t="inlineStr"/>
      <c r="H129" s="19" t="inlineStr"/>
      <c r="I129" s="21" t="inlineStr">
        <is>
          <t>VOLMIR DIAS</t>
        </is>
      </c>
      <c r="J129" s="21" t="inlineStr">
        <is>
          <t>Administrador (RFB partner)</t>
        </is>
      </c>
      <c r="K129" s="21" t="inlineStr">
        <is>
          <t>(49) 9937-2777</t>
        </is>
      </c>
      <c r="L129" s="21" t="inlineStr"/>
      <c r="M129" s="21" t="inlineStr"/>
      <c r="N129" s="21" t="inlineStr"/>
      <c r="O129" s="21" t="inlineStr"/>
      <c r="P129" s="21" t="inlineStr"/>
      <c r="Q129" s="21" t="inlineStr"/>
      <c r="R129" s="21" t="inlineStr"/>
      <c r="S129" s="21" t="inlineStr"/>
      <c r="T129" s="21" t="inlineStr">
        <is>
          <t>RFB partner (QSA); no Apollo match</t>
        </is>
      </c>
      <c r="U129" s="22" t="n">
        <v>1153122.7</v>
      </c>
      <c r="V129" s="23" t="inlineStr">
        <is>
          <t>B</t>
        </is>
      </c>
      <c r="W129" s="24">
        <f>IFERROR(VLOOKUP(V129,Assumptions!$A$7:$F$11,2,FALSE),0)</f>
        <v/>
      </c>
      <c r="X129" s="25">
        <f>IF(V129="A",MAX(1,IFERROR(VLOOKUP(V129,Assumptions!$A$7:$F$11,3,FALSE),3)+IFERROR(VLOOKUP(V129,Assumptions!$A$7:$F$11,4,FALSE),8)/2-MAX(0,IF(AO129="",0,YEAR(TODAY())-AO129)-IFERROR(VLOOKUP(V129,Assumptions!$A$7:$F$11,5,FALSE),1.5))),IFERROR(VLOOKUP(V129,Assumptions!$A$7:$F$11,5,FALSE),2.5)+IFERROR(VLOOKUP(V129,Assumptions!$A$7:$F$11,3,FALSE),3)+IFERROR(VLOOKUP(V129,Assumptions!$A$7:$F$11,4,FALSE),8)/2)</f>
        <v/>
      </c>
      <c r="Y129" s="22">
        <f>U129*W129/(1+Assumptions!$B$3)^X129</f>
        <v/>
      </c>
      <c r="Z129" s="26">
        <f>IF(U129=0,"",ROUND(Y129/U129*100,1))</f>
        <v/>
      </c>
      <c r="AA129" s="27">
        <f>Y129*Assumptions!$B$4</f>
        <v/>
      </c>
      <c r="AB129" s="26">
        <f>IF(U129=0,"",ROUND(AA129/U129*100,1))</f>
        <v/>
      </c>
      <c r="AC129" s="27">
        <f>Y129-AA129</f>
        <v/>
      </c>
      <c r="AD129" s="26">
        <f>IF(U129=0,"",ROUND((Y129-AA129)/U129*100,1))</f>
        <v/>
      </c>
      <c r="AE129" s="28" t="inlineStr">
        <is>
          <t>OK — totals reconciled</t>
        </is>
      </c>
      <c r="AF129" s="29" t="inlineStr">
        <is>
          <t>https://ajruiz.com.br/sites/default/files/public/arquivos-processos/2026-06/alto_uruguai_qgc_junho.2026.pdf</t>
        </is>
      </c>
      <c r="AG129" s="28" t="inlineStr">
        <is>
          <t>p1 r4</t>
        </is>
      </c>
      <c r="AH129" s="28" t="inlineStr">
        <is>
          <t>p1: R$ 1.153.122,70</t>
        </is>
      </c>
      <c r="AI129" s="28" t="inlineStr">
        <is>
          <t>Unclassified list</t>
        </is>
      </c>
      <c r="AJ129" s="28" t="inlineStr"/>
      <c r="AK129" s="28" t="inlineStr">
        <is>
          <t>NONE FOUND</t>
        </is>
      </c>
      <c r="AL129" s="30" t="inlineStr">
        <is>
          <t>5012743-51.2023.8.24.0019</t>
        </is>
      </c>
      <c r="AM129" s="30" t="inlineStr">
        <is>
          <t>TJSC</t>
        </is>
      </c>
      <c r="AN129" s="30" t="inlineStr">
        <is>
          <t>ACTIVE</t>
        </is>
      </c>
      <c r="AO129" s="30" t="n">
        <v>2023</v>
      </c>
      <c r="AP129" s="30" t="inlineStr">
        <is>
          <t>live case, no plan document yet</t>
        </is>
      </c>
      <c r="AQ129" s="30" t="inlineStr"/>
      <c r="AR129" s="30" t="inlineStr">
        <is>
          <t>printed on the list (read twice)</t>
        </is>
      </c>
      <c r="AS129" s="30" t="inlineStr">
        <is>
          <t>GUATAMBU</t>
        </is>
      </c>
      <c r="AT129" s="30" t="inlineStr">
        <is>
          <t>SC</t>
        </is>
      </c>
      <c r="AU129" s="30" t="inlineStr">
        <is>
          <t>Comércio atacadista de alimentos para animais</t>
        </is>
      </c>
      <c r="AV129" s="30" t="inlineStr">
        <is>
          <t>DEMAIS</t>
        </is>
      </c>
      <c r="AW129" s="31" t="n">
        <v>250000</v>
      </c>
      <c r="AX129" s="30" t="inlineStr">
        <is>
          <t>MID-MARKET</t>
        </is>
      </c>
      <c r="AY129" s="30" t="inlineStr">
        <is>
          <t>19108689</t>
        </is>
      </c>
      <c r="AZ129" s="30" t="n">
        <v>1</v>
      </c>
      <c r="BA129" s="30" t="inlineStr">
        <is>
          <t>ROWS:p1r4 VALUE_COL:Valor_Do_Crédito</t>
        </is>
      </c>
    </row>
    <row r="130">
      <c r="A130" s="16" t="inlineStr">
        <is>
          <t>PAMPARAFIA-INDUSTRIA E COMERCIO DE EMBALAGENS LTDA</t>
        </is>
      </c>
      <c r="B130" s="17" t="n">
        <v>1139759.72</v>
      </c>
      <c r="C130" s="18" t="inlineStr">
        <is>
          <t>TOP TEXTIL EMBALAGENS LTDA</t>
        </is>
      </c>
      <c r="D130" s="19" t="inlineStr">
        <is>
          <t>NEW</t>
        </is>
      </c>
      <c r="E130" s="20" t="inlineStr"/>
      <c r="F130" s="19" t="inlineStr"/>
      <c r="G130" s="20" t="inlineStr"/>
      <c r="H130" s="19" t="inlineStr"/>
      <c r="I130" s="21" t="inlineStr">
        <is>
          <t>SERGIO AIME</t>
        </is>
      </c>
      <c r="J130" s="21" t="inlineStr">
        <is>
          <t>Sócio-Administrador (RFB partner)</t>
        </is>
      </c>
      <c r="K130" s="21" t="inlineStr">
        <is>
          <t>(51) 3249-1877</t>
        </is>
      </c>
      <c r="L130" s="21" t="inlineStr"/>
      <c r="M130" s="21" t="inlineStr"/>
      <c r="N130" s="21" t="inlineStr"/>
      <c r="O130" s="21" t="inlineStr"/>
      <c r="P130" s="21" t="inlineStr"/>
      <c r="Q130" s="21" t="inlineStr"/>
      <c r="R130" s="21" t="inlineStr"/>
      <c r="S130" s="21" t="inlineStr"/>
      <c r="T130" s="21" t="inlineStr">
        <is>
          <t>RFB partner (QSA); no Apollo match</t>
        </is>
      </c>
      <c r="U130" s="22" t="n">
        <v>1139759.72</v>
      </c>
      <c r="V130" s="23" t="inlineStr">
        <is>
          <t>B</t>
        </is>
      </c>
      <c r="W130" s="24">
        <f>IFERROR(VLOOKUP(V130,Assumptions!$A$7:$F$11,2,FALSE),0)</f>
        <v/>
      </c>
      <c r="X130" s="25">
        <f>IF(V130="A",MAX(1,IFERROR(VLOOKUP(V130,Assumptions!$A$7:$F$11,3,FALSE),3)+IFERROR(VLOOKUP(V130,Assumptions!$A$7:$F$11,4,FALSE),8)/2-MAX(0,IF(AO130="",0,YEAR(TODAY())-AO130)-IFERROR(VLOOKUP(V130,Assumptions!$A$7:$F$11,5,FALSE),1.5))),IFERROR(VLOOKUP(V130,Assumptions!$A$7:$F$11,5,FALSE),2.5)+IFERROR(VLOOKUP(V130,Assumptions!$A$7:$F$11,3,FALSE),3)+IFERROR(VLOOKUP(V130,Assumptions!$A$7:$F$11,4,FALSE),8)/2)</f>
        <v/>
      </c>
      <c r="Y130" s="22">
        <f>U130*W130/(1+Assumptions!$B$3)^X130</f>
        <v/>
      </c>
      <c r="Z130" s="26">
        <f>IF(U130=0,"",ROUND(Y130/U130*100,1))</f>
        <v/>
      </c>
      <c r="AA130" s="27">
        <f>Y130*Assumptions!$B$4</f>
        <v/>
      </c>
      <c r="AB130" s="26">
        <f>IF(U130=0,"",ROUND(AA130/U130*100,1))</f>
        <v/>
      </c>
      <c r="AC130" s="27">
        <f>Y130-AA130</f>
        <v/>
      </c>
      <c r="AD130" s="26">
        <f>IF(U130=0,"",ROUND((Y130-AA130)/U130*100,1))</f>
        <v/>
      </c>
      <c r="AE130" s="33" t="inlineStr">
        <is>
          <t>NO TOTALS — list prints none; check page</t>
        </is>
      </c>
      <c r="AF130" s="29" t="inlineStr">
        <is>
          <t>https://cataliseaj.com.br/sgc/download.php?file=files/processo_documento/processo_documento15092204102024_1_.pdf&amp;nome=02. RELAÇÃO DE CREDORES</t>
        </is>
      </c>
      <c r="AG130" s="28" t="inlineStr">
        <is>
          <t>p3 r1; p3 r2</t>
        </is>
      </c>
      <c r="AH130" s="28" t="inlineStr">
        <is>
          <t>p3: R$ 183.130,09; p3: R$ 956.629,63</t>
        </is>
      </c>
      <c r="AI130" s="28" t="inlineStr">
        <is>
          <t>Debtor list (art. 51)</t>
        </is>
      </c>
      <c r="AJ130" s="28" t="inlineStr"/>
      <c r="AK130" s="28" t="inlineStr">
        <is>
          <t>NONE FOUND</t>
        </is>
      </c>
      <c r="AL130" s="30" t="inlineStr">
        <is>
          <t>5011460-87.2023.8.24.0020</t>
        </is>
      </c>
      <c r="AM130" s="30" t="inlineStr">
        <is>
          <t>TJSC</t>
        </is>
      </c>
      <c r="AN130" s="30" t="inlineStr">
        <is>
          <t>ACTIVE</t>
        </is>
      </c>
      <c r="AO130" s="30" t="n">
        <v>2023</v>
      </c>
      <c r="AP130" s="30" t="inlineStr">
        <is>
          <t>live case, no plan document yet</t>
        </is>
      </c>
      <c r="AQ130" s="30" t="inlineStr">
        <is>
          <t>26.588.741/0001-29</t>
        </is>
      </c>
      <c r="AR130" s="30" t="inlineStr">
        <is>
          <t>printed on the list (read twice)</t>
        </is>
      </c>
      <c r="AS130" s="30" t="inlineStr">
        <is>
          <t>PORTO ALEGRE</t>
        </is>
      </c>
      <c r="AT130" s="30" t="inlineStr">
        <is>
          <t>RS</t>
        </is>
      </c>
      <c r="AU130" s="30" t="inlineStr">
        <is>
          <t>Tecelagem de fios de fibras artificiais e sintéticas</t>
        </is>
      </c>
      <c r="AV130" s="30" t="inlineStr">
        <is>
          <t>DEMAIS</t>
        </is>
      </c>
      <c r="AW130" s="31" t="n">
        <v>5000000</v>
      </c>
      <c r="AX130" s="30" t="inlineStr">
        <is>
          <t>MID-MARKET</t>
        </is>
      </c>
      <c r="AY130" s="30" t="inlineStr">
        <is>
          <t>07944839</t>
        </is>
      </c>
      <c r="AZ130" s="30" t="n">
        <v>2</v>
      </c>
      <c r="BA130" s="30" t="inlineStr">
        <is>
          <t>ROWS:p3r1,p3r2 UNRECONCILED_SOURCE</t>
        </is>
      </c>
    </row>
    <row r="131">
      <c r="A131" s="16" t="inlineStr">
        <is>
          <t>AGROQUIMICA BRASINHA LTDA</t>
        </is>
      </c>
      <c r="B131" s="17" t="n">
        <v>1138844</v>
      </c>
      <c r="C131" s="18" t="inlineStr">
        <is>
          <t>Grupo Agromeal</t>
        </is>
      </c>
      <c r="D131" s="19" t="inlineStr">
        <is>
          <t>NEW</t>
        </is>
      </c>
      <c r="E131" s="20" t="inlineStr"/>
      <c r="F131" s="19" t="inlineStr"/>
      <c r="G131" s="20" t="inlineStr"/>
      <c r="H131" s="19" t="inlineStr"/>
      <c r="I131" s="21" t="inlineStr">
        <is>
          <t>MARCIO ALEXANDRO BRASINHA DA SILVA</t>
        </is>
      </c>
      <c r="J131" s="21" t="inlineStr">
        <is>
          <t>Sócio-Administrador (RFB partner)</t>
        </is>
      </c>
      <c r="K131" s="21" t="inlineStr">
        <is>
          <t>(44) 3045-3700</t>
        </is>
      </c>
      <c r="L131" s="21" t="inlineStr"/>
      <c r="M131" s="21" t="inlineStr"/>
      <c r="N131" s="21" t="inlineStr"/>
      <c r="O131" s="21" t="inlineStr"/>
      <c r="P131" s="21" t="inlineStr"/>
      <c r="Q131" s="21" t="inlineStr"/>
      <c r="R131" s="21" t="inlineStr"/>
      <c r="S131" s="21" t="inlineStr"/>
      <c r="T131" s="21" t="inlineStr">
        <is>
          <t>RFB partner (QSA); no Apollo match</t>
        </is>
      </c>
      <c r="U131" s="22" t="n">
        <v>1138844</v>
      </c>
      <c r="V131" s="23" t="inlineStr">
        <is>
          <t>B</t>
        </is>
      </c>
      <c r="W131" s="24">
        <f>IFERROR(VLOOKUP(V131,Assumptions!$A$7:$F$11,2,FALSE),0)</f>
        <v/>
      </c>
      <c r="X131" s="25">
        <f>IF(V131="A",MAX(1,IFERROR(VLOOKUP(V131,Assumptions!$A$7:$F$11,3,FALSE),3)+IFERROR(VLOOKUP(V131,Assumptions!$A$7:$F$11,4,FALSE),8)/2-MAX(0,IF(AO131="",0,YEAR(TODAY())-AO131)-IFERROR(VLOOKUP(V131,Assumptions!$A$7:$F$11,5,FALSE),1.5))),IFERROR(VLOOKUP(V131,Assumptions!$A$7:$F$11,5,FALSE),2.5)+IFERROR(VLOOKUP(V131,Assumptions!$A$7:$F$11,3,FALSE),3)+IFERROR(VLOOKUP(V131,Assumptions!$A$7:$F$11,4,FALSE),8)/2)</f>
        <v/>
      </c>
      <c r="Y131" s="22">
        <f>U131*W131/(1+Assumptions!$B$3)^X131</f>
        <v/>
      </c>
      <c r="Z131" s="26">
        <f>IF(U131=0,"",ROUND(Y131/U131*100,1))</f>
        <v/>
      </c>
      <c r="AA131" s="27">
        <f>Y131*Assumptions!$B$4</f>
        <v/>
      </c>
      <c r="AB131" s="26">
        <f>IF(U131=0,"",ROUND(AA131/U131*100,1))</f>
        <v/>
      </c>
      <c r="AC131" s="27">
        <f>Y131-AA131</f>
        <v/>
      </c>
      <c r="AD131" s="26">
        <f>IF(U131=0,"",ROUND((Y131-AA131)/U131*100,1))</f>
        <v/>
      </c>
      <c r="AE131" s="34" t="inlineStr">
        <is>
          <t>PARTIAL — class III reconciled, other classes not</t>
        </is>
      </c>
      <c r="AF131" s="29" t="inlineStr">
        <is>
          <t>https://marquesadmjudicial.com.br/sgc/download.php?file=files/processo_documento/processo_documento17040729052024_1_.pdf&amp;nome=Relação Nominal de Credores AJ-Sintética</t>
        </is>
      </c>
      <c r="AG131" s="28" t="inlineStr">
        <is>
          <t>p9 r6</t>
        </is>
      </c>
      <c r="AH131" s="28" t="inlineStr">
        <is>
          <t>p9: R$ 1.138.844,00</t>
        </is>
      </c>
      <c r="AI131" s="28" t="inlineStr">
        <is>
          <t>AJ list (art. 7 §2)</t>
        </is>
      </c>
      <c r="AJ131" s="28" t="inlineStr">
        <is>
          <t>2024-05-27</t>
        </is>
      </c>
      <c r="AK131" s="28" t="inlineStr">
        <is>
          <t>NONE FOUND</t>
        </is>
      </c>
      <c r="AL131" s="30" t="inlineStr">
        <is>
          <t>0003971-03.2023.8.16.0119</t>
        </is>
      </c>
      <c r="AM131" s="30" t="inlineStr">
        <is>
          <t>TJPR</t>
        </is>
      </c>
      <c r="AN131" s="30" t="inlineStr">
        <is>
          <t>ACTIVE</t>
        </is>
      </c>
      <c r="AO131" s="30" t="n">
        <v>2023</v>
      </c>
      <c r="AP131" s="30" t="inlineStr">
        <is>
          <t>live case, no plan document yet</t>
        </is>
      </c>
      <c r="AQ131" s="30" t="inlineStr">
        <is>
          <t>11.624.776/0001-07</t>
        </is>
      </c>
      <c r="AR131" s="30" t="inlineStr">
        <is>
          <t>printed on the list (read twice)</t>
        </is>
      </c>
      <c r="AS131" s="30" t="inlineStr">
        <is>
          <t>NOVA ESPERANCA</t>
        </is>
      </c>
      <c r="AT131" s="30" t="inlineStr">
        <is>
          <t>PR</t>
        </is>
      </c>
      <c r="AU131" s="30" t="inlineStr">
        <is>
          <t>Preparação de subprodutos do abate</t>
        </is>
      </c>
      <c r="AV131" s="30" t="inlineStr">
        <is>
          <t>DEMAIS</t>
        </is>
      </c>
      <c r="AW131" s="31" t="n">
        <v>1610000</v>
      </c>
      <c r="AX131" s="30" t="inlineStr">
        <is>
          <t>MID-MARKET</t>
        </is>
      </c>
      <c r="AY131" s="30" t="inlineStr">
        <is>
          <t>05696101</t>
        </is>
      </c>
      <c r="AZ131" s="30" t="n">
        <v>1</v>
      </c>
      <c r="BA131" s="30" t="inlineStr">
        <is>
          <t>PARTIAL_DOC_CLASS_III_RECONCILED ROWS:p9r6</t>
        </is>
      </c>
    </row>
    <row r="132">
      <c r="A132" s="16" t="inlineStr">
        <is>
          <t>SOMA/RS PRODUTOS HOSPITALARES LTDA.</t>
        </is>
      </c>
      <c r="B132" s="17" t="n">
        <v>1137831.84</v>
      </c>
      <c r="C132" s="18" t="inlineStr">
        <is>
          <t>ASSOCIAÇÃO DE CARIDADE SANTA CASA DO RIO GRANDE</t>
        </is>
      </c>
      <c r="D132" s="19" t="inlineStr">
        <is>
          <t>NEW</t>
        </is>
      </c>
      <c r="E132" s="20" t="inlineStr"/>
      <c r="F132" s="19" t="inlineStr"/>
      <c r="G132" s="20" t="inlineStr"/>
      <c r="H132" s="19" t="inlineStr"/>
      <c r="I132" s="21" t="inlineStr">
        <is>
          <t>Manoel Jaderson</t>
        </is>
      </c>
      <c r="J132" s="21" t="inlineStr">
        <is>
          <t>IT Infrastructure Coordinator</t>
        </is>
      </c>
      <c r="K132" s="21" t="inlineStr">
        <is>
          <t>(51) 3347-9000</t>
        </is>
      </c>
      <c r="L132" s="21" t="inlineStr"/>
      <c r="M132" s="21" t="inlineStr"/>
      <c r="N132" s="21" t="inlineStr">
        <is>
          <t>ti.rs@somahospitalar.com.br</t>
        </is>
      </c>
      <c r="O132" s="21" t="inlineStr">
        <is>
          <t>ti.rs@somahospitalar.com.br</t>
        </is>
      </c>
      <c r="P132" s="21" t="inlineStr">
        <is>
          <t>Manoel Jaderson</t>
        </is>
      </c>
      <c r="Q132" s="21" t="inlineStr">
        <is>
          <t>IT Infrastructure Coordinator</t>
        </is>
      </c>
      <c r="R132" s="21" t="inlineStr"/>
      <c r="S132" s="21" t="inlineStr">
        <is>
          <t>ti.rs@somahospitalar.com.br</t>
        </is>
      </c>
      <c r="T132" s="21" t="inlineStr">
        <is>
          <t>email verified by Apollo</t>
        </is>
      </c>
      <c r="U132" s="22" t="n">
        <v>1137831.84</v>
      </c>
      <c r="V132" s="23" t="inlineStr">
        <is>
          <t>B</t>
        </is>
      </c>
      <c r="W132" s="24">
        <f>IFERROR(VLOOKUP(V132,Assumptions!$A$7:$F$11,2,FALSE),0)</f>
        <v/>
      </c>
      <c r="X132" s="25">
        <f>IF(V132="A",MAX(1,IFERROR(VLOOKUP(V132,Assumptions!$A$7:$F$11,3,FALSE),3)+IFERROR(VLOOKUP(V132,Assumptions!$A$7:$F$11,4,FALSE),8)/2-MAX(0,IF(AO132="",0,YEAR(TODAY())-AO132)-IFERROR(VLOOKUP(V132,Assumptions!$A$7:$F$11,5,FALSE),1.5))),IFERROR(VLOOKUP(V132,Assumptions!$A$7:$F$11,5,FALSE),2.5)+IFERROR(VLOOKUP(V132,Assumptions!$A$7:$F$11,3,FALSE),3)+IFERROR(VLOOKUP(V132,Assumptions!$A$7:$F$11,4,FALSE),8)/2)</f>
        <v/>
      </c>
      <c r="Y132" s="22">
        <f>U132*W132/(1+Assumptions!$B$3)^X132</f>
        <v/>
      </c>
      <c r="Z132" s="26">
        <f>IF(U132=0,"",ROUND(Y132/U132*100,1))</f>
        <v/>
      </c>
      <c r="AA132" s="27">
        <f>Y132*Assumptions!$B$4</f>
        <v/>
      </c>
      <c r="AB132" s="26">
        <f>IF(U132=0,"",ROUND(AA132/U132*100,1))</f>
        <v/>
      </c>
      <c r="AC132" s="27">
        <f>Y132-AA132</f>
        <v/>
      </c>
      <c r="AD132" s="26">
        <f>IF(U132=0,"",ROUND((Y132-AA132)/U132*100,1))</f>
        <v/>
      </c>
      <c r="AE132" s="33" t="inlineStr">
        <is>
          <t>NO TOTALS — list prints none; check page</t>
        </is>
      </c>
      <c r="AF132" s="29" t="inlineStr">
        <is>
          <t>https://scalzilliaj.com.br/sgc/download.php?file=files/processo_documento/processo_documento09120721032023_1_.pdf&amp;nome=15 - Edital do art. 7º, §2º e 53 da Lei 11.101/2005 (segunda lista de credores e recebimento do plano))</t>
        </is>
      </c>
      <c r="AG132" s="28" t="inlineStr">
        <is>
          <t>p29 r40</t>
        </is>
      </c>
      <c r="AH132" s="28" t="inlineStr">
        <is>
          <t>p29: R$ 1.137.831,84</t>
        </is>
      </c>
      <c r="AI132" s="28" t="inlineStr">
        <is>
          <t>AJ list (art. 7 §2)</t>
        </is>
      </c>
      <c r="AJ132" s="28" t="inlineStr">
        <is>
          <t>2023-03-21</t>
        </is>
      </c>
      <c r="AK132" s="28" t="inlineStr">
        <is>
          <t>NONE FOUND</t>
        </is>
      </c>
      <c r="AL132" s="30" t="inlineStr">
        <is>
          <t>5012306-16.2022.8.21.0023</t>
        </is>
      </c>
      <c r="AM132" s="30" t="inlineStr">
        <is>
          <t>TJRS</t>
        </is>
      </c>
      <c r="AN132" s="30" t="inlineStr">
        <is>
          <t>ACTIVE</t>
        </is>
      </c>
      <c r="AO132" s="30" t="n">
        <v>2022</v>
      </c>
      <c r="AP132" s="30" t="inlineStr">
        <is>
          <t>live case, no plan document yet</t>
        </is>
      </c>
      <c r="AQ132" s="30" t="inlineStr"/>
      <c r="AR132" s="30" t="inlineStr">
        <is>
          <t>printed on the list (read twice)</t>
        </is>
      </c>
      <c r="AS132" s="30" t="inlineStr">
        <is>
          <t>ELDORADO DO SUL</t>
        </is>
      </c>
      <c r="AT132" s="30" t="inlineStr">
        <is>
          <t>RS</t>
        </is>
      </c>
      <c r="AU132" s="30" t="inlineStr">
        <is>
          <t>Comércio atacadista de instrumentos e materiais para uso médico, cirúrgico, hospitalar e de laboratórios</t>
        </is>
      </c>
      <c r="AV132" s="30" t="inlineStr">
        <is>
          <t>DEMAIS</t>
        </is>
      </c>
      <c r="AW132" s="31" t="n">
        <v>10000000</v>
      </c>
      <c r="AX132" s="30" t="inlineStr">
        <is>
          <t>MID-MARKET</t>
        </is>
      </c>
      <c r="AY132" s="30" t="inlineStr">
        <is>
          <t>06294126</t>
        </is>
      </c>
      <c r="AZ132" s="30" t="n">
        <v>1</v>
      </c>
      <c r="BA132" s="30" t="inlineStr">
        <is>
          <t>ROWS:p29r40 UNRECONCILED_SOURCE</t>
        </is>
      </c>
    </row>
    <row r="133">
      <c r="A133" s="16" t="inlineStr">
        <is>
          <t>TAG INDUSTRIA E LAMINACAO LTDA</t>
        </is>
      </c>
      <c r="B133" s="17" t="n">
        <v>1122336.63</v>
      </c>
      <c r="C133" s="18" t="inlineStr">
        <is>
          <t>REAL DISTRIBUIDORA ÚNICA RIO COMÉRCIO DE REFRIGERAÇÃO LTDA.</t>
        </is>
      </c>
      <c r="D133" s="19" t="inlineStr">
        <is>
          <t>NEW</t>
        </is>
      </c>
      <c r="E133" s="20" t="inlineStr"/>
      <c r="F133" s="19" t="inlineStr"/>
      <c r="G133" s="20" t="inlineStr"/>
      <c r="H133" s="19" t="inlineStr"/>
      <c r="I133" s="21" t="inlineStr">
        <is>
          <t>TIAGO RODRIGO DETTILIO</t>
        </is>
      </c>
      <c r="J133" s="21" t="inlineStr">
        <is>
          <t>Administrador (RFB partner)</t>
        </is>
      </c>
      <c r="K133" s="21" t="inlineStr">
        <is>
          <t>(11) 4463-4833</t>
        </is>
      </c>
      <c r="L133" s="21" t="inlineStr"/>
      <c r="M133" s="21" t="inlineStr"/>
      <c r="N133" s="21" t="inlineStr"/>
      <c r="O133" s="21" t="inlineStr"/>
      <c r="P133" s="21" t="inlineStr">
        <is>
          <t>WEBER MICAEL DA SILVA</t>
        </is>
      </c>
      <c r="Q133" s="21" t="inlineStr">
        <is>
          <t>Administrador (RFB partner)</t>
        </is>
      </c>
      <c r="R133" s="21" t="inlineStr"/>
      <c r="S133" s="21" t="inlineStr"/>
      <c r="T133" s="21" t="inlineStr">
        <is>
          <t>RFB partner (QSA); no Apollo match</t>
        </is>
      </c>
      <c r="U133" s="22" t="n">
        <v>1122336.63</v>
      </c>
      <c r="V133" s="23" t="inlineStr">
        <is>
          <t>B</t>
        </is>
      </c>
      <c r="W133" s="24">
        <f>IFERROR(VLOOKUP(V133,Assumptions!$A$7:$F$11,2,FALSE),0)</f>
        <v/>
      </c>
      <c r="X133" s="25">
        <f>IF(V133="A",MAX(1,IFERROR(VLOOKUP(V133,Assumptions!$A$7:$F$11,3,FALSE),3)+IFERROR(VLOOKUP(V133,Assumptions!$A$7:$F$11,4,FALSE),8)/2-MAX(0,IF(AO133="",0,YEAR(TODAY())-AO133)-IFERROR(VLOOKUP(V133,Assumptions!$A$7:$F$11,5,FALSE),1.5))),IFERROR(VLOOKUP(V133,Assumptions!$A$7:$F$11,5,FALSE),2.5)+IFERROR(VLOOKUP(V133,Assumptions!$A$7:$F$11,3,FALSE),3)+IFERROR(VLOOKUP(V133,Assumptions!$A$7:$F$11,4,FALSE),8)/2)</f>
        <v/>
      </c>
      <c r="Y133" s="22">
        <f>U133*W133/(1+Assumptions!$B$3)^X133</f>
        <v/>
      </c>
      <c r="Z133" s="26">
        <f>IF(U133=0,"",ROUND(Y133/U133*100,1))</f>
        <v/>
      </c>
      <c r="AA133" s="27">
        <f>Y133*Assumptions!$B$4</f>
        <v/>
      </c>
      <c r="AB133" s="26">
        <f>IF(U133=0,"",ROUND(AA133/U133*100,1))</f>
        <v/>
      </c>
      <c r="AC133" s="27">
        <f>Y133-AA133</f>
        <v/>
      </c>
      <c r="AD133" s="26">
        <f>IF(U133=0,"",ROUND((Y133-AA133)/U133*100,1))</f>
        <v/>
      </c>
      <c r="AE133" s="28" t="inlineStr">
        <is>
          <t>OK — totals reconciled</t>
        </is>
      </c>
      <c r="AF133" s="29" t="inlineStr">
        <is>
          <t>https://inova-aj.com.br/wp-content/uploads/2026/08/1a-Relacao-de-Credores-Real.pdf</t>
        </is>
      </c>
      <c r="AG133" s="28" t="inlineStr">
        <is>
          <t>p2 r7</t>
        </is>
      </c>
      <c r="AH133" s="28" t="inlineStr">
        <is>
          <t>p2: R$ 1.122.336,63</t>
        </is>
      </c>
      <c r="AI133" s="28" t="inlineStr">
        <is>
          <t>AJ list (art. 7 §2)</t>
        </is>
      </c>
      <c r="AJ133" s="28" t="inlineStr">
        <is>
          <t>2023-06-05</t>
        </is>
      </c>
      <c r="AK133" s="28" t="inlineStr">
        <is>
          <t>NONE FOUND</t>
        </is>
      </c>
      <c r="AL133" s="30" t="inlineStr">
        <is>
          <t>0873061-47.2023.8.19.0001</t>
        </is>
      </c>
      <c r="AM133" s="30" t="inlineStr">
        <is>
          <t>TJRJ</t>
        </is>
      </c>
      <c r="AN133" s="30" t="inlineStr"/>
      <c r="AO133" s="30" t="n">
        <v>2023</v>
      </c>
      <c r="AP133" s="30" t="inlineStr">
        <is>
          <t>live case, no plan document yet</t>
        </is>
      </c>
      <c r="AQ133" s="30" t="inlineStr"/>
      <c r="AR133" s="30" t="inlineStr">
        <is>
          <t>printed on the list (read twice)</t>
        </is>
      </c>
      <c r="AS133" s="30" t="inlineStr">
        <is>
          <t>SAO PAULO</t>
        </is>
      </c>
      <c r="AT133" s="30" t="inlineStr">
        <is>
          <t>SP</t>
        </is>
      </c>
      <c r="AU133" s="30" t="inlineStr">
        <is>
          <t>Outras atividades profissionais, científicas e técnicas não especificadas anteriormente</t>
        </is>
      </c>
      <c r="AV133" s="30" t="inlineStr">
        <is>
          <t>DEMAIS</t>
        </is>
      </c>
      <c r="AW133" s="31" t="n">
        <v>10000000</v>
      </c>
      <c r="AX133" s="30" t="inlineStr">
        <is>
          <t>MID-MARKET</t>
        </is>
      </c>
      <c r="AY133" s="30" t="inlineStr">
        <is>
          <t>33233778</t>
        </is>
      </c>
      <c r="AZ133" s="30" t="n">
        <v>1</v>
      </c>
      <c r="BA133" s="30" t="inlineStr">
        <is>
          <t>ALT_VALUE:R$816.060,00 ROWS:p2r7</t>
        </is>
      </c>
    </row>
    <row r="134">
      <c r="A134" s="16" t="inlineStr">
        <is>
          <t>LABORATORIO TEUTO BRASILEIRO S/A</t>
        </is>
      </c>
      <c r="B134" s="17" t="n">
        <v>1105911.24</v>
      </c>
      <c r="C134" s="18" t="inlineStr">
        <is>
          <t>GRUPO DP4</t>
        </is>
      </c>
      <c r="D134" s="19" t="inlineStr">
        <is>
          <t>NEW</t>
        </is>
      </c>
      <c r="E134" s="20" t="inlineStr"/>
      <c r="F134" s="19" t="inlineStr"/>
      <c r="G134" s="20" t="inlineStr"/>
      <c r="H134" s="19" t="inlineStr"/>
      <c r="I134" s="21" t="inlineStr">
        <is>
          <t>Luiz Lyra</t>
        </is>
      </c>
      <c r="J134" s="21" t="inlineStr">
        <is>
          <t>Financial Director</t>
        </is>
      </c>
      <c r="K134" s="21" t="inlineStr">
        <is>
          <t>(62) 3310-2000</t>
        </is>
      </c>
      <c r="L134" s="21" t="inlineStr">
        <is>
          <t>(62) 3310-2033</t>
        </is>
      </c>
      <c r="M134" s="21" t="inlineStr"/>
      <c r="N134" s="21" t="inlineStr">
        <is>
          <t>luiz.lyra@teuto.com.br</t>
        </is>
      </c>
      <c r="O134" s="21" t="inlineStr">
        <is>
          <t>elizamar.costa@teuto.com.br</t>
        </is>
      </c>
      <c r="P134" s="21" t="inlineStr">
        <is>
          <t>Elizamar Sousa</t>
        </is>
      </c>
      <c r="Q134" s="21" t="inlineStr">
        <is>
          <t>Controller</t>
        </is>
      </c>
      <c r="R134" s="21" t="inlineStr"/>
      <c r="S134" s="21" t="inlineStr">
        <is>
          <t>elizamar.costa@teuto.com.br</t>
        </is>
      </c>
      <c r="T134" s="21" t="inlineStr">
        <is>
          <t>email verified by Apollo</t>
        </is>
      </c>
      <c r="U134" s="22" t="n">
        <v>1105911.24</v>
      </c>
      <c r="V134" s="23" t="inlineStr">
        <is>
          <t>B</t>
        </is>
      </c>
      <c r="W134" s="24">
        <f>IFERROR(VLOOKUP(V134,Assumptions!$A$7:$F$11,2,FALSE),0)</f>
        <v/>
      </c>
      <c r="X134" s="25">
        <f>IF(V134="A",MAX(1,IFERROR(VLOOKUP(V134,Assumptions!$A$7:$F$11,3,FALSE),3)+IFERROR(VLOOKUP(V134,Assumptions!$A$7:$F$11,4,FALSE),8)/2-MAX(0,IF(AO134="",0,YEAR(TODAY())-AO134)-IFERROR(VLOOKUP(V134,Assumptions!$A$7:$F$11,5,FALSE),1.5))),IFERROR(VLOOKUP(V134,Assumptions!$A$7:$F$11,5,FALSE),2.5)+IFERROR(VLOOKUP(V134,Assumptions!$A$7:$F$11,3,FALSE),3)+IFERROR(VLOOKUP(V134,Assumptions!$A$7:$F$11,4,FALSE),8)/2)</f>
        <v/>
      </c>
      <c r="Y134" s="22">
        <f>U134*W134/(1+Assumptions!$B$3)^X134</f>
        <v/>
      </c>
      <c r="Z134" s="26">
        <f>IF(U134=0,"",ROUND(Y134/U134*100,1))</f>
        <v/>
      </c>
      <c r="AA134" s="27">
        <f>Y134*Assumptions!$B$4</f>
        <v/>
      </c>
      <c r="AB134" s="26">
        <f>IF(U134=0,"",ROUND(AA134/U134*100,1))</f>
        <v/>
      </c>
      <c r="AC134" s="27">
        <f>Y134-AA134</f>
        <v/>
      </c>
      <c r="AD134" s="26">
        <f>IF(U134=0,"",ROUND((Y134-AA134)/U134*100,1))</f>
        <v/>
      </c>
      <c r="AE134" s="34" t="inlineStr">
        <is>
          <t>PARTIAL — class III reconciled, other classes not</t>
        </is>
      </c>
      <c r="AF134" s="29" t="inlineStr">
        <is>
          <t>https://marquesadmjudicial.com.br/sgc/download.php?file=files/processo_documento/processo_documento15293208032024_1_.pdf&amp;nome=Relação Nominal de Credores da AJ-Sintética</t>
        </is>
      </c>
      <c r="AG134" s="28" t="inlineStr">
        <is>
          <t>p27 r12</t>
        </is>
      </c>
      <c r="AH134" s="28" t="inlineStr">
        <is>
          <t>p27: R$ 1.105.911,24</t>
        </is>
      </c>
      <c r="AI134" s="28" t="inlineStr">
        <is>
          <t>AJ list (art. 7 §2)</t>
        </is>
      </c>
      <c r="AJ134" s="28" t="inlineStr">
        <is>
          <t>2023-03-02</t>
        </is>
      </c>
      <c r="AK134" s="28" t="inlineStr">
        <is>
          <t>NONE FOUND</t>
        </is>
      </c>
      <c r="AL134" s="30" t="inlineStr">
        <is>
          <t>0005010-98.2023.8.16.0001</t>
        </is>
      </c>
      <c r="AM134" s="30" t="inlineStr">
        <is>
          <t>TJPR</t>
        </is>
      </c>
      <c r="AN134" s="30" t="inlineStr">
        <is>
          <t>ACTIVE</t>
        </is>
      </c>
      <c r="AO134" s="30" t="n">
        <v>2023</v>
      </c>
      <c r="AP134" s="30" t="inlineStr">
        <is>
          <t>live case, no plan document yet</t>
        </is>
      </c>
      <c r="AQ134" s="30" t="inlineStr"/>
      <c r="AR134" s="30" t="inlineStr">
        <is>
          <t>printed on the list (read twice)</t>
        </is>
      </c>
      <c r="AS134" s="30" t="inlineStr">
        <is>
          <t>ANAPOLIS</t>
        </is>
      </c>
      <c r="AT134" s="30" t="inlineStr">
        <is>
          <t>GO</t>
        </is>
      </c>
      <c r="AU134" s="30" t="inlineStr">
        <is>
          <t>Fabricação de medicamentos alopáticos para uso humano</t>
        </is>
      </c>
      <c r="AV134" s="30" t="inlineStr">
        <is>
          <t>DEMAIS</t>
        </is>
      </c>
      <c r="AW134" s="31" t="n">
        <v>661946700</v>
      </c>
      <c r="AX134" s="30" t="inlineStr">
        <is>
          <t>LARGE CORP</t>
        </is>
      </c>
      <c r="AY134" s="30" t="inlineStr">
        <is>
          <t>17159229</t>
        </is>
      </c>
      <c r="AZ134" s="30" t="n">
        <v>1</v>
      </c>
      <c r="BA134" s="30" t="inlineStr">
        <is>
          <t>PARTIAL_DOC_CLASS_III_RECONCILED ROWS:p27r12</t>
        </is>
      </c>
    </row>
    <row r="135">
      <c r="A135" s="16" t="inlineStr">
        <is>
          <t>TERRAMAQ PECAS E SERVICOS LTDA</t>
        </is>
      </c>
      <c r="B135" s="17" t="n">
        <v>1091422.69</v>
      </c>
      <c r="C135" s="18" t="inlineStr">
        <is>
          <t>CLUBE NÁUTICO CAPIBARIBE</t>
        </is>
      </c>
      <c r="D135" s="19" t="inlineStr">
        <is>
          <t>NEW</t>
        </is>
      </c>
      <c r="E135" s="20" t="inlineStr"/>
      <c r="F135" s="19" t="inlineStr"/>
      <c r="G135" s="20" t="inlineStr"/>
      <c r="H135" s="19" t="inlineStr"/>
      <c r="I135" s="21" t="inlineStr">
        <is>
          <t>PEDRO MOZART DOS PASSOS</t>
        </is>
      </c>
      <c r="J135" s="21" t="inlineStr">
        <is>
          <t>Sócio-Administrador (RFB partner)</t>
        </is>
      </c>
      <c r="K135" s="21" t="inlineStr">
        <is>
          <t>(08) 13222-8756</t>
        </is>
      </c>
      <c r="L135" s="21" t="inlineStr"/>
      <c r="M135" s="21" t="inlineStr"/>
      <c r="N135" s="21" t="inlineStr"/>
      <c r="O135" s="21" t="inlineStr"/>
      <c r="P135" s="21" t="inlineStr"/>
      <c r="Q135" s="21" t="inlineStr"/>
      <c r="R135" s="21" t="inlineStr"/>
      <c r="S135" s="21" t="inlineStr"/>
      <c r="T135" s="21" t="inlineStr">
        <is>
          <t>RFB partner (QSA); no Apollo match</t>
        </is>
      </c>
      <c r="U135" s="22" t="n">
        <v>1091422.69</v>
      </c>
      <c r="V135" s="23" t="inlineStr">
        <is>
          <t>B</t>
        </is>
      </c>
      <c r="W135" s="24">
        <f>IFERROR(VLOOKUP(V135,Assumptions!$A$7:$F$11,2,FALSE),0)</f>
        <v/>
      </c>
      <c r="X135" s="25">
        <f>IF(V135="A",MAX(1,IFERROR(VLOOKUP(V135,Assumptions!$A$7:$F$11,3,FALSE),3)+IFERROR(VLOOKUP(V135,Assumptions!$A$7:$F$11,4,FALSE),8)/2-MAX(0,IF(AO135="",0,YEAR(TODAY())-AO135)-IFERROR(VLOOKUP(V135,Assumptions!$A$7:$F$11,5,FALSE),1.5))),IFERROR(VLOOKUP(V135,Assumptions!$A$7:$F$11,5,FALSE),2.5)+IFERROR(VLOOKUP(V135,Assumptions!$A$7:$F$11,3,FALSE),3)+IFERROR(VLOOKUP(V135,Assumptions!$A$7:$F$11,4,FALSE),8)/2)</f>
        <v/>
      </c>
      <c r="Y135" s="22">
        <f>U135*W135/(1+Assumptions!$B$3)^X135</f>
        <v/>
      </c>
      <c r="Z135" s="26">
        <f>IF(U135=0,"",ROUND(Y135/U135*100,1))</f>
        <v/>
      </c>
      <c r="AA135" s="27">
        <f>Y135*Assumptions!$B$4</f>
        <v/>
      </c>
      <c r="AB135" s="26">
        <f>IF(U135=0,"",ROUND(AA135/U135*100,1))</f>
        <v/>
      </c>
      <c r="AC135" s="27">
        <f>Y135-AA135</f>
        <v/>
      </c>
      <c r="AD135" s="26">
        <f>IF(U135=0,"",ROUND((Y135-AA135)/U135*100,1))</f>
        <v/>
      </c>
      <c r="AE135" s="34" t="inlineStr">
        <is>
          <t>PARTIAL — class III reconciled, other classes not</t>
        </is>
      </c>
      <c r="AF135" s="29" t="inlineStr">
        <is>
          <t>https://lrflideres.com.br/wp-content/plugins/download-attachments/includes/download.php?id=5589</t>
        </is>
      </c>
      <c r="AG135" s="28" t="inlineStr">
        <is>
          <t>p12 r48</t>
        </is>
      </c>
      <c r="AH135" s="28" t="inlineStr">
        <is>
          <t>p12: R$ 1.091.422,69</t>
        </is>
      </c>
      <c r="AI135" s="28" t="inlineStr">
        <is>
          <t>AJ list (art. 7 §2)</t>
        </is>
      </c>
      <c r="AJ135" s="28" t="inlineStr">
        <is>
          <t>2023-11-27</t>
        </is>
      </c>
      <c r="AK135" s="28" t="inlineStr">
        <is>
          <t>NONE FOUND</t>
        </is>
      </c>
      <c r="AL135" s="30" t="inlineStr">
        <is>
          <t>0011283-80.2023.8.17.2001</t>
        </is>
      </c>
      <c r="AM135" s="30" t="inlineStr">
        <is>
          <t>TJPE</t>
        </is>
      </c>
      <c r="AN135" s="30" t="inlineStr">
        <is>
          <t>ACTIVE</t>
        </is>
      </c>
      <c r="AO135" s="30" t="n">
        <v>2023</v>
      </c>
      <c r="AP135" s="30" t="inlineStr">
        <is>
          <t>live case, no plan document yet</t>
        </is>
      </c>
      <c r="AQ135" s="30" t="inlineStr">
        <is>
          <t>08.145.021/0001-07</t>
        </is>
      </c>
      <c r="AR135" s="30" t="inlineStr">
        <is>
          <t>printed on the list (read twice)</t>
        </is>
      </c>
      <c r="AS135" s="30" t="inlineStr">
        <is>
          <t>RECIFE</t>
        </is>
      </c>
      <c r="AT135" s="30" t="inlineStr">
        <is>
          <t>PE</t>
        </is>
      </c>
      <c r="AU135" s="30" t="inlineStr">
        <is>
          <t>Comércio atacadista de máquinas, aparelhos e equipamentos para uso agropecuário; partes e peças</t>
        </is>
      </c>
      <c r="AV135" s="30" t="inlineStr">
        <is>
          <t>EMPRESA DE PEQUENO PORTE</t>
        </is>
      </c>
      <c r="AW135" s="31" t="n">
        <v>25000</v>
      </c>
      <c r="AX135" s="30" t="inlineStr">
        <is>
          <t>SMALL</t>
        </is>
      </c>
      <c r="AY135" s="30" t="inlineStr">
        <is>
          <t>01790923</t>
        </is>
      </c>
      <c r="AZ135" s="30" t="n">
        <v>1</v>
      </c>
      <c r="BA135" s="30" t="inlineStr">
        <is>
          <t>PARTIAL_DOC_CLASS_III_RECONCILED ROWS:p12r48</t>
        </is>
      </c>
    </row>
    <row r="136">
      <c r="A136" s="16" t="inlineStr">
        <is>
          <t>OMRON HEALTHCARE BRASIL COMERCIO E DISTRIBUICAO DE PRODUTOS MEDICOS LTDA</t>
        </is>
      </c>
      <c r="B136" s="17" t="n">
        <v>1077222.82</v>
      </c>
      <c r="C136" s="18" t="inlineStr">
        <is>
          <t>GRUPO DP4</t>
        </is>
      </c>
      <c r="D136" s="19" t="inlineStr">
        <is>
          <t>NEW</t>
        </is>
      </c>
      <c r="E136" s="20" t="inlineStr"/>
      <c r="F136" s="19" t="inlineStr"/>
      <c r="G136" s="20" t="inlineStr"/>
      <c r="H136" s="19" t="inlineStr"/>
      <c r="I136" s="21" t="inlineStr">
        <is>
          <t>Michelle Herrero</t>
        </is>
      </c>
      <c r="J136" s="21" t="inlineStr">
        <is>
          <t>Gerente de Análise de Planejamento Financeiro</t>
        </is>
      </c>
      <c r="K136" s="21" t="inlineStr">
        <is>
          <t>(11) 3149-3046</t>
        </is>
      </c>
      <c r="L136" s="21" t="inlineStr"/>
      <c r="M136" s="21" t="inlineStr"/>
      <c r="N136" s="21" t="inlineStr"/>
      <c r="O136" s="21" t="inlineStr"/>
      <c r="P136" s="21" t="inlineStr">
        <is>
          <t>FERNANDA ZAMIKHOWSKY VILLALOBOS</t>
        </is>
      </c>
      <c r="Q136" s="21" t="inlineStr">
        <is>
          <t>Administrador (RFB partner)</t>
        </is>
      </c>
      <c r="R136" s="21" t="inlineStr"/>
      <c r="S136" s="21" t="inlineStr"/>
      <c r="T136" s="21" t="inlineStr">
        <is>
          <t>no work email found in Apollo</t>
        </is>
      </c>
      <c r="U136" s="22" t="n">
        <v>1077222.82</v>
      </c>
      <c r="V136" s="23" t="inlineStr">
        <is>
          <t>B</t>
        </is>
      </c>
      <c r="W136" s="24">
        <f>IFERROR(VLOOKUP(V136,Assumptions!$A$7:$F$11,2,FALSE),0)</f>
        <v/>
      </c>
      <c r="X136" s="25">
        <f>IF(V136="A",MAX(1,IFERROR(VLOOKUP(V136,Assumptions!$A$7:$F$11,3,FALSE),3)+IFERROR(VLOOKUP(V136,Assumptions!$A$7:$F$11,4,FALSE),8)/2-MAX(0,IF(AO136="",0,YEAR(TODAY())-AO136)-IFERROR(VLOOKUP(V136,Assumptions!$A$7:$F$11,5,FALSE),1.5))),IFERROR(VLOOKUP(V136,Assumptions!$A$7:$F$11,5,FALSE),2.5)+IFERROR(VLOOKUP(V136,Assumptions!$A$7:$F$11,3,FALSE),3)+IFERROR(VLOOKUP(V136,Assumptions!$A$7:$F$11,4,FALSE),8)/2)</f>
        <v/>
      </c>
      <c r="Y136" s="22">
        <f>U136*W136/(1+Assumptions!$B$3)^X136</f>
        <v/>
      </c>
      <c r="Z136" s="26">
        <f>IF(U136=0,"",ROUND(Y136/U136*100,1))</f>
        <v/>
      </c>
      <c r="AA136" s="27">
        <f>Y136*Assumptions!$B$4</f>
        <v/>
      </c>
      <c r="AB136" s="26">
        <f>IF(U136=0,"",ROUND(AA136/U136*100,1))</f>
        <v/>
      </c>
      <c r="AC136" s="27">
        <f>Y136-AA136</f>
        <v/>
      </c>
      <c r="AD136" s="26">
        <f>IF(U136=0,"",ROUND((Y136-AA136)/U136*100,1))</f>
        <v/>
      </c>
      <c r="AE136" s="34" t="inlineStr">
        <is>
          <t>PARTIAL — class III reconciled, other classes not</t>
        </is>
      </c>
      <c r="AF136" s="29" t="inlineStr">
        <is>
          <t>https://marquesadmjudicial.com.br/sgc/download.php?file=files/processo_documento/processo_documento15293208032024_1_.pdf&amp;nome=Relação Nominal de Credores da AJ-Sintética</t>
        </is>
      </c>
      <c r="AG136" s="28" t="inlineStr">
        <is>
          <t>p30 r2</t>
        </is>
      </c>
      <c r="AH136" s="28" t="inlineStr">
        <is>
          <t>p30: R$ 1.077.222,82</t>
        </is>
      </c>
      <c r="AI136" s="28" t="inlineStr">
        <is>
          <t>AJ list (art. 7 §2)</t>
        </is>
      </c>
      <c r="AJ136" s="28" t="inlineStr">
        <is>
          <t>2023-03-02</t>
        </is>
      </c>
      <c r="AK136" s="28" t="inlineStr">
        <is>
          <t>NONE FOUND</t>
        </is>
      </c>
      <c r="AL136" s="30" t="inlineStr">
        <is>
          <t>0005010-98.2023.8.16.0001</t>
        </is>
      </c>
      <c r="AM136" s="30" t="inlineStr">
        <is>
          <t>TJPR</t>
        </is>
      </c>
      <c r="AN136" s="30" t="inlineStr">
        <is>
          <t>ACTIVE</t>
        </is>
      </c>
      <c r="AO136" s="30" t="n">
        <v>2023</v>
      </c>
      <c r="AP136" s="30" t="inlineStr">
        <is>
          <t>live case, no plan document yet</t>
        </is>
      </c>
      <c r="AQ136" s="30" t="inlineStr"/>
      <c r="AR136" s="30" t="inlineStr">
        <is>
          <t>printed on the list (read twice)</t>
        </is>
      </c>
      <c r="AS136" s="30" t="inlineStr">
        <is>
          <t>SAO PAULO</t>
        </is>
      </c>
      <c r="AT136" s="30" t="inlineStr">
        <is>
          <t>SP</t>
        </is>
      </c>
      <c r="AU136" s="30" t="inlineStr">
        <is>
          <t>Comércio atacadista de máquinas, aparelhos e equipamentos para uso odonto-médico-hospitalar; partes e peças</t>
        </is>
      </c>
      <c r="AV136" s="30" t="inlineStr">
        <is>
          <t>DEMAIS</t>
        </is>
      </c>
      <c r="AW136" s="31" t="n">
        <v>511505800</v>
      </c>
      <c r="AX136" s="30" t="inlineStr">
        <is>
          <t>MID-MARKET</t>
        </is>
      </c>
      <c r="AY136" s="30" t="inlineStr">
        <is>
          <t>10345462</t>
        </is>
      </c>
      <c r="AZ136" s="30" t="n">
        <v>1</v>
      </c>
      <c r="BA136" s="30" t="inlineStr">
        <is>
          <t>PARTIAL_DOC_CLASS_III_RECONCILED ROWS:p30r2</t>
        </is>
      </c>
    </row>
    <row r="137">
      <c r="A137" s="16" t="inlineStr">
        <is>
          <t>STRATURA ASFALTOS LTDA.</t>
        </is>
      </c>
      <c r="B137" s="17" t="n">
        <v>2010640.78</v>
      </c>
      <c r="C137" s="18" t="inlineStr">
        <is>
          <t>EGESA ENGENHARIA S/A (Consórcio ETDI)</t>
        </is>
      </c>
      <c r="D137" s="19" t="inlineStr">
        <is>
          <t>NEW</t>
        </is>
      </c>
      <c r="E137" s="20" t="inlineStr"/>
      <c r="F137" s="19" t="inlineStr"/>
      <c r="G137" s="20" t="inlineStr"/>
      <c r="H137" s="19" t="inlineStr"/>
      <c r="I137" s="21" t="inlineStr">
        <is>
          <t>CARLOS ALBERTO DE AQUINO PINHEIRO JUNIOR</t>
        </is>
      </c>
      <c r="J137" s="21" t="inlineStr">
        <is>
          <t>Administrador (RFB partner)</t>
        </is>
      </c>
      <c r="K137" s="21" t="inlineStr">
        <is>
          <t>(11) 3513-4260</t>
        </is>
      </c>
      <c r="L137" s="21" t="inlineStr"/>
      <c r="M137" s="21" t="inlineStr"/>
      <c r="N137" s="21" t="inlineStr"/>
      <c r="O137" s="21" t="inlineStr"/>
      <c r="P137" s="21" t="inlineStr"/>
      <c r="Q137" s="21" t="inlineStr"/>
      <c r="R137" s="21" t="inlineStr"/>
      <c r="S137" s="21" t="inlineStr"/>
      <c r="T137" s="21" t="inlineStr">
        <is>
          <t>RFB partner (QSA); no Apollo match</t>
        </is>
      </c>
      <c r="U137" s="22" t="n">
        <v>2010640.78</v>
      </c>
      <c r="V137" s="32" t="inlineStr">
        <is>
          <t>U</t>
        </is>
      </c>
      <c r="W137" s="24">
        <f>IFERROR(VLOOKUP(V137,Assumptions!$A$7:$F$11,2,FALSE),0)</f>
        <v/>
      </c>
      <c r="X137" s="25">
        <f>IF(V137="A",MAX(1,IFERROR(VLOOKUP(V137,Assumptions!$A$7:$F$11,3,FALSE),3)+IFERROR(VLOOKUP(V137,Assumptions!$A$7:$F$11,4,FALSE),8)/2-MAX(0,IF(AO137="",0,YEAR(TODAY())-AO137)-IFERROR(VLOOKUP(V137,Assumptions!$A$7:$F$11,5,FALSE),1.5))),IFERROR(VLOOKUP(V137,Assumptions!$A$7:$F$11,5,FALSE),2.5)+IFERROR(VLOOKUP(V137,Assumptions!$A$7:$F$11,3,FALSE),3)+IFERROR(VLOOKUP(V137,Assumptions!$A$7:$F$11,4,FALSE),8)/2)</f>
        <v/>
      </c>
      <c r="Y137" s="22">
        <f>U137*W137/(1+Assumptions!$B$3)^X137</f>
        <v/>
      </c>
      <c r="Z137" s="26">
        <f>IF(U137=0,"",ROUND(Y137/U137*100,1))</f>
        <v/>
      </c>
      <c r="AA137" s="27">
        <f>Y137*Assumptions!$B$4</f>
        <v/>
      </c>
      <c r="AB137" s="26">
        <f>IF(U137=0,"",ROUND(AA137/U137*100,1))</f>
        <v/>
      </c>
      <c r="AC137" s="27">
        <f>Y137-AA137</f>
        <v/>
      </c>
      <c r="AD137" s="26">
        <f>IF(U137=0,"",ROUND((Y137-AA137)/U137*100,1))</f>
        <v/>
      </c>
      <c r="AE137" s="28" t="inlineStr">
        <is>
          <t>OK — totals reconciled</t>
        </is>
      </c>
      <c r="AF137" s="29" t="inlineStr">
        <is>
          <t>https://scalzilliaj.com.br/sgc/download.php?file=files/processo_documento/processo_documento09514021082025_1_.pdf&amp;nome=04 - Relação de credores das Recuperandas</t>
        </is>
      </c>
      <c r="AG137" s="28" t="inlineStr">
        <is>
          <t>p73 r13</t>
        </is>
      </c>
      <c r="AH137" s="28" t="inlineStr">
        <is>
          <t>p73: R$ 2.010.640,78</t>
        </is>
      </c>
      <c r="AI137" s="28" t="inlineStr">
        <is>
          <t>Debtor list (art. 51)</t>
        </is>
      </c>
      <c r="AJ137" s="28" t="inlineStr"/>
      <c r="AK137" s="28" t="inlineStr">
        <is>
          <t>NONE FOUND</t>
        </is>
      </c>
      <c r="AL137" s="30" t="inlineStr">
        <is>
          <t>(not printed)</t>
        </is>
      </c>
      <c r="AM137" s="30" t="inlineStr"/>
      <c r="AN137" s="30" t="inlineStr"/>
      <c r="AO137" s="30" t="inlineStr"/>
      <c r="AP137" s="30" t="inlineStr">
        <is>
          <t>RJ case number not identified on the document</t>
        </is>
      </c>
      <c r="AQ137" s="30" t="inlineStr"/>
      <c r="AR137" s="30" t="inlineStr">
        <is>
          <t>portal page title / URL — not printed on the list</t>
        </is>
      </c>
      <c r="AS137" s="30" t="inlineStr">
        <is>
          <t>SAO PAULO</t>
        </is>
      </c>
      <c r="AT137" s="30" t="inlineStr">
        <is>
          <t>SP</t>
        </is>
      </c>
      <c r="AU137" s="30" t="inlineStr">
        <is>
          <t>Serviços combinados de escritório e apoio administrativo</t>
        </is>
      </c>
      <c r="AV137" s="30" t="inlineStr">
        <is>
          <t>DEMAIS</t>
        </is>
      </c>
      <c r="AW137" s="31" t="n">
        <v>217733330</v>
      </c>
      <c r="AX137" s="30" t="inlineStr">
        <is>
          <t>MID-MARKET</t>
        </is>
      </c>
      <c r="AY137" s="30" t="inlineStr">
        <is>
          <t>59128553</t>
        </is>
      </c>
      <c r="AZ137" s="30" t="n">
        <v>1</v>
      </c>
      <c r="BA137" s="30" t="inlineStr">
        <is>
          <t>ROWS:p73r13 VALUE_COL:Valor_Atualizado CASE_NUMBER_CORRECTED</t>
        </is>
      </c>
    </row>
    <row r="138">
      <c r="A138" s="16" t="inlineStr">
        <is>
          <t>PLASTICOS TANGARA LTDA</t>
        </is>
      </c>
      <c r="B138" s="17" t="n">
        <v>1070557.39</v>
      </c>
      <c r="C138" s="18" t="inlineStr">
        <is>
          <t>AZEPLAST INDÚSTRIA E COMÉRCIO LTDA</t>
        </is>
      </c>
      <c r="D138" s="19" t="inlineStr">
        <is>
          <t>NEW</t>
        </is>
      </c>
      <c r="E138" s="20" t="inlineStr"/>
      <c r="F138" s="19" t="inlineStr"/>
      <c r="G138" s="20" t="inlineStr"/>
      <c r="H138" s="19" t="inlineStr"/>
      <c r="I138" s="21" t="inlineStr">
        <is>
          <t>PAULO RICARDO SORGATTO</t>
        </is>
      </c>
      <c r="J138" s="21" t="inlineStr">
        <is>
          <t>Sócio-Administrador (RFB partner)</t>
        </is>
      </c>
      <c r="K138" s="21" t="inlineStr">
        <is>
          <t>(49) 3532-1511</t>
        </is>
      </c>
      <c r="L138" s="21" t="inlineStr"/>
      <c r="M138" s="21" t="inlineStr"/>
      <c r="N138" s="21" t="inlineStr"/>
      <c r="O138" s="21" t="inlineStr"/>
      <c r="P138" s="21" t="inlineStr"/>
      <c r="Q138" s="21" t="inlineStr"/>
      <c r="R138" s="21" t="inlineStr"/>
      <c r="S138" s="21" t="inlineStr"/>
      <c r="T138" s="21" t="inlineStr">
        <is>
          <t>RFB partner (QSA); no Apollo match</t>
        </is>
      </c>
      <c r="U138" s="22" t="n">
        <v>1070557.39</v>
      </c>
      <c r="V138" s="23" t="inlineStr">
        <is>
          <t>B</t>
        </is>
      </c>
      <c r="W138" s="24">
        <f>IFERROR(VLOOKUP(V138,Assumptions!$A$7:$F$11,2,FALSE),0)</f>
        <v/>
      </c>
      <c r="X138" s="25">
        <f>IF(V138="A",MAX(1,IFERROR(VLOOKUP(V138,Assumptions!$A$7:$F$11,3,FALSE),3)+IFERROR(VLOOKUP(V138,Assumptions!$A$7:$F$11,4,FALSE),8)/2-MAX(0,IF(AO138="",0,YEAR(TODAY())-AO138)-IFERROR(VLOOKUP(V138,Assumptions!$A$7:$F$11,5,FALSE),1.5))),IFERROR(VLOOKUP(V138,Assumptions!$A$7:$F$11,5,FALSE),2.5)+IFERROR(VLOOKUP(V138,Assumptions!$A$7:$F$11,3,FALSE),3)+IFERROR(VLOOKUP(V138,Assumptions!$A$7:$F$11,4,FALSE),8)/2)</f>
        <v/>
      </c>
      <c r="Y138" s="22">
        <f>U138*W138/(1+Assumptions!$B$3)^X138</f>
        <v/>
      </c>
      <c r="Z138" s="26">
        <f>IF(U138=0,"",ROUND(Y138/U138*100,1))</f>
        <v/>
      </c>
      <c r="AA138" s="27">
        <f>Y138*Assumptions!$B$4</f>
        <v/>
      </c>
      <c r="AB138" s="26">
        <f>IF(U138=0,"",ROUND(AA138/U138*100,1))</f>
        <v/>
      </c>
      <c r="AC138" s="27">
        <f>Y138-AA138</f>
        <v/>
      </c>
      <c r="AD138" s="26">
        <f>IF(U138=0,"",ROUND((Y138-AA138)/U138*100,1))</f>
        <v/>
      </c>
      <c r="AE138" s="34" t="inlineStr">
        <is>
          <t>PARTIAL — class III reconciled, other classes not</t>
        </is>
      </c>
      <c r="AF138" s="29" t="inlineStr">
        <is>
          <t>https://ajruiz.com.br/sites/default/files/public/arquivos-processos/2026-08/qgc_azeplast_julho_2026.pdf</t>
        </is>
      </c>
      <c r="AG138" s="28" t="inlineStr">
        <is>
          <t>p2 r6</t>
        </is>
      </c>
      <c r="AH138" s="28" t="inlineStr">
        <is>
          <t>p2: R$ 1.070.557,39</t>
        </is>
      </c>
      <c r="AI138" s="28" t="inlineStr">
        <is>
          <t>QGC (art. 18)</t>
        </is>
      </c>
      <c r="AJ138" s="28" t="inlineStr"/>
      <c r="AK138" s="28" t="inlineStr">
        <is>
          <t>NONE FOUND</t>
        </is>
      </c>
      <c r="AL138" s="30" t="inlineStr">
        <is>
          <t>5008793-34.2023.8.24.0019</t>
        </is>
      </c>
      <c r="AM138" s="30" t="inlineStr">
        <is>
          <t>TJSC</t>
        </is>
      </c>
      <c r="AN138" s="30" t="inlineStr">
        <is>
          <t>ACTIVE</t>
        </is>
      </c>
      <c r="AO138" s="30" t="n">
        <v>2023</v>
      </c>
      <c r="AP138" s="30" t="inlineStr">
        <is>
          <t>live case, no plan document yet</t>
        </is>
      </c>
      <c r="AQ138" s="30" t="inlineStr">
        <is>
          <t>05.378.317/0001-80</t>
        </is>
      </c>
      <c r="AR138" s="30" t="inlineStr">
        <is>
          <t>printed on the list (read twice)</t>
        </is>
      </c>
      <c r="AS138" s="30" t="inlineStr">
        <is>
          <t>TANGARA</t>
        </is>
      </c>
      <c r="AT138" s="30" t="inlineStr">
        <is>
          <t>SC</t>
        </is>
      </c>
      <c r="AU138" s="30" t="inlineStr">
        <is>
          <t>Comércio atacadista especializado em outros produtos intermediários não especificados anteriormente</t>
        </is>
      </c>
      <c r="AV138" s="30" t="inlineStr">
        <is>
          <t>DEMAIS</t>
        </is>
      </c>
      <c r="AW138" s="31" t="n">
        <v>10000</v>
      </c>
      <c r="AX138" s="30" t="inlineStr">
        <is>
          <t>MID-MARKET</t>
        </is>
      </c>
      <c r="AY138" s="30" t="inlineStr">
        <is>
          <t>11230832</t>
        </is>
      </c>
      <c r="AZ138" s="30" t="n">
        <v>1</v>
      </c>
      <c r="BA138" s="30" t="inlineStr">
        <is>
          <t>PARTIAL_DOC_CLASS_III_RECONCILED ROWS:p2r6</t>
        </is>
      </c>
    </row>
    <row r="139">
      <c r="A139" s="16" t="inlineStr">
        <is>
          <t>MILIUM GO1 LTDA</t>
        </is>
      </c>
      <c r="B139" s="17" t="n">
        <v>1057681.86</v>
      </c>
      <c r="C139" s="37" t="inlineStr">
        <is>
          <t>(debtor not identified — see proof)</t>
        </is>
      </c>
      <c r="D139" s="19" t="inlineStr">
        <is>
          <t>NEW</t>
        </is>
      </c>
      <c r="E139" s="20" t="inlineStr"/>
      <c r="F139" s="19" t="inlineStr"/>
      <c r="G139" s="20" t="inlineStr"/>
      <c r="H139" s="19" t="inlineStr"/>
      <c r="I139" s="21" t="inlineStr">
        <is>
          <t>Antonio Fernandes</t>
        </is>
      </c>
      <c r="J139" s="21" t="inlineStr">
        <is>
          <t>Diretor Conselheiro</t>
        </is>
      </c>
      <c r="K139" s="21" t="inlineStr">
        <is>
          <t>(55) 3512-6744</t>
        </is>
      </c>
      <c r="L139" s="21" t="inlineStr">
        <is>
          <t>000000000000</t>
        </is>
      </c>
      <c r="M139" s="21" t="inlineStr"/>
      <c r="N139" s="21" t="inlineStr"/>
      <c r="O139" s="21" t="inlineStr">
        <is>
          <t>eduardo.piazera@milium.com.br</t>
        </is>
      </c>
      <c r="P139" s="21" t="inlineStr">
        <is>
          <t>Eduardo Piazera</t>
        </is>
      </c>
      <c r="Q139" s="21" t="inlineStr">
        <is>
          <t>Legal Director</t>
        </is>
      </c>
      <c r="R139" s="21" t="inlineStr"/>
      <c r="S139" s="21" t="inlineStr">
        <is>
          <t>eduardo.piazera@milium.com.br</t>
        </is>
      </c>
      <c r="T139" s="21" t="inlineStr">
        <is>
          <t>no work email found in Apollo</t>
        </is>
      </c>
      <c r="U139" s="22" t="n">
        <v>1057681.86</v>
      </c>
      <c r="V139" s="23" t="inlineStr">
        <is>
          <t>B</t>
        </is>
      </c>
      <c r="W139" s="24">
        <f>IFERROR(VLOOKUP(V139,Assumptions!$A$7:$F$11,2,FALSE),0)</f>
        <v/>
      </c>
      <c r="X139" s="25">
        <f>IF(V139="A",MAX(1,IFERROR(VLOOKUP(V139,Assumptions!$A$7:$F$11,3,FALSE),3)+IFERROR(VLOOKUP(V139,Assumptions!$A$7:$F$11,4,FALSE),8)/2-MAX(0,IF(AO139="",0,YEAR(TODAY())-AO139)-IFERROR(VLOOKUP(V139,Assumptions!$A$7:$F$11,5,FALSE),1.5))),IFERROR(VLOOKUP(V139,Assumptions!$A$7:$F$11,5,FALSE),2.5)+IFERROR(VLOOKUP(V139,Assumptions!$A$7:$F$11,3,FALSE),3)+IFERROR(VLOOKUP(V139,Assumptions!$A$7:$F$11,4,FALSE),8)/2)</f>
        <v/>
      </c>
      <c r="Y139" s="22">
        <f>U139*W139/(1+Assumptions!$B$3)^X139</f>
        <v/>
      </c>
      <c r="Z139" s="26">
        <f>IF(U139=0,"",ROUND(Y139/U139*100,1))</f>
        <v/>
      </c>
      <c r="AA139" s="27">
        <f>Y139*Assumptions!$B$4</f>
        <v/>
      </c>
      <c r="AB139" s="26">
        <f>IF(U139=0,"",ROUND(AA139/U139*100,1))</f>
        <v/>
      </c>
      <c r="AC139" s="27">
        <f>Y139-AA139</f>
        <v/>
      </c>
      <c r="AD139" s="26">
        <f>IF(U139=0,"",ROUND((Y139-AA139)/U139*100,1))</f>
        <v/>
      </c>
      <c r="AE139" s="33" t="inlineStr">
        <is>
          <t>NO TOTALS — list prints none; check page</t>
        </is>
      </c>
      <c r="AF139" s="29" t="inlineStr">
        <is>
          <t>https://scalzilliaj.com.br/sgc/download.php?file=files/processo_documento/processo_documento11421222052026_1_.pdf&amp;nome=08. Lista de credores do edital do art. 52, §1º da LREF</t>
        </is>
      </c>
      <c r="AG139" s="28" t="inlineStr">
        <is>
          <t>p4 r3</t>
        </is>
      </c>
      <c r="AH139" s="28" t="inlineStr">
        <is>
          <t>p4: R$ 1.057.681,86</t>
        </is>
      </c>
      <c r="AI139" s="28" t="inlineStr">
        <is>
          <t>Unclassified list</t>
        </is>
      </c>
      <c r="AJ139" s="28" t="inlineStr"/>
      <c r="AK139" s="28" t="inlineStr">
        <is>
          <t>NONE FOUND</t>
        </is>
      </c>
      <c r="AL139" s="30" t="inlineStr">
        <is>
          <t>5011369-81.2026.8.09.0093</t>
        </is>
      </c>
      <c r="AM139" s="30" t="inlineStr">
        <is>
          <t>TJGO</t>
        </is>
      </c>
      <c r="AN139" s="30" t="inlineStr">
        <is>
          <t>ACTIVE</t>
        </is>
      </c>
      <c r="AO139" s="30" t="n">
        <v>2026</v>
      </c>
      <c r="AP139" s="30" t="inlineStr">
        <is>
          <t>live case, no plan document yet</t>
        </is>
      </c>
      <c r="AQ139" s="30" t="inlineStr"/>
      <c r="AR139" s="30" t="inlineStr">
        <is>
          <t>not identified</t>
        </is>
      </c>
      <c r="AS139" s="30" t="inlineStr">
        <is>
          <t>RIO VERDE</t>
        </is>
      </c>
      <c r="AT139" s="30" t="inlineStr">
        <is>
          <t>GO</t>
        </is>
      </c>
      <c r="AU139" s="30" t="inlineStr">
        <is>
          <t>Comércio atacadista de defensivos agrícolas, adubos, fertilizantes e corretivos do solo</t>
        </is>
      </c>
      <c r="AV139" s="30" t="inlineStr">
        <is>
          <t>DEMAIS</t>
        </is>
      </c>
      <c r="AW139" s="31" t="n">
        <v>9625251</v>
      </c>
      <c r="AX139" s="30" t="inlineStr">
        <is>
          <t>MID-MARKET</t>
        </is>
      </c>
      <c r="AY139" s="30" t="inlineStr">
        <is>
          <t>49802148</t>
        </is>
      </c>
      <c r="AZ139" s="30" t="n">
        <v>1</v>
      </c>
      <c r="BA139" s="30" t="inlineStr">
        <is>
          <t>ROWS:p4r3 UNRECONCILED_SOURCE</t>
        </is>
      </c>
    </row>
    <row r="140">
      <c r="A140" s="16" t="inlineStr">
        <is>
          <t>FARMABASE SAUDE ANIMAL LTDA</t>
        </is>
      </c>
      <c r="B140" s="17" t="n">
        <v>1057231.29</v>
      </c>
      <c r="C140" s="18" t="inlineStr">
        <is>
          <t>SUINOCULTURA KUNZLER</t>
        </is>
      </c>
      <c r="D140" s="19" t="inlineStr">
        <is>
          <t>NEW</t>
        </is>
      </c>
      <c r="E140" s="20" t="inlineStr"/>
      <c r="F140" s="19" t="inlineStr"/>
      <c r="G140" s="20" t="inlineStr"/>
      <c r="H140" s="19" t="inlineStr"/>
      <c r="I140" s="21" t="inlineStr">
        <is>
          <t>Leticia Haicki</t>
        </is>
      </c>
      <c r="J140" s="21" t="inlineStr">
        <is>
          <t>Coordenadora Jurídica LatAm</t>
        </is>
      </c>
      <c r="K140" s="21" t="inlineStr">
        <is>
          <t>(19) 3837-9900</t>
        </is>
      </c>
      <c r="L140" s="21" t="inlineStr">
        <is>
          <t>(19) 3837-9999</t>
        </is>
      </c>
      <c r="M140" s="21" t="inlineStr"/>
      <c r="N140" s="21" t="inlineStr">
        <is>
          <t>leticia.haicki@farmabase.com</t>
        </is>
      </c>
      <c r="O140" s="21" t="inlineStr">
        <is>
          <t>renan.farina@farmabase.com</t>
        </is>
      </c>
      <c r="P140" s="21" t="inlineStr">
        <is>
          <t>Renan Farina</t>
        </is>
      </c>
      <c r="Q140" s="21" t="inlineStr">
        <is>
          <t>Commercial Coordinator</t>
        </is>
      </c>
      <c r="R140" s="21" t="inlineStr"/>
      <c r="S140" s="21" t="inlineStr">
        <is>
          <t>renan.farina@farmabase.com</t>
        </is>
      </c>
      <c r="T140" s="21" t="inlineStr">
        <is>
          <t>email verified by Apollo</t>
        </is>
      </c>
      <c r="U140" s="22" t="n">
        <v>1057231.29</v>
      </c>
      <c r="V140" s="23" t="inlineStr">
        <is>
          <t>B</t>
        </is>
      </c>
      <c r="W140" s="24">
        <f>IFERROR(VLOOKUP(V140,Assumptions!$A$7:$F$11,2,FALSE),0)</f>
        <v/>
      </c>
      <c r="X140" s="25">
        <f>IF(V140="A",MAX(1,IFERROR(VLOOKUP(V140,Assumptions!$A$7:$F$11,3,FALSE),3)+IFERROR(VLOOKUP(V140,Assumptions!$A$7:$F$11,4,FALSE),8)/2-MAX(0,IF(AO140="",0,YEAR(TODAY())-AO140)-IFERROR(VLOOKUP(V140,Assumptions!$A$7:$F$11,5,FALSE),1.5))),IFERROR(VLOOKUP(V140,Assumptions!$A$7:$F$11,5,FALSE),2.5)+IFERROR(VLOOKUP(V140,Assumptions!$A$7:$F$11,3,FALSE),3)+IFERROR(VLOOKUP(V140,Assumptions!$A$7:$F$11,4,FALSE),8)/2)</f>
        <v/>
      </c>
      <c r="Y140" s="22">
        <f>U140*W140/(1+Assumptions!$B$3)^X140</f>
        <v/>
      </c>
      <c r="Z140" s="26">
        <f>IF(U140=0,"",ROUND(Y140/U140*100,1))</f>
        <v/>
      </c>
      <c r="AA140" s="27">
        <f>Y140*Assumptions!$B$4</f>
        <v/>
      </c>
      <c r="AB140" s="26">
        <f>IF(U140=0,"",ROUND(AA140/U140*100,1))</f>
        <v/>
      </c>
      <c r="AC140" s="27">
        <f>Y140-AA140</f>
        <v/>
      </c>
      <c r="AD140" s="26">
        <f>IF(U140=0,"",ROUND((Y140-AA140)/U140*100,1))</f>
        <v/>
      </c>
      <c r="AE140" s="33" t="inlineStr">
        <is>
          <t>NO TOTALS — list prints none; check page</t>
        </is>
      </c>
      <c r="AF140" s="29" t="inlineStr">
        <is>
          <t>https://rlg-aj.com.br/wp-content/uploads/2024/11/07.-Relação-de-credores.pdf</t>
        </is>
      </c>
      <c r="AG140" s="28" t="inlineStr">
        <is>
          <t>p1 r34</t>
        </is>
      </c>
      <c r="AH140" s="28" t="inlineStr">
        <is>
          <t>p1: R$ 1.057.231,29</t>
        </is>
      </c>
      <c r="AI140" s="28" t="inlineStr">
        <is>
          <t>Unclassified list</t>
        </is>
      </c>
      <c r="AJ140" s="28" t="inlineStr"/>
      <c r="AK140" s="28" t="inlineStr">
        <is>
          <t>NONE FOUND</t>
        </is>
      </c>
      <c r="AL140" s="30" t="inlineStr">
        <is>
          <t>5009149-92.2024.8.24.0019</t>
        </is>
      </c>
      <c r="AM140" s="30" t="inlineStr">
        <is>
          <t>TJSC</t>
        </is>
      </c>
      <c r="AN140" s="30" t="inlineStr">
        <is>
          <t>ACTIVE</t>
        </is>
      </c>
      <c r="AO140" s="30" t="n">
        <v>2024</v>
      </c>
      <c r="AP140" s="30" t="inlineStr">
        <is>
          <t>live case, no plan document yet</t>
        </is>
      </c>
      <c r="AQ140" s="30" t="inlineStr">
        <is>
          <t>55.365.447/0001-56</t>
        </is>
      </c>
      <c r="AR140" s="30" t="inlineStr">
        <is>
          <t>printed on the list (read twice)</t>
        </is>
      </c>
      <c r="AS140" s="30" t="inlineStr">
        <is>
          <t>JAGUARIUNA</t>
        </is>
      </c>
      <c r="AT140" s="30" t="inlineStr">
        <is>
          <t>SP</t>
        </is>
      </c>
      <c r="AU140" s="30" t="inlineStr">
        <is>
          <t>Fabricação de medicamentos para uso veterinário</t>
        </is>
      </c>
      <c r="AV140" s="30" t="inlineStr">
        <is>
          <t>DEMAIS</t>
        </is>
      </c>
      <c r="AW140" s="31" t="n">
        <v>7905182</v>
      </c>
      <c r="AX140" s="30" t="inlineStr">
        <is>
          <t>MID-MARKET</t>
        </is>
      </c>
      <c r="AY140" s="30" t="inlineStr">
        <is>
          <t>73174377</t>
        </is>
      </c>
      <c r="AZ140" s="30" t="n">
        <v>1</v>
      </c>
      <c r="BA140" s="30" t="inlineStr">
        <is>
          <t>ROWS:p1r34 UNRECONCILED_SOURCE</t>
        </is>
      </c>
    </row>
    <row r="141">
      <c r="A141" s="16" t="inlineStr">
        <is>
          <t>MERCK SHARP &amp; DOHME SAUDE ANIMAL LTDA</t>
        </is>
      </c>
      <c r="B141" s="17" t="n">
        <v>564684.01</v>
      </c>
      <c r="C141" s="18" t="inlineStr">
        <is>
          <t>GRUPO 3E</t>
        </is>
      </c>
      <c r="D141" s="19" t="inlineStr">
        <is>
          <t>NEW</t>
        </is>
      </c>
      <c r="E141" s="20" t="inlineStr"/>
      <c r="F141" s="19" t="inlineStr"/>
      <c r="G141" s="20" t="inlineStr"/>
      <c r="H141" s="19" t="inlineStr"/>
      <c r="I141" s="21" t="inlineStr">
        <is>
          <t>ALEXANDRE DE ANDRADE AFONSO</t>
        </is>
      </c>
      <c r="J141" s="21" t="inlineStr">
        <is>
          <t>Administrador (RFB partner)</t>
        </is>
      </c>
      <c r="K141" s="21" t="inlineStr">
        <is>
          <t>(11) 5189-7700</t>
        </is>
      </c>
      <c r="L141" s="21" t="inlineStr"/>
      <c r="M141" s="21" t="inlineStr"/>
      <c r="N141" s="21" t="inlineStr"/>
      <c r="O141" s="21" t="inlineStr"/>
      <c r="P141" s="21" t="inlineStr">
        <is>
          <t>LAURA YANETH VILLARREAL</t>
        </is>
      </c>
      <c r="Q141" s="21" t="inlineStr">
        <is>
          <t>Administrador (RFB partner)</t>
        </is>
      </c>
      <c r="R141" s="21" t="inlineStr"/>
      <c r="S141" s="21" t="inlineStr"/>
      <c r="T141" s="21" t="inlineStr">
        <is>
          <t>RFB partner (QSA); no Apollo match</t>
        </is>
      </c>
      <c r="U141" s="22" t="n">
        <v>564684.01</v>
      </c>
      <c r="V141" s="35" t="inlineStr">
        <is>
          <t>A</t>
        </is>
      </c>
      <c r="W141" s="24">
        <f>IFERROR(VLOOKUP(V141,Assumptions!$A$7:$F$11,2,FALSE),0)</f>
        <v/>
      </c>
      <c r="X141" s="25">
        <f>IF(V141="A",MAX(1,IFERROR(VLOOKUP(V141,Assumptions!$A$7:$F$11,3,FALSE),3)+IFERROR(VLOOKUP(V141,Assumptions!$A$7:$F$11,4,FALSE),8)/2-MAX(0,IF(AO141="",0,YEAR(TODAY())-AO141)-IFERROR(VLOOKUP(V141,Assumptions!$A$7:$F$11,5,FALSE),1.5))),IFERROR(VLOOKUP(V141,Assumptions!$A$7:$F$11,5,FALSE),2.5)+IFERROR(VLOOKUP(V141,Assumptions!$A$7:$F$11,3,FALSE),3)+IFERROR(VLOOKUP(V141,Assumptions!$A$7:$F$11,4,FALSE),8)/2)</f>
        <v/>
      </c>
      <c r="Y141" s="22">
        <f>U141*W141/(1+Assumptions!$B$3)^X141</f>
        <v/>
      </c>
      <c r="Z141" s="26">
        <f>IF(U141=0,"",ROUND(Y141/U141*100,1))</f>
        <v/>
      </c>
      <c r="AA141" s="27">
        <f>Y141*Assumptions!$B$4</f>
        <v/>
      </c>
      <c r="AB141" s="26">
        <f>IF(U141=0,"",ROUND(AA141/U141*100,1))</f>
        <v/>
      </c>
      <c r="AC141" s="27">
        <f>Y141-AA141</f>
        <v/>
      </c>
      <c r="AD141" s="26">
        <f>IF(U141=0,"",ROUND((Y141-AA141)/U141*100,1))</f>
        <v/>
      </c>
      <c r="AE141" s="33" t="inlineStr">
        <is>
          <t>NO TOTALS — list prints none; check page</t>
        </is>
      </c>
      <c r="AF141" s="29" t="inlineStr">
        <is>
          <t>https://stenius.com.br/wp-content/uploads/2026/06/EDITAL-GRUPO-3E.pdf</t>
        </is>
      </c>
      <c r="AG141" s="28" t="inlineStr">
        <is>
          <t>p16 r8; p16 r9</t>
        </is>
      </c>
      <c r="AH141" s="28" t="inlineStr">
        <is>
          <t>p16: R$ 52.443,82; p16: R$ 512.240,19</t>
        </is>
      </c>
      <c r="AI141" s="28" t="inlineStr">
        <is>
          <t>Debtor list (art. 51)</t>
        </is>
      </c>
      <c r="AJ141" s="28" t="inlineStr">
        <is>
          <t>2026-06-22</t>
        </is>
      </c>
      <c r="AK141" s="28" t="inlineStr">
        <is>
          <t>PLAN DOC FOUND</t>
        </is>
      </c>
      <c r="AL141" s="30" t="inlineStr">
        <is>
          <t>5341375-33.2026.8.09.0049</t>
        </is>
      </c>
      <c r="AM141" s="30" t="inlineStr">
        <is>
          <t>TJGO</t>
        </is>
      </c>
      <c r="AN141" s="30" t="inlineStr">
        <is>
          <t>ACTIVE</t>
        </is>
      </c>
      <c r="AO141" s="30" t="n">
        <v>2026</v>
      </c>
      <c r="AP141" s="30" t="inlineStr">
        <is>
          <t>plan/homologation document found</t>
        </is>
      </c>
      <c r="AQ141" s="30" t="inlineStr"/>
      <c r="AR141" s="30" t="inlineStr">
        <is>
          <t>printed on the list (read twice)</t>
        </is>
      </c>
      <c r="AS141" s="30" t="inlineStr">
        <is>
          <t>CRUZEIRO</t>
        </is>
      </c>
      <c r="AT141" s="30" t="inlineStr">
        <is>
          <t>SP</t>
        </is>
      </c>
      <c r="AU141" s="30" t="inlineStr">
        <is>
          <t>Fabricação de medicamentos para uso veterinário</t>
        </is>
      </c>
      <c r="AV141" s="30" t="inlineStr">
        <is>
          <t>DEMAIS</t>
        </is>
      </c>
      <c r="AW141" s="31" t="n">
        <v>3856917000</v>
      </c>
      <c r="AX141" s="30" t="inlineStr">
        <is>
          <t>LARGE CORP</t>
        </is>
      </c>
      <c r="AY141" s="30" t="inlineStr">
        <is>
          <t>07954091</t>
        </is>
      </c>
      <c r="AZ141" s="30" t="n">
        <v>2</v>
      </c>
      <c r="BA141" s="30" t="inlineStr">
        <is>
          <t>ROWS:p16r8,p16r9 UNRECONCILED_SOURCE</t>
        </is>
      </c>
    </row>
    <row r="142">
      <c r="A142" s="16" t="inlineStr">
        <is>
          <t>PROTEGO BRASIL VALVULAS E CORTA CHAMAS LTDA</t>
        </is>
      </c>
      <c r="B142" s="17" t="n">
        <v>1955788.12</v>
      </c>
      <c r="C142" s="18" t="inlineStr">
        <is>
          <t>EGESA ENGENHARIA S/A (Consórcio ETDI)</t>
        </is>
      </c>
      <c r="D142" s="19" t="inlineStr">
        <is>
          <t>NEW</t>
        </is>
      </c>
      <c r="E142" s="20" t="inlineStr"/>
      <c r="F142" s="19" t="inlineStr"/>
      <c r="G142" s="20" t="inlineStr"/>
      <c r="H142" s="19" t="inlineStr"/>
      <c r="I142" s="21" t="inlineStr">
        <is>
          <t>Francisco Siestrup</t>
        </is>
      </c>
      <c r="J142" s="21" t="inlineStr">
        <is>
          <t>CEO Protego Brasil</t>
        </is>
      </c>
      <c r="K142" s="21" t="inlineStr">
        <is>
          <t>(21) 2112-5700</t>
        </is>
      </c>
      <c r="L142" s="21" t="inlineStr">
        <is>
          <t>(21) 2112-5717</t>
        </is>
      </c>
      <c r="M142" s="21" t="inlineStr"/>
      <c r="N142" s="21" t="inlineStr">
        <is>
          <t>francisco.siestrup@protego.com</t>
        </is>
      </c>
      <c r="O142" s="21" t="inlineStr">
        <is>
          <t>raphaela.campos@protego.com</t>
        </is>
      </c>
      <c r="P142" s="21" t="inlineStr">
        <is>
          <t>Raphaela Campos</t>
        </is>
      </c>
      <c r="Q142" s="21" t="inlineStr">
        <is>
          <t>Financial Assistant</t>
        </is>
      </c>
      <c r="R142" s="21" t="inlineStr"/>
      <c r="S142" s="21" t="inlineStr">
        <is>
          <t>raphaela.campos@protego.com</t>
        </is>
      </c>
      <c r="T142" s="21" t="inlineStr">
        <is>
          <t>email verified by Apollo</t>
        </is>
      </c>
      <c r="U142" s="22" t="n">
        <v>1955788.12</v>
      </c>
      <c r="V142" s="32" t="inlineStr">
        <is>
          <t>U</t>
        </is>
      </c>
      <c r="W142" s="24">
        <f>IFERROR(VLOOKUP(V142,Assumptions!$A$7:$F$11,2,FALSE),0)</f>
        <v/>
      </c>
      <c r="X142" s="25">
        <f>IF(V142="A",MAX(1,IFERROR(VLOOKUP(V142,Assumptions!$A$7:$F$11,3,FALSE),3)+IFERROR(VLOOKUP(V142,Assumptions!$A$7:$F$11,4,FALSE),8)/2-MAX(0,IF(AO142="",0,YEAR(TODAY())-AO142)-IFERROR(VLOOKUP(V142,Assumptions!$A$7:$F$11,5,FALSE),1.5))),IFERROR(VLOOKUP(V142,Assumptions!$A$7:$F$11,5,FALSE),2.5)+IFERROR(VLOOKUP(V142,Assumptions!$A$7:$F$11,3,FALSE),3)+IFERROR(VLOOKUP(V142,Assumptions!$A$7:$F$11,4,FALSE),8)/2)</f>
        <v/>
      </c>
      <c r="Y142" s="22">
        <f>U142*W142/(1+Assumptions!$B$3)^X142</f>
        <v/>
      </c>
      <c r="Z142" s="26">
        <f>IF(U142=0,"",ROUND(Y142/U142*100,1))</f>
        <v/>
      </c>
      <c r="AA142" s="27">
        <f>Y142*Assumptions!$B$4</f>
        <v/>
      </c>
      <c r="AB142" s="26">
        <f>IF(U142=0,"",ROUND(AA142/U142*100,1))</f>
        <v/>
      </c>
      <c r="AC142" s="27">
        <f>Y142-AA142</f>
        <v/>
      </c>
      <c r="AD142" s="26">
        <f>IF(U142=0,"",ROUND((Y142-AA142)/U142*100,1))</f>
        <v/>
      </c>
      <c r="AE142" s="28" t="inlineStr">
        <is>
          <t>OK — totals reconciled</t>
        </is>
      </c>
      <c r="AF142" s="29" t="inlineStr">
        <is>
          <t>https://scalzilliaj.com.br/sgc/download.php?file=files/processo_documento/processo_documento09514021082025_1_.pdf&amp;nome=04 - Relação de credores das Recuperandas</t>
        </is>
      </c>
      <c r="AG142" s="28" t="inlineStr">
        <is>
          <t>p71 r18</t>
        </is>
      </c>
      <c r="AH142" s="28" t="inlineStr">
        <is>
          <t>p71: R$ 1.955.788,12</t>
        </is>
      </c>
      <c r="AI142" s="28" t="inlineStr">
        <is>
          <t>Debtor list (art. 51)</t>
        </is>
      </c>
      <c r="AJ142" s="28" t="inlineStr"/>
      <c r="AK142" s="28" t="inlineStr">
        <is>
          <t>NONE FOUND</t>
        </is>
      </c>
      <c r="AL142" s="30" t="inlineStr">
        <is>
          <t>(not printed)</t>
        </is>
      </c>
      <c r="AM142" s="30" t="inlineStr"/>
      <c r="AN142" s="30" t="inlineStr"/>
      <c r="AO142" s="30" t="inlineStr"/>
      <c r="AP142" s="30" t="inlineStr">
        <is>
          <t>RJ case number not identified on the document</t>
        </is>
      </c>
      <c r="AQ142" s="30" t="inlineStr"/>
      <c r="AR142" s="30" t="inlineStr">
        <is>
          <t>portal page title / URL — not printed on the list</t>
        </is>
      </c>
      <c r="AS142" s="30" t="inlineStr">
        <is>
          <t>RIO DE JANEIRO</t>
        </is>
      </c>
      <c r="AT142" s="30" t="inlineStr">
        <is>
          <t>RJ</t>
        </is>
      </c>
      <c r="AU142" s="30" t="inlineStr">
        <is>
          <t>Fabricação de válvulas, registros e dispositivos semelhantes, peças e acessórios</t>
        </is>
      </c>
      <c r="AV142" s="30" t="inlineStr">
        <is>
          <t>DEMAIS</t>
        </is>
      </c>
      <c r="AW142" s="31" t="n">
        <v>7300479.5</v>
      </c>
      <c r="AX142" s="30" t="inlineStr">
        <is>
          <t>MID-MARKET</t>
        </is>
      </c>
      <c r="AY142" s="30" t="inlineStr">
        <is>
          <t>14325185</t>
        </is>
      </c>
      <c r="AZ142" s="30" t="n">
        <v>1</v>
      </c>
      <c r="BA142" s="30" t="inlineStr">
        <is>
          <t>ROWS:p71r18 VALUE_COL:Valor_Atualizado CASE_NUMBER_CORRECTED</t>
        </is>
      </c>
    </row>
    <row r="143">
      <c r="A143" s="16" t="inlineStr">
        <is>
          <t>AGROCERES PIC SUINOS LTDA</t>
        </is>
      </c>
      <c r="B143" s="17" t="n">
        <v>1029654.77</v>
      </c>
      <c r="C143" s="18" t="inlineStr">
        <is>
          <t>SUINOCULTURA KUNZLER</t>
        </is>
      </c>
      <c r="D143" s="19" t="inlineStr">
        <is>
          <t>NEW</t>
        </is>
      </c>
      <c r="E143" s="20" t="inlineStr"/>
      <c r="F143" s="19" t="inlineStr"/>
      <c r="G143" s="20" t="inlineStr"/>
      <c r="H143" s="19" t="inlineStr"/>
      <c r="I143" s="21" t="inlineStr">
        <is>
          <t>ALEXANDRE FURTADO DA ROSA</t>
        </is>
      </c>
      <c r="J143" s="21" t="inlineStr">
        <is>
          <t>Administrador (RFB partner)</t>
        </is>
      </c>
      <c r="K143" s="21" t="inlineStr">
        <is>
          <t>(19) 3526-8500</t>
        </is>
      </c>
      <c r="L143" s="21" t="inlineStr"/>
      <c r="M143" s="21" t="inlineStr"/>
      <c r="N143" s="21" t="inlineStr"/>
      <c r="O143" s="21" t="inlineStr"/>
      <c r="P143" s="21" t="inlineStr">
        <is>
          <t>MARCELO ARAUJO RIBEIRAL</t>
        </is>
      </c>
      <c r="Q143" s="21" t="inlineStr">
        <is>
          <t>Administrador (RFB partner)</t>
        </is>
      </c>
      <c r="R143" s="21" t="inlineStr"/>
      <c r="S143" s="21" t="inlineStr"/>
      <c r="T143" s="21" t="inlineStr">
        <is>
          <t>RFB partner (QSA); no Apollo match</t>
        </is>
      </c>
      <c r="U143" s="22" t="n">
        <v>1029654.77</v>
      </c>
      <c r="V143" s="23" t="inlineStr">
        <is>
          <t>B</t>
        </is>
      </c>
      <c r="W143" s="24">
        <f>IFERROR(VLOOKUP(V143,Assumptions!$A$7:$F$11,2,FALSE),0)</f>
        <v/>
      </c>
      <c r="X143" s="25">
        <f>IF(V143="A",MAX(1,IFERROR(VLOOKUP(V143,Assumptions!$A$7:$F$11,3,FALSE),3)+IFERROR(VLOOKUP(V143,Assumptions!$A$7:$F$11,4,FALSE),8)/2-MAX(0,IF(AO143="",0,YEAR(TODAY())-AO143)-IFERROR(VLOOKUP(V143,Assumptions!$A$7:$F$11,5,FALSE),1.5))),IFERROR(VLOOKUP(V143,Assumptions!$A$7:$F$11,5,FALSE),2.5)+IFERROR(VLOOKUP(V143,Assumptions!$A$7:$F$11,3,FALSE),3)+IFERROR(VLOOKUP(V143,Assumptions!$A$7:$F$11,4,FALSE),8)/2)</f>
        <v/>
      </c>
      <c r="Y143" s="22">
        <f>U143*W143/(1+Assumptions!$B$3)^X143</f>
        <v/>
      </c>
      <c r="Z143" s="26">
        <f>IF(U143=0,"",ROUND(Y143/U143*100,1))</f>
        <v/>
      </c>
      <c r="AA143" s="27">
        <f>Y143*Assumptions!$B$4</f>
        <v/>
      </c>
      <c r="AB143" s="26">
        <f>IF(U143=0,"",ROUND(AA143/U143*100,1))</f>
        <v/>
      </c>
      <c r="AC143" s="27">
        <f>Y143-AA143</f>
        <v/>
      </c>
      <c r="AD143" s="26">
        <f>IF(U143=0,"",ROUND((Y143-AA143)/U143*100,1))</f>
        <v/>
      </c>
      <c r="AE143" s="33" t="inlineStr">
        <is>
          <t>NO TOTALS — list prints none; check page</t>
        </is>
      </c>
      <c r="AF143" s="29" t="inlineStr">
        <is>
          <t>https://rlg-aj.com.br/wp-content/uploads/2024/11/07.-Relação-de-credores.pdf</t>
        </is>
      </c>
      <c r="AG143" s="28" t="inlineStr">
        <is>
          <t>p1 r24</t>
        </is>
      </c>
      <c r="AH143" s="28" t="inlineStr">
        <is>
          <t>p1: R$ 1.029.654,77</t>
        </is>
      </c>
      <c r="AI143" s="28" t="inlineStr">
        <is>
          <t>Unclassified list</t>
        </is>
      </c>
      <c r="AJ143" s="28" t="inlineStr"/>
      <c r="AK143" s="28" t="inlineStr">
        <is>
          <t>NONE FOUND</t>
        </is>
      </c>
      <c r="AL143" s="30" t="inlineStr">
        <is>
          <t>5009149-92.2024.8.24.0019</t>
        </is>
      </c>
      <c r="AM143" s="30" t="inlineStr">
        <is>
          <t>TJSC</t>
        </is>
      </c>
      <c r="AN143" s="30" t="inlineStr">
        <is>
          <t>ACTIVE</t>
        </is>
      </c>
      <c r="AO143" s="30" t="n">
        <v>2024</v>
      </c>
      <c r="AP143" s="30" t="inlineStr">
        <is>
          <t>live case, no plan document yet</t>
        </is>
      </c>
      <c r="AQ143" s="30" t="inlineStr">
        <is>
          <t>55.365.447/0001-56</t>
        </is>
      </c>
      <c r="AR143" s="30" t="inlineStr">
        <is>
          <t>printed on the list (read twice)</t>
        </is>
      </c>
      <c r="AS143" s="30" t="inlineStr">
        <is>
          <t>RIO CLARO</t>
        </is>
      </c>
      <c r="AT143" s="30" t="inlineStr">
        <is>
          <t>SP</t>
        </is>
      </c>
      <c r="AU143" s="30" t="inlineStr">
        <is>
          <t>Criação de suínos</t>
        </is>
      </c>
      <c r="AV143" s="30" t="inlineStr">
        <is>
          <t>DEMAIS</t>
        </is>
      </c>
      <c r="AW143" s="31" t="n">
        <v>70693980</v>
      </c>
      <c r="AX143" s="30" t="inlineStr">
        <is>
          <t>MID-MARKET</t>
        </is>
      </c>
      <c r="AY143" s="30" t="inlineStr">
        <is>
          <t>28109395</t>
        </is>
      </c>
      <c r="AZ143" s="30" t="n">
        <v>1</v>
      </c>
      <c r="BA143" s="30" t="inlineStr">
        <is>
          <t>ROWS:p1r24 UNRECONCILED_SOURCE</t>
        </is>
      </c>
    </row>
    <row r="144">
      <c r="A144" s="16" t="inlineStr">
        <is>
          <t>TRUCKPAG MEIOS DE PAGAMENTO S/A</t>
        </is>
      </c>
      <c r="B144" s="17" t="n">
        <v>1021319.46</v>
      </c>
      <c r="C144" s="18" t="inlineStr">
        <is>
          <t>GRUPO D&amp;D</t>
        </is>
      </c>
      <c r="D144" s="19" t="inlineStr">
        <is>
          <t>NEW</t>
        </is>
      </c>
      <c r="E144" s="20" t="inlineStr"/>
      <c r="F144" s="19" t="inlineStr"/>
      <c r="G144" s="20" t="inlineStr"/>
      <c r="H144" s="19" t="inlineStr"/>
      <c r="I144" s="21" t="inlineStr">
        <is>
          <t>Karina Dias</t>
        </is>
      </c>
      <c r="J144" s="21" t="inlineStr">
        <is>
          <t>Business Manager</t>
        </is>
      </c>
      <c r="K144" s="21" t="inlineStr">
        <is>
          <t>(45) 3229-8773</t>
        </is>
      </c>
      <c r="L144" s="21" t="inlineStr">
        <is>
          <t>(45) 3229-8741</t>
        </is>
      </c>
      <c r="M144" s="21" t="inlineStr"/>
      <c r="N144" s="21" t="inlineStr">
        <is>
          <t>karina.dias@truckpag.com.br</t>
        </is>
      </c>
      <c r="O144" s="21" t="inlineStr"/>
      <c r="P144" s="21" t="inlineStr">
        <is>
          <t>GIOVANI BATISTA BENDER</t>
        </is>
      </c>
      <c r="Q144" s="21" t="inlineStr">
        <is>
          <t>Diretor (RFB partner)</t>
        </is>
      </c>
      <c r="R144" s="21" t="inlineStr"/>
      <c r="S144" s="21" t="inlineStr"/>
      <c r="T144" s="21" t="inlineStr">
        <is>
          <t>email verified by Apollo</t>
        </is>
      </c>
      <c r="U144" s="22" t="n">
        <v>1021319.46</v>
      </c>
      <c r="V144" s="23" t="inlineStr">
        <is>
          <t>B</t>
        </is>
      </c>
      <c r="W144" s="24">
        <f>IFERROR(VLOOKUP(V144,Assumptions!$A$7:$F$11,2,FALSE),0)</f>
        <v/>
      </c>
      <c r="X144" s="25">
        <f>IF(V144="A",MAX(1,IFERROR(VLOOKUP(V144,Assumptions!$A$7:$F$11,3,FALSE),3)+IFERROR(VLOOKUP(V144,Assumptions!$A$7:$F$11,4,FALSE),8)/2-MAX(0,IF(AO144="",0,YEAR(TODAY())-AO144)-IFERROR(VLOOKUP(V144,Assumptions!$A$7:$F$11,5,FALSE),1.5))),IFERROR(VLOOKUP(V144,Assumptions!$A$7:$F$11,5,FALSE),2.5)+IFERROR(VLOOKUP(V144,Assumptions!$A$7:$F$11,3,FALSE),3)+IFERROR(VLOOKUP(V144,Assumptions!$A$7:$F$11,4,FALSE),8)/2)</f>
        <v/>
      </c>
      <c r="Y144" s="22">
        <f>U144*W144/(1+Assumptions!$B$3)^X144</f>
        <v/>
      </c>
      <c r="Z144" s="26">
        <f>IF(U144=0,"",ROUND(Y144/U144*100,1))</f>
        <v/>
      </c>
      <c r="AA144" s="27">
        <f>Y144*Assumptions!$B$4</f>
        <v/>
      </c>
      <c r="AB144" s="26">
        <f>IF(U144=0,"",ROUND(AA144/U144*100,1))</f>
        <v/>
      </c>
      <c r="AC144" s="27">
        <f>Y144-AA144</f>
        <v/>
      </c>
      <c r="AD144" s="26">
        <f>IF(U144=0,"",ROUND((Y144-AA144)/U144*100,1))</f>
        <v/>
      </c>
      <c r="AE144" s="34" t="inlineStr">
        <is>
          <t>PARTIAL — class III reconciled, other classes not</t>
        </is>
      </c>
      <c r="AF144" s="29" t="inlineStr">
        <is>
          <t>https://marquesadmjudicial.com.br/sgc/download.php?file=files/processo_documento/processo_documento20014127022025_1_.pdf&amp;nome=Relação Nominal de Credores</t>
        </is>
      </c>
      <c r="AG144" s="28" t="inlineStr">
        <is>
          <t>p6 r6</t>
        </is>
      </c>
      <c r="AH144" s="28" t="inlineStr">
        <is>
          <t>p6: R$ 1.021.319,46</t>
        </is>
      </c>
      <c r="AI144" s="28" t="inlineStr">
        <is>
          <t>AJ list (art. 7 §2)</t>
        </is>
      </c>
      <c r="AJ144" s="28" t="inlineStr">
        <is>
          <t>2024-11-08</t>
        </is>
      </c>
      <c r="AK144" s="28" t="inlineStr">
        <is>
          <t>NONE FOUND</t>
        </is>
      </c>
      <c r="AL144" s="30" t="inlineStr">
        <is>
          <t>0001943-40.2024.8.16.0115</t>
        </is>
      </c>
      <c r="AM144" s="30" t="inlineStr">
        <is>
          <t>TJPR</t>
        </is>
      </c>
      <c r="AN144" s="30" t="inlineStr">
        <is>
          <t>ACTIVE</t>
        </is>
      </c>
      <c r="AO144" s="30" t="n">
        <v>2024</v>
      </c>
      <c r="AP144" s="30" t="inlineStr">
        <is>
          <t>live case, no plan document yet</t>
        </is>
      </c>
      <c r="AQ144" s="30" t="inlineStr"/>
      <c r="AR144" s="30" t="inlineStr">
        <is>
          <t>printed on the list (read twice)</t>
        </is>
      </c>
      <c r="AS144" s="30" t="inlineStr">
        <is>
          <t>SANTANA DE PARNAIBA</t>
        </is>
      </c>
      <c r="AT144" s="30" t="inlineStr">
        <is>
          <t>SP</t>
        </is>
      </c>
      <c r="AU144" s="30" t="inlineStr">
        <is>
          <t>Atividades de intermediação e agenciamento de serviços e negócios em geral, exceto imobiliários</t>
        </is>
      </c>
      <c r="AV144" s="30" t="inlineStr">
        <is>
          <t>DEMAIS</t>
        </is>
      </c>
      <c r="AW144" s="31" t="n">
        <v>2012100</v>
      </c>
      <c r="AX144" s="30" t="inlineStr">
        <is>
          <t>MID-MARKET</t>
        </is>
      </c>
      <c r="AY144" s="30" t="inlineStr">
        <is>
          <t>31443324</t>
        </is>
      </c>
      <c r="AZ144" s="30" t="n">
        <v>1</v>
      </c>
      <c r="BA144" s="30" t="inlineStr">
        <is>
          <t>PARTIAL_DOC_CLASS_III_RECONCILED ROWS:p6r6</t>
        </is>
      </c>
    </row>
    <row r="145">
      <c r="A145" s="16" t="inlineStr">
        <is>
          <t>SUPERFINE STEEL ACOS INOXIDAVEIS LTDA</t>
        </is>
      </c>
      <c r="B145" s="17" t="n">
        <v>540317.62</v>
      </c>
      <c r="C145" s="18" t="inlineStr">
        <is>
          <t>GRUPO 3E</t>
        </is>
      </c>
      <c r="D145" s="19" t="inlineStr">
        <is>
          <t>NEW</t>
        </is>
      </c>
      <c r="E145" s="20" t="inlineStr"/>
      <c r="F145" s="19" t="inlineStr"/>
      <c r="G145" s="20" t="inlineStr"/>
      <c r="H145" s="19" t="inlineStr"/>
      <c r="I145" s="21" t="inlineStr">
        <is>
          <t>Rosemeire Paula</t>
        </is>
      </c>
      <c r="J145" s="21" t="inlineStr">
        <is>
          <t>(no title)</t>
        </is>
      </c>
      <c r="K145" s="21" t="inlineStr">
        <is>
          <t>(11) 3129-8590</t>
        </is>
      </c>
      <c r="L145" s="21" t="inlineStr"/>
      <c r="M145" s="21" t="inlineStr"/>
      <c r="N145" s="21" t="inlineStr">
        <is>
          <t>gerenciaadm@superfine.com.br</t>
        </is>
      </c>
      <c r="O145" s="21" t="inlineStr"/>
      <c r="P145" s="21" t="inlineStr"/>
      <c r="Q145" s="21" t="inlineStr"/>
      <c r="R145" s="21" t="inlineStr"/>
      <c r="S145" s="21" t="inlineStr"/>
      <c r="T145" s="21" t="inlineStr">
        <is>
          <t>email verified by Apollo</t>
        </is>
      </c>
      <c r="U145" s="22" t="n">
        <v>540317.62</v>
      </c>
      <c r="V145" s="35" t="inlineStr">
        <is>
          <t>A</t>
        </is>
      </c>
      <c r="W145" s="24">
        <f>IFERROR(VLOOKUP(V145,Assumptions!$A$7:$F$11,2,FALSE),0)</f>
        <v/>
      </c>
      <c r="X145" s="25">
        <f>IF(V145="A",MAX(1,IFERROR(VLOOKUP(V145,Assumptions!$A$7:$F$11,3,FALSE),3)+IFERROR(VLOOKUP(V145,Assumptions!$A$7:$F$11,4,FALSE),8)/2-MAX(0,IF(AO145="",0,YEAR(TODAY())-AO145)-IFERROR(VLOOKUP(V145,Assumptions!$A$7:$F$11,5,FALSE),1.5))),IFERROR(VLOOKUP(V145,Assumptions!$A$7:$F$11,5,FALSE),2.5)+IFERROR(VLOOKUP(V145,Assumptions!$A$7:$F$11,3,FALSE),3)+IFERROR(VLOOKUP(V145,Assumptions!$A$7:$F$11,4,FALSE),8)/2)</f>
        <v/>
      </c>
      <c r="Y145" s="22">
        <f>U145*W145/(1+Assumptions!$B$3)^X145</f>
        <v/>
      </c>
      <c r="Z145" s="26">
        <f>IF(U145=0,"",ROUND(Y145/U145*100,1))</f>
        <v/>
      </c>
      <c r="AA145" s="27">
        <f>Y145*Assumptions!$B$4</f>
        <v/>
      </c>
      <c r="AB145" s="26">
        <f>IF(U145=0,"",ROUND(AA145/U145*100,1))</f>
        <v/>
      </c>
      <c r="AC145" s="27">
        <f>Y145-AA145</f>
        <v/>
      </c>
      <c r="AD145" s="26">
        <f>IF(U145=0,"",ROUND((Y145-AA145)/U145*100,1))</f>
        <v/>
      </c>
      <c r="AE145" s="33" t="inlineStr">
        <is>
          <t>NO TOTALS — list prints none; check page</t>
        </is>
      </c>
      <c r="AF145" s="29" t="inlineStr">
        <is>
          <t>https://stenius.com.br/wp-content/uploads/2026/06/EDITAL-GRUPO-3E.pdf</t>
        </is>
      </c>
      <c r="AG145" s="28" t="inlineStr">
        <is>
          <t>p18 r17</t>
        </is>
      </c>
      <c r="AH145" s="28" t="inlineStr">
        <is>
          <t>p18: R$ 540.317,62</t>
        </is>
      </c>
      <c r="AI145" s="28" t="inlineStr">
        <is>
          <t>Debtor list (art. 51)</t>
        </is>
      </c>
      <c r="AJ145" s="28" t="inlineStr">
        <is>
          <t>2026-06-22</t>
        </is>
      </c>
      <c r="AK145" s="28" t="inlineStr">
        <is>
          <t>PLAN DOC FOUND</t>
        </is>
      </c>
      <c r="AL145" s="30" t="inlineStr">
        <is>
          <t>5341375-33.2026.8.09.0049</t>
        </is>
      </c>
      <c r="AM145" s="30" t="inlineStr">
        <is>
          <t>TJGO</t>
        </is>
      </c>
      <c r="AN145" s="30" t="inlineStr">
        <is>
          <t>ACTIVE</t>
        </is>
      </c>
      <c r="AO145" s="30" t="n">
        <v>2026</v>
      </c>
      <c r="AP145" s="30" t="inlineStr">
        <is>
          <t>plan/homologation document found</t>
        </is>
      </c>
      <c r="AQ145" s="30" t="inlineStr"/>
      <c r="AR145" s="30" t="inlineStr">
        <is>
          <t>printed on the list (read twice)</t>
        </is>
      </c>
      <c r="AS145" s="30" t="inlineStr">
        <is>
          <t>SANTA BARBARA D'OESTE</t>
        </is>
      </c>
      <c r="AT145" s="30" t="inlineStr">
        <is>
          <t>SP</t>
        </is>
      </c>
      <c r="AU145" s="30" t="inlineStr">
        <is>
          <t>Produção de arames de aço</t>
        </is>
      </c>
      <c r="AV145" s="30" t="inlineStr">
        <is>
          <t>DEMAIS</t>
        </is>
      </c>
      <c r="AW145" s="31" t="n">
        <v>3500000</v>
      </c>
      <c r="AX145" s="30" t="inlineStr">
        <is>
          <t>MID-MARKET</t>
        </is>
      </c>
      <c r="AY145" s="30" t="inlineStr">
        <is>
          <t>00749526</t>
        </is>
      </c>
      <c r="AZ145" s="30" t="n">
        <v>1</v>
      </c>
      <c r="BA145" s="30" t="inlineStr">
        <is>
          <t>ROWS:p18r17 UNRECONCILED_SOURCE</t>
        </is>
      </c>
    </row>
    <row r="146">
      <c r="A146" s="16" t="inlineStr">
        <is>
          <t>BECK ACOS MANUFATURADOS LTDA</t>
        </is>
      </c>
      <c r="B146" s="17" t="n">
        <v>1886828.69</v>
      </c>
      <c r="C146" s="18" t="inlineStr">
        <is>
          <t>EGESA ENGENHARIA S/A (Consórcio ETDI)</t>
        </is>
      </c>
      <c r="D146" s="19" t="inlineStr">
        <is>
          <t>NEW</t>
        </is>
      </c>
      <c r="E146" s="20" t="inlineStr"/>
      <c r="F146" s="19" t="inlineStr"/>
      <c r="G146" s="20" t="inlineStr"/>
      <c r="H146" s="19" t="inlineStr"/>
      <c r="I146" s="21" t="inlineStr">
        <is>
          <t>JOSE MAURICIO COSTA DE ALMEIDA</t>
        </is>
      </c>
      <c r="J146" s="21" t="inlineStr">
        <is>
          <t>Sócio-Administrador (RFB partner)</t>
        </is>
      </c>
      <c r="K146" s="21" t="inlineStr">
        <is>
          <t>(31) 8896-6044</t>
        </is>
      </c>
      <c r="L146" s="21" t="inlineStr">
        <is>
          <t>(31) 8896-7549</t>
        </is>
      </c>
      <c r="M146" s="21" t="inlineStr"/>
      <c r="N146" s="21" t="inlineStr"/>
      <c r="O146" s="21" t="inlineStr"/>
      <c r="P146" s="21" t="inlineStr"/>
      <c r="Q146" s="21" t="inlineStr"/>
      <c r="R146" s="21" t="inlineStr"/>
      <c r="S146" s="21" t="inlineStr"/>
      <c r="T146" s="21" t="inlineStr">
        <is>
          <t>RFB partner (QSA); no Apollo match</t>
        </is>
      </c>
      <c r="U146" s="22" t="n">
        <v>1886828.69</v>
      </c>
      <c r="V146" s="32" t="inlineStr">
        <is>
          <t>U</t>
        </is>
      </c>
      <c r="W146" s="24">
        <f>IFERROR(VLOOKUP(V146,Assumptions!$A$7:$F$11,2,FALSE),0)</f>
        <v/>
      </c>
      <c r="X146" s="25">
        <f>IF(V146="A",MAX(1,IFERROR(VLOOKUP(V146,Assumptions!$A$7:$F$11,3,FALSE),3)+IFERROR(VLOOKUP(V146,Assumptions!$A$7:$F$11,4,FALSE),8)/2-MAX(0,IF(AO146="",0,YEAR(TODAY())-AO146)-IFERROR(VLOOKUP(V146,Assumptions!$A$7:$F$11,5,FALSE),1.5))),IFERROR(VLOOKUP(V146,Assumptions!$A$7:$F$11,5,FALSE),2.5)+IFERROR(VLOOKUP(V146,Assumptions!$A$7:$F$11,3,FALSE),3)+IFERROR(VLOOKUP(V146,Assumptions!$A$7:$F$11,4,FALSE),8)/2)</f>
        <v/>
      </c>
      <c r="Y146" s="22">
        <f>U146*W146/(1+Assumptions!$B$3)^X146</f>
        <v/>
      </c>
      <c r="Z146" s="26">
        <f>IF(U146=0,"",ROUND(Y146/U146*100,1))</f>
        <v/>
      </c>
      <c r="AA146" s="27">
        <f>Y146*Assumptions!$B$4</f>
        <v/>
      </c>
      <c r="AB146" s="26">
        <f>IF(U146=0,"",ROUND(AA146/U146*100,1))</f>
        <v/>
      </c>
      <c r="AC146" s="27">
        <f>Y146-AA146</f>
        <v/>
      </c>
      <c r="AD146" s="26">
        <f>IF(U146=0,"",ROUND((Y146-AA146)/U146*100,1))</f>
        <v/>
      </c>
      <c r="AE146" s="28" t="inlineStr">
        <is>
          <t>OK — totals reconciled</t>
        </is>
      </c>
      <c r="AF146" s="29" t="inlineStr">
        <is>
          <t>https://scalzilliaj.com.br/sgc/download.php?file=files/processo_documento/processo_documento09514021082025_1_.pdf&amp;nome=04 - Relação de credores das Recuperandas</t>
        </is>
      </c>
      <c r="AG146" s="28" t="inlineStr">
        <is>
          <t>p63 r7</t>
        </is>
      </c>
      <c r="AH146" s="28" t="inlineStr">
        <is>
          <t>p63: R$ 1.886.828,69</t>
        </is>
      </c>
      <c r="AI146" s="28" t="inlineStr">
        <is>
          <t>Debtor list (art. 51)</t>
        </is>
      </c>
      <c r="AJ146" s="28" t="inlineStr"/>
      <c r="AK146" s="28" t="inlineStr">
        <is>
          <t>NONE FOUND</t>
        </is>
      </c>
      <c r="AL146" s="30" t="inlineStr">
        <is>
          <t>(not printed)</t>
        </is>
      </c>
      <c r="AM146" s="30" t="inlineStr"/>
      <c r="AN146" s="30" t="inlineStr"/>
      <c r="AO146" s="30" t="inlineStr"/>
      <c r="AP146" s="30" t="inlineStr">
        <is>
          <t>RJ case number not identified on the document</t>
        </is>
      </c>
      <c r="AQ146" s="30" t="inlineStr"/>
      <c r="AR146" s="30" t="inlineStr">
        <is>
          <t>portal page title / URL — not printed on the list</t>
        </is>
      </c>
      <c r="AS146" s="30" t="inlineStr">
        <is>
          <t>VESPASIANO</t>
        </is>
      </c>
      <c r="AT146" s="30" t="inlineStr">
        <is>
          <t>MG</t>
        </is>
      </c>
      <c r="AU146" s="30" t="inlineStr">
        <is>
          <t>Fabricação de estruturas metálicas</t>
        </is>
      </c>
      <c r="AV146" s="30" t="inlineStr">
        <is>
          <t>DEMAIS</t>
        </is>
      </c>
      <c r="AW146" s="31" t="n">
        <v>2400000</v>
      </c>
      <c r="AX146" s="30" t="inlineStr">
        <is>
          <t>MID-MARKET</t>
        </is>
      </c>
      <c r="AY146" s="30" t="inlineStr">
        <is>
          <t>07651282</t>
        </is>
      </c>
      <c r="AZ146" s="30" t="n">
        <v>1</v>
      </c>
      <c r="BA146" s="30" t="inlineStr">
        <is>
          <t>ROWS:p63r7 VALUE_COL:Valor_Atualizado CASE_NUMBER_CORRECTED</t>
        </is>
      </c>
    </row>
    <row r="147">
      <c r="A147" s="16" t="inlineStr">
        <is>
          <t>INDUSTRIA E COMERCIO DE PRODUTOS AGRICOLAS NEWFERT LTDA</t>
        </is>
      </c>
      <c r="B147" s="17" t="n">
        <v>1002340</v>
      </c>
      <c r="C147" s="18" t="inlineStr">
        <is>
          <t>Agroforte Agropecuaria Ltda</t>
        </is>
      </c>
      <c r="D147" s="19" t="inlineStr">
        <is>
          <t>NEW</t>
        </is>
      </c>
      <c r="E147" s="20" t="inlineStr"/>
      <c r="F147" s="19" t="inlineStr"/>
      <c r="G147" s="20" t="inlineStr"/>
      <c r="H147" s="19" t="inlineStr"/>
      <c r="I147" s="21" t="inlineStr">
        <is>
          <t>LUIS HIDEKI TAKAHARA</t>
        </is>
      </c>
      <c r="J147" s="21" t="inlineStr">
        <is>
          <t>Sócio-Administrador (RFB partner)</t>
        </is>
      </c>
      <c r="K147" s="21" t="inlineStr">
        <is>
          <t>(45) 4102-0950</t>
        </is>
      </c>
      <c r="L147" s="21" t="inlineStr"/>
      <c r="M147" s="21" t="inlineStr"/>
      <c r="N147" s="21" t="inlineStr"/>
      <c r="O147" s="21" t="inlineStr"/>
      <c r="P147" s="21" t="inlineStr"/>
      <c r="Q147" s="21" t="inlineStr"/>
      <c r="R147" s="21" t="inlineStr"/>
      <c r="S147" s="21" t="inlineStr"/>
      <c r="T147" s="21" t="inlineStr">
        <is>
          <t>RFB partner (QSA); no Apollo match</t>
        </is>
      </c>
      <c r="U147" s="22" t="n">
        <v>1002340</v>
      </c>
      <c r="V147" s="23" t="inlineStr">
        <is>
          <t>B</t>
        </is>
      </c>
      <c r="W147" s="24">
        <f>IFERROR(VLOOKUP(V147,Assumptions!$A$7:$F$11,2,FALSE),0)</f>
        <v/>
      </c>
      <c r="X147" s="25">
        <f>IF(V147="A",MAX(1,IFERROR(VLOOKUP(V147,Assumptions!$A$7:$F$11,3,FALSE),3)+IFERROR(VLOOKUP(V147,Assumptions!$A$7:$F$11,4,FALSE),8)/2-MAX(0,IF(AO147="",0,YEAR(TODAY())-AO147)-IFERROR(VLOOKUP(V147,Assumptions!$A$7:$F$11,5,FALSE),1.5))),IFERROR(VLOOKUP(V147,Assumptions!$A$7:$F$11,5,FALSE),2.5)+IFERROR(VLOOKUP(V147,Assumptions!$A$7:$F$11,3,FALSE),3)+IFERROR(VLOOKUP(V147,Assumptions!$A$7:$F$11,4,FALSE),8)/2)</f>
        <v/>
      </c>
      <c r="Y147" s="22">
        <f>U147*W147/(1+Assumptions!$B$3)^X147</f>
        <v/>
      </c>
      <c r="Z147" s="26">
        <f>IF(U147=0,"",ROUND(Y147/U147*100,1))</f>
        <v/>
      </c>
      <c r="AA147" s="27">
        <f>Y147*Assumptions!$B$4</f>
        <v/>
      </c>
      <c r="AB147" s="26">
        <f>IF(U147=0,"",ROUND(AA147/U147*100,1))</f>
        <v/>
      </c>
      <c r="AC147" s="27">
        <f>Y147-AA147</f>
        <v/>
      </c>
      <c r="AD147" s="26">
        <f>IF(U147=0,"",ROUND((Y147-AA147)/U147*100,1))</f>
        <v/>
      </c>
      <c r="AE147" s="34" t="inlineStr">
        <is>
          <t>PARTIAL — class III reconciled, other classes not</t>
        </is>
      </c>
      <c r="AF147" s="29" t="inlineStr">
        <is>
          <t>https://marquesadmjudicial.com.br/sgc/download.php?file=files/processo_documento/processo_documento11370527032026_1_.pdf&amp;nome=Quadro Geral de Credores (QGC) -AJ Anterior</t>
        </is>
      </c>
      <c r="AG147" s="28" t="inlineStr">
        <is>
          <t>p2 r5</t>
        </is>
      </c>
      <c r="AH147" s="28" t="inlineStr">
        <is>
          <t>p2: R$ 1.002.340,00</t>
        </is>
      </c>
      <c r="AI147" s="28" t="inlineStr">
        <is>
          <t>QGC (art. 18)</t>
        </is>
      </c>
      <c r="AJ147" s="28" t="inlineStr">
        <is>
          <t>2025-09-22</t>
        </is>
      </c>
      <c r="AK147" s="28" t="inlineStr">
        <is>
          <t>NONE FOUND</t>
        </is>
      </c>
      <c r="AL147" s="30" t="inlineStr">
        <is>
          <t>0031120-52.2024.8.16.0017</t>
        </is>
      </c>
      <c r="AM147" s="30" t="inlineStr">
        <is>
          <t>TJPR</t>
        </is>
      </c>
      <c r="AN147" s="30" t="inlineStr">
        <is>
          <t>ACTIVE</t>
        </is>
      </c>
      <c r="AO147" s="30" t="n">
        <v>2024</v>
      </c>
      <c r="AP147" s="30" t="inlineStr">
        <is>
          <t>live case, no plan document yet</t>
        </is>
      </c>
      <c r="AQ147" s="30" t="inlineStr">
        <is>
          <t>33.286.454/0001-20</t>
        </is>
      </c>
      <c r="AR147" s="30" t="inlineStr">
        <is>
          <t>printed on the list (read twice)</t>
        </is>
      </c>
      <c r="AS147" s="30" t="inlineStr">
        <is>
          <t>PIRAJUBA</t>
        </is>
      </c>
      <c r="AT147" s="30" t="inlineStr">
        <is>
          <t>MG</t>
        </is>
      </c>
      <c r="AU147" s="30" t="inlineStr">
        <is>
          <t>Fabricação de adubos e fertilizantes, exceto organo-minerais</t>
        </is>
      </c>
      <c r="AV147" s="30" t="inlineStr">
        <is>
          <t>EMPRESA DE PEQUENO PORTE</t>
        </is>
      </c>
      <c r="AW147" s="31" t="n">
        <v>1343000</v>
      </c>
      <c r="AX147" s="30" t="inlineStr">
        <is>
          <t>SMALL</t>
        </is>
      </c>
      <c r="AY147" s="30" t="inlineStr">
        <is>
          <t>32847622</t>
        </is>
      </c>
      <c r="AZ147" s="30" t="n">
        <v>1</v>
      </c>
      <c r="BA147" s="30" t="inlineStr">
        <is>
          <t>PARTIAL_DOC_CLASS_III_RECONCILED ROWS:p2r5</t>
        </is>
      </c>
    </row>
    <row r="148">
      <c r="A148" s="16" t="inlineStr">
        <is>
          <t>NAZCA DISTRIBUIDORA DE COSMETICOS LTDA</t>
        </is>
      </c>
      <c r="B148" s="17" t="n">
        <v>999930.72</v>
      </c>
      <c r="C148" s="18" t="inlineStr">
        <is>
          <t>GRUPO DP4</t>
        </is>
      </c>
      <c r="D148" s="19" t="inlineStr">
        <is>
          <t>NEW</t>
        </is>
      </c>
      <c r="E148" s="20" t="inlineStr"/>
      <c r="F148" s="19" t="inlineStr"/>
      <c r="G148" s="20" t="inlineStr"/>
      <c r="H148" s="19" t="inlineStr"/>
      <c r="I148" s="21" t="inlineStr">
        <is>
          <t>JOSE DURVAL CARINHATO</t>
        </is>
      </c>
      <c r="J148" s="21" t="inlineStr">
        <is>
          <t>Administrador (RFB partner)</t>
        </is>
      </c>
      <c r="K148" s="21" t="inlineStr">
        <is>
          <t>(11) 4061-6000</t>
        </is>
      </c>
      <c r="L148" s="21" t="inlineStr"/>
      <c r="M148" s="21" t="inlineStr"/>
      <c r="N148" s="21" t="inlineStr"/>
      <c r="O148" s="21" t="inlineStr"/>
      <c r="P148" s="21" t="inlineStr">
        <is>
          <t>MARCOS FERNANDO CARINHATO</t>
        </is>
      </c>
      <c r="Q148" s="21" t="inlineStr">
        <is>
          <t>Administrador (RFB partner)</t>
        </is>
      </c>
      <c r="R148" s="21" t="inlineStr"/>
      <c r="S148" s="21" t="inlineStr"/>
      <c r="T148" s="21" t="inlineStr">
        <is>
          <t>RFB partner (QSA); no Apollo match</t>
        </is>
      </c>
      <c r="U148" s="22" t="n">
        <v>999930.72</v>
      </c>
      <c r="V148" s="23" t="inlineStr">
        <is>
          <t>B</t>
        </is>
      </c>
      <c r="W148" s="24">
        <f>IFERROR(VLOOKUP(V148,Assumptions!$A$7:$F$11,2,FALSE),0)</f>
        <v/>
      </c>
      <c r="X148" s="25">
        <f>IF(V148="A",MAX(1,IFERROR(VLOOKUP(V148,Assumptions!$A$7:$F$11,3,FALSE),3)+IFERROR(VLOOKUP(V148,Assumptions!$A$7:$F$11,4,FALSE),8)/2-MAX(0,IF(AO148="",0,YEAR(TODAY())-AO148)-IFERROR(VLOOKUP(V148,Assumptions!$A$7:$F$11,5,FALSE),1.5))),IFERROR(VLOOKUP(V148,Assumptions!$A$7:$F$11,5,FALSE),2.5)+IFERROR(VLOOKUP(V148,Assumptions!$A$7:$F$11,3,FALSE),3)+IFERROR(VLOOKUP(V148,Assumptions!$A$7:$F$11,4,FALSE),8)/2)</f>
        <v/>
      </c>
      <c r="Y148" s="22">
        <f>U148*W148/(1+Assumptions!$B$3)^X148</f>
        <v/>
      </c>
      <c r="Z148" s="26">
        <f>IF(U148=0,"",ROUND(Y148/U148*100,1))</f>
        <v/>
      </c>
      <c r="AA148" s="27">
        <f>Y148*Assumptions!$B$4</f>
        <v/>
      </c>
      <c r="AB148" s="26">
        <f>IF(U148=0,"",ROUND(AA148/U148*100,1))</f>
        <v/>
      </c>
      <c r="AC148" s="27">
        <f>Y148-AA148</f>
        <v/>
      </c>
      <c r="AD148" s="26">
        <f>IF(U148=0,"",ROUND((Y148-AA148)/U148*100,1))</f>
        <v/>
      </c>
      <c r="AE148" s="34" t="inlineStr">
        <is>
          <t>PARTIAL — class III reconciled, other classes not</t>
        </is>
      </c>
      <c r="AF148" s="29" t="inlineStr">
        <is>
          <t>https://marquesadmjudicial.com.br/sgc/download.php?file=files/processo_documento/processo_documento15293208032024_1_.pdf&amp;nome=Relação Nominal de Credores da AJ-Sintética</t>
        </is>
      </c>
      <c r="AG148" s="28" t="inlineStr">
        <is>
          <t>p29 r11</t>
        </is>
      </c>
      <c r="AH148" s="28" t="inlineStr">
        <is>
          <t>p29: R$ 999.930,72</t>
        </is>
      </c>
      <c r="AI148" s="28" t="inlineStr">
        <is>
          <t>AJ list (art. 7 §2)</t>
        </is>
      </c>
      <c r="AJ148" s="28" t="inlineStr">
        <is>
          <t>2023-03-02</t>
        </is>
      </c>
      <c r="AK148" s="28" t="inlineStr">
        <is>
          <t>NONE FOUND</t>
        </is>
      </c>
      <c r="AL148" s="30" t="inlineStr">
        <is>
          <t>0005010-98.2023.8.16.0001</t>
        </is>
      </c>
      <c r="AM148" s="30" t="inlineStr">
        <is>
          <t>TJPR</t>
        </is>
      </c>
      <c r="AN148" s="30" t="inlineStr">
        <is>
          <t>ACTIVE</t>
        </is>
      </c>
      <c r="AO148" s="30" t="n">
        <v>2023</v>
      </c>
      <c r="AP148" s="30" t="inlineStr">
        <is>
          <t>live case, no plan document yet</t>
        </is>
      </c>
      <c r="AQ148" s="30" t="inlineStr"/>
      <c r="AR148" s="30" t="inlineStr">
        <is>
          <t>printed on the list (read twice)</t>
        </is>
      </c>
      <c r="AS148" s="30" t="inlineStr">
        <is>
          <t>DIADEMA</t>
        </is>
      </c>
      <c r="AT148" s="30" t="inlineStr">
        <is>
          <t>SP</t>
        </is>
      </c>
      <c r="AU148" s="30" t="inlineStr">
        <is>
          <t>Comércio atacadista de cosméticos e produtos de perfumaria</t>
        </is>
      </c>
      <c r="AV148" s="30" t="inlineStr">
        <is>
          <t>DEMAIS</t>
        </is>
      </c>
      <c r="AW148" s="31" t="n">
        <v>4800000</v>
      </c>
      <c r="AX148" s="30" t="inlineStr">
        <is>
          <t>MID-MARKET</t>
        </is>
      </c>
      <c r="AY148" s="30" t="inlineStr">
        <is>
          <t>08509682</t>
        </is>
      </c>
      <c r="AZ148" s="30" t="n">
        <v>1</v>
      </c>
      <c r="BA148" s="30" t="inlineStr">
        <is>
          <t>PARTIAL_DOC_CLASS_III_RECONCILED ROWS:p29r11</t>
        </is>
      </c>
    </row>
    <row r="149">
      <c r="A149" s="16" t="inlineStr">
        <is>
          <t>BRASQUIMICA PRODUTOS ASFALTICOS LTDA</t>
        </is>
      </c>
      <c r="B149" s="17" t="n">
        <v>3879789.49</v>
      </c>
      <c r="C149" s="18" t="inlineStr">
        <is>
          <t>CONSTRUTORA ANDRADE GUEDES LTDA</t>
        </is>
      </c>
      <c r="D149" s="19" t="inlineStr">
        <is>
          <t>NEW</t>
        </is>
      </c>
      <c r="E149" s="20" t="inlineStr"/>
      <c r="F149" s="19" t="inlineStr"/>
      <c r="G149" s="20" t="inlineStr"/>
      <c r="H149" s="19" t="inlineStr"/>
      <c r="I149" s="21" t="inlineStr">
        <is>
          <t>Ronan Drumond</t>
        </is>
      </c>
      <c r="J149" s="21" t="inlineStr">
        <is>
          <t>Commercial Director</t>
        </is>
      </c>
      <c r="K149" s="21" t="inlineStr">
        <is>
          <t>(71) 3118-2100</t>
        </is>
      </c>
      <c r="L149" s="21" t="inlineStr"/>
      <c r="M149" s="21" t="inlineStr"/>
      <c r="N149" s="21" t="inlineStr"/>
      <c r="O149" s="21" t="inlineStr"/>
      <c r="P149" s="21" t="inlineStr">
        <is>
          <t>Kelmara Pereira</t>
        </is>
      </c>
      <c r="Q149" s="21" t="inlineStr">
        <is>
          <t>Technical Manager</t>
        </is>
      </c>
      <c r="R149" s="21" t="inlineStr"/>
      <c r="S149" s="21" t="inlineStr"/>
      <c r="T149" s="21" t="inlineStr">
        <is>
          <t>no work email found in Apollo</t>
        </is>
      </c>
      <c r="U149" s="22" t="n">
        <v>3879789.49</v>
      </c>
      <c r="V149" s="38" t="inlineStr">
        <is>
          <t>C</t>
        </is>
      </c>
      <c r="W149" s="24">
        <f>IFERROR(VLOOKUP(V149,Assumptions!$A$7:$F$11,2,FALSE),0)</f>
        <v/>
      </c>
      <c r="X149" s="25">
        <f>IF(V149="A",MAX(1,IFERROR(VLOOKUP(V149,Assumptions!$A$7:$F$11,3,FALSE),3)+IFERROR(VLOOKUP(V149,Assumptions!$A$7:$F$11,4,FALSE),8)/2-MAX(0,IF(AO149="",0,YEAR(TODAY())-AO149)-IFERROR(VLOOKUP(V149,Assumptions!$A$7:$F$11,5,FALSE),1.5))),IFERROR(VLOOKUP(V149,Assumptions!$A$7:$F$11,5,FALSE),2.5)+IFERROR(VLOOKUP(V149,Assumptions!$A$7:$F$11,3,FALSE),3)+IFERROR(VLOOKUP(V149,Assumptions!$A$7:$F$11,4,FALSE),8)/2)</f>
        <v/>
      </c>
      <c r="Y149" s="22">
        <f>U149*W149/(1+Assumptions!$B$3)^X149</f>
        <v/>
      </c>
      <c r="Z149" s="26">
        <f>IF(U149=0,"",ROUND(Y149/U149*100,1))</f>
        <v/>
      </c>
      <c r="AA149" s="27">
        <f>Y149*Assumptions!$B$4</f>
        <v/>
      </c>
      <c r="AB149" s="26">
        <f>IF(U149=0,"",ROUND(AA149/U149*100,1))</f>
        <v/>
      </c>
      <c r="AC149" s="27">
        <f>Y149-AA149</f>
        <v/>
      </c>
      <c r="AD149" s="26">
        <f>IF(U149=0,"",ROUND((Y149-AA149)/U149*100,1))</f>
        <v/>
      </c>
      <c r="AE149" s="33" t="inlineStr">
        <is>
          <t>NO TOTALS — list prints none; check page</t>
        </is>
      </c>
      <c r="AF149" s="29" t="inlineStr">
        <is>
          <t>https://diligence.adm.br/wp-content/plugins/download-attachments/includes/download.php?id=4599</t>
        </is>
      </c>
      <c r="AG149" s="28" t="inlineStr">
        <is>
          <t>p10 r10</t>
        </is>
      </c>
      <c r="AH149" s="28" t="inlineStr">
        <is>
          <t>p10: R$ 3.879.789,49</t>
        </is>
      </c>
      <c r="AI149" s="28" t="inlineStr">
        <is>
          <t>AJ list (art. 7 §2)</t>
        </is>
      </c>
      <c r="AJ149" s="28" t="inlineStr">
        <is>
          <t>2024-06-25</t>
        </is>
      </c>
      <c r="AK149" s="28" t="inlineStr">
        <is>
          <t>NONE FOUND</t>
        </is>
      </c>
      <c r="AL149" s="30" t="inlineStr">
        <is>
          <t>0000880-57.2020.8.17.2001</t>
        </is>
      </c>
      <c r="AM149" s="30" t="inlineStr">
        <is>
          <t>TJPE</t>
        </is>
      </c>
      <c r="AN149" s="30" t="inlineStr">
        <is>
          <t>ACTIVE</t>
        </is>
      </c>
      <c r="AO149" s="30" t="n">
        <v>2020</v>
      </c>
      <c r="AP149" s="30" t="inlineStr">
        <is>
          <t>6y since filing, no plan document</t>
        </is>
      </c>
      <c r="AQ149" s="30" t="inlineStr">
        <is>
          <t>08.073.264/0001-87</t>
        </is>
      </c>
      <c r="AR149" s="30" t="inlineStr">
        <is>
          <t>printed on the list (read twice)</t>
        </is>
      </c>
      <c r="AS149" s="30" t="inlineStr">
        <is>
          <t>SALVADOR</t>
        </is>
      </c>
      <c r="AT149" s="30" t="inlineStr">
        <is>
          <t>BA</t>
        </is>
      </c>
      <c r="AU149" s="30" t="inlineStr">
        <is>
          <t>Comércio atacadista de outros produtos químicos e petroquímicos não especificados anteriormente</t>
        </is>
      </c>
      <c r="AV149" s="30" t="inlineStr">
        <is>
          <t>DEMAIS</t>
        </is>
      </c>
      <c r="AW149" s="31" t="n">
        <v>78060000</v>
      </c>
      <c r="AX149" s="30" t="inlineStr">
        <is>
          <t>MID-MARKET</t>
        </is>
      </c>
      <c r="AY149" s="30" t="inlineStr">
        <is>
          <t>13829957</t>
        </is>
      </c>
      <c r="AZ149" s="30" t="n">
        <v>1</v>
      </c>
      <c r="BA149" s="30" t="inlineStr">
        <is>
          <t>ALT_VALUE:R$3.849.447,97 ALT_VALUE:R$30.341,52 ROWS:p10r10 UNRECONCILED_SOURCE VALUE_COL:2ª_Lista</t>
        </is>
      </c>
    </row>
    <row r="150">
      <c r="A150" s="16" t="inlineStr">
        <is>
          <t>COOPERATIVA AGROINDUSTRIAL TRADICAO</t>
        </is>
      </c>
      <c r="B150" s="17" t="n">
        <v>979566</v>
      </c>
      <c r="C150" s="18" t="inlineStr">
        <is>
          <t>SUINOCULTURA KUNZLER</t>
        </is>
      </c>
      <c r="D150" s="19" t="inlineStr">
        <is>
          <t>NEW</t>
        </is>
      </c>
      <c r="E150" s="20" t="inlineStr"/>
      <c r="F150" s="19" t="inlineStr"/>
      <c r="G150" s="20" t="inlineStr"/>
      <c r="H150" s="19" t="inlineStr"/>
      <c r="I150" s="21" t="inlineStr">
        <is>
          <t>FERNANDO ALAN TONUS</t>
        </is>
      </c>
      <c r="J150" s="21" t="inlineStr">
        <is>
          <t>Presidente (RFB partner)</t>
        </is>
      </c>
      <c r="K150" s="21" t="inlineStr">
        <is>
          <t>(46) 3220-2000</t>
        </is>
      </c>
      <c r="L150" s="21" t="inlineStr"/>
      <c r="M150" s="21" t="inlineStr"/>
      <c r="N150" s="21" t="inlineStr"/>
      <c r="O150" s="21" t="inlineStr"/>
      <c r="P150" s="21" t="inlineStr">
        <is>
          <t>ADEMIR BEDIN</t>
        </is>
      </c>
      <c r="Q150" s="21" t="inlineStr">
        <is>
          <t>Diretor (RFB partner)</t>
        </is>
      </c>
      <c r="R150" s="21" t="inlineStr"/>
      <c r="S150" s="21" t="inlineStr"/>
      <c r="T150" s="21" t="inlineStr">
        <is>
          <t>RFB partner (QSA); no Apollo match</t>
        </is>
      </c>
      <c r="U150" s="22" t="n">
        <v>979566</v>
      </c>
      <c r="V150" s="23" t="inlineStr">
        <is>
          <t>B</t>
        </is>
      </c>
      <c r="W150" s="24">
        <f>IFERROR(VLOOKUP(V150,Assumptions!$A$7:$F$11,2,FALSE),0)</f>
        <v/>
      </c>
      <c r="X150" s="25">
        <f>IF(V150="A",MAX(1,IFERROR(VLOOKUP(V150,Assumptions!$A$7:$F$11,3,FALSE),3)+IFERROR(VLOOKUP(V150,Assumptions!$A$7:$F$11,4,FALSE),8)/2-MAX(0,IF(AO150="",0,YEAR(TODAY())-AO150)-IFERROR(VLOOKUP(V150,Assumptions!$A$7:$F$11,5,FALSE),1.5))),IFERROR(VLOOKUP(V150,Assumptions!$A$7:$F$11,5,FALSE),2.5)+IFERROR(VLOOKUP(V150,Assumptions!$A$7:$F$11,3,FALSE),3)+IFERROR(VLOOKUP(V150,Assumptions!$A$7:$F$11,4,FALSE),8)/2)</f>
        <v/>
      </c>
      <c r="Y150" s="22">
        <f>U150*W150/(1+Assumptions!$B$3)^X150</f>
        <v/>
      </c>
      <c r="Z150" s="26">
        <f>IF(U150=0,"",ROUND(Y150/U150*100,1))</f>
        <v/>
      </c>
      <c r="AA150" s="27">
        <f>Y150*Assumptions!$B$4</f>
        <v/>
      </c>
      <c r="AB150" s="26">
        <f>IF(U150=0,"",ROUND(AA150/U150*100,1))</f>
        <v/>
      </c>
      <c r="AC150" s="27">
        <f>Y150-AA150</f>
        <v/>
      </c>
      <c r="AD150" s="26">
        <f>IF(U150=0,"",ROUND((Y150-AA150)/U150*100,1))</f>
        <v/>
      </c>
      <c r="AE150" s="33" t="inlineStr">
        <is>
          <t>NO TOTALS — list prints none; check page</t>
        </is>
      </c>
      <c r="AF150" s="29" t="inlineStr">
        <is>
          <t>https://rlg-aj.com.br/wp-content/uploads/2024/11/07.-Relação-de-credores.pdf</t>
        </is>
      </c>
      <c r="AG150" s="28" t="inlineStr">
        <is>
          <t>p1 r28</t>
        </is>
      </c>
      <c r="AH150" s="28" t="inlineStr">
        <is>
          <t>p1: R$ 979.566,00</t>
        </is>
      </c>
      <c r="AI150" s="28" t="inlineStr">
        <is>
          <t>Unclassified list</t>
        </is>
      </c>
      <c r="AJ150" s="28" t="inlineStr"/>
      <c r="AK150" s="28" t="inlineStr">
        <is>
          <t>NONE FOUND</t>
        </is>
      </c>
      <c r="AL150" s="30" t="inlineStr">
        <is>
          <t>5009149-92.2024.8.24.0019</t>
        </is>
      </c>
      <c r="AM150" s="30" t="inlineStr">
        <is>
          <t>TJSC</t>
        </is>
      </c>
      <c r="AN150" s="30" t="inlineStr">
        <is>
          <t>ACTIVE</t>
        </is>
      </c>
      <c r="AO150" s="30" t="n">
        <v>2024</v>
      </c>
      <c r="AP150" s="30" t="inlineStr">
        <is>
          <t>live case, no plan document yet</t>
        </is>
      </c>
      <c r="AQ150" s="30" t="inlineStr">
        <is>
          <t>55.365.447/0001-56</t>
        </is>
      </c>
      <c r="AR150" s="30" t="inlineStr">
        <is>
          <t>printed on the list (read twice)</t>
        </is>
      </c>
      <c r="AS150" s="30" t="inlineStr">
        <is>
          <t>PATO BRANCO</t>
        </is>
      </c>
      <c r="AT150" s="30" t="inlineStr">
        <is>
          <t>PR</t>
        </is>
      </c>
      <c r="AU150" s="30" t="inlineStr">
        <is>
          <t>Comércio atacadista de defensivos agrícolas, adubos, fertilizantes e corretivos do solo</t>
        </is>
      </c>
      <c r="AV150" s="30" t="inlineStr">
        <is>
          <t>DEMAIS</t>
        </is>
      </c>
      <c r="AW150" s="31" t="inlineStr"/>
      <c r="AX150" s="30" t="inlineStr">
        <is>
          <t>MID-MARKET</t>
        </is>
      </c>
      <c r="AY150" s="30" t="inlineStr">
        <is>
          <t>05528196</t>
        </is>
      </c>
      <c r="AZ150" s="30" t="n">
        <v>1</v>
      </c>
      <c r="BA150" s="30" t="inlineStr">
        <is>
          <t>ROWS:p1r28 UNRECONCILED_SOURCE</t>
        </is>
      </c>
    </row>
    <row r="151">
      <c r="A151" s="16" t="inlineStr">
        <is>
          <t>GSV MONTAGENS INDUSTRIAIS LTDA</t>
        </is>
      </c>
      <c r="B151" s="17" t="n">
        <v>525000</v>
      </c>
      <c r="C151" s="18" t="inlineStr">
        <is>
          <t>GRUPO 3E</t>
        </is>
      </c>
      <c r="D151" s="19" t="inlineStr">
        <is>
          <t>NEW</t>
        </is>
      </c>
      <c r="E151" s="20" t="inlineStr"/>
      <c r="F151" s="19" t="inlineStr"/>
      <c r="G151" s="20" t="inlineStr"/>
      <c r="H151" s="19" t="inlineStr"/>
      <c r="I151" s="21" t="inlineStr">
        <is>
          <t>LUIZ CARLOS PEREIRA SANTANA</t>
        </is>
      </c>
      <c r="J151" s="21" t="inlineStr">
        <is>
          <t>Sócio-Administrador (RFB partner)</t>
        </is>
      </c>
      <c r="K151" s="21" t="inlineStr">
        <is>
          <t>(62) 3353-6092</t>
        </is>
      </c>
      <c r="L151" s="21" t="inlineStr"/>
      <c r="M151" s="21" t="inlineStr"/>
      <c r="N151" s="21" t="inlineStr"/>
      <c r="O151" s="21" t="inlineStr"/>
      <c r="P151" s="21" t="inlineStr">
        <is>
          <t>VANDERLEI VIEIRA DA FONSECA</t>
        </is>
      </c>
      <c r="Q151" s="21" t="inlineStr">
        <is>
          <t>Sócio-Administrador (RFB partner)</t>
        </is>
      </c>
      <c r="R151" s="21" t="inlineStr"/>
      <c r="S151" s="21" t="inlineStr"/>
      <c r="T151" s="21" t="inlineStr">
        <is>
          <t>RFB partner (QSA); no Apollo match</t>
        </is>
      </c>
      <c r="U151" s="22" t="n">
        <v>525000</v>
      </c>
      <c r="V151" s="35" t="inlineStr">
        <is>
          <t>A</t>
        </is>
      </c>
      <c r="W151" s="24">
        <f>IFERROR(VLOOKUP(V151,Assumptions!$A$7:$F$11,2,FALSE),0)</f>
        <v/>
      </c>
      <c r="X151" s="25">
        <f>IF(V151="A",MAX(1,IFERROR(VLOOKUP(V151,Assumptions!$A$7:$F$11,3,FALSE),3)+IFERROR(VLOOKUP(V151,Assumptions!$A$7:$F$11,4,FALSE),8)/2-MAX(0,IF(AO151="",0,YEAR(TODAY())-AO151)-IFERROR(VLOOKUP(V151,Assumptions!$A$7:$F$11,5,FALSE),1.5))),IFERROR(VLOOKUP(V151,Assumptions!$A$7:$F$11,5,FALSE),2.5)+IFERROR(VLOOKUP(V151,Assumptions!$A$7:$F$11,3,FALSE),3)+IFERROR(VLOOKUP(V151,Assumptions!$A$7:$F$11,4,FALSE),8)/2)</f>
        <v/>
      </c>
      <c r="Y151" s="22">
        <f>U151*W151/(1+Assumptions!$B$3)^X151</f>
        <v/>
      </c>
      <c r="Z151" s="26">
        <f>IF(U151=0,"",ROUND(Y151/U151*100,1))</f>
        <v/>
      </c>
      <c r="AA151" s="27">
        <f>Y151*Assumptions!$B$4</f>
        <v/>
      </c>
      <c r="AB151" s="26">
        <f>IF(U151=0,"",ROUND(AA151/U151*100,1))</f>
        <v/>
      </c>
      <c r="AC151" s="27">
        <f>Y151-AA151</f>
        <v/>
      </c>
      <c r="AD151" s="26">
        <f>IF(U151=0,"",ROUND((Y151-AA151)/U151*100,1))</f>
        <v/>
      </c>
      <c r="AE151" s="33" t="inlineStr">
        <is>
          <t>NO TOTALS — list prints none; check page</t>
        </is>
      </c>
      <c r="AF151" s="29" t="inlineStr">
        <is>
          <t>https://stenius.com.br/wp-content/uploads/2026/06/EDITAL-GRUPO-3E.pdf</t>
        </is>
      </c>
      <c r="AG151" s="28" t="inlineStr">
        <is>
          <t>p14 r22</t>
        </is>
      </c>
      <c r="AH151" s="28" t="inlineStr">
        <is>
          <t>p14: R$ 525.000,00</t>
        </is>
      </c>
      <c r="AI151" s="28" t="inlineStr">
        <is>
          <t>Debtor list (art. 51)</t>
        </is>
      </c>
      <c r="AJ151" s="28" t="inlineStr">
        <is>
          <t>2026-06-22</t>
        </is>
      </c>
      <c r="AK151" s="28" t="inlineStr">
        <is>
          <t>PLAN DOC FOUND</t>
        </is>
      </c>
      <c r="AL151" s="30" t="inlineStr">
        <is>
          <t>5341375-33.2026.8.09.0049</t>
        </is>
      </c>
      <c r="AM151" s="30" t="inlineStr">
        <is>
          <t>TJGO</t>
        </is>
      </c>
      <c r="AN151" s="30" t="inlineStr">
        <is>
          <t>ACTIVE</t>
        </is>
      </c>
      <c r="AO151" s="30" t="n">
        <v>2026</v>
      </c>
      <c r="AP151" s="30" t="inlineStr">
        <is>
          <t>plan/homologation document found</t>
        </is>
      </c>
      <c r="AQ151" s="30" t="inlineStr"/>
      <c r="AR151" s="30" t="inlineStr">
        <is>
          <t>printed on the list (read twice)</t>
        </is>
      </c>
      <c r="AS151" s="30" t="inlineStr">
        <is>
          <t>GOIANESIA</t>
        </is>
      </c>
      <c r="AT151" s="30" t="inlineStr">
        <is>
          <t>GO</t>
        </is>
      </c>
      <c r="AU151" s="30" t="inlineStr">
        <is>
          <t>Fabricação de estruturas metálicas</t>
        </is>
      </c>
      <c r="AV151" s="30" t="inlineStr">
        <is>
          <t>DEMAIS</t>
        </is>
      </c>
      <c r="AW151" s="31" t="n">
        <v>800000</v>
      </c>
      <c r="AX151" s="30" t="inlineStr">
        <is>
          <t>MID-MARKET</t>
        </is>
      </c>
      <c r="AY151" s="30" t="inlineStr">
        <is>
          <t>11225183</t>
        </is>
      </c>
      <c r="AZ151" s="30" t="n">
        <v>1</v>
      </c>
      <c r="BA151" s="30" t="inlineStr">
        <is>
          <t>ROWS:p14r22 UNRECONCILED_SOURCE</t>
        </is>
      </c>
    </row>
    <row r="152">
      <c r="A152" s="16" t="inlineStr">
        <is>
          <t>MINERAX - MINERACAO XAMBIOA LTDA</t>
        </is>
      </c>
      <c r="B152" s="17" t="n">
        <v>962991.9</v>
      </c>
      <c r="C152" s="18" t="inlineStr">
        <is>
          <t>SOJAL COMERCIAL AGRICOLA LTDA e OUTROS</t>
        </is>
      </c>
      <c r="D152" s="19" t="inlineStr">
        <is>
          <t>NEW</t>
        </is>
      </c>
      <c r="E152" s="20" t="inlineStr"/>
      <c r="F152" s="19" t="inlineStr"/>
      <c r="G152" s="20" t="inlineStr"/>
      <c r="H152" s="19" t="inlineStr"/>
      <c r="I152" s="21" t="inlineStr">
        <is>
          <t>FRANCISCO MIGUEL HENDGES</t>
        </is>
      </c>
      <c r="J152" s="21" t="inlineStr">
        <is>
          <t>Administrador (RFB partner)</t>
        </is>
      </c>
      <c r="K152" s="21" t="inlineStr">
        <is>
          <t>(63) 3415-8500</t>
        </is>
      </c>
      <c r="L152" s="21" t="inlineStr"/>
      <c r="M152" s="21" t="inlineStr"/>
      <c r="N152" s="21" t="inlineStr"/>
      <c r="O152" s="21" t="inlineStr"/>
      <c r="P152" s="21" t="inlineStr">
        <is>
          <t>JEREMIAS DEMITO</t>
        </is>
      </c>
      <c r="Q152" s="21" t="inlineStr">
        <is>
          <t>Administrador (RFB partner)</t>
        </is>
      </c>
      <c r="R152" s="21" t="inlineStr"/>
      <c r="S152" s="21" t="inlineStr"/>
      <c r="T152" s="21" t="inlineStr">
        <is>
          <t>RFB partner (QSA); no Apollo match</t>
        </is>
      </c>
      <c r="U152" s="22" t="n">
        <v>962991.9</v>
      </c>
      <c r="V152" s="23" t="inlineStr">
        <is>
          <t>B</t>
        </is>
      </c>
      <c r="W152" s="24">
        <f>IFERROR(VLOOKUP(V152,Assumptions!$A$7:$F$11,2,FALSE),0)</f>
        <v/>
      </c>
      <c r="X152" s="25">
        <f>IF(V152="A",MAX(1,IFERROR(VLOOKUP(V152,Assumptions!$A$7:$F$11,3,FALSE),3)+IFERROR(VLOOKUP(V152,Assumptions!$A$7:$F$11,4,FALSE),8)/2-MAX(0,IF(AO152="",0,YEAR(TODAY())-AO152)-IFERROR(VLOOKUP(V152,Assumptions!$A$7:$F$11,5,FALSE),1.5))),IFERROR(VLOOKUP(V152,Assumptions!$A$7:$F$11,5,FALSE),2.5)+IFERROR(VLOOKUP(V152,Assumptions!$A$7:$F$11,3,FALSE),3)+IFERROR(VLOOKUP(V152,Assumptions!$A$7:$F$11,4,FALSE),8)/2)</f>
        <v/>
      </c>
      <c r="Y152" s="22">
        <f>U152*W152/(1+Assumptions!$B$3)^X152</f>
        <v/>
      </c>
      <c r="Z152" s="26">
        <f>IF(U152=0,"",ROUND(Y152/U152*100,1))</f>
        <v/>
      </c>
      <c r="AA152" s="27">
        <f>Y152*Assumptions!$B$4</f>
        <v/>
      </c>
      <c r="AB152" s="26">
        <f>IF(U152=0,"",ROUND(AA152/U152*100,1))</f>
        <v/>
      </c>
      <c r="AC152" s="27">
        <f>Y152-AA152</f>
        <v/>
      </c>
      <c r="AD152" s="26">
        <f>IF(U152=0,"",ROUND((Y152-AA152)/U152*100,1))</f>
        <v/>
      </c>
      <c r="AE152" s="28" t="inlineStr">
        <is>
          <t>OK — totals reconciled</t>
        </is>
      </c>
      <c r="AF152" s="29" t="inlineStr">
        <is>
          <t>https://lrflideres.com.br/wp-content/plugins/download-attachments/includes/download.php?id=6879</t>
        </is>
      </c>
      <c r="AG152" s="28" t="inlineStr">
        <is>
          <t>p2 r4</t>
        </is>
      </c>
      <c r="AH152" s="28" t="inlineStr">
        <is>
          <t>p2: R$ 962.991,90</t>
        </is>
      </c>
      <c r="AI152" s="28" t="inlineStr">
        <is>
          <t>AJ list (art. 7 §2)</t>
        </is>
      </c>
      <c r="AJ152" s="28" t="inlineStr">
        <is>
          <t>2026-01-15</t>
        </is>
      </c>
      <c r="AK152" s="28" t="inlineStr">
        <is>
          <t>NONE FOUND</t>
        </is>
      </c>
      <c r="AL152" s="30" t="inlineStr">
        <is>
          <t>0804401-51.2025.8.14.0039</t>
        </is>
      </c>
      <c r="AM152" s="30" t="inlineStr">
        <is>
          <t>TJPA</t>
        </is>
      </c>
      <c r="AN152" s="30" t="inlineStr">
        <is>
          <t>ACTIVE</t>
        </is>
      </c>
      <c r="AO152" s="30" t="n">
        <v>2025</v>
      </c>
      <c r="AP152" s="30" t="inlineStr">
        <is>
          <t>live case, no plan document yet</t>
        </is>
      </c>
      <c r="AQ152" s="30" t="inlineStr">
        <is>
          <t>15.626.673/0003-90</t>
        </is>
      </c>
      <c r="AR152" s="30" t="inlineStr">
        <is>
          <t>printed on the list (read twice)</t>
        </is>
      </c>
      <c r="AS152" s="30" t="inlineStr">
        <is>
          <t>XAMBIOA</t>
        </is>
      </c>
      <c r="AT152" s="30" t="inlineStr">
        <is>
          <t>TO</t>
        </is>
      </c>
      <c r="AU152" s="30" t="inlineStr">
        <is>
          <t>Extração de calcário e dolomita e beneficiamento associado</t>
        </is>
      </c>
      <c r="AV152" s="30" t="inlineStr">
        <is>
          <t>DEMAIS</t>
        </is>
      </c>
      <c r="AW152" s="31" t="n">
        <v>6751122</v>
      </c>
      <c r="AX152" s="30" t="inlineStr">
        <is>
          <t>MID-MARKET</t>
        </is>
      </c>
      <c r="AY152" s="30" t="inlineStr">
        <is>
          <t>08886407</t>
        </is>
      </c>
      <c r="AZ152" s="30" t="n">
        <v>1</v>
      </c>
      <c r="BA152" s="30" t="inlineStr">
        <is>
          <t>ROWS:p2r4</t>
        </is>
      </c>
    </row>
    <row r="153">
      <c r="A153" s="16" t="inlineStr">
        <is>
          <t>PILLARES PROJETOS E CONSTRUCOES LTDA</t>
        </is>
      </c>
      <c r="B153" s="17" t="n">
        <v>950000</v>
      </c>
      <c r="C153" s="18" t="inlineStr">
        <is>
          <t>GRUPO CASAS BAHIA S.A.</t>
        </is>
      </c>
      <c r="D153" s="19" t="inlineStr">
        <is>
          <t>NEW</t>
        </is>
      </c>
      <c r="E153" s="20" t="inlineStr"/>
      <c r="F153" s="19" t="inlineStr"/>
      <c r="G153" s="20" t="inlineStr"/>
      <c r="H153" s="19" t="inlineStr"/>
      <c r="I153" s="21" t="inlineStr">
        <is>
          <t>MARLENE MARIA PALUDO GOEDERT</t>
        </is>
      </c>
      <c r="J153" s="21" t="inlineStr">
        <is>
          <t>Sócio-Administrador (RFB partner)</t>
        </is>
      </c>
      <c r="K153" s="21" t="inlineStr">
        <is>
          <t>(49) 3441-0655</t>
        </is>
      </c>
      <c r="L153" s="21" t="inlineStr"/>
      <c r="M153" s="21" t="inlineStr"/>
      <c r="N153" s="21" t="inlineStr"/>
      <c r="O153" s="21" t="inlineStr"/>
      <c r="P153" s="21" t="inlineStr">
        <is>
          <t>NADIR MATTIELLO</t>
        </is>
      </c>
      <c r="Q153" s="21" t="inlineStr">
        <is>
          <t>Sócio-Administrador (RFB partner)</t>
        </is>
      </c>
      <c r="R153" s="21" t="inlineStr"/>
      <c r="S153" s="21" t="inlineStr"/>
      <c r="T153" s="21" t="inlineStr">
        <is>
          <t>RFB partner (QSA); no Apollo match</t>
        </is>
      </c>
      <c r="U153" s="22" t="n">
        <v>950000</v>
      </c>
      <c r="V153" s="23" t="inlineStr">
        <is>
          <t>B</t>
        </is>
      </c>
      <c r="W153" s="24">
        <f>IFERROR(VLOOKUP(V153,Assumptions!$A$7:$F$11,2,FALSE),0)</f>
        <v/>
      </c>
      <c r="X153" s="25">
        <f>IF(V153="A",MAX(1,IFERROR(VLOOKUP(V153,Assumptions!$A$7:$F$11,3,FALSE),3)+IFERROR(VLOOKUP(V153,Assumptions!$A$7:$F$11,4,FALSE),8)/2-MAX(0,IF(AO153="",0,YEAR(TODAY())-AO153)-IFERROR(VLOOKUP(V153,Assumptions!$A$7:$F$11,5,FALSE),1.5))),IFERROR(VLOOKUP(V153,Assumptions!$A$7:$F$11,5,FALSE),2.5)+IFERROR(VLOOKUP(V153,Assumptions!$A$7:$F$11,3,FALSE),3)+IFERROR(VLOOKUP(V153,Assumptions!$A$7:$F$11,4,FALSE),8)/2)</f>
        <v/>
      </c>
      <c r="Y153" s="22">
        <f>U153*W153/(1+Assumptions!$B$3)^X153</f>
        <v/>
      </c>
      <c r="Z153" s="26">
        <f>IF(U153=0,"",ROUND(Y153/U153*100,1))</f>
        <v/>
      </c>
      <c r="AA153" s="27">
        <f>Y153*Assumptions!$B$4</f>
        <v/>
      </c>
      <c r="AB153" s="26">
        <f>IF(U153=0,"",ROUND(AA153/U153*100,1))</f>
        <v/>
      </c>
      <c r="AC153" s="27">
        <f>Y153-AA153</f>
        <v/>
      </c>
      <c r="AD153" s="26">
        <f>IF(U153=0,"",ROUND((Y153-AA153)/U153*100,1))</f>
        <v/>
      </c>
      <c r="AE153" s="33" t="inlineStr">
        <is>
          <t>NO TOTALS — list prints none; check page</t>
        </is>
      </c>
      <c r="AF153" s="29" t="inlineStr">
        <is>
          <t>https://scalzilliaj.com.br/sgc/download.php?file=files/processo_documento/processo_documento15180810062026_1_.pdf&amp;nome=10 - Relação de credores do art. 7º, §2º, da Lei 11.101/2005</t>
        </is>
      </c>
      <c r="AG153" s="28" t="inlineStr">
        <is>
          <t>p2 r21</t>
        </is>
      </c>
      <c r="AH153" s="28" t="inlineStr">
        <is>
          <t>p2: R$ 950.000,00</t>
        </is>
      </c>
      <c r="AI153" s="28" t="inlineStr">
        <is>
          <t>AJ list (art. 7 §2)</t>
        </is>
      </c>
      <c r="AJ153" s="28" t="inlineStr"/>
      <c r="AK153" s="28" t="inlineStr">
        <is>
          <t>NONE FOUND</t>
        </is>
      </c>
      <c r="AL153" s="30" t="inlineStr">
        <is>
          <t>5009529-81.2025.8.24.0019</t>
        </is>
      </c>
      <c r="AM153" s="30" t="inlineStr">
        <is>
          <t>TJSC</t>
        </is>
      </c>
      <c r="AN153" s="30" t="inlineStr"/>
      <c r="AO153" s="30" t="n">
        <v>2025</v>
      </c>
      <c r="AP153" s="30" t="inlineStr">
        <is>
          <t>live case, no plan document yet</t>
        </is>
      </c>
      <c r="AQ153" s="30" t="inlineStr">
        <is>
          <t>33.041.260/0652-90</t>
        </is>
      </c>
      <c r="AR153" s="30" t="inlineStr">
        <is>
          <t>registry (RFB) match</t>
        </is>
      </c>
      <c r="AS153" s="30" t="inlineStr">
        <is>
          <t>CONCORDIA</t>
        </is>
      </c>
      <c r="AT153" s="30" t="inlineStr">
        <is>
          <t>SC</t>
        </is>
      </c>
      <c r="AU153" s="30" t="inlineStr">
        <is>
          <t>Construção de edifícios</t>
        </is>
      </c>
      <c r="AV153" s="30" t="inlineStr">
        <is>
          <t>DEMAIS</t>
        </is>
      </c>
      <c r="AW153" s="31" t="n">
        <v>386000</v>
      </c>
      <c r="AX153" s="30" t="inlineStr">
        <is>
          <t>MID-MARKET</t>
        </is>
      </c>
      <c r="AY153" s="30" t="inlineStr">
        <is>
          <t>83195628</t>
        </is>
      </c>
      <c r="AZ153" s="30" t="n">
        <v>1</v>
      </c>
      <c r="BA153" s="30" t="inlineStr">
        <is>
          <t>ROWS:p2r21 UNRECONCILED_SOURCE</t>
        </is>
      </c>
    </row>
    <row r="154">
      <c r="A154" s="16" t="inlineStr">
        <is>
          <t>MIRANTE DISTRIBUIDORA E COMERCIO LTDA</t>
        </is>
      </c>
      <c r="B154" s="17" t="n">
        <v>949499.8</v>
      </c>
      <c r="C154" s="18" t="inlineStr">
        <is>
          <t>Grupo Battisti</t>
        </is>
      </c>
      <c r="D154" s="19" t="inlineStr">
        <is>
          <t>NEW</t>
        </is>
      </c>
      <c r="E154" s="20" t="inlineStr"/>
      <c r="F154" s="19" t="inlineStr"/>
      <c r="G154" s="20" t="inlineStr"/>
      <c r="H154" s="19" t="inlineStr"/>
      <c r="I154" s="21" t="inlineStr">
        <is>
          <t>Tiago Carneiro</t>
        </is>
      </c>
      <c r="J154" s="21" t="inlineStr">
        <is>
          <t>Commercial Director</t>
        </is>
      </c>
      <c r="K154" s="21" t="inlineStr">
        <is>
          <t>(45) 3224-2262</t>
        </is>
      </c>
      <c r="L154" s="21" t="inlineStr"/>
      <c r="M154" s="21" t="inlineStr"/>
      <c r="N154" s="21" t="inlineStr">
        <is>
          <t>tiago@mirantedistribuidora.com.br</t>
        </is>
      </c>
      <c r="O154" s="21" t="inlineStr">
        <is>
          <t>raphael@mirantedistribuidora.com.br</t>
        </is>
      </c>
      <c r="P154" s="21" t="inlineStr">
        <is>
          <t>Raphael Karvat</t>
        </is>
      </c>
      <c r="Q154" s="21" t="inlineStr">
        <is>
          <t>Commercial Manager</t>
        </is>
      </c>
      <c r="R154" s="21" t="inlineStr"/>
      <c r="S154" s="21" t="inlineStr">
        <is>
          <t>raphael@mirantedistribuidora.com.br</t>
        </is>
      </c>
      <c r="T154" s="21" t="inlineStr">
        <is>
          <t>email verified by Apollo</t>
        </is>
      </c>
      <c r="U154" s="22" t="n">
        <v>949499.8</v>
      </c>
      <c r="V154" s="23" t="inlineStr">
        <is>
          <t>B</t>
        </is>
      </c>
      <c r="W154" s="24">
        <f>IFERROR(VLOOKUP(V154,Assumptions!$A$7:$F$11,2,FALSE),0)</f>
        <v/>
      </c>
      <c r="X154" s="25">
        <f>IF(V154="A",MAX(1,IFERROR(VLOOKUP(V154,Assumptions!$A$7:$F$11,3,FALSE),3)+IFERROR(VLOOKUP(V154,Assumptions!$A$7:$F$11,4,FALSE),8)/2-MAX(0,IF(AO154="",0,YEAR(TODAY())-AO154)-IFERROR(VLOOKUP(V154,Assumptions!$A$7:$F$11,5,FALSE),1.5))),IFERROR(VLOOKUP(V154,Assumptions!$A$7:$F$11,5,FALSE),2.5)+IFERROR(VLOOKUP(V154,Assumptions!$A$7:$F$11,3,FALSE),3)+IFERROR(VLOOKUP(V154,Assumptions!$A$7:$F$11,4,FALSE),8)/2)</f>
        <v/>
      </c>
      <c r="Y154" s="22">
        <f>U154*W154/(1+Assumptions!$B$3)^X154</f>
        <v/>
      </c>
      <c r="Z154" s="26">
        <f>IF(U154=0,"",ROUND(Y154/U154*100,1))</f>
        <v/>
      </c>
      <c r="AA154" s="27">
        <f>Y154*Assumptions!$B$4</f>
        <v/>
      </c>
      <c r="AB154" s="26">
        <f>IF(U154=0,"",ROUND(AA154/U154*100,1))</f>
        <v/>
      </c>
      <c r="AC154" s="27">
        <f>Y154-AA154</f>
        <v/>
      </c>
      <c r="AD154" s="26">
        <f>IF(U154=0,"",ROUND((Y154-AA154)/U154*100,1))</f>
        <v/>
      </c>
      <c r="AE154" s="33" t="inlineStr">
        <is>
          <t>NO TOTALS — list prints none; check page</t>
        </is>
      </c>
      <c r="AF154" s="29" t="inlineStr">
        <is>
          <t>https://marquesadmjudicial.com.br/sgc/download.php?file=files/processo_documento/processo_documento10074612042024_1_.pdf&amp;nome=2º Edital-Relação de Credores AJ e PRJ</t>
        </is>
      </c>
      <c r="AG154" s="28" t="inlineStr">
        <is>
          <t>p1 r23</t>
        </is>
      </c>
      <c r="AH154" s="28" t="inlineStr">
        <is>
          <t>p1: R$ 949.499,80</t>
        </is>
      </c>
      <c r="AI154" s="28" t="inlineStr">
        <is>
          <t>AJ list (art. 7 §2)</t>
        </is>
      </c>
      <c r="AJ154" s="28" t="inlineStr">
        <is>
          <t>2024-01-12</t>
        </is>
      </c>
      <c r="AK154" s="28" t="inlineStr">
        <is>
          <t>NONE FOUND</t>
        </is>
      </c>
      <c r="AL154" s="30" t="inlineStr">
        <is>
          <t>0000357-17.2024.8.16.0131</t>
        </is>
      </c>
      <c r="AM154" s="30" t="inlineStr">
        <is>
          <t>TJPR</t>
        </is>
      </c>
      <c r="AN154" s="30" t="inlineStr">
        <is>
          <t>ACTIVE</t>
        </is>
      </c>
      <c r="AO154" s="30" t="n">
        <v>2024</v>
      </c>
      <c r="AP154" s="30" t="inlineStr">
        <is>
          <t>live case, no plan document yet</t>
        </is>
      </c>
      <c r="AQ154" s="30" t="inlineStr">
        <is>
          <t>12.433.661/0001-90</t>
        </is>
      </c>
      <c r="AR154" s="30" t="inlineStr">
        <is>
          <t>printed on the list (read twice)</t>
        </is>
      </c>
      <c r="AS154" s="30" t="inlineStr">
        <is>
          <t>CASCAVEL</t>
        </is>
      </c>
      <c r="AT154" s="30" t="inlineStr">
        <is>
          <t>PR</t>
        </is>
      </c>
      <c r="AU154" s="30" t="inlineStr">
        <is>
          <t>Comércio atacadista de produtos de higiene, limpeza e conservação domiciliar</t>
        </is>
      </c>
      <c r="AV154" s="30" t="inlineStr">
        <is>
          <t>DEMAIS</t>
        </is>
      </c>
      <c r="AW154" s="31" t="n">
        <v>400658</v>
      </c>
      <c r="AX154" s="30" t="inlineStr">
        <is>
          <t>MID-MARKET</t>
        </is>
      </c>
      <c r="AY154" s="30" t="inlineStr">
        <is>
          <t>82683376</t>
        </is>
      </c>
      <c r="AZ154" s="30" t="n">
        <v>1</v>
      </c>
      <c r="BA154" s="30" t="inlineStr">
        <is>
          <t>MULTI_ROOT ROWS:p1r23 UNRECONCILED_SOURCE</t>
        </is>
      </c>
    </row>
    <row r="155">
      <c r="A155" s="16" t="inlineStr">
        <is>
          <t>NUTRIEN SOLUCOES AGRICOLAS LTDA</t>
        </is>
      </c>
      <c r="B155" s="17" t="n">
        <v>944000</v>
      </c>
      <c r="C155" s="37" t="inlineStr">
        <is>
          <t>(debtor not identified — see proof)</t>
        </is>
      </c>
      <c r="D155" s="19" t="inlineStr">
        <is>
          <t>NEW</t>
        </is>
      </c>
      <c r="E155" s="20" t="inlineStr"/>
      <c r="F155" s="19" t="inlineStr"/>
      <c r="G155" s="20" t="inlineStr"/>
      <c r="H155" s="19" t="inlineStr"/>
      <c r="I155" s="21" t="inlineStr">
        <is>
          <t>Thiago Costa</t>
        </is>
      </c>
      <c r="J155" s="21" t="inlineStr">
        <is>
          <t>Gerente Contas a Receber e Centro de Serviços Compartilhados</t>
        </is>
      </c>
      <c r="K155" s="21" t="inlineStr">
        <is>
          <t>(11) 5400-0021</t>
        </is>
      </c>
      <c r="L155" s="21" t="inlineStr"/>
      <c r="M155" s="21" t="inlineStr"/>
      <c r="N155" s="21" t="inlineStr">
        <is>
          <t>thiago.costa@nutrien.com</t>
        </is>
      </c>
      <c r="O155" s="21" t="inlineStr">
        <is>
          <t>emerson.freitas@nutrien.com</t>
        </is>
      </c>
      <c r="P155" s="21" t="inlineStr">
        <is>
          <t>Emerson Freitas</t>
        </is>
      </c>
      <c r="Q155" s="21" t="inlineStr">
        <is>
          <t>Gerente de Tesouraria | Tesouraria Estratégica</t>
        </is>
      </c>
      <c r="R155" s="21" t="inlineStr"/>
      <c r="S155" s="21" t="inlineStr">
        <is>
          <t>emerson.freitas@nutrien.com</t>
        </is>
      </c>
      <c r="T155" s="21" t="inlineStr">
        <is>
          <t>email verified by Apollo</t>
        </is>
      </c>
      <c r="U155" s="22" t="n">
        <v>944000</v>
      </c>
      <c r="V155" s="23" t="inlineStr">
        <is>
          <t>B</t>
        </is>
      </c>
      <c r="W155" s="24">
        <f>IFERROR(VLOOKUP(V155,Assumptions!$A$7:$F$11,2,FALSE),0)</f>
        <v/>
      </c>
      <c r="X155" s="25">
        <f>IF(V155="A",MAX(1,IFERROR(VLOOKUP(V155,Assumptions!$A$7:$F$11,3,FALSE),3)+IFERROR(VLOOKUP(V155,Assumptions!$A$7:$F$11,4,FALSE),8)/2-MAX(0,IF(AO155="",0,YEAR(TODAY())-AO155)-IFERROR(VLOOKUP(V155,Assumptions!$A$7:$F$11,5,FALSE),1.5))),IFERROR(VLOOKUP(V155,Assumptions!$A$7:$F$11,5,FALSE),2.5)+IFERROR(VLOOKUP(V155,Assumptions!$A$7:$F$11,3,FALSE),3)+IFERROR(VLOOKUP(V155,Assumptions!$A$7:$F$11,4,FALSE),8)/2)</f>
        <v/>
      </c>
      <c r="Y155" s="22">
        <f>U155*W155/(1+Assumptions!$B$3)^X155</f>
        <v/>
      </c>
      <c r="Z155" s="26">
        <f>IF(U155=0,"",ROUND(Y155/U155*100,1))</f>
        <v/>
      </c>
      <c r="AA155" s="27">
        <f>Y155*Assumptions!$B$4</f>
        <v/>
      </c>
      <c r="AB155" s="26">
        <f>IF(U155=0,"",ROUND(AA155/U155*100,1))</f>
        <v/>
      </c>
      <c r="AC155" s="27">
        <f>Y155-AA155</f>
        <v/>
      </c>
      <c r="AD155" s="26">
        <f>IF(U155=0,"",ROUND((Y155-AA155)/U155*100,1))</f>
        <v/>
      </c>
      <c r="AE155" s="33" t="inlineStr">
        <is>
          <t>NO TOTALS — list prints none; check page</t>
        </is>
      </c>
      <c r="AF155" s="29" t="inlineStr">
        <is>
          <t>https://scalzilliaj.com.br/sgc/download.php?file=files/processo_documento/processo_documento11421222052026_1_.pdf&amp;nome=08. Lista de credores do edital do art. 52, §1º da LREF</t>
        </is>
      </c>
      <c r="AG155" s="28" t="inlineStr">
        <is>
          <t>p4 r4</t>
        </is>
      </c>
      <c r="AH155" s="28" t="inlineStr">
        <is>
          <t>p4: R$ 944.000,00</t>
        </is>
      </c>
      <c r="AI155" s="28" t="inlineStr">
        <is>
          <t>Unclassified list</t>
        </is>
      </c>
      <c r="AJ155" s="28" t="inlineStr"/>
      <c r="AK155" s="28" t="inlineStr">
        <is>
          <t>NONE FOUND</t>
        </is>
      </c>
      <c r="AL155" s="30" t="inlineStr">
        <is>
          <t>5011369-81.2026.8.09.0093</t>
        </is>
      </c>
      <c r="AM155" s="30" t="inlineStr">
        <is>
          <t>TJGO</t>
        </is>
      </c>
      <c r="AN155" s="30" t="inlineStr">
        <is>
          <t>ACTIVE</t>
        </is>
      </c>
      <c r="AO155" s="30" t="n">
        <v>2026</v>
      </c>
      <c r="AP155" s="30" t="inlineStr">
        <is>
          <t>live case, no plan document yet</t>
        </is>
      </c>
      <c r="AQ155" s="30" t="inlineStr"/>
      <c r="AR155" s="30" t="inlineStr">
        <is>
          <t>not identified</t>
        </is>
      </c>
      <c r="AS155" s="30" t="inlineStr">
        <is>
          <t>SAO PAULO</t>
        </is>
      </c>
      <c r="AT155" s="30" t="inlineStr">
        <is>
          <t>SP</t>
        </is>
      </c>
      <c r="AU155" s="30" t="inlineStr">
        <is>
          <t>Comércio atacadista de defensivos agrícolas, adubos, fertilizantes e corretivos do solo</t>
        </is>
      </c>
      <c r="AV155" s="30" t="inlineStr">
        <is>
          <t>DEMAIS</t>
        </is>
      </c>
      <c r="AW155" s="31" t="n">
        <v>12060844000</v>
      </c>
      <c r="AX155" s="30" t="inlineStr">
        <is>
          <t>LARGE CORP</t>
        </is>
      </c>
      <c r="AY155" s="30" t="inlineStr">
        <is>
          <t>88305859</t>
        </is>
      </c>
      <c r="AZ155" s="30" t="n">
        <v>1</v>
      </c>
      <c r="BA155" s="30" t="inlineStr">
        <is>
          <t>ROWS:p4r4 UNRECONCILED_SOURCE</t>
        </is>
      </c>
    </row>
    <row r="156">
      <c r="A156" s="16" t="inlineStr">
        <is>
          <t>CREATIVE PROPAGANDA E MARKETING LTDA</t>
        </is>
      </c>
      <c r="B156" s="17" t="n">
        <v>935547.55</v>
      </c>
      <c r="C156" s="18" t="inlineStr">
        <is>
          <t>CLUBE NÁUTICO CAPIBARIBE</t>
        </is>
      </c>
      <c r="D156" s="19" t="inlineStr">
        <is>
          <t>NEW</t>
        </is>
      </c>
      <c r="E156" s="20" t="inlineStr"/>
      <c r="F156" s="19" t="inlineStr"/>
      <c r="G156" s="20" t="inlineStr"/>
      <c r="H156" s="19" t="inlineStr"/>
      <c r="I156" s="21" t="inlineStr">
        <is>
          <t>Sergio Nhuch</t>
        </is>
      </c>
      <c r="J156" s="21" t="inlineStr">
        <is>
          <t>Business Consultant</t>
        </is>
      </c>
      <c r="K156" s="21" t="inlineStr">
        <is>
          <t>(21) 3295-8800</t>
        </is>
      </c>
      <c r="L156" s="21" t="inlineStr">
        <is>
          <t>(21) 3295-2454</t>
        </is>
      </c>
      <c r="M156" s="21" t="inlineStr"/>
      <c r="N156" s="21" t="inlineStr"/>
      <c r="O156" s="21" t="inlineStr"/>
      <c r="P156" s="21" t="inlineStr"/>
      <c r="Q156" s="21" t="inlineStr"/>
      <c r="R156" s="21" t="inlineStr"/>
      <c r="S156" s="21" t="inlineStr"/>
      <c r="T156" s="21" t="inlineStr">
        <is>
          <t>no work email found in Apollo</t>
        </is>
      </c>
      <c r="U156" s="22" t="n">
        <v>935547.55</v>
      </c>
      <c r="V156" s="23" t="inlineStr">
        <is>
          <t>B</t>
        </is>
      </c>
      <c r="W156" s="24">
        <f>IFERROR(VLOOKUP(V156,Assumptions!$A$7:$F$11,2,FALSE),0)</f>
        <v/>
      </c>
      <c r="X156" s="25">
        <f>IF(V156="A",MAX(1,IFERROR(VLOOKUP(V156,Assumptions!$A$7:$F$11,3,FALSE),3)+IFERROR(VLOOKUP(V156,Assumptions!$A$7:$F$11,4,FALSE),8)/2-MAX(0,IF(AO156="",0,YEAR(TODAY())-AO156)-IFERROR(VLOOKUP(V156,Assumptions!$A$7:$F$11,5,FALSE),1.5))),IFERROR(VLOOKUP(V156,Assumptions!$A$7:$F$11,5,FALSE),2.5)+IFERROR(VLOOKUP(V156,Assumptions!$A$7:$F$11,3,FALSE),3)+IFERROR(VLOOKUP(V156,Assumptions!$A$7:$F$11,4,FALSE),8)/2)</f>
        <v/>
      </c>
      <c r="Y156" s="22">
        <f>U156*W156/(1+Assumptions!$B$3)^X156</f>
        <v/>
      </c>
      <c r="Z156" s="26">
        <f>IF(U156=0,"",ROUND(Y156/U156*100,1))</f>
        <v/>
      </c>
      <c r="AA156" s="27">
        <f>Y156*Assumptions!$B$4</f>
        <v/>
      </c>
      <c r="AB156" s="26">
        <f>IF(U156=0,"",ROUND(AA156/U156*100,1))</f>
        <v/>
      </c>
      <c r="AC156" s="27">
        <f>Y156-AA156</f>
        <v/>
      </c>
      <c r="AD156" s="26">
        <f>IF(U156=0,"",ROUND((Y156-AA156)/U156*100,1))</f>
        <v/>
      </c>
      <c r="AE156" s="34" t="inlineStr">
        <is>
          <t>PARTIAL — class III reconciled, other classes not</t>
        </is>
      </c>
      <c r="AF156" s="29" t="inlineStr">
        <is>
          <t>https://lrflideres.com.br/wp-content/plugins/download-attachments/includes/download.php?id=5589</t>
        </is>
      </c>
      <c r="AG156" s="28" t="inlineStr">
        <is>
          <t>p12 r1</t>
        </is>
      </c>
      <c r="AH156" s="28" t="inlineStr">
        <is>
          <t>p12: R$ 935.547,55</t>
        </is>
      </c>
      <c r="AI156" s="28" t="inlineStr">
        <is>
          <t>AJ list (art. 7 §2)</t>
        </is>
      </c>
      <c r="AJ156" s="28" t="inlineStr">
        <is>
          <t>2023-11-27</t>
        </is>
      </c>
      <c r="AK156" s="28" t="inlineStr">
        <is>
          <t>NONE FOUND</t>
        </is>
      </c>
      <c r="AL156" s="30" t="inlineStr">
        <is>
          <t>0011283-80.2023.8.17.2001</t>
        </is>
      </c>
      <c r="AM156" s="30" t="inlineStr">
        <is>
          <t>TJPE</t>
        </is>
      </c>
      <c r="AN156" s="30" t="inlineStr">
        <is>
          <t>ACTIVE</t>
        </is>
      </c>
      <c r="AO156" s="30" t="n">
        <v>2023</v>
      </c>
      <c r="AP156" s="30" t="inlineStr">
        <is>
          <t>live case, no plan document yet</t>
        </is>
      </c>
      <c r="AQ156" s="30" t="inlineStr">
        <is>
          <t>08.145.021/0001-07</t>
        </is>
      </c>
      <c r="AR156" s="30" t="inlineStr">
        <is>
          <t>printed on the list (read twice)</t>
        </is>
      </c>
      <c r="AS156" s="30" t="inlineStr">
        <is>
          <t>RIO DE JANEIRO</t>
        </is>
      </c>
      <c r="AT156" s="30" t="inlineStr">
        <is>
          <t>RJ</t>
        </is>
      </c>
      <c r="AU156" s="30" t="inlineStr">
        <is>
          <t>Outras atividades de publicidade não especificadas anteriormente</t>
        </is>
      </c>
      <c r="AV156" s="30" t="inlineStr">
        <is>
          <t>MICRO EMPRESA</t>
        </is>
      </c>
      <c r="AW156" s="31" t="n">
        <v>305000</v>
      </c>
      <c r="AX156" s="30" t="inlineStr">
        <is>
          <t>SMALL</t>
        </is>
      </c>
      <c r="AY156" s="30" t="inlineStr">
        <is>
          <t>32184798</t>
        </is>
      </c>
      <c r="AZ156" s="30" t="n">
        <v>1</v>
      </c>
      <c r="BA156" s="30" t="inlineStr">
        <is>
          <t>LONG_CHUNK PARTIAL_DOC_CLASS_III_RECONCILED ROWS:p12r1</t>
        </is>
      </c>
    </row>
    <row r="157">
      <c r="A157" s="16" t="inlineStr">
        <is>
          <t>GBF NEGOCIOS IMOBILIARIOS LTDA</t>
        </is>
      </c>
      <c r="B157" s="17" t="n">
        <v>499600</v>
      </c>
      <c r="C157" s="18" t="inlineStr">
        <is>
          <t>GRUPO 3E</t>
        </is>
      </c>
      <c r="D157" s="19" t="inlineStr">
        <is>
          <t>NEW</t>
        </is>
      </c>
      <c r="E157" s="20" t="inlineStr"/>
      <c r="F157" s="19" t="inlineStr"/>
      <c r="G157" s="20" t="inlineStr"/>
      <c r="H157" s="19" t="inlineStr"/>
      <c r="I157" s="21" t="inlineStr">
        <is>
          <t>ANTONIO TRENTO KIHARA SCHEFFER</t>
        </is>
      </c>
      <c r="J157" s="21" t="inlineStr">
        <is>
          <t>Sócio-Administrador (RFB partner)</t>
        </is>
      </c>
      <c r="K157" s="21" t="inlineStr">
        <is>
          <t>(65) 3645-8000</t>
        </is>
      </c>
      <c r="L157" s="21" t="inlineStr">
        <is>
          <t>(65) 3645-8000</t>
        </is>
      </c>
      <c r="M157" s="21" t="inlineStr"/>
      <c r="N157" s="21" t="inlineStr"/>
      <c r="O157" s="21" t="inlineStr"/>
      <c r="P157" s="21" t="inlineStr">
        <is>
          <t>DONATO CECHINEL</t>
        </is>
      </c>
      <c r="Q157" s="21" t="inlineStr">
        <is>
          <t>Administrador (RFB partner)</t>
        </is>
      </c>
      <c r="R157" s="21" t="inlineStr"/>
      <c r="S157" s="21" t="inlineStr"/>
      <c r="T157" s="21" t="inlineStr">
        <is>
          <t>RFB partner (QSA); no Apollo match</t>
        </is>
      </c>
      <c r="U157" s="22" t="n">
        <v>499600</v>
      </c>
      <c r="V157" s="35" t="inlineStr">
        <is>
          <t>A</t>
        </is>
      </c>
      <c r="W157" s="24">
        <f>IFERROR(VLOOKUP(V157,Assumptions!$A$7:$F$11,2,FALSE),0)</f>
        <v/>
      </c>
      <c r="X157" s="25">
        <f>IF(V157="A",MAX(1,IFERROR(VLOOKUP(V157,Assumptions!$A$7:$F$11,3,FALSE),3)+IFERROR(VLOOKUP(V157,Assumptions!$A$7:$F$11,4,FALSE),8)/2-MAX(0,IF(AO157="",0,YEAR(TODAY())-AO157)-IFERROR(VLOOKUP(V157,Assumptions!$A$7:$F$11,5,FALSE),1.5))),IFERROR(VLOOKUP(V157,Assumptions!$A$7:$F$11,5,FALSE),2.5)+IFERROR(VLOOKUP(V157,Assumptions!$A$7:$F$11,3,FALSE),3)+IFERROR(VLOOKUP(V157,Assumptions!$A$7:$F$11,4,FALSE),8)/2)</f>
        <v/>
      </c>
      <c r="Y157" s="22">
        <f>U157*W157/(1+Assumptions!$B$3)^X157</f>
        <v/>
      </c>
      <c r="Z157" s="26">
        <f>IF(U157=0,"",ROUND(Y157/U157*100,1))</f>
        <v/>
      </c>
      <c r="AA157" s="27">
        <f>Y157*Assumptions!$B$4</f>
        <v/>
      </c>
      <c r="AB157" s="26">
        <f>IF(U157=0,"",ROUND(AA157/U157*100,1))</f>
        <v/>
      </c>
      <c r="AC157" s="27">
        <f>Y157-AA157</f>
        <v/>
      </c>
      <c r="AD157" s="26">
        <f>IF(U157=0,"",ROUND((Y157-AA157)/U157*100,1))</f>
        <v/>
      </c>
      <c r="AE157" s="33" t="inlineStr">
        <is>
          <t>NO TOTALS — list prints none; check page</t>
        </is>
      </c>
      <c r="AF157" s="29" t="inlineStr">
        <is>
          <t>https://stenius.com.br/wp-content/uploads/2026/06/EDITAL-GRUPO-3E.pdf</t>
        </is>
      </c>
      <c r="AG157" s="28" t="inlineStr">
        <is>
          <t>p14 r1</t>
        </is>
      </c>
      <c r="AH157" s="28" t="inlineStr">
        <is>
          <t>p14: R$ 499.600,00</t>
        </is>
      </c>
      <c r="AI157" s="28" t="inlineStr">
        <is>
          <t>Debtor list (art. 51)</t>
        </is>
      </c>
      <c r="AJ157" s="28" t="inlineStr">
        <is>
          <t>2026-06-22</t>
        </is>
      </c>
      <c r="AK157" s="28" t="inlineStr">
        <is>
          <t>PLAN DOC FOUND</t>
        </is>
      </c>
      <c r="AL157" s="30" t="inlineStr">
        <is>
          <t>5341375-33.2026.8.09.0049</t>
        </is>
      </c>
      <c r="AM157" s="30" t="inlineStr">
        <is>
          <t>TJGO</t>
        </is>
      </c>
      <c r="AN157" s="30" t="inlineStr">
        <is>
          <t>ACTIVE</t>
        </is>
      </c>
      <c r="AO157" s="30" t="n">
        <v>2026</v>
      </c>
      <c r="AP157" s="30" t="inlineStr">
        <is>
          <t>plan/homologation document found</t>
        </is>
      </c>
      <c r="AQ157" s="30" t="inlineStr"/>
      <c r="AR157" s="30" t="inlineStr">
        <is>
          <t>printed on the list (read twice)</t>
        </is>
      </c>
      <c r="AS157" s="30" t="inlineStr">
        <is>
          <t>CUIABA</t>
        </is>
      </c>
      <c r="AT157" s="30" t="inlineStr">
        <is>
          <t>MT</t>
        </is>
      </c>
      <c r="AU157" s="30" t="inlineStr">
        <is>
          <t>Compra e venda de imóveis próprios</t>
        </is>
      </c>
      <c r="AV157" s="30" t="inlineStr">
        <is>
          <t>DEMAIS</t>
        </is>
      </c>
      <c r="AW157" s="31" t="n">
        <v>91725096</v>
      </c>
      <c r="AX157" s="30" t="inlineStr">
        <is>
          <t>MID-MARKET</t>
        </is>
      </c>
      <c r="AY157" s="30" t="inlineStr">
        <is>
          <t>10431349</t>
        </is>
      </c>
      <c r="AZ157" s="30" t="n">
        <v>1</v>
      </c>
      <c r="BA157" s="30" t="inlineStr">
        <is>
          <t>ROWS:p14r1 UNRECONCILED_SOURCE</t>
        </is>
      </c>
    </row>
    <row r="158">
      <c r="A158" s="16" t="inlineStr">
        <is>
          <t>VEJA SERVICOS LTDA</t>
        </is>
      </c>
      <c r="B158" s="17" t="n">
        <v>915348.9300000001</v>
      </c>
      <c r="C158" s="18" t="inlineStr">
        <is>
          <t>GRUPO CATTAN</t>
        </is>
      </c>
      <c r="D158" s="19" t="inlineStr">
        <is>
          <t>NEW</t>
        </is>
      </c>
      <c r="E158" s="20" t="inlineStr"/>
      <c r="F158" s="19" t="inlineStr"/>
      <c r="G158" s="20" t="inlineStr"/>
      <c r="H158" s="19" t="inlineStr"/>
      <c r="I158" s="21" t="inlineStr">
        <is>
          <t>ANA CAROLINA DA SILVA</t>
        </is>
      </c>
      <c r="J158" s="21" t="inlineStr">
        <is>
          <t>Sócio-Administrador (RFB partner)</t>
        </is>
      </c>
      <c r="K158" s="21" t="inlineStr">
        <is>
          <t>(85) 3223-4964</t>
        </is>
      </c>
      <c r="L158" s="21" t="inlineStr"/>
      <c r="M158" s="21" t="inlineStr"/>
      <c r="N158" s="21" t="inlineStr"/>
      <c r="O158" s="21" t="inlineStr"/>
      <c r="P158" s="21" t="inlineStr"/>
      <c r="Q158" s="21" t="inlineStr"/>
      <c r="R158" s="21" t="inlineStr"/>
      <c r="S158" s="21" t="inlineStr"/>
      <c r="T158" s="21" t="inlineStr">
        <is>
          <t>RFB partner (QSA); no Apollo match</t>
        </is>
      </c>
      <c r="U158" s="22" t="n">
        <v>915348.9300000001</v>
      </c>
      <c r="V158" s="23" t="inlineStr">
        <is>
          <t>B</t>
        </is>
      </c>
      <c r="W158" s="24">
        <f>IFERROR(VLOOKUP(V158,Assumptions!$A$7:$F$11,2,FALSE),0)</f>
        <v/>
      </c>
      <c r="X158" s="25">
        <f>IF(V158="A",MAX(1,IFERROR(VLOOKUP(V158,Assumptions!$A$7:$F$11,3,FALSE),3)+IFERROR(VLOOKUP(V158,Assumptions!$A$7:$F$11,4,FALSE),8)/2-MAX(0,IF(AO158="",0,YEAR(TODAY())-AO158)-IFERROR(VLOOKUP(V158,Assumptions!$A$7:$F$11,5,FALSE),1.5))),IFERROR(VLOOKUP(V158,Assumptions!$A$7:$F$11,5,FALSE),2.5)+IFERROR(VLOOKUP(V158,Assumptions!$A$7:$F$11,3,FALSE),3)+IFERROR(VLOOKUP(V158,Assumptions!$A$7:$F$11,4,FALSE),8)/2)</f>
        <v/>
      </c>
      <c r="Y158" s="22">
        <f>U158*W158/(1+Assumptions!$B$3)^X158</f>
        <v/>
      </c>
      <c r="Z158" s="26">
        <f>IF(U158=0,"",ROUND(Y158/U158*100,1))</f>
        <v/>
      </c>
      <c r="AA158" s="27">
        <f>Y158*Assumptions!$B$4</f>
        <v/>
      </c>
      <c r="AB158" s="26">
        <f>IF(U158=0,"",ROUND(AA158/U158*100,1))</f>
        <v/>
      </c>
      <c r="AC158" s="27">
        <f>Y158-AA158</f>
        <v/>
      </c>
      <c r="AD158" s="26">
        <f>IF(U158=0,"",ROUND((Y158-AA158)/U158*100,1))</f>
        <v/>
      </c>
      <c r="AE158" s="34" t="inlineStr">
        <is>
          <t>PARTIAL — class III reconciled, other classes not</t>
        </is>
      </c>
      <c r="AF158" s="29" t="inlineStr">
        <is>
          <t>https://lrflideres.com.br/wp-content/plugins/download-attachments/includes/download.php?id=4023</t>
        </is>
      </c>
      <c r="AG158" s="28" t="inlineStr">
        <is>
          <t>p4 r95; p7 r127; p8 r85; p9 r93</t>
        </is>
      </c>
      <c r="AH158" s="28" t="inlineStr">
        <is>
          <t>p4: R$ 174.543,96; p7: R$ 605.756,16; p8: R$ 2.154,24; p9: R$ 132.894,57</t>
        </is>
      </c>
      <c r="AI158" s="28" t="inlineStr">
        <is>
          <t>Debtor list (art. 51)</t>
        </is>
      </c>
      <c r="AJ158" s="28" t="inlineStr"/>
      <c r="AK158" s="28" t="inlineStr">
        <is>
          <t>NONE FOUND</t>
        </is>
      </c>
      <c r="AL158" s="30" t="inlineStr">
        <is>
          <t>0002484-82.2022.8.17.2001</t>
        </is>
      </c>
      <c r="AM158" s="30" t="inlineStr">
        <is>
          <t>TJPE</t>
        </is>
      </c>
      <c r="AN158" s="30" t="inlineStr">
        <is>
          <t>ACTIVE</t>
        </is>
      </c>
      <c r="AO158" s="30" t="n">
        <v>2022</v>
      </c>
      <c r="AP158" s="30" t="inlineStr">
        <is>
          <t>live case, no plan document yet</t>
        </is>
      </c>
      <c r="AQ158" s="30" t="inlineStr"/>
      <c r="AR158" s="30" t="inlineStr">
        <is>
          <t>printed on the list (read twice)</t>
        </is>
      </c>
      <c r="AS158" s="30" t="inlineStr">
        <is>
          <t>FORTALEZA</t>
        </is>
      </c>
      <c r="AT158" s="30" t="inlineStr">
        <is>
          <t>CE</t>
        </is>
      </c>
      <c r="AU158" s="30" t="inlineStr">
        <is>
          <t>Serviços combinados de escritório e apoio administrativo</t>
        </is>
      </c>
      <c r="AV158" s="30" t="inlineStr">
        <is>
          <t>MICRO EMPRESA</t>
        </is>
      </c>
      <c r="AW158" s="31" t="n">
        <v>94000</v>
      </c>
      <c r="AX158" s="30" t="inlineStr">
        <is>
          <t>SMALL</t>
        </is>
      </c>
      <c r="AY158" s="30" t="inlineStr">
        <is>
          <t>02965637</t>
        </is>
      </c>
      <c r="AZ158" s="30" t="n">
        <v>4</v>
      </c>
      <c r="BA158" s="30" t="inlineStr">
        <is>
          <t>PARTIAL_DOC_CLASS_III_RECONCILED ROWS:p4r95,p7r127,p8r85,p9r93</t>
        </is>
      </c>
    </row>
    <row r="159">
      <c r="A159" s="16" t="inlineStr">
        <is>
          <t>INOVAMED HOSPITALAR LTDA</t>
        </is>
      </c>
      <c r="B159" s="17" t="n">
        <v>908703.23</v>
      </c>
      <c r="C159" s="18" t="inlineStr">
        <is>
          <t>ASSOCIAÇÃO DE CARIDADE SANTA CASA DO RIO GRANDE</t>
        </is>
      </c>
      <c r="D159" s="19" t="inlineStr">
        <is>
          <t>NEW</t>
        </is>
      </c>
      <c r="E159" s="20" t="inlineStr"/>
      <c r="F159" s="19" t="inlineStr"/>
      <c r="G159" s="20" t="inlineStr"/>
      <c r="H159" s="19" t="inlineStr"/>
      <c r="I159" s="21" t="inlineStr">
        <is>
          <t>Leticia Openkoski</t>
        </is>
      </c>
      <c r="J159" s="21" t="inlineStr">
        <is>
          <t>Financial</t>
        </is>
      </c>
      <c r="K159" s="21" t="inlineStr">
        <is>
          <t>(54) 2106-7930</t>
        </is>
      </c>
      <c r="L159" s="21" t="inlineStr"/>
      <c r="M159" s="21" t="inlineStr"/>
      <c r="N159" s="21" t="inlineStr">
        <is>
          <t>leticia.o@inovamedhospitalar.com</t>
        </is>
      </c>
      <c r="O159" s="21" t="inlineStr">
        <is>
          <t>debora.d@inovamedhospitalar.com</t>
        </is>
      </c>
      <c r="P159" s="21" t="inlineStr">
        <is>
          <t>Debora Dassoler</t>
        </is>
      </c>
      <c r="Q159" s="21" t="inlineStr">
        <is>
          <t>Analista Fiscal e Contábil</t>
        </is>
      </c>
      <c r="R159" s="21" t="inlineStr"/>
      <c r="S159" s="21" t="inlineStr">
        <is>
          <t>debora.d@inovamedhospitalar.com</t>
        </is>
      </c>
      <c r="T159" s="21" t="inlineStr">
        <is>
          <t>email verified by Apollo</t>
        </is>
      </c>
      <c r="U159" s="22" t="n">
        <v>908703.23</v>
      </c>
      <c r="V159" s="23" t="inlineStr">
        <is>
          <t>B</t>
        </is>
      </c>
      <c r="W159" s="24">
        <f>IFERROR(VLOOKUP(V159,Assumptions!$A$7:$F$11,2,FALSE),0)</f>
        <v/>
      </c>
      <c r="X159" s="25">
        <f>IF(V159="A",MAX(1,IFERROR(VLOOKUP(V159,Assumptions!$A$7:$F$11,3,FALSE),3)+IFERROR(VLOOKUP(V159,Assumptions!$A$7:$F$11,4,FALSE),8)/2-MAX(0,IF(AO159="",0,YEAR(TODAY())-AO159)-IFERROR(VLOOKUP(V159,Assumptions!$A$7:$F$11,5,FALSE),1.5))),IFERROR(VLOOKUP(V159,Assumptions!$A$7:$F$11,5,FALSE),2.5)+IFERROR(VLOOKUP(V159,Assumptions!$A$7:$F$11,3,FALSE),3)+IFERROR(VLOOKUP(V159,Assumptions!$A$7:$F$11,4,FALSE),8)/2)</f>
        <v/>
      </c>
      <c r="Y159" s="22">
        <f>U159*W159/(1+Assumptions!$B$3)^X159</f>
        <v/>
      </c>
      <c r="Z159" s="26">
        <f>IF(U159=0,"",ROUND(Y159/U159*100,1))</f>
        <v/>
      </c>
      <c r="AA159" s="27">
        <f>Y159*Assumptions!$B$4</f>
        <v/>
      </c>
      <c r="AB159" s="26">
        <f>IF(U159=0,"",ROUND(AA159/U159*100,1))</f>
        <v/>
      </c>
      <c r="AC159" s="27">
        <f>Y159-AA159</f>
        <v/>
      </c>
      <c r="AD159" s="26">
        <f>IF(U159=0,"",ROUND((Y159-AA159)/U159*100,1))</f>
        <v/>
      </c>
      <c r="AE159" s="33" t="inlineStr">
        <is>
          <t>NO TOTALS — list prints none; check page</t>
        </is>
      </c>
      <c r="AF159" s="29" t="inlineStr">
        <is>
          <t>https://scalzilliaj.com.br/sgc/download.php?file=files/processo_documento/processo_documento09120721032023_1_.pdf&amp;nome=15 - Edital do art. 7º, §2º e 53 da Lei 11.101/2005 (segunda lista de credores e recebimento do plano))</t>
        </is>
      </c>
      <c r="AG159" s="28" t="inlineStr">
        <is>
          <t>p28 r2</t>
        </is>
      </c>
      <c r="AH159" s="28" t="inlineStr">
        <is>
          <t>p28: R$ 908.703,23</t>
        </is>
      </c>
      <c r="AI159" s="28" t="inlineStr">
        <is>
          <t>AJ list (art. 7 §2)</t>
        </is>
      </c>
      <c r="AJ159" s="28" t="inlineStr">
        <is>
          <t>2023-03-21</t>
        </is>
      </c>
      <c r="AK159" s="28" t="inlineStr">
        <is>
          <t>NONE FOUND</t>
        </is>
      </c>
      <c r="AL159" s="30" t="inlineStr">
        <is>
          <t>5012306-16.2022.8.21.0023</t>
        </is>
      </c>
      <c r="AM159" s="30" t="inlineStr">
        <is>
          <t>TJRS</t>
        </is>
      </c>
      <c r="AN159" s="30" t="inlineStr">
        <is>
          <t>ACTIVE</t>
        </is>
      </c>
      <c r="AO159" s="30" t="n">
        <v>2022</v>
      </c>
      <c r="AP159" s="30" t="inlineStr">
        <is>
          <t>live case, no plan document yet</t>
        </is>
      </c>
      <c r="AQ159" s="30" t="inlineStr"/>
      <c r="AR159" s="30" t="inlineStr">
        <is>
          <t>printed on the list (read twice)</t>
        </is>
      </c>
      <c r="AS159" s="30" t="inlineStr">
        <is>
          <t>ERECHIM</t>
        </is>
      </c>
      <c r="AT159" s="30" t="inlineStr">
        <is>
          <t>RS</t>
        </is>
      </c>
      <c r="AU159" s="30" t="inlineStr">
        <is>
          <t>Comércio atacadista de medicamentos e drogas de uso humano</t>
        </is>
      </c>
      <c r="AV159" s="30" t="inlineStr">
        <is>
          <t>DEMAIS</t>
        </is>
      </c>
      <c r="AW159" s="31" t="n">
        <v>8004000</v>
      </c>
      <c r="AX159" s="30" t="inlineStr">
        <is>
          <t>MID-MARKET</t>
        </is>
      </c>
      <c r="AY159" s="30" t="inlineStr">
        <is>
          <t>12889035</t>
        </is>
      </c>
      <c r="AZ159" s="30" t="n">
        <v>1</v>
      </c>
      <c r="BA159" s="30" t="inlineStr">
        <is>
          <t>ROWS:p28r2 UNRECONCILED_SOURCE</t>
        </is>
      </c>
    </row>
    <row r="160">
      <c r="A160" s="16" t="inlineStr">
        <is>
          <t>INDUSTRIA DE CONFECCOES K-DU LTDA</t>
        </is>
      </c>
      <c r="B160" s="17" t="n">
        <v>908132.39</v>
      </c>
      <c r="C160" s="18" t="inlineStr">
        <is>
          <t>GRUPO CATTAN</t>
        </is>
      </c>
      <c r="D160" s="19" t="inlineStr">
        <is>
          <t>NEW</t>
        </is>
      </c>
      <c r="E160" s="20" t="inlineStr"/>
      <c r="F160" s="19" t="inlineStr"/>
      <c r="G160" s="20" t="inlineStr"/>
      <c r="H160" s="19" t="inlineStr"/>
      <c r="I160" s="21" t="inlineStr">
        <is>
          <t>CLAUDIO CAUDURO</t>
        </is>
      </c>
      <c r="J160" s="21" t="inlineStr">
        <is>
          <t>Sócio-Administrador (RFB partner)</t>
        </is>
      </c>
      <c r="K160" s="21" t="inlineStr">
        <is>
          <t>(46) 3563-1792</t>
        </is>
      </c>
      <c r="L160" s="21" t="inlineStr"/>
      <c r="M160" s="21" t="inlineStr"/>
      <c r="N160" s="21" t="inlineStr"/>
      <c r="O160" s="21" t="inlineStr"/>
      <c r="P160" s="21" t="inlineStr"/>
      <c r="Q160" s="21" t="inlineStr"/>
      <c r="R160" s="21" t="inlineStr"/>
      <c r="S160" s="21" t="inlineStr"/>
      <c r="T160" s="21" t="inlineStr">
        <is>
          <t>RFB partner (QSA); no Apollo match</t>
        </is>
      </c>
      <c r="U160" s="22" t="n">
        <v>908132.39</v>
      </c>
      <c r="V160" s="23" t="inlineStr">
        <is>
          <t>B</t>
        </is>
      </c>
      <c r="W160" s="24">
        <f>IFERROR(VLOOKUP(V160,Assumptions!$A$7:$F$11,2,FALSE),0)</f>
        <v/>
      </c>
      <c r="X160" s="25">
        <f>IF(V160="A",MAX(1,IFERROR(VLOOKUP(V160,Assumptions!$A$7:$F$11,3,FALSE),3)+IFERROR(VLOOKUP(V160,Assumptions!$A$7:$F$11,4,FALSE),8)/2-MAX(0,IF(AO160="",0,YEAR(TODAY())-AO160)-IFERROR(VLOOKUP(V160,Assumptions!$A$7:$F$11,5,FALSE),1.5))),IFERROR(VLOOKUP(V160,Assumptions!$A$7:$F$11,5,FALSE),2.5)+IFERROR(VLOOKUP(V160,Assumptions!$A$7:$F$11,3,FALSE),3)+IFERROR(VLOOKUP(V160,Assumptions!$A$7:$F$11,4,FALSE),8)/2)</f>
        <v/>
      </c>
      <c r="Y160" s="22">
        <f>U160*W160/(1+Assumptions!$B$3)^X160</f>
        <v/>
      </c>
      <c r="Z160" s="26">
        <f>IF(U160=0,"",ROUND(Y160/U160*100,1))</f>
        <v/>
      </c>
      <c r="AA160" s="27">
        <f>Y160*Assumptions!$B$4</f>
        <v/>
      </c>
      <c r="AB160" s="26">
        <f>IF(U160=0,"",ROUND(AA160/U160*100,1))</f>
        <v/>
      </c>
      <c r="AC160" s="27">
        <f>Y160-AA160</f>
        <v/>
      </c>
      <c r="AD160" s="26">
        <f>IF(U160=0,"",ROUND((Y160-AA160)/U160*100,1))</f>
        <v/>
      </c>
      <c r="AE160" s="34" t="inlineStr">
        <is>
          <t>PARTIAL — class III reconciled, other classes not</t>
        </is>
      </c>
      <c r="AF160" s="29" t="inlineStr">
        <is>
          <t>https://lrflideres.com.br/wp-content/plugins/download-attachments/includes/download.php?id=4023</t>
        </is>
      </c>
      <c r="AG160" s="28" t="inlineStr">
        <is>
          <t>p4 r78; p7 r102; p9 r76</t>
        </is>
      </c>
      <c r="AH160" s="28" t="inlineStr">
        <is>
          <t>p4: R$ 271.843,99; p7: R$ 508.146,95; p9: R$ 128.141,45</t>
        </is>
      </c>
      <c r="AI160" s="28" t="inlineStr">
        <is>
          <t>Debtor list (art. 51)</t>
        </is>
      </c>
      <c r="AJ160" s="28" t="inlineStr"/>
      <c r="AK160" s="28" t="inlineStr">
        <is>
          <t>NONE FOUND</t>
        </is>
      </c>
      <c r="AL160" s="30" t="inlineStr">
        <is>
          <t>0002484-82.2022.8.17.2001</t>
        </is>
      </c>
      <c r="AM160" s="30" t="inlineStr">
        <is>
          <t>TJPE</t>
        </is>
      </c>
      <c r="AN160" s="30" t="inlineStr">
        <is>
          <t>ACTIVE</t>
        </is>
      </c>
      <c r="AO160" s="30" t="n">
        <v>2022</v>
      </c>
      <c r="AP160" s="30" t="inlineStr">
        <is>
          <t>live case, no plan document yet</t>
        </is>
      </c>
      <c r="AQ160" s="30" t="inlineStr"/>
      <c r="AR160" s="30" t="inlineStr">
        <is>
          <t>printed on the list (read twice)</t>
        </is>
      </c>
      <c r="AS160" s="30" t="inlineStr">
        <is>
          <t>SANTO ANTONIO DO SUDOESTE</t>
        </is>
      </c>
      <c r="AT160" s="30" t="inlineStr">
        <is>
          <t>PR</t>
        </is>
      </c>
      <c r="AU160" s="30" t="inlineStr">
        <is>
          <t>Confecção de peças de vestuário, exceto roupas íntimas e as confeccionadas sob medida</t>
        </is>
      </c>
      <c r="AV160" s="30" t="inlineStr">
        <is>
          <t>DEMAIS</t>
        </is>
      </c>
      <c r="AW160" s="31" t="n">
        <v>500000</v>
      </c>
      <c r="AX160" s="30" t="inlineStr">
        <is>
          <t>MID-MARKET</t>
        </is>
      </c>
      <c r="AY160" s="30" t="inlineStr">
        <is>
          <t>10424098</t>
        </is>
      </c>
      <c r="AZ160" s="30" t="n">
        <v>3</v>
      </c>
      <c r="BA160" s="30" t="inlineStr">
        <is>
          <t>PARTIAL_DOC_CLASS_III_RECONCILED ROWS:p4r78,p7r102,p9r76</t>
        </is>
      </c>
    </row>
    <row r="161">
      <c r="A161" s="16" t="inlineStr">
        <is>
          <t>SAO SALVADOR ALIMENTOS S/A</t>
        </is>
      </c>
      <c r="B161" s="17" t="n">
        <v>483031.1</v>
      </c>
      <c r="C161" s="18" t="inlineStr">
        <is>
          <t>GRUPO 3E</t>
        </is>
      </c>
      <c r="D161" s="19" t="inlineStr">
        <is>
          <t>NEW</t>
        </is>
      </c>
      <c r="E161" s="20" t="inlineStr"/>
      <c r="F161" s="19" t="inlineStr"/>
      <c r="G161" s="20" t="inlineStr"/>
      <c r="H161" s="19" t="inlineStr"/>
      <c r="I161" s="21" t="inlineStr">
        <is>
          <t>Leopoldo Saboya</t>
        </is>
      </c>
      <c r="J161" s="21" t="inlineStr">
        <is>
          <t>CFO / Iro</t>
        </is>
      </c>
      <c r="K161" s="21" t="inlineStr">
        <is>
          <t>(62) 3375-7000</t>
        </is>
      </c>
      <c r="L161" s="21" t="inlineStr"/>
      <c r="M161" s="21" t="inlineStr"/>
      <c r="N161" s="21" t="inlineStr">
        <is>
          <t>leopoldo.saboya@ssa-br.com</t>
        </is>
      </c>
      <c r="O161" s="21" t="inlineStr">
        <is>
          <t>jpaulo.castro@ssa-br.com</t>
        </is>
      </c>
      <c r="P161" s="21" t="inlineStr">
        <is>
          <t>Joao Paulo</t>
        </is>
      </c>
      <c r="Q161" s="21" t="inlineStr">
        <is>
          <t>Analista Financeiro - Contas a Receber - Sênior</t>
        </is>
      </c>
      <c r="R161" s="21" t="inlineStr"/>
      <c r="S161" s="21" t="inlineStr">
        <is>
          <t>jpaulo.castro@ssa-br.com</t>
        </is>
      </c>
      <c r="T161" s="21" t="inlineStr">
        <is>
          <t>email verified by Apollo</t>
        </is>
      </c>
      <c r="U161" s="22" t="n">
        <v>483031.1</v>
      </c>
      <c r="V161" s="35" t="inlineStr">
        <is>
          <t>A</t>
        </is>
      </c>
      <c r="W161" s="24">
        <f>IFERROR(VLOOKUP(V161,Assumptions!$A$7:$F$11,2,FALSE),0)</f>
        <v/>
      </c>
      <c r="X161" s="25">
        <f>IF(V161="A",MAX(1,IFERROR(VLOOKUP(V161,Assumptions!$A$7:$F$11,3,FALSE),3)+IFERROR(VLOOKUP(V161,Assumptions!$A$7:$F$11,4,FALSE),8)/2-MAX(0,IF(AO161="",0,YEAR(TODAY())-AO161)-IFERROR(VLOOKUP(V161,Assumptions!$A$7:$F$11,5,FALSE),1.5))),IFERROR(VLOOKUP(V161,Assumptions!$A$7:$F$11,5,FALSE),2.5)+IFERROR(VLOOKUP(V161,Assumptions!$A$7:$F$11,3,FALSE),3)+IFERROR(VLOOKUP(V161,Assumptions!$A$7:$F$11,4,FALSE),8)/2)</f>
        <v/>
      </c>
      <c r="Y161" s="22">
        <f>U161*W161/(1+Assumptions!$B$3)^X161</f>
        <v/>
      </c>
      <c r="Z161" s="26">
        <f>IF(U161=0,"",ROUND(Y161/U161*100,1))</f>
        <v/>
      </c>
      <c r="AA161" s="27">
        <f>Y161*Assumptions!$B$4</f>
        <v/>
      </c>
      <c r="AB161" s="26">
        <f>IF(U161=0,"",ROUND(AA161/U161*100,1))</f>
        <v/>
      </c>
      <c r="AC161" s="27">
        <f>Y161-AA161</f>
        <v/>
      </c>
      <c r="AD161" s="26">
        <f>IF(U161=0,"",ROUND((Y161-AA161)/U161*100,1))</f>
        <v/>
      </c>
      <c r="AE161" s="33" t="inlineStr">
        <is>
          <t>NO TOTALS — list prints none; check page</t>
        </is>
      </c>
      <c r="AF161" s="29" t="inlineStr">
        <is>
          <t>https://stenius.com.br/wp-content/uploads/2026/06/EDITAL-GRUPO-3E.pdf</t>
        </is>
      </c>
      <c r="AG161" s="28" t="inlineStr">
        <is>
          <t>p18 r14; p18 r15</t>
        </is>
      </c>
      <c r="AH161" s="28" t="inlineStr">
        <is>
          <t>p18: R$ 289.071,49; p18: R$ 193.959,61</t>
        </is>
      </c>
      <c r="AI161" s="28" t="inlineStr">
        <is>
          <t>Debtor list (art. 51)</t>
        </is>
      </c>
      <c r="AJ161" s="28" t="inlineStr">
        <is>
          <t>2026-06-22</t>
        </is>
      </c>
      <c r="AK161" s="28" t="inlineStr">
        <is>
          <t>PLAN DOC FOUND</t>
        </is>
      </c>
      <c r="AL161" s="30" t="inlineStr">
        <is>
          <t>5341375-33.2026.8.09.0049</t>
        </is>
      </c>
      <c r="AM161" s="30" t="inlineStr">
        <is>
          <t>TJGO</t>
        </is>
      </c>
      <c r="AN161" s="30" t="inlineStr">
        <is>
          <t>ACTIVE</t>
        </is>
      </c>
      <c r="AO161" s="30" t="n">
        <v>2026</v>
      </c>
      <c r="AP161" s="30" t="inlineStr">
        <is>
          <t>plan/homologation document found</t>
        </is>
      </c>
      <c r="AQ161" s="30" t="inlineStr"/>
      <c r="AR161" s="30" t="inlineStr">
        <is>
          <t>printed on the list (read twice)</t>
        </is>
      </c>
      <c r="AS161" s="30" t="inlineStr">
        <is>
          <t>ITABERAI</t>
        </is>
      </c>
      <c r="AT161" s="30" t="inlineStr">
        <is>
          <t>GO</t>
        </is>
      </c>
      <c r="AU161" s="30" t="inlineStr">
        <is>
          <t>Abate de aves</t>
        </is>
      </c>
      <c r="AV161" s="30" t="inlineStr">
        <is>
          <t>DEMAIS</t>
        </is>
      </c>
      <c r="AW161" s="31" t="n">
        <v>210000000</v>
      </c>
      <c r="AX161" s="30" t="inlineStr">
        <is>
          <t>MID-MARKET</t>
        </is>
      </c>
      <c r="AY161" s="30" t="inlineStr">
        <is>
          <t>03387396</t>
        </is>
      </c>
      <c r="AZ161" s="30" t="n">
        <v>2</v>
      </c>
      <c r="BA161" s="30" t="inlineStr">
        <is>
          <t>ROWS:p18r14,p18r15 UNRECONCILED_SOURCE</t>
        </is>
      </c>
    </row>
    <row r="162">
      <c r="A162" s="16" t="inlineStr">
        <is>
          <t>AGROFIELD ASSESSORIA ADMINISTRATIVA LTDA</t>
        </is>
      </c>
      <c r="B162" s="17" t="n">
        <v>6434083.18</v>
      </c>
      <c r="C162" s="18" t="inlineStr">
        <is>
          <t>COPA FRUIT IMPORTAÇÃO E EXPORTAÇÃO S.A</t>
        </is>
      </c>
      <c r="D162" s="19" t="inlineStr">
        <is>
          <t>NEW</t>
        </is>
      </c>
      <c r="E162" s="20" t="inlineStr"/>
      <c r="F162" s="19" t="inlineStr"/>
      <c r="G162" s="20" t="inlineStr"/>
      <c r="H162" s="19" t="inlineStr"/>
      <c r="I162" s="21" t="inlineStr">
        <is>
          <t>SERGIO LUIZ SILVA DA FONSECA LINS</t>
        </is>
      </c>
      <c r="J162" s="21" t="inlineStr">
        <is>
          <t>Sócio-Administrador (RFB partner)</t>
        </is>
      </c>
      <c r="K162" s="21" t="inlineStr">
        <is>
          <t>(81) 3339-1977</t>
        </is>
      </c>
      <c r="L162" s="21" t="inlineStr"/>
      <c r="M162" s="21" t="inlineStr"/>
      <c r="N162" s="21" t="inlineStr"/>
      <c r="O162" s="21" t="inlineStr"/>
      <c r="P162" s="21" t="inlineStr"/>
      <c r="Q162" s="21" t="inlineStr"/>
      <c r="R162" s="21" t="inlineStr"/>
      <c r="S162" s="21" t="inlineStr"/>
      <c r="T162" s="21" t="inlineStr">
        <is>
          <t>RFB partner (QSA); no Apollo match</t>
        </is>
      </c>
      <c r="U162" s="22" t="n">
        <v>6434083.18</v>
      </c>
      <c r="V162" s="39" t="inlineStr">
        <is>
          <t>D</t>
        </is>
      </c>
      <c r="W162" s="24">
        <f>IFERROR(VLOOKUP(V162,Assumptions!$A$7:$F$11,2,FALSE),0)</f>
        <v/>
      </c>
      <c r="X162" s="25">
        <f>IF(V162="A",MAX(1,IFERROR(VLOOKUP(V162,Assumptions!$A$7:$F$11,3,FALSE),3)+IFERROR(VLOOKUP(V162,Assumptions!$A$7:$F$11,4,FALSE),8)/2-MAX(0,IF(AO162="",0,YEAR(TODAY())-AO162)-IFERROR(VLOOKUP(V162,Assumptions!$A$7:$F$11,5,FALSE),1.5))),IFERROR(VLOOKUP(V162,Assumptions!$A$7:$F$11,5,FALSE),2.5)+IFERROR(VLOOKUP(V162,Assumptions!$A$7:$F$11,3,FALSE),3)+IFERROR(VLOOKUP(V162,Assumptions!$A$7:$F$11,4,FALSE),8)/2)</f>
        <v/>
      </c>
      <c r="Y162" s="22">
        <f>U162*W162/(1+Assumptions!$B$3)^X162</f>
        <v/>
      </c>
      <c r="Z162" s="26">
        <f>IF(U162=0,"",ROUND(Y162/U162*100,1))</f>
        <v/>
      </c>
      <c r="AA162" s="27">
        <f>Y162*Assumptions!$B$4</f>
        <v/>
      </c>
      <c r="AB162" s="26">
        <f>IF(U162=0,"",ROUND(AA162/U162*100,1))</f>
        <v/>
      </c>
      <c r="AC162" s="27">
        <f>Y162-AA162</f>
        <v/>
      </c>
      <c r="AD162" s="26">
        <f>IF(U162=0,"",ROUND((Y162-AA162)/U162*100,1))</f>
        <v/>
      </c>
      <c r="AE162" s="33" t="inlineStr">
        <is>
          <t>NO TOTALS — list prints none; check page</t>
        </is>
      </c>
      <c r="AF162" s="29" t="inlineStr">
        <is>
          <t>https://diligence.adm.br/wp-content/plugins/download-attachments/includes/download.php?id=4579</t>
        </is>
      </c>
      <c r="AG162" s="28" t="inlineStr">
        <is>
          <t>p8 r2</t>
        </is>
      </c>
      <c r="AH162" s="28" t="inlineStr">
        <is>
          <t>p8: R$ 6.434.083,18</t>
        </is>
      </c>
      <c r="AI162" s="28" t="inlineStr">
        <is>
          <t>AJ list (art. 7 §2)</t>
        </is>
      </c>
      <c r="AJ162" s="28" t="inlineStr">
        <is>
          <t>2024-06-11</t>
        </is>
      </c>
      <c r="AK162" s="28" t="inlineStr">
        <is>
          <t>NONE FOUND</t>
        </is>
      </c>
      <c r="AL162" s="30" t="inlineStr">
        <is>
          <t>0032731-52.2010.8.17.0001</t>
        </is>
      </c>
      <c r="AM162" s="30" t="inlineStr">
        <is>
          <t>TJPE</t>
        </is>
      </c>
      <c r="AN162" s="30" t="inlineStr"/>
      <c r="AO162" s="30" t="n">
        <v>2010</v>
      </c>
      <c r="AP162" s="30" t="inlineStr">
        <is>
          <t>document is a falência (bankruptcy) list</t>
        </is>
      </c>
      <c r="AQ162" s="30" t="inlineStr">
        <is>
          <t>01.356.809/0001-13</t>
        </is>
      </c>
      <c r="AR162" s="30" t="inlineStr">
        <is>
          <t>printed on the list (read twice)</t>
        </is>
      </c>
      <c r="AS162" s="30" t="inlineStr">
        <is>
          <t>RECIFE</t>
        </is>
      </c>
      <c r="AT162" s="30" t="inlineStr">
        <is>
          <t>PE</t>
        </is>
      </c>
      <c r="AU162" s="30" t="inlineStr">
        <is>
          <t>Atividades de intermediação e agenciamento de serviços e negócios em geral, exceto imobiliários</t>
        </is>
      </c>
      <c r="AV162" s="30" t="inlineStr">
        <is>
          <t>DEMAIS</t>
        </is>
      </c>
      <c r="AW162" s="31" t="n">
        <v>100000</v>
      </c>
      <c r="AX162" s="30" t="inlineStr">
        <is>
          <t>MID-MARKET</t>
        </is>
      </c>
      <c r="AY162" s="30" t="inlineStr">
        <is>
          <t>06284974</t>
        </is>
      </c>
      <c r="AZ162" s="30" t="n">
        <v>1</v>
      </c>
      <c r="BA162" s="30" t="inlineStr">
        <is>
          <t>ROWS:p8r2 UNRECONCILED_SOURCE VALUE_COL:Crédito_1ª_Lista</t>
        </is>
      </c>
    </row>
    <row r="163">
      <c r="A163" s="16" t="inlineStr">
        <is>
          <t>DEFESA FLORESTAL LTDA</t>
        </is>
      </c>
      <c r="B163" s="17" t="n">
        <v>1645536</v>
      </c>
      <c r="C163" s="18" t="inlineStr">
        <is>
          <t>EGESA ENGENHARIA S/A (Consórcio ETDI)</t>
        </is>
      </c>
      <c r="D163" s="19" t="inlineStr">
        <is>
          <t>NEW</t>
        </is>
      </c>
      <c r="E163" s="20" t="inlineStr"/>
      <c r="F163" s="19" t="inlineStr"/>
      <c r="G163" s="20" t="inlineStr"/>
      <c r="H163" s="19" t="inlineStr"/>
      <c r="I163" s="21" t="inlineStr">
        <is>
          <t>Anderson Severo</t>
        </is>
      </c>
      <c r="J163" s="21" t="inlineStr">
        <is>
          <t>Production Manager</t>
        </is>
      </c>
      <c r="K163" s="21" t="inlineStr"/>
      <c r="L163" s="21" t="inlineStr"/>
      <c r="M163" s="21" t="inlineStr"/>
      <c r="N163" s="21" t="inlineStr"/>
      <c r="O163" s="21" t="inlineStr"/>
      <c r="P163" s="21" t="inlineStr">
        <is>
          <t>Anderson Severo</t>
        </is>
      </c>
      <c r="Q163" s="21" t="inlineStr">
        <is>
          <t>Production Manager</t>
        </is>
      </c>
      <c r="R163" s="21" t="inlineStr"/>
      <c r="S163" s="21" t="inlineStr"/>
      <c r="T163" s="21" t="inlineStr">
        <is>
          <t>no work email found in Apollo</t>
        </is>
      </c>
      <c r="U163" s="22" t="n">
        <v>1645536</v>
      </c>
      <c r="V163" s="32" t="inlineStr">
        <is>
          <t>U</t>
        </is>
      </c>
      <c r="W163" s="24">
        <f>IFERROR(VLOOKUP(V163,Assumptions!$A$7:$F$11,2,FALSE),0)</f>
        <v/>
      </c>
      <c r="X163" s="25">
        <f>IF(V163="A",MAX(1,IFERROR(VLOOKUP(V163,Assumptions!$A$7:$F$11,3,FALSE),3)+IFERROR(VLOOKUP(V163,Assumptions!$A$7:$F$11,4,FALSE),8)/2-MAX(0,IF(AO163="",0,YEAR(TODAY())-AO163)-IFERROR(VLOOKUP(V163,Assumptions!$A$7:$F$11,5,FALSE),1.5))),IFERROR(VLOOKUP(V163,Assumptions!$A$7:$F$11,5,FALSE),2.5)+IFERROR(VLOOKUP(V163,Assumptions!$A$7:$F$11,3,FALSE),3)+IFERROR(VLOOKUP(V163,Assumptions!$A$7:$F$11,4,FALSE),8)/2)</f>
        <v/>
      </c>
      <c r="Y163" s="22">
        <f>U163*W163/(1+Assumptions!$B$3)^X163</f>
        <v/>
      </c>
      <c r="Z163" s="26">
        <f>IF(U163=0,"",ROUND(Y163/U163*100,1))</f>
        <v/>
      </c>
      <c r="AA163" s="27">
        <f>Y163*Assumptions!$B$4</f>
        <v/>
      </c>
      <c r="AB163" s="26">
        <f>IF(U163=0,"",ROUND(AA163/U163*100,1))</f>
        <v/>
      </c>
      <c r="AC163" s="27">
        <f>Y163-AA163</f>
        <v/>
      </c>
      <c r="AD163" s="26">
        <f>IF(U163=0,"",ROUND((Y163-AA163)/U163*100,1))</f>
        <v/>
      </c>
      <c r="AE163" s="28" t="inlineStr">
        <is>
          <t>OK — totals reconciled</t>
        </is>
      </c>
      <c r="AF163" s="29" t="inlineStr">
        <is>
          <t>https://scalzilliaj.com.br/sgc/download.php?file=files/processo_documento/processo_documento09514021082025_1_.pdf&amp;nome=04 - Relação de credores das Recuperandas</t>
        </is>
      </c>
      <c r="AG163" s="28" t="inlineStr">
        <is>
          <t>p65 r2</t>
        </is>
      </c>
      <c r="AH163" s="28" t="inlineStr">
        <is>
          <t>p65: R$ 1.645.536,00</t>
        </is>
      </c>
      <c r="AI163" s="28" t="inlineStr">
        <is>
          <t>Debtor list (art. 51)</t>
        </is>
      </c>
      <c r="AJ163" s="28" t="inlineStr"/>
      <c r="AK163" s="28" t="inlineStr">
        <is>
          <t>NONE FOUND</t>
        </is>
      </c>
      <c r="AL163" s="30" t="inlineStr">
        <is>
          <t>(not printed)</t>
        </is>
      </c>
      <c r="AM163" s="30" t="inlineStr"/>
      <c r="AN163" s="30" t="inlineStr"/>
      <c r="AO163" s="30" t="inlineStr"/>
      <c r="AP163" s="30" t="inlineStr">
        <is>
          <t>RJ case number not identified on the document</t>
        </is>
      </c>
      <c r="AQ163" s="30" t="inlineStr"/>
      <c r="AR163" s="30" t="inlineStr">
        <is>
          <t>portal page title / URL — not printed on the list</t>
        </is>
      </c>
      <c r="AS163" s="30" t="inlineStr">
        <is>
          <t>VICOSA</t>
        </is>
      </c>
      <c r="AT163" s="30" t="inlineStr">
        <is>
          <t>MG</t>
        </is>
      </c>
      <c r="AU163" s="30" t="inlineStr">
        <is>
          <t>Serviços de preparação do terreno não especificados anteriormente</t>
        </is>
      </c>
      <c r="AV163" s="30" t="inlineStr">
        <is>
          <t>DEMAIS</t>
        </is>
      </c>
      <c r="AW163" s="31" t="n">
        <v>9800000</v>
      </c>
      <c r="AX163" s="30" t="inlineStr">
        <is>
          <t>MID-MARKET</t>
        </is>
      </c>
      <c r="AY163" s="30" t="inlineStr">
        <is>
          <t>20286415</t>
        </is>
      </c>
      <c r="AZ163" s="30" t="n">
        <v>1</v>
      </c>
      <c r="BA163" s="30" t="inlineStr">
        <is>
          <t>ROWS:p65r2 VALUE_COL:Valor_Atualizado CASE_NUMBER_CORRECTED</t>
        </is>
      </c>
    </row>
    <row r="164">
      <c r="A164" s="16" t="inlineStr">
        <is>
          <t>NEOMAR ARTIGOS INFANTIS EM GERAL LTDA</t>
        </is>
      </c>
      <c r="B164" s="17" t="n">
        <v>875418.05</v>
      </c>
      <c r="C164" s="18" t="inlineStr">
        <is>
          <t>Grupo Battisti</t>
        </is>
      </c>
      <c r="D164" s="19" t="inlineStr">
        <is>
          <t>NEW</t>
        </is>
      </c>
      <c r="E164" s="20" t="inlineStr"/>
      <c r="F164" s="19" t="inlineStr"/>
      <c r="G164" s="20" t="inlineStr"/>
      <c r="H164" s="19" t="inlineStr"/>
      <c r="I164" s="21" t="inlineStr">
        <is>
          <t>ANDRE LUIZ SCRAMIN QUESADA</t>
        </is>
      </c>
      <c r="J164" s="21" t="inlineStr">
        <is>
          <t>Sócio-Administrador (RFB partner)</t>
        </is>
      </c>
      <c r="K164" s="21" t="inlineStr">
        <is>
          <t>(43) 3312-0489</t>
        </is>
      </c>
      <c r="L164" s="21" t="inlineStr"/>
      <c r="M164" s="21" t="inlineStr"/>
      <c r="N164" s="21" t="inlineStr"/>
      <c r="O164" s="21" t="inlineStr"/>
      <c r="P164" s="21" t="inlineStr"/>
      <c r="Q164" s="21" t="inlineStr"/>
      <c r="R164" s="21" t="inlineStr"/>
      <c r="S164" s="21" t="inlineStr"/>
      <c r="T164" s="21" t="inlineStr">
        <is>
          <t>RFB partner (QSA); no Apollo match</t>
        </is>
      </c>
      <c r="U164" s="22" t="n">
        <v>875418.05</v>
      </c>
      <c r="V164" s="23" t="inlineStr">
        <is>
          <t>B</t>
        </is>
      </c>
      <c r="W164" s="24">
        <f>IFERROR(VLOOKUP(V164,Assumptions!$A$7:$F$11,2,FALSE),0)</f>
        <v/>
      </c>
      <c r="X164" s="25">
        <f>IF(V164="A",MAX(1,IFERROR(VLOOKUP(V164,Assumptions!$A$7:$F$11,3,FALSE),3)+IFERROR(VLOOKUP(V164,Assumptions!$A$7:$F$11,4,FALSE),8)/2-MAX(0,IF(AO164="",0,YEAR(TODAY())-AO164)-IFERROR(VLOOKUP(V164,Assumptions!$A$7:$F$11,5,FALSE),1.5))),IFERROR(VLOOKUP(V164,Assumptions!$A$7:$F$11,5,FALSE),2.5)+IFERROR(VLOOKUP(V164,Assumptions!$A$7:$F$11,3,FALSE),3)+IFERROR(VLOOKUP(V164,Assumptions!$A$7:$F$11,4,FALSE),8)/2)</f>
        <v/>
      </c>
      <c r="Y164" s="22">
        <f>U164*W164/(1+Assumptions!$B$3)^X164</f>
        <v/>
      </c>
      <c r="Z164" s="26">
        <f>IF(U164=0,"",ROUND(Y164/U164*100,1))</f>
        <v/>
      </c>
      <c r="AA164" s="27">
        <f>Y164*Assumptions!$B$4</f>
        <v/>
      </c>
      <c r="AB164" s="26">
        <f>IF(U164=0,"",ROUND(AA164/U164*100,1))</f>
        <v/>
      </c>
      <c r="AC164" s="27">
        <f>Y164-AA164</f>
        <v/>
      </c>
      <c r="AD164" s="26">
        <f>IF(U164=0,"",ROUND((Y164-AA164)/U164*100,1))</f>
        <v/>
      </c>
      <c r="AE164" s="33" t="inlineStr">
        <is>
          <t>NO TOTALS — list prints none; check page</t>
        </is>
      </c>
      <c r="AF164" s="29" t="inlineStr">
        <is>
          <t>https://marquesadmjudicial.com.br/sgc/download.php?file=files/processo_documento/processo_documento10074612042024_1_.pdf&amp;nome=2º Edital-Relação de Credores AJ e PRJ</t>
        </is>
      </c>
      <c r="AG164" s="28" t="inlineStr">
        <is>
          <t>p2 r19</t>
        </is>
      </c>
      <c r="AH164" s="28" t="inlineStr">
        <is>
          <t>p2: R$ 875.418,05</t>
        </is>
      </c>
      <c r="AI164" s="28" t="inlineStr">
        <is>
          <t>AJ list (art. 7 §2)</t>
        </is>
      </c>
      <c r="AJ164" s="28" t="inlineStr">
        <is>
          <t>2024-01-12</t>
        </is>
      </c>
      <c r="AK164" s="28" t="inlineStr">
        <is>
          <t>NONE FOUND</t>
        </is>
      </c>
      <c r="AL164" s="30" t="inlineStr">
        <is>
          <t>0000357-17.2024.8.16.0131</t>
        </is>
      </c>
      <c r="AM164" s="30" t="inlineStr">
        <is>
          <t>TJPR</t>
        </is>
      </c>
      <c r="AN164" s="30" t="inlineStr">
        <is>
          <t>ACTIVE</t>
        </is>
      </c>
      <c r="AO164" s="30" t="n">
        <v>2024</v>
      </c>
      <c r="AP164" s="30" t="inlineStr">
        <is>
          <t>live case, no plan document yet</t>
        </is>
      </c>
      <c r="AQ164" s="30" t="inlineStr">
        <is>
          <t>12.433.661/0001-90</t>
        </is>
      </c>
      <c r="AR164" s="30" t="inlineStr">
        <is>
          <t>printed on the list (read twice)</t>
        </is>
      </c>
      <c r="AS164" s="30" t="inlineStr">
        <is>
          <t>ARAPONGAS</t>
        </is>
      </c>
      <c r="AT164" s="30" t="inlineStr">
        <is>
          <t>PR</t>
        </is>
      </c>
      <c r="AU164" s="30" t="inlineStr">
        <is>
          <t>Comércio atacadista de outros equipamentos e artigos de uso pessoal e doméstico não especificados anteriormente</t>
        </is>
      </c>
      <c r="AV164" s="30" t="inlineStr">
        <is>
          <t>EMPRESA DE PEQUENO PORTE</t>
        </is>
      </c>
      <c r="AW164" s="31" t="n">
        <v>150000</v>
      </c>
      <c r="AX164" s="30" t="inlineStr">
        <is>
          <t>SMALL</t>
        </is>
      </c>
      <c r="AY164" s="30" t="inlineStr">
        <is>
          <t>19770372</t>
        </is>
      </c>
      <c r="AZ164" s="30" t="n">
        <v>1</v>
      </c>
      <c r="BA164" s="30" t="inlineStr">
        <is>
          <t>ROWS:p2r19 UNRECONCILED_SOURCE</t>
        </is>
      </c>
    </row>
    <row r="165">
      <c r="A165" s="16" t="inlineStr">
        <is>
          <t>RG COPPER INDUSTRIA E COMERCIO DE CONDUTORES ELETRICOS LTDA</t>
        </is>
      </c>
      <c r="B165" s="17" t="n">
        <v>864147.01</v>
      </c>
      <c r="C165" s="18" t="inlineStr">
        <is>
          <t>Grupo Conduscabos</t>
        </is>
      </c>
      <c r="D165" s="19" t="inlineStr">
        <is>
          <t>NEW</t>
        </is>
      </c>
      <c r="E165" s="20" t="inlineStr"/>
      <c r="F165" s="19" t="inlineStr"/>
      <c r="G165" s="20" t="inlineStr"/>
      <c r="H165" s="19" t="inlineStr"/>
      <c r="I165" s="21" t="inlineStr">
        <is>
          <t>GERSON GOMES DA SILVA</t>
        </is>
      </c>
      <c r="J165" s="21" t="inlineStr">
        <is>
          <t>Sócio-Administrador (RFB partner)</t>
        </is>
      </c>
      <c r="K165" s="21" t="inlineStr">
        <is>
          <t>(11) 2507-5535</t>
        </is>
      </c>
      <c r="L165" s="21" t="inlineStr"/>
      <c r="M165" s="21" t="inlineStr"/>
      <c r="N165" s="21" t="inlineStr"/>
      <c r="O165" s="21" t="inlineStr"/>
      <c r="P165" s="21" t="inlineStr">
        <is>
          <t>RODRIGO RIBEIRO DOS SANTOS</t>
        </is>
      </c>
      <c r="Q165" s="21" t="inlineStr">
        <is>
          <t>Sócio-Administrador (RFB partner)</t>
        </is>
      </c>
      <c r="R165" s="21" t="inlineStr"/>
      <c r="S165" s="21" t="inlineStr"/>
      <c r="T165" s="21" t="inlineStr">
        <is>
          <t>RFB partner (QSA); no Apollo match</t>
        </is>
      </c>
      <c r="U165" s="22" t="n">
        <v>864147.01</v>
      </c>
      <c r="V165" s="23" t="inlineStr">
        <is>
          <t>B</t>
        </is>
      </c>
      <c r="W165" s="24">
        <f>IFERROR(VLOOKUP(V165,Assumptions!$A$7:$F$11,2,FALSE),0)</f>
        <v/>
      </c>
      <c r="X165" s="25">
        <f>IF(V165="A",MAX(1,IFERROR(VLOOKUP(V165,Assumptions!$A$7:$F$11,3,FALSE),3)+IFERROR(VLOOKUP(V165,Assumptions!$A$7:$F$11,4,FALSE),8)/2-MAX(0,IF(AO165="",0,YEAR(TODAY())-AO165)-IFERROR(VLOOKUP(V165,Assumptions!$A$7:$F$11,5,FALSE),1.5))),IFERROR(VLOOKUP(V165,Assumptions!$A$7:$F$11,5,FALSE),2.5)+IFERROR(VLOOKUP(V165,Assumptions!$A$7:$F$11,3,FALSE),3)+IFERROR(VLOOKUP(V165,Assumptions!$A$7:$F$11,4,FALSE),8)/2)</f>
        <v/>
      </c>
      <c r="Y165" s="22">
        <f>U165*W165/(1+Assumptions!$B$3)^X165</f>
        <v/>
      </c>
      <c r="Z165" s="26">
        <f>IF(U165=0,"",ROUND(Y165/U165*100,1))</f>
        <v/>
      </c>
      <c r="AA165" s="27">
        <f>Y165*Assumptions!$B$4</f>
        <v/>
      </c>
      <c r="AB165" s="26">
        <f>IF(U165=0,"",ROUND(AA165/U165*100,1))</f>
        <v/>
      </c>
      <c r="AC165" s="27">
        <f>Y165-AA165</f>
        <v/>
      </c>
      <c r="AD165" s="26">
        <f>IF(U165=0,"",ROUND((Y165-AA165)/U165*100,1))</f>
        <v/>
      </c>
      <c r="AE165" s="33" t="inlineStr">
        <is>
          <t>NO TOTALS — list prints none; check page</t>
        </is>
      </c>
      <c r="AF165" s="29" t="inlineStr">
        <is>
          <t>https://assistjud.com.br/wp-content/uploads/elementor/forms/65098c80a5824.pdf</t>
        </is>
      </c>
      <c r="AG165" s="28" t="inlineStr">
        <is>
          <t>p9 r14</t>
        </is>
      </c>
      <c r="AH165" s="28" t="inlineStr">
        <is>
          <t>p9: R$ 864.147,01</t>
        </is>
      </c>
      <c r="AI165" s="28" t="inlineStr">
        <is>
          <t>AJ list (art. 7 §2)</t>
        </is>
      </c>
      <c r="AJ165" s="28" t="inlineStr">
        <is>
          <t>2023-09-18</t>
        </is>
      </c>
      <c r="AK165" s="28" t="inlineStr">
        <is>
          <t>NONE FOUND</t>
        </is>
      </c>
      <c r="AL165" s="30" t="inlineStr">
        <is>
          <t>8005129-09.2023.8.05.0039</t>
        </is>
      </c>
      <c r="AM165" s="30" t="inlineStr">
        <is>
          <t>TJBA</t>
        </is>
      </c>
      <c r="AN165" s="30" t="inlineStr">
        <is>
          <t>ACTIVE</t>
        </is>
      </c>
      <c r="AO165" s="30" t="n">
        <v>2023</v>
      </c>
      <c r="AP165" s="30" t="inlineStr">
        <is>
          <t>live case, no plan document yet</t>
        </is>
      </c>
      <c r="AQ165" s="30" t="inlineStr"/>
      <c r="AR165" s="30" t="inlineStr">
        <is>
          <t>printed on the list (read twice)</t>
        </is>
      </c>
      <c r="AS165" s="30" t="inlineStr">
        <is>
          <t>JARDINOPOLIS</t>
        </is>
      </c>
      <c r="AT165" s="30" t="inlineStr">
        <is>
          <t>SP</t>
        </is>
      </c>
      <c r="AU165" s="30" t="inlineStr">
        <is>
          <t>Fabricação de fios, cabos e condutores elétricos isolados</t>
        </is>
      </c>
      <c r="AV165" s="30" t="inlineStr">
        <is>
          <t>DEMAIS</t>
        </is>
      </c>
      <c r="AW165" s="31" t="n">
        <v>200000</v>
      </c>
      <c r="AX165" s="30" t="inlineStr">
        <is>
          <t>MID-MARKET</t>
        </is>
      </c>
      <c r="AY165" s="30" t="inlineStr">
        <is>
          <t>21044682</t>
        </is>
      </c>
      <c r="AZ165" s="30" t="n">
        <v>1</v>
      </c>
      <c r="BA165" s="30" t="inlineStr">
        <is>
          <t>ROWS:p9r14 UNRECONCILED_SOURCE</t>
        </is>
      </c>
    </row>
    <row r="166">
      <c r="A166" s="16" t="inlineStr">
        <is>
          <t>VIBRA ENERGIA S.A</t>
        </is>
      </c>
      <c r="B166" s="17" t="n">
        <v>1607742.88</v>
      </c>
      <c r="C166" s="37" t="inlineStr">
        <is>
          <t>(debtor not identified — see proof)</t>
        </is>
      </c>
      <c r="D166" s="19" t="inlineStr">
        <is>
          <t>NEW</t>
        </is>
      </c>
      <c r="E166" s="20" t="inlineStr"/>
      <c r="F166" s="19" t="inlineStr"/>
      <c r="G166" s="20" t="inlineStr"/>
      <c r="H166" s="19" t="inlineStr"/>
      <c r="I166" s="21" t="inlineStr">
        <is>
          <t>ERNESTO PERES POUSADA JUNIOR</t>
        </is>
      </c>
      <c r="J166" s="21" t="inlineStr">
        <is>
          <t>Presidente (RFB partner)</t>
        </is>
      </c>
      <c r="K166" s="21" t="inlineStr">
        <is>
          <t>(21) 2354-3151</t>
        </is>
      </c>
      <c r="L166" s="21" t="inlineStr">
        <is>
          <t>(21) 2354-3146</t>
        </is>
      </c>
      <c r="M166" s="21" t="inlineStr"/>
      <c r="N166" s="21" t="inlineStr"/>
      <c r="O166" s="21" t="inlineStr"/>
      <c r="P166" s="21" t="inlineStr">
        <is>
          <t>DANIEL DRUMOND CAMPOS E SILVA</t>
        </is>
      </c>
      <c r="Q166" s="21" t="inlineStr">
        <is>
          <t>Diretor (RFB partner)</t>
        </is>
      </c>
      <c r="R166" s="21" t="inlineStr"/>
      <c r="S166" s="21" t="inlineStr"/>
      <c r="T166" s="21" t="inlineStr">
        <is>
          <t>RFB partner (QSA); no Apollo match</t>
        </is>
      </c>
      <c r="U166" s="22" t="n">
        <v>1607742.88</v>
      </c>
      <c r="V166" s="32" t="inlineStr">
        <is>
          <t>U</t>
        </is>
      </c>
      <c r="W166" s="24">
        <f>IFERROR(VLOOKUP(V166,Assumptions!$A$7:$F$11,2,FALSE),0)</f>
        <v/>
      </c>
      <c r="X166" s="25">
        <f>IF(V166="A",MAX(1,IFERROR(VLOOKUP(V166,Assumptions!$A$7:$F$11,3,FALSE),3)+IFERROR(VLOOKUP(V166,Assumptions!$A$7:$F$11,4,FALSE),8)/2-MAX(0,IF(AO166="",0,YEAR(TODAY())-AO166)-IFERROR(VLOOKUP(V166,Assumptions!$A$7:$F$11,5,FALSE),1.5))),IFERROR(VLOOKUP(V166,Assumptions!$A$7:$F$11,5,FALSE),2.5)+IFERROR(VLOOKUP(V166,Assumptions!$A$7:$F$11,3,FALSE),3)+IFERROR(VLOOKUP(V166,Assumptions!$A$7:$F$11,4,FALSE),8)/2)</f>
        <v/>
      </c>
      <c r="Y166" s="22">
        <f>U166*W166/(1+Assumptions!$B$3)^X166</f>
        <v/>
      </c>
      <c r="Z166" s="26">
        <f>IF(U166=0,"",ROUND(Y166/U166*100,1))</f>
        <v/>
      </c>
      <c r="AA166" s="27">
        <f>Y166*Assumptions!$B$4</f>
        <v/>
      </c>
      <c r="AB166" s="26">
        <f>IF(U166=0,"",ROUND(AA166/U166*100,1))</f>
        <v/>
      </c>
      <c r="AC166" s="27">
        <f>Y166-AA166</f>
        <v/>
      </c>
      <c r="AD166" s="26">
        <f>IF(U166=0,"",ROUND((Y166-AA166)/U166*100,1))</f>
        <v/>
      </c>
      <c r="AE166" s="28" t="inlineStr">
        <is>
          <t>OK — totals reconciled</t>
        </is>
      </c>
      <c r="AF166" s="29" t="inlineStr">
        <is>
          <t>https://ajruiz.com.br/sites/default/files/public/arquivos-processos/2023-11/4_relacao_de_credores_analitica_art._51_iii_da_lre.pdf</t>
        </is>
      </c>
      <c r="AG166" s="28" t="inlineStr">
        <is>
          <t>p3 r43</t>
        </is>
      </c>
      <c r="AH166" s="28" t="inlineStr">
        <is>
          <t>p3: R$ 1.607.742,88</t>
        </is>
      </c>
      <c r="AI166" s="28" t="inlineStr">
        <is>
          <t>Unclassified list</t>
        </is>
      </c>
      <c r="AJ166" s="28" t="inlineStr"/>
      <c r="AK166" s="28" t="inlineStr">
        <is>
          <t>NONE FOUND</t>
        </is>
      </c>
      <c r="AL166" s="30" t="inlineStr">
        <is>
          <t>(not printed)</t>
        </is>
      </c>
      <c r="AM166" s="30" t="inlineStr"/>
      <c r="AN166" s="30" t="inlineStr"/>
      <c r="AO166" s="30" t="inlineStr"/>
      <c r="AP166" s="30" t="inlineStr">
        <is>
          <t>RJ case number not identified on the document</t>
        </is>
      </c>
      <c r="AQ166" s="30" t="inlineStr"/>
      <c r="AR166" s="30" t="inlineStr">
        <is>
          <t>not identified</t>
        </is>
      </c>
      <c r="AS166" s="30" t="inlineStr">
        <is>
          <t>RIO DE JANEIRO</t>
        </is>
      </c>
      <c r="AT166" s="30" t="inlineStr">
        <is>
          <t>RJ</t>
        </is>
      </c>
      <c r="AU166" s="30" t="inlineStr">
        <is>
          <t>Comércio atacadista de álcool carburante, biodiesel, gasolina e demais derivados de petróleo, exceto lubrificantes, não realizado por transportador re</t>
        </is>
      </c>
      <c r="AV166" s="30" t="inlineStr">
        <is>
          <t>DEMAIS</t>
        </is>
      </c>
      <c r="AW166" s="31" t="n">
        <v>12051386000</v>
      </c>
      <c r="AX166" s="30" t="inlineStr">
        <is>
          <t>LARGE CORP</t>
        </is>
      </c>
      <c r="AY166" s="30" t="inlineStr">
        <is>
          <t>34274233</t>
        </is>
      </c>
      <c r="AZ166" s="30" t="n">
        <v>1</v>
      </c>
      <c r="BA166" s="30" t="inlineStr">
        <is>
          <t>ROWS:p3r43 CASE_NUMBER_CORRECTED</t>
        </is>
      </c>
    </row>
    <row r="167">
      <c r="A167" s="16" t="inlineStr">
        <is>
          <t>CARGILL AGRICOLA S A</t>
        </is>
      </c>
      <c r="B167" s="17" t="n">
        <v>852353.71</v>
      </c>
      <c r="C167" s="37" t="inlineStr">
        <is>
          <t>(debtor not identified — see proof)</t>
        </is>
      </c>
      <c r="D167" s="19" t="inlineStr">
        <is>
          <t>NEW</t>
        </is>
      </c>
      <c r="E167" s="20" t="inlineStr"/>
      <c r="F167" s="19" t="inlineStr"/>
      <c r="G167" s="20" t="inlineStr"/>
      <c r="H167" s="19" t="inlineStr"/>
      <c r="I167" s="21" t="inlineStr">
        <is>
          <t>PAULO HUMBERTO ALVES DE SOUSA</t>
        </is>
      </c>
      <c r="J167" s="21" t="inlineStr">
        <is>
          <t>Presidente (RFB partner)</t>
        </is>
      </c>
      <c r="K167" s="21" t="inlineStr">
        <is>
          <t>(11) 5099-3311</t>
        </is>
      </c>
      <c r="L167" s="21" t="inlineStr"/>
      <c r="M167" s="21" t="inlineStr"/>
      <c r="N167" s="21" t="inlineStr"/>
      <c r="O167" s="21" t="inlineStr"/>
      <c r="P167" s="21" t="inlineStr">
        <is>
          <t>ANDREA WANDERLEY DOS ANJOS</t>
        </is>
      </c>
      <c r="Q167" s="21" t="inlineStr">
        <is>
          <t>Diretor (RFB partner)</t>
        </is>
      </c>
      <c r="R167" s="21" t="inlineStr"/>
      <c r="S167" s="21" t="inlineStr"/>
      <c r="T167" s="21" t="inlineStr">
        <is>
          <t>RFB partner (QSA); no Apollo match</t>
        </is>
      </c>
      <c r="U167" s="22" t="n">
        <v>852353.71</v>
      </c>
      <c r="V167" s="23" t="inlineStr">
        <is>
          <t>B</t>
        </is>
      </c>
      <c r="W167" s="24">
        <f>IFERROR(VLOOKUP(V167,Assumptions!$A$7:$F$11,2,FALSE),0)</f>
        <v/>
      </c>
      <c r="X167" s="25">
        <f>IF(V167="A",MAX(1,IFERROR(VLOOKUP(V167,Assumptions!$A$7:$F$11,3,FALSE),3)+IFERROR(VLOOKUP(V167,Assumptions!$A$7:$F$11,4,FALSE),8)/2-MAX(0,IF(AO167="",0,YEAR(TODAY())-AO167)-IFERROR(VLOOKUP(V167,Assumptions!$A$7:$F$11,5,FALSE),1.5))),IFERROR(VLOOKUP(V167,Assumptions!$A$7:$F$11,5,FALSE),2.5)+IFERROR(VLOOKUP(V167,Assumptions!$A$7:$F$11,3,FALSE),3)+IFERROR(VLOOKUP(V167,Assumptions!$A$7:$F$11,4,FALSE),8)/2)</f>
        <v/>
      </c>
      <c r="Y167" s="22">
        <f>U167*W167/(1+Assumptions!$B$3)^X167</f>
        <v/>
      </c>
      <c r="Z167" s="26">
        <f>IF(U167=0,"",ROUND(Y167/U167*100,1))</f>
        <v/>
      </c>
      <c r="AA167" s="27">
        <f>Y167*Assumptions!$B$4</f>
        <v/>
      </c>
      <c r="AB167" s="26">
        <f>IF(U167=0,"",ROUND(AA167/U167*100,1))</f>
        <v/>
      </c>
      <c r="AC167" s="27">
        <f>Y167-AA167</f>
        <v/>
      </c>
      <c r="AD167" s="26">
        <f>IF(U167=0,"",ROUND((Y167-AA167)/U167*100,1))</f>
        <v/>
      </c>
      <c r="AE167" s="33" t="inlineStr">
        <is>
          <t>NO TOTALS — list prints none; check page</t>
        </is>
      </c>
      <c r="AF167" s="29" t="inlineStr">
        <is>
          <t>https://scalzilliaj.com.br/sgc/download.php?file=files/processo_documento/processo_documento11421222052026_1_.pdf&amp;nome=08. Lista de credores do edital do art. 52, §1º da LREF</t>
        </is>
      </c>
      <c r="AG167" s="28" t="inlineStr">
        <is>
          <t>p4 r5</t>
        </is>
      </c>
      <c r="AH167" s="28" t="inlineStr">
        <is>
          <t>p4: R$ 852.353,71</t>
        </is>
      </c>
      <c r="AI167" s="28" t="inlineStr">
        <is>
          <t>Unclassified list</t>
        </is>
      </c>
      <c r="AJ167" s="28" t="inlineStr"/>
      <c r="AK167" s="28" t="inlineStr">
        <is>
          <t>NONE FOUND</t>
        </is>
      </c>
      <c r="AL167" s="30" t="inlineStr">
        <is>
          <t>5011369-81.2026.8.09.0093</t>
        </is>
      </c>
      <c r="AM167" s="30" t="inlineStr">
        <is>
          <t>TJGO</t>
        </is>
      </c>
      <c r="AN167" s="30" t="inlineStr">
        <is>
          <t>ACTIVE</t>
        </is>
      </c>
      <c r="AO167" s="30" t="n">
        <v>2026</v>
      </c>
      <c r="AP167" s="30" t="inlineStr">
        <is>
          <t>live case, no plan document yet</t>
        </is>
      </c>
      <c r="AQ167" s="30" t="inlineStr"/>
      <c r="AR167" s="30" t="inlineStr">
        <is>
          <t>not identified</t>
        </is>
      </c>
      <c r="AS167" s="30" t="inlineStr">
        <is>
          <t>SAO PAULO</t>
        </is>
      </c>
      <c r="AT167" s="30" t="inlineStr">
        <is>
          <t>SP</t>
        </is>
      </c>
      <c r="AU167" s="30" t="inlineStr">
        <is>
          <t>Fabricação de óleos vegetais refinados, exceto óleo de milho</t>
        </is>
      </c>
      <c r="AV167" s="30" t="inlineStr">
        <is>
          <t>DEMAIS</t>
        </is>
      </c>
      <c r="AW167" s="31" t="n">
        <v>8179542500</v>
      </c>
      <c r="AX167" s="30" t="inlineStr">
        <is>
          <t>LARGE CORP</t>
        </is>
      </c>
      <c r="AY167" s="30" t="inlineStr">
        <is>
          <t>60498706</t>
        </is>
      </c>
      <c r="AZ167" s="30" t="n">
        <v>1</v>
      </c>
      <c r="BA167" s="30" t="inlineStr">
        <is>
          <t>ROWS:p4r5 UNRECONCILED_SOURCE</t>
        </is>
      </c>
    </row>
    <row r="168">
      <c r="A168" s="16" t="inlineStr">
        <is>
          <t>TERRA NOVA AGROINDUSTRIA LTDA</t>
        </is>
      </c>
      <c r="B168" s="17" t="n">
        <v>837280.86</v>
      </c>
      <c r="C168" s="18" t="inlineStr">
        <is>
          <t>Cerealista Safrasul Ltda</t>
        </is>
      </c>
      <c r="D168" s="19" t="inlineStr">
        <is>
          <t>NEW</t>
        </is>
      </c>
      <c r="E168" s="20" t="inlineStr"/>
      <c r="F168" s="19" t="inlineStr"/>
      <c r="G168" s="20" t="inlineStr"/>
      <c r="H168" s="19" t="inlineStr"/>
      <c r="I168" s="21" t="inlineStr">
        <is>
          <t>THALLES DANTAS ROMAO</t>
        </is>
      </c>
      <c r="J168" s="21" t="inlineStr">
        <is>
          <t>Sócio-Administrador (RFB partner)</t>
        </is>
      </c>
      <c r="K168" s="21" t="inlineStr">
        <is>
          <t>(65) 3682-9494</t>
        </is>
      </c>
      <c r="L168" s="21" t="inlineStr">
        <is>
          <t>(65) 8152-0065</t>
        </is>
      </c>
      <c r="M168" s="21" t="inlineStr"/>
      <c r="N168" s="21" t="inlineStr"/>
      <c r="O168" s="21" t="inlineStr"/>
      <c r="P168" s="21" t="inlineStr"/>
      <c r="Q168" s="21" t="inlineStr"/>
      <c r="R168" s="21" t="inlineStr"/>
      <c r="S168" s="21" t="inlineStr"/>
      <c r="T168" s="21" t="inlineStr">
        <is>
          <t>RFB partner (QSA); no Apollo match</t>
        </is>
      </c>
      <c r="U168" s="22" t="n">
        <v>837280.86</v>
      </c>
      <c r="V168" s="23" t="inlineStr">
        <is>
          <t>B</t>
        </is>
      </c>
      <c r="W168" s="24">
        <f>IFERROR(VLOOKUP(V168,Assumptions!$A$7:$F$11,2,FALSE),0)</f>
        <v/>
      </c>
      <c r="X168" s="25">
        <f>IF(V168="A",MAX(1,IFERROR(VLOOKUP(V168,Assumptions!$A$7:$F$11,3,FALSE),3)+IFERROR(VLOOKUP(V168,Assumptions!$A$7:$F$11,4,FALSE),8)/2-MAX(0,IF(AO168="",0,YEAR(TODAY())-AO168)-IFERROR(VLOOKUP(V168,Assumptions!$A$7:$F$11,5,FALSE),1.5))),IFERROR(VLOOKUP(V168,Assumptions!$A$7:$F$11,5,FALSE),2.5)+IFERROR(VLOOKUP(V168,Assumptions!$A$7:$F$11,3,FALSE),3)+IFERROR(VLOOKUP(V168,Assumptions!$A$7:$F$11,4,FALSE),8)/2)</f>
        <v/>
      </c>
      <c r="Y168" s="22">
        <f>U168*W168/(1+Assumptions!$B$3)^X168</f>
        <v/>
      </c>
      <c r="Z168" s="26">
        <f>IF(U168=0,"",ROUND(Y168/U168*100,1))</f>
        <v/>
      </c>
      <c r="AA168" s="27">
        <f>Y168*Assumptions!$B$4</f>
        <v/>
      </c>
      <c r="AB168" s="26">
        <f>IF(U168=0,"",ROUND(AA168/U168*100,1))</f>
        <v/>
      </c>
      <c r="AC168" s="27">
        <f>Y168-AA168</f>
        <v/>
      </c>
      <c r="AD168" s="26">
        <f>IF(U168=0,"",ROUND((Y168-AA168)/U168*100,1))</f>
        <v/>
      </c>
      <c r="AE168" s="33" t="inlineStr">
        <is>
          <t>NO TOTALS — list prints none; check page</t>
        </is>
      </c>
      <c r="AF168" s="29" t="inlineStr">
        <is>
          <t>https://ajruiz.com.br/sites/default/files/public/arquivos-processos/2026-01/safrasul_relacao_de_credores_recuperanda.pdf</t>
        </is>
      </c>
      <c r="AG168" s="28" t="inlineStr">
        <is>
          <t>p8 r38</t>
        </is>
      </c>
      <c r="AH168" s="28" t="inlineStr">
        <is>
          <t>p8: R$ 837.280,86</t>
        </is>
      </c>
      <c r="AI168" s="28" t="inlineStr">
        <is>
          <t>AJ list (art. 7 §2)</t>
        </is>
      </c>
      <c r="AJ168" s="28" t="inlineStr">
        <is>
          <t>2026-01-14</t>
        </is>
      </c>
      <c r="AK168" s="28" t="inlineStr">
        <is>
          <t>NONE FOUND</t>
        </is>
      </c>
      <c r="AL168" s="30" t="inlineStr">
        <is>
          <t>4000167-23.2025.8.26.0373</t>
        </is>
      </c>
      <c r="AM168" s="30" t="inlineStr">
        <is>
          <t>TJSP</t>
        </is>
      </c>
      <c r="AN168" s="30" t="inlineStr">
        <is>
          <t>ACTIVE</t>
        </is>
      </c>
      <c r="AO168" s="30" t="n">
        <v>2025</v>
      </c>
      <c r="AP168" s="30" t="inlineStr">
        <is>
          <t>live case, no plan document yet</t>
        </is>
      </c>
      <c r="AQ168" s="30" t="inlineStr"/>
      <c r="AR168" s="30" t="inlineStr">
        <is>
          <t>printed on the list (read twice)</t>
        </is>
      </c>
      <c r="AS168" s="30" t="inlineStr">
        <is>
          <t>VARZEA GRANDE</t>
        </is>
      </c>
      <c r="AT168" s="30" t="inlineStr">
        <is>
          <t>MT</t>
        </is>
      </c>
      <c r="AU168" s="30" t="inlineStr">
        <is>
          <t>Beneficiamento de arroz</t>
        </is>
      </c>
      <c r="AV168" s="30" t="inlineStr">
        <is>
          <t>DEMAIS</t>
        </is>
      </c>
      <c r="AW168" s="31" t="n">
        <v>2020000</v>
      </c>
      <c r="AX168" s="30" t="inlineStr">
        <is>
          <t>MID-MARKET</t>
        </is>
      </c>
      <c r="AY168" s="30" t="inlineStr">
        <is>
          <t>07175357</t>
        </is>
      </c>
      <c r="AZ168" s="30" t="n">
        <v>1</v>
      </c>
      <c r="BA168" s="30" t="inlineStr">
        <is>
          <t>ROWS:p8r38 UNRECONCILED_SOURCE</t>
        </is>
      </c>
    </row>
    <row r="169">
      <c r="A169" s="16" t="inlineStr">
        <is>
          <t>SEM PARAR INSTITUICAO DE PAGAMENTO LTDA</t>
        </is>
      </c>
      <c r="B169" s="17" t="n">
        <v>825597.87</v>
      </c>
      <c r="C169" s="18" t="inlineStr">
        <is>
          <t>GRUPO D&amp;D</t>
        </is>
      </c>
      <c r="D169" s="19" t="inlineStr">
        <is>
          <t>NEW</t>
        </is>
      </c>
      <c r="E169" s="20" t="inlineStr"/>
      <c r="F169" s="19" t="inlineStr"/>
      <c r="G169" s="20" t="inlineStr"/>
      <c r="H169" s="19" t="inlineStr"/>
      <c r="I169" s="21" t="inlineStr">
        <is>
          <t>Monik Lima</t>
        </is>
      </c>
      <c r="J169" s="21" t="inlineStr">
        <is>
          <t>Coordenador de Tesouraria</t>
        </is>
      </c>
      <c r="K169" s="21" t="inlineStr">
        <is>
          <t>(11) 4573-2300</t>
        </is>
      </c>
      <c r="L169" s="21" t="inlineStr"/>
      <c r="M169" s="21" t="inlineStr"/>
      <c r="N169" s="21" t="inlineStr">
        <is>
          <t>monik.lima@semparar.com.br</t>
        </is>
      </c>
      <c r="O169" s="21" t="inlineStr"/>
      <c r="P169" s="21" t="inlineStr">
        <is>
          <t>Mauro Leopoldina</t>
        </is>
      </c>
      <c r="Q169" s="21" t="inlineStr">
        <is>
          <t>Analista de Crédito e Cobrança na Corpay</t>
        </is>
      </c>
      <c r="R169" s="21" t="inlineStr"/>
      <c r="S169" s="21" t="inlineStr"/>
      <c r="T169" s="21" t="inlineStr">
        <is>
          <t>email verified by Apollo</t>
        </is>
      </c>
      <c r="U169" s="22" t="n">
        <v>825597.87</v>
      </c>
      <c r="V169" s="23" t="inlineStr">
        <is>
          <t>B</t>
        </is>
      </c>
      <c r="W169" s="24">
        <f>IFERROR(VLOOKUP(V169,Assumptions!$A$7:$F$11,2,FALSE),0)</f>
        <v/>
      </c>
      <c r="X169" s="25">
        <f>IF(V169="A",MAX(1,IFERROR(VLOOKUP(V169,Assumptions!$A$7:$F$11,3,FALSE),3)+IFERROR(VLOOKUP(V169,Assumptions!$A$7:$F$11,4,FALSE),8)/2-MAX(0,IF(AO169="",0,YEAR(TODAY())-AO169)-IFERROR(VLOOKUP(V169,Assumptions!$A$7:$F$11,5,FALSE),1.5))),IFERROR(VLOOKUP(V169,Assumptions!$A$7:$F$11,5,FALSE),2.5)+IFERROR(VLOOKUP(V169,Assumptions!$A$7:$F$11,3,FALSE),3)+IFERROR(VLOOKUP(V169,Assumptions!$A$7:$F$11,4,FALSE),8)/2)</f>
        <v/>
      </c>
      <c r="Y169" s="22">
        <f>U169*W169/(1+Assumptions!$B$3)^X169</f>
        <v/>
      </c>
      <c r="Z169" s="26">
        <f>IF(U169=0,"",ROUND(Y169/U169*100,1))</f>
        <v/>
      </c>
      <c r="AA169" s="27">
        <f>Y169*Assumptions!$B$4</f>
        <v/>
      </c>
      <c r="AB169" s="26">
        <f>IF(U169=0,"",ROUND(AA169/U169*100,1))</f>
        <v/>
      </c>
      <c r="AC169" s="27">
        <f>Y169-AA169</f>
        <v/>
      </c>
      <c r="AD169" s="26">
        <f>IF(U169=0,"",ROUND((Y169-AA169)/U169*100,1))</f>
        <v/>
      </c>
      <c r="AE169" s="34" t="inlineStr">
        <is>
          <t>PARTIAL — class III reconciled, other classes not</t>
        </is>
      </c>
      <c r="AF169" s="29" t="inlineStr">
        <is>
          <t>https://marquesadmjudicial.com.br/sgc/download.php?file=files/processo_documento/processo_documento20014127022025_1_.pdf&amp;nome=Relação Nominal de Credores</t>
        </is>
      </c>
      <c r="AG169" s="28" t="inlineStr">
        <is>
          <t>p5 r17</t>
        </is>
      </c>
      <c r="AH169" s="28" t="inlineStr">
        <is>
          <t>p5: R$ 825.597,87</t>
        </is>
      </c>
      <c r="AI169" s="28" t="inlineStr">
        <is>
          <t>AJ list (art. 7 §2)</t>
        </is>
      </c>
      <c r="AJ169" s="28" t="inlineStr">
        <is>
          <t>2024-11-08</t>
        </is>
      </c>
      <c r="AK169" s="28" t="inlineStr">
        <is>
          <t>NONE FOUND</t>
        </is>
      </c>
      <c r="AL169" s="30" t="inlineStr">
        <is>
          <t>0001943-40.2024.8.16.0115</t>
        </is>
      </c>
      <c r="AM169" s="30" t="inlineStr">
        <is>
          <t>TJPR</t>
        </is>
      </c>
      <c r="AN169" s="30" t="inlineStr">
        <is>
          <t>ACTIVE</t>
        </is>
      </c>
      <c r="AO169" s="30" t="n">
        <v>2024</v>
      </c>
      <c r="AP169" s="30" t="inlineStr">
        <is>
          <t>live case, no plan document yet</t>
        </is>
      </c>
      <c r="AQ169" s="30" t="inlineStr"/>
      <c r="AR169" s="30" t="inlineStr">
        <is>
          <t>printed on the list (read twice)</t>
        </is>
      </c>
      <c r="AS169" s="30" t="inlineStr">
        <is>
          <t>SAO PAULO</t>
        </is>
      </c>
      <c r="AT169" s="30" t="inlineStr">
        <is>
          <t>SP</t>
        </is>
      </c>
      <c r="AU169" s="30" t="inlineStr">
        <is>
          <t>Outras atividades de serviços prestados principalmente às empresas não especificadas anteriormente</t>
        </is>
      </c>
      <c r="AV169" s="30" t="inlineStr">
        <is>
          <t>DEMAIS</t>
        </is>
      </c>
      <c r="AW169" s="31" t="n">
        <v>4691251700</v>
      </c>
      <c r="AX169" s="30" t="inlineStr">
        <is>
          <t>LARGE CORP</t>
        </is>
      </c>
      <c r="AY169" s="30" t="inlineStr">
        <is>
          <t>04088208</t>
        </is>
      </c>
      <c r="AZ169" s="30" t="n">
        <v>1</v>
      </c>
      <c r="BA169" s="30" t="inlineStr">
        <is>
          <t>PARTIAL_DOC_CLASS_III_RECONCILED ROWS:p5r17</t>
        </is>
      </c>
    </row>
    <row r="170">
      <c r="A170" s="16" t="inlineStr">
        <is>
          <t>RAFITEC SOLUCOES EM PLASTICOS LTDA</t>
        </is>
      </c>
      <c r="B170" s="17" t="n">
        <v>824696.62</v>
      </c>
      <c r="C170" s="18" t="inlineStr">
        <is>
          <t>TOP TEXTIL EMBALAGENS LTDA</t>
        </is>
      </c>
      <c r="D170" s="19" t="inlineStr">
        <is>
          <t>NEW</t>
        </is>
      </c>
      <c r="E170" s="20" t="inlineStr"/>
      <c r="F170" s="19" t="inlineStr"/>
      <c r="G170" s="20" t="inlineStr"/>
      <c r="H170" s="19" t="inlineStr"/>
      <c r="I170" s="21" t="inlineStr">
        <is>
          <t>Leocir Fellini</t>
        </is>
      </c>
      <c r="J170" s="21" t="inlineStr">
        <is>
          <t>Financial Manager</t>
        </is>
      </c>
      <c r="K170" s="21" t="inlineStr">
        <is>
          <t>(49) 3353-8383</t>
        </is>
      </c>
      <c r="L170" s="21" t="inlineStr"/>
      <c r="M170" s="21" t="inlineStr"/>
      <c r="N170" s="21" t="inlineStr"/>
      <c r="O170" s="21" t="inlineStr">
        <is>
          <t>gian.ely@rafitec.com.br</t>
        </is>
      </c>
      <c r="P170" s="21" t="inlineStr">
        <is>
          <t>Gian Ely</t>
        </is>
      </c>
      <c r="Q170" s="21" t="inlineStr">
        <is>
          <t>Coordenador - Contoladoria e Custos</t>
        </is>
      </c>
      <c r="R170" s="21" t="inlineStr"/>
      <c r="S170" s="21" t="inlineStr">
        <is>
          <t>gian.ely@rafitec.com.br</t>
        </is>
      </c>
      <c r="T170" s="21" t="inlineStr">
        <is>
          <t>no work email found in Apollo</t>
        </is>
      </c>
      <c r="U170" s="22" t="n">
        <v>824696.62</v>
      </c>
      <c r="V170" s="23" t="inlineStr">
        <is>
          <t>B</t>
        </is>
      </c>
      <c r="W170" s="24">
        <f>IFERROR(VLOOKUP(V170,Assumptions!$A$7:$F$11,2,FALSE),0)</f>
        <v/>
      </c>
      <c r="X170" s="25">
        <f>IF(V170="A",MAX(1,IFERROR(VLOOKUP(V170,Assumptions!$A$7:$F$11,3,FALSE),3)+IFERROR(VLOOKUP(V170,Assumptions!$A$7:$F$11,4,FALSE),8)/2-MAX(0,IF(AO170="",0,YEAR(TODAY())-AO170)-IFERROR(VLOOKUP(V170,Assumptions!$A$7:$F$11,5,FALSE),1.5))),IFERROR(VLOOKUP(V170,Assumptions!$A$7:$F$11,5,FALSE),2.5)+IFERROR(VLOOKUP(V170,Assumptions!$A$7:$F$11,3,FALSE),3)+IFERROR(VLOOKUP(V170,Assumptions!$A$7:$F$11,4,FALSE),8)/2)</f>
        <v/>
      </c>
      <c r="Y170" s="22">
        <f>U170*W170/(1+Assumptions!$B$3)^X170</f>
        <v/>
      </c>
      <c r="Z170" s="26">
        <f>IF(U170=0,"",ROUND(Y170/U170*100,1))</f>
        <v/>
      </c>
      <c r="AA170" s="27">
        <f>Y170*Assumptions!$B$4</f>
        <v/>
      </c>
      <c r="AB170" s="26">
        <f>IF(U170=0,"",ROUND(AA170/U170*100,1))</f>
        <v/>
      </c>
      <c r="AC170" s="27">
        <f>Y170-AA170</f>
        <v/>
      </c>
      <c r="AD170" s="26">
        <f>IF(U170=0,"",ROUND((Y170-AA170)/U170*100,1))</f>
        <v/>
      </c>
      <c r="AE170" s="33" t="inlineStr">
        <is>
          <t>NO TOTALS — list prints none; check page</t>
        </is>
      </c>
      <c r="AF170" s="29" t="inlineStr">
        <is>
          <t>https://cataliseaj.com.br/sgc/download.php?file=files/processo_documento/processo_documento15092204102024_1_.pdf&amp;nome=02. RELAÇÃO DE CREDORES</t>
        </is>
      </c>
      <c r="AG170" s="28" t="inlineStr">
        <is>
          <t>p3 r8</t>
        </is>
      </c>
      <c r="AH170" s="28" t="inlineStr">
        <is>
          <t>p3: R$ 824.696,62</t>
        </is>
      </c>
      <c r="AI170" s="28" t="inlineStr">
        <is>
          <t>Debtor list (art. 51)</t>
        </is>
      </c>
      <c r="AJ170" s="28" t="inlineStr"/>
      <c r="AK170" s="28" t="inlineStr">
        <is>
          <t>NONE FOUND</t>
        </is>
      </c>
      <c r="AL170" s="30" t="inlineStr">
        <is>
          <t>5011460-87.2023.8.24.0020</t>
        </is>
      </c>
      <c r="AM170" s="30" t="inlineStr">
        <is>
          <t>TJSC</t>
        </is>
      </c>
      <c r="AN170" s="30" t="inlineStr">
        <is>
          <t>ACTIVE</t>
        </is>
      </c>
      <c r="AO170" s="30" t="n">
        <v>2023</v>
      </c>
      <c r="AP170" s="30" t="inlineStr">
        <is>
          <t>live case, no plan document yet</t>
        </is>
      </c>
      <c r="AQ170" s="30" t="inlineStr">
        <is>
          <t>26.588.741/0001-29</t>
        </is>
      </c>
      <c r="AR170" s="30" t="inlineStr">
        <is>
          <t>printed on the list (read twice)</t>
        </is>
      </c>
      <c r="AS170" s="30" t="inlineStr">
        <is>
          <t>XAXIM</t>
        </is>
      </c>
      <c r="AT170" s="30" t="inlineStr">
        <is>
          <t>SC</t>
        </is>
      </c>
      <c r="AU170" s="30" t="inlineStr">
        <is>
          <t>Fiação de fibras artificiais e sintéticas</t>
        </is>
      </c>
      <c r="AV170" s="30" t="inlineStr">
        <is>
          <t>DEMAIS</t>
        </is>
      </c>
      <c r="AW170" s="31" t="n">
        <v>80000000</v>
      </c>
      <c r="AX170" s="30" t="inlineStr">
        <is>
          <t>MID-MARKET</t>
        </is>
      </c>
      <c r="AY170" s="30" t="inlineStr">
        <is>
          <t>00763251</t>
        </is>
      </c>
      <c r="AZ170" s="30" t="n">
        <v>1</v>
      </c>
      <c r="BA170" s="30" t="inlineStr">
        <is>
          <t>ROWS:p3r8 UNRECONCILED_SOURCE</t>
        </is>
      </c>
    </row>
    <row r="171">
      <c r="A171" s="16" t="inlineStr">
        <is>
          <t>CTS - COMERCIO DE APARAS LTDA</t>
        </is>
      </c>
      <c r="B171" s="17" t="n">
        <v>820372.25</v>
      </c>
      <c r="C171" s="18" t="inlineStr">
        <is>
          <t>AZEPLAST INDÚSTRIA E COMÉRCIO LTDA</t>
        </is>
      </c>
      <c r="D171" s="19" t="inlineStr">
        <is>
          <t>NEW</t>
        </is>
      </c>
      <c r="E171" s="20" t="inlineStr"/>
      <c r="F171" s="19" t="inlineStr"/>
      <c r="G171" s="20" t="inlineStr"/>
      <c r="H171" s="19" t="inlineStr"/>
      <c r="I171" s="21" t="inlineStr">
        <is>
          <t>CELSO BASSO</t>
        </is>
      </c>
      <c r="J171" s="21" t="inlineStr">
        <is>
          <t>Sócio-Administrador (RFB partner)</t>
        </is>
      </c>
      <c r="K171" s="21" t="inlineStr">
        <is>
          <t>(51) 3594-6983</t>
        </is>
      </c>
      <c r="L171" s="21" t="inlineStr"/>
      <c r="M171" s="21" t="inlineStr"/>
      <c r="N171" s="21" t="inlineStr"/>
      <c r="O171" s="21" t="inlineStr"/>
      <c r="P171" s="21" t="inlineStr">
        <is>
          <t>THOMAZ BASSO</t>
        </is>
      </c>
      <c r="Q171" s="21" t="inlineStr">
        <is>
          <t>Sócio-Administrador (RFB partner)</t>
        </is>
      </c>
      <c r="R171" s="21" t="inlineStr"/>
      <c r="S171" s="21" t="inlineStr"/>
      <c r="T171" s="21" t="inlineStr">
        <is>
          <t>RFB partner (QSA); no Apollo match</t>
        </is>
      </c>
      <c r="U171" s="22" t="n">
        <v>820372.25</v>
      </c>
      <c r="V171" s="23" t="inlineStr">
        <is>
          <t>B</t>
        </is>
      </c>
      <c r="W171" s="24">
        <f>IFERROR(VLOOKUP(V171,Assumptions!$A$7:$F$11,2,FALSE),0)</f>
        <v/>
      </c>
      <c r="X171" s="25">
        <f>IF(V171="A",MAX(1,IFERROR(VLOOKUP(V171,Assumptions!$A$7:$F$11,3,FALSE),3)+IFERROR(VLOOKUP(V171,Assumptions!$A$7:$F$11,4,FALSE),8)/2-MAX(0,IF(AO171="",0,YEAR(TODAY())-AO171)-IFERROR(VLOOKUP(V171,Assumptions!$A$7:$F$11,5,FALSE),1.5))),IFERROR(VLOOKUP(V171,Assumptions!$A$7:$F$11,5,FALSE),2.5)+IFERROR(VLOOKUP(V171,Assumptions!$A$7:$F$11,3,FALSE),3)+IFERROR(VLOOKUP(V171,Assumptions!$A$7:$F$11,4,FALSE),8)/2)</f>
        <v/>
      </c>
      <c r="Y171" s="22">
        <f>U171*W171/(1+Assumptions!$B$3)^X171</f>
        <v/>
      </c>
      <c r="Z171" s="26">
        <f>IF(U171=0,"",ROUND(Y171/U171*100,1))</f>
        <v/>
      </c>
      <c r="AA171" s="27">
        <f>Y171*Assumptions!$B$4</f>
        <v/>
      </c>
      <c r="AB171" s="26">
        <f>IF(U171=0,"",ROUND(AA171/U171*100,1))</f>
        <v/>
      </c>
      <c r="AC171" s="27">
        <f>Y171-AA171</f>
        <v/>
      </c>
      <c r="AD171" s="26">
        <f>IF(U171=0,"",ROUND((Y171-AA171)/U171*100,1))</f>
        <v/>
      </c>
      <c r="AE171" s="34" t="inlineStr">
        <is>
          <t>PARTIAL — class III reconciled, other classes not</t>
        </is>
      </c>
      <c r="AF171" s="29" t="inlineStr">
        <is>
          <t>https://ajruiz.com.br/sites/default/files/public/arquivos-processos/2026-08/qgc_azeplast_julho_2026.pdf</t>
        </is>
      </c>
      <c r="AG171" s="28" t="inlineStr">
        <is>
          <t>p1 r23; p1 r24</t>
        </is>
      </c>
      <c r="AH171" s="28" t="inlineStr">
        <is>
          <t>p1: R$ 735.532,60; p1: R$ 84.839,65</t>
        </is>
      </c>
      <c r="AI171" s="28" t="inlineStr">
        <is>
          <t>QGC (art. 18)</t>
        </is>
      </c>
      <c r="AJ171" s="28" t="inlineStr"/>
      <c r="AK171" s="28" t="inlineStr">
        <is>
          <t>NONE FOUND</t>
        </is>
      </c>
      <c r="AL171" s="30" t="inlineStr">
        <is>
          <t>5008793-34.2023.8.24.0019</t>
        </is>
      </c>
      <c r="AM171" s="30" t="inlineStr">
        <is>
          <t>TJSC</t>
        </is>
      </c>
      <c r="AN171" s="30" t="inlineStr">
        <is>
          <t>ACTIVE</t>
        </is>
      </c>
      <c r="AO171" s="30" t="n">
        <v>2023</v>
      </c>
      <c r="AP171" s="30" t="inlineStr">
        <is>
          <t>live case, no plan document yet</t>
        </is>
      </c>
      <c r="AQ171" s="30" t="inlineStr">
        <is>
          <t>05.378.317/0001-80</t>
        </is>
      </c>
      <c r="AR171" s="30" t="inlineStr">
        <is>
          <t>printed on the list (read twice)</t>
        </is>
      </c>
      <c r="AS171" s="30" t="inlineStr">
        <is>
          <t>CANOAS</t>
        </is>
      </c>
      <c r="AT171" s="30" t="inlineStr">
        <is>
          <t>RS</t>
        </is>
      </c>
      <c r="AU171" s="30" t="inlineStr">
        <is>
          <t>Recuperação de materiais não especificados anteriormente</t>
        </is>
      </c>
      <c r="AV171" s="30" t="inlineStr">
        <is>
          <t>DEMAIS</t>
        </is>
      </c>
      <c r="AW171" s="31" t="inlineStr"/>
      <c r="AX171" s="30" t="inlineStr">
        <is>
          <t>MID-MARKET</t>
        </is>
      </c>
      <c r="AY171" s="30" t="inlineStr">
        <is>
          <t>68755545</t>
        </is>
      </c>
      <c r="AZ171" s="30" t="n">
        <v>2</v>
      </c>
      <c r="BA171" s="30" t="inlineStr">
        <is>
          <t>PARTIAL_DOC_CLASS_III_RECONCILED ROWS:p1r23,p1r24</t>
        </is>
      </c>
    </row>
    <row r="172">
      <c r="A172" s="16" t="inlineStr">
        <is>
          <t>CITROTEC INDUSTRIA E COMERCIO LTDA</t>
        </is>
      </c>
      <c r="B172" s="17" t="n">
        <v>820000</v>
      </c>
      <c r="C172" s="18" t="inlineStr">
        <is>
          <t>FLAVOUR MIX IND. E REP. ALIM. E INGR. QUÍMICOS LTDA.</t>
        </is>
      </c>
      <c r="D172" s="19" t="inlineStr">
        <is>
          <t>NEW</t>
        </is>
      </c>
      <c r="E172" s="20" t="inlineStr"/>
      <c r="F172" s="19" t="inlineStr"/>
      <c r="G172" s="20" t="inlineStr"/>
      <c r="H172" s="19" t="inlineStr"/>
      <c r="I172" s="21" t="inlineStr">
        <is>
          <t>Jheniffer Cintra</t>
        </is>
      </c>
      <c r="J172" s="21" t="inlineStr">
        <is>
          <t>Full Controller Analyst</t>
        </is>
      </c>
      <c r="K172" s="21" t="inlineStr">
        <is>
          <t>(16) 3303-9796</t>
        </is>
      </c>
      <c r="L172" s="21" t="inlineStr"/>
      <c r="M172" s="21" t="inlineStr"/>
      <c r="N172" s="21" t="inlineStr">
        <is>
          <t>jheniffer@citrotec.com.br</t>
        </is>
      </c>
      <c r="O172" s="21" t="inlineStr"/>
      <c r="P172" s="21" t="inlineStr">
        <is>
          <t>PAULO HENRIQUE SAMPAIO</t>
        </is>
      </c>
      <c r="Q172" s="21" t="inlineStr">
        <is>
          <t>Administrador (RFB partner)</t>
        </is>
      </c>
      <c r="R172" s="21" t="inlineStr"/>
      <c r="S172" s="21" t="inlineStr"/>
      <c r="T172" s="21" t="inlineStr">
        <is>
          <t>email verified by Apollo</t>
        </is>
      </c>
      <c r="U172" s="22" t="n">
        <v>820000</v>
      </c>
      <c r="V172" s="23" t="inlineStr">
        <is>
          <t>B</t>
        </is>
      </c>
      <c r="W172" s="24">
        <f>IFERROR(VLOOKUP(V172,Assumptions!$A$7:$F$11,2,FALSE),0)</f>
        <v/>
      </c>
      <c r="X172" s="25">
        <f>IF(V172="A",MAX(1,IFERROR(VLOOKUP(V172,Assumptions!$A$7:$F$11,3,FALSE),3)+IFERROR(VLOOKUP(V172,Assumptions!$A$7:$F$11,4,FALSE),8)/2-MAX(0,IF(AO172="",0,YEAR(TODAY())-AO172)-IFERROR(VLOOKUP(V172,Assumptions!$A$7:$F$11,5,FALSE),1.5))),IFERROR(VLOOKUP(V172,Assumptions!$A$7:$F$11,5,FALSE),2.5)+IFERROR(VLOOKUP(V172,Assumptions!$A$7:$F$11,3,FALSE),3)+IFERROR(VLOOKUP(V172,Assumptions!$A$7:$F$11,4,FALSE),8)/2)</f>
        <v/>
      </c>
      <c r="Y172" s="22">
        <f>U172*W172/(1+Assumptions!$B$3)^X172</f>
        <v/>
      </c>
      <c r="Z172" s="26">
        <f>IF(U172=0,"",ROUND(Y172/U172*100,1))</f>
        <v/>
      </c>
      <c r="AA172" s="27">
        <f>Y172*Assumptions!$B$4</f>
        <v/>
      </c>
      <c r="AB172" s="26">
        <f>IF(U172=0,"",ROUND(AA172/U172*100,1))</f>
        <v/>
      </c>
      <c r="AC172" s="27">
        <f>Y172-AA172</f>
        <v/>
      </c>
      <c r="AD172" s="26">
        <f>IF(U172=0,"",ROUND((Y172-AA172)/U172*100,1))</f>
        <v/>
      </c>
      <c r="AE172" s="33" t="inlineStr">
        <is>
          <t>NO TOTALS — list prints none; check page</t>
        </is>
      </c>
      <c r="AF172" s="29" t="inlineStr">
        <is>
          <t>https://ativosajce.com.br/admin/download.php?file=files/processo_documento/processo_documento13422625032025_1_.pdf&amp;nome=Relação de Credores - Art. 52º § 1º, da Lei nº 11.101/2005 - 25/02/2025</t>
        </is>
      </c>
      <c r="AG172" s="28" t="inlineStr">
        <is>
          <t>p3 r48; p3 r49; p3 r50; p3 r51; p3 r52; p3 r53; p3 r54; p3 r55</t>
        </is>
      </c>
      <c r="AH172" s="28" t="inlineStr">
        <is>
          <t>p3: R$ 360.000,00; p3: R$ 460.000,00; p3: R$ 460.000,00; p3: R$ 460.000,00; p3: R$ 460.000,00; p3: R$ 460.000,00; p3: R$ 460.000,00; p3: R$ 460.000,00</t>
        </is>
      </c>
      <c r="AI172" s="28" t="inlineStr">
        <is>
          <t>Unclassified list</t>
        </is>
      </c>
      <c r="AJ172" s="28" t="inlineStr">
        <is>
          <t>2025-02-28</t>
        </is>
      </c>
      <c r="AK172" s="28" t="inlineStr">
        <is>
          <t>NONE FOUND</t>
        </is>
      </c>
      <c r="AL172" s="30" t="inlineStr">
        <is>
          <t>1000119-75.2025.8.26.0354</t>
        </is>
      </c>
      <c r="AM172" s="30" t="inlineStr">
        <is>
          <t>TJSP</t>
        </is>
      </c>
      <c r="AN172" s="30" t="inlineStr">
        <is>
          <t>ACTIVE</t>
        </is>
      </c>
      <c r="AO172" s="30" t="n">
        <v>2025</v>
      </c>
      <c r="AP172" s="30" t="inlineStr">
        <is>
          <t>live case, no plan document yet</t>
        </is>
      </c>
      <c r="AQ172" s="30" t="inlineStr">
        <is>
          <t>09.357.504/0001-38</t>
        </is>
      </c>
      <c r="AR172" s="30" t="inlineStr">
        <is>
          <t>printed on the list (read twice)</t>
        </is>
      </c>
      <c r="AS172" s="30" t="inlineStr">
        <is>
          <t>ARARAQUARA</t>
        </is>
      </c>
      <c r="AT172" s="30" t="inlineStr">
        <is>
          <t>SP</t>
        </is>
      </c>
      <c r="AU172" s="30" t="inlineStr">
        <is>
          <t>Fabricação de máquinas e equipamentos para as indústrias de alimentos, bebidas e fumo, peças e acessórios</t>
        </is>
      </c>
      <c r="AV172" s="30" t="inlineStr">
        <is>
          <t>DEMAIS</t>
        </is>
      </c>
      <c r="AW172" s="31" t="n">
        <v>12500000</v>
      </c>
      <c r="AX172" s="30" t="inlineStr">
        <is>
          <t>MID-MARKET</t>
        </is>
      </c>
      <c r="AY172" s="30" t="inlineStr">
        <is>
          <t>03727941</t>
        </is>
      </c>
      <c r="AZ172" s="30" t="n">
        <v>2</v>
      </c>
      <c r="BA172" s="30" t="inlineStr">
        <is>
          <t>ROWS:p3r48,p3r49 UNRECONCILED_SOURCE</t>
        </is>
      </c>
    </row>
    <row r="173">
      <c r="A173" s="16" t="inlineStr">
        <is>
          <t>MEDQUIMICA INDUSTRIA FARMACEUTICA LTDA.</t>
        </is>
      </c>
      <c r="B173" s="17" t="n">
        <v>801264.79</v>
      </c>
      <c r="C173" s="18" t="inlineStr">
        <is>
          <t>GRUPO DP4</t>
        </is>
      </c>
      <c r="D173" s="19" t="inlineStr">
        <is>
          <t>NEW</t>
        </is>
      </c>
      <c r="E173" s="20" t="inlineStr"/>
      <c r="F173" s="19" t="inlineStr"/>
      <c r="G173" s="20" t="inlineStr"/>
      <c r="H173" s="19" t="inlineStr"/>
      <c r="I173" s="21" t="inlineStr">
        <is>
          <t>Paulo Pestana</t>
        </is>
      </c>
      <c r="J173" s="21" t="inlineStr">
        <is>
          <t>CFO &amp; Head of IT, Sourcing, Legal &amp; Compliance</t>
        </is>
      </c>
      <c r="K173" s="21" t="inlineStr">
        <is>
          <t>(32) 2101-4000</t>
        </is>
      </c>
      <c r="L173" s="21" t="inlineStr"/>
      <c r="M173" s="21" t="inlineStr"/>
      <c r="N173" s="21" t="inlineStr">
        <is>
          <t>paulopestana@lupin.com</t>
        </is>
      </c>
      <c r="O173" s="21" t="inlineStr"/>
      <c r="P173" s="21" t="inlineStr">
        <is>
          <t>Rafael Anadissor</t>
        </is>
      </c>
      <c r="Q173" s="21" t="inlineStr">
        <is>
          <t>Controller</t>
        </is>
      </c>
      <c r="R173" s="21" t="inlineStr"/>
      <c r="S173" s="21" t="inlineStr"/>
      <c r="T173" s="21" t="inlineStr">
        <is>
          <t>email verified by Apollo</t>
        </is>
      </c>
      <c r="U173" s="22" t="n">
        <v>801264.79</v>
      </c>
      <c r="V173" s="23" t="inlineStr">
        <is>
          <t>B</t>
        </is>
      </c>
      <c r="W173" s="24">
        <f>IFERROR(VLOOKUP(V173,Assumptions!$A$7:$F$11,2,FALSE),0)</f>
        <v/>
      </c>
      <c r="X173" s="25">
        <f>IF(V173="A",MAX(1,IFERROR(VLOOKUP(V173,Assumptions!$A$7:$F$11,3,FALSE),3)+IFERROR(VLOOKUP(V173,Assumptions!$A$7:$F$11,4,FALSE),8)/2-MAX(0,IF(AO173="",0,YEAR(TODAY())-AO173)-IFERROR(VLOOKUP(V173,Assumptions!$A$7:$F$11,5,FALSE),1.5))),IFERROR(VLOOKUP(V173,Assumptions!$A$7:$F$11,5,FALSE),2.5)+IFERROR(VLOOKUP(V173,Assumptions!$A$7:$F$11,3,FALSE),3)+IFERROR(VLOOKUP(V173,Assumptions!$A$7:$F$11,4,FALSE),8)/2)</f>
        <v/>
      </c>
      <c r="Y173" s="22">
        <f>U173*W173/(1+Assumptions!$B$3)^X173</f>
        <v/>
      </c>
      <c r="Z173" s="26">
        <f>IF(U173=0,"",ROUND(Y173/U173*100,1))</f>
        <v/>
      </c>
      <c r="AA173" s="27">
        <f>Y173*Assumptions!$B$4</f>
        <v/>
      </c>
      <c r="AB173" s="26">
        <f>IF(U173=0,"",ROUND(AA173/U173*100,1))</f>
        <v/>
      </c>
      <c r="AC173" s="27">
        <f>Y173-AA173</f>
        <v/>
      </c>
      <c r="AD173" s="26">
        <f>IF(U173=0,"",ROUND((Y173-AA173)/U173*100,1))</f>
        <v/>
      </c>
      <c r="AE173" s="34" t="inlineStr">
        <is>
          <t>PARTIAL — class III reconciled, other classes not</t>
        </is>
      </c>
      <c r="AF173" s="29" t="inlineStr">
        <is>
          <t>https://marquesadmjudicial.com.br/sgc/download.php?file=files/processo_documento/processo_documento15293208032024_1_.pdf&amp;nome=Relação Nominal de Credores da AJ-Sintética</t>
        </is>
      </c>
      <c r="AG173" s="28" t="inlineStr">
        <is>
          <t>p29 r2</t>
        </is>
      </c>
      <c r="AH173" s="28" t="inlineStr">
        <is>
          <t>p29: R$ 801.264,79</t>
        </is>
      </c>
      <c r="AI173" s="28" t="inlineStr">
        <is>
          <t>AJ list (art. 7 §2)</t>
        </is>
      </c>
      <c r="AJ173" s="28" t="inlineStr">
        <is>
          <t>2023-03-02</t>
        </is>
      </c>
      <c r="AK173" s="28" t="inlineStr">
        <is>
          <t>NONE FOUND</t>
        </is>
      </c>
      <c r="AL173" s="30" t="inlineStr">
        <is>
          <t>0005010-98.2023.8.16.0001</t>
        </is>
      </c>
      <c r="AM173" s="30" t="inlineStr">
        <is>
          <t>TJPR</t>
        </is>
      </c>
      <c r="AN173" s="30" t="inlineStr">
        <is>
          <t>ACTIVE</t>
        </is>
      </c>
      <c r="AO173" s="30" t="n">
        <v>2023</v>
      </c>
      <c r="AP173" s="30" t="inlineStr">
        <is>
          <t>live case, no plan document yet</t>
        </is>
      </c>
      <c r="AQ173" s="30" t="inlineStr"/>
      <c r="AR173" s="30" t="inlineStr">
        <is>
          <t>printed on the list (read twice)</t>
        </is>
      </c>
      <c r="AS173" s="30" t="inlineStr">
        <is>
          <t>JUIZ DE FORA</t>
        </is>
      </c>
      <c r="AT173" s="30" t="inlineStr">
        <is>
          <t>MG</t>
        </is>
      </c>
      <c r="AU173" s="30" t="inlineStr">
        <is>
          <t>Fabricação de medicamentos alopáticos para uso humano</t>
        </is>
      </c>
      <c r="AV173" s="30" t="inlineStr">
        <is>
          <t>DEMAIS</t>
        </is>
      </c>
      <c r="AW173" s="31" t="n">
        <v>269738270</v>
      </c>
      <c r="AX173" s="30" t="inlineStr">
        <is>
          <t>MID-MARKET</t>
        </is>
      </c>
      <c r="AY173" s="30" t="inlineStr">
        <is>
          <t>17875154</t>
        </is>
      </c>
      <c r="AZ173" s="30" t="n">
        <v>1</v>
      </c>
      <c r="BA173" s="30" t="inlineStr">
        <is>
          <t>PARTIAL_DOC_CLASS_III_RECONCILED ROWS:p29r2</t>
        </is>
      </c>
    </row>
    <row r="174">
      <c r="A174" s="16" t="inlineStr">
        <is>
          <t>SOLUS PECAS AGRICOLAS LTDA</t>
        </is>
      </c>
      <c r="B174" s="17" t="n">
        <v>798077.09</v>
      </c>
      <c r="C174" s="18" t="inlineStr">
        <is>
          <t>Grupo Rech</t>
        </is>
      </c>
      <c r="D174" s="19" t="inlineStr">
        <is>
          <t>NEW</t>
        </is>
      </c>
      <c r="E174" s="20" t="inlineStr"/>
      <c r="F174" s="19" t="inlineStr"/>
      <c r="G174" s="20" t="inlineStr"/>
      <c r="H174" s="19" t="inlineStr"/>
      <c r="I174" s="21" t="inlineStr">
        <is>
          <t>EVANDRO NERI</t>
        </is>
      </c>
      <c r="J174" s="21" t="inlineStr">
        <is>
          <t>Sócio-Administrador (RFB partner)</t>
        </is>
      </c>
      <c r="K174" s="21" t="inlineStr">
        <is>
          <t>(04) 6224-1289</t>
        </is>
      </c>
      <c r="L174" s="21" t="inlineStr"/>
      <c r="M174" s="21" t="inlineStr"/>
      <c r="N174" s="21" t="inlineStr"/>
      <c r="O174" s="21" t="inlineStr"/>
      <c r="P174" s="21" t="inlineStr"/>
      <c r="Q174" s="21" t="inlineStr"/>
      <c r="R174" s="21" t="inlineStr"/>
      <c r="S174" s="21" t="inlineStr"/>
      <c r="T174" s="21" t="inlineStr">
        <is>
          <t>RFB partner (QSA); no Apollo match</t>
        </is>
      </c>
      <c r="U174" s="22" t="n">
        <v>798077.09</v>
      </c>
      <c r="V174" s="23" t="inlineStr">
        <is>
          <t>B</t>
        </is>
      </c>
      <c r="W174" s="24">
        <f>IFERROR(VLOOKUP(V174,Assumptions!$A$7:$F$11,2,FALSE),0)</f>
        <v/>
      </c>
      <c r="X174" s="25">
        <f>IF(V174="A",MAX(1,IFERROR(VLOOKUP(V174,Assumptions!$A$7:$F$11,3,FALSE),3)+IFERROR(VLOOKUP(V174,Assumptions!$A$7:$F$11,4,FALSE),8)/2-MAX(0,IF(AO174="",0,YEAR(TODAY())-AO174)-IFERROR(VLOOKUP(V174,Assumptions!$A$7:$F$11,5,FALSE),1.5))),IFERROR(VLOOKUP(V174,Assumptions!$A$7:$F$11,5,FALSE),2.5)+IFERROR(VLOOKUP(V174,Assumptions!$A$7:$F$11,3,FALSE),3)+IFERROR(VLOOKUP(V174,Assumptions!$A$7:$F$11,4,FALSE),8)/2)</f>
        <v/>
      </c>
      <c r="Y174" s="22">
        <f>U174*W174/(1+Assumptions!$B$3)^X174</f>
        <v/>
      </c>
      <c r="Z174" s="26">
        <f>IF(U174=0,"",ROUND(Y174/U174*100,1))</f>
        <v/>
      </c>
      <c r="AA174" s="27">
        <f>Y174*Assumptions!$B$4</f>
        <v/>
      </c>
      <c r="AB174" s="26">
        <f>IF(U174=0,"",ROUND(AA174/U174*100,1))</f>
        <v/>
      </c>
      <c r="AC174" s="27">
        <f>Y174-AA174</f>
        <v/>
      </c>
      <c r="AD174" s="26">
        <f>IF(U174=0,"",ROUND((Y174-AA174)/U174*100,1))</f>
        <v/>
      </c>
      <c r="AE174" s="36" t="inlineStr">
        <is>
          <t>CHECK — source is not a statutory creditor list</t>
        </is>
      </c>
      <c r="AF174" s="29" t="inlineStr">
        <is>
          <t>https://credibilita.com.br/wp-content/uploads/2025/09/Relacao-Credores-29.04.2026.pdf</t>
        </is>
      </c>
      <c r="AG174" s="28" t="inlineStr">
        <is>
          <t>p2 r18</t>
        </is>
      </c>
      <c r="AH174" s="28" t="inlineStr">
        <is>
          <t>p2: R$ 798.077,09</t>
        </is>
      </c>
      <c r="AI174" s="28" t="inlineStr">
        <is>
          <t>Quorum list — NOT an art. 7/51 list</t>
        </is>
      </c>
      <c r="AJ174" s="28" t="inlineStr"/>
      <c r="AK174" s="28" t="inlineStr">
        <is>
          <t>NONE FOUND</t>
        </is>
      </c>
      <c r="AL174" s="30" t="inlineStr">
        <is>
          <t>5057720-48.2025.8.24.0023</t>
        </is>
      </c>
      <c r="AM174" s="30" t="inlineStr">
        <is>
          <t>TJSC</t>
        </is>
      </c>
      <c r="AN174" s="30" t="inlineStr"/>
      <c r="AO174" s="30" t="n">
        <v>2025</v>
      </c>
      <c r="AP174" s="30" t="inlineStr">
        <is>
          <t>live case, no plan document yet</t>
        </is>
      </c>
      <c r="AQ174" s="30" t="inlineStr"/>
      <c r="AR174" s="30" t="inlineStr">
        <is>
          <t>portal page title / URL — not printed on the list</t>
        </is>
      </c>
      <c r="AS174" s="30" t="inlineStr">
        <is>
          <t>PATO BRANCO</t>
        </is>
      </c>
      <c r="AT174" s="30" t="inlineStr">
        <is>
          <t>PR</t>
        </is>
      </c>
      <c r="AU174" s="30" t="inlineStr">
        <is>
          <t>Fabricação de máquinas e equipamentos para a agricultura e pecuária, peças e acessórios, exceto para irrigação</t>
        </is>
      </c>
      <c r="AV174" s="30" t="inlineStr">
        <is>
          <t>EMPRESA DE PEQUENO PORTE</t>
        </is>
      </c>
      <c r="AW174" s="31" t="n">
        <v>1540000</v>
      </c>
      <c r="AX174" s="30" t="inlineStr">
        <is>
          <t>SMALL</t>
        </is>
      </c>
      <c r="AY174" s="30" t="inlineStr">
        <is>
          <t>02149075</t>
        </is>
      </c>
      <c r="AZ174" s="30" t="n">
        <v>1</v>
      </c>
      <c r="BA174" s="30" t="inlineStr">
        <is>
          <t>ROWS:p2r18 UNRECONCILED_SOURCE VALUE_COL:Valor_Após_Analise CASE_NUMBER_CORRECTED</t>
        </is>
      </c>
    </row>
    <row r="175">
      <c r="A175" s="16" t="inlineStr">
        <is>
          <t>FS I INDUSTRIA DE ETANOL S.A</t>
        </is>
      </c>
      <c r="B175" s="17" t="n">
        <v>425717.6</v>
      </c>
      <c r="C175" s="18" t="inlineStr">
        <is>
          <t>GRUPO 3E</t>
        </is>
      </c>
      <c r="D175" s="19" t="inlineStr">
        <is>
          <t>NEW</t>
        </is>
      </c>
      <c r="E175" s="20" t="inlineStr"/>
      <c r="F175" s="19" t="inlineStr"/>
      <c r="G175" s="20" t="inlineStr"/>
      <c r="H175" s="19" t="inlineStr"/>
      <c r="I175" s="21" t="inlineStr">
        <is>
          <t>DANIEL COSTA LOPES</t>
        </is>
      </c>
      <c r="J175" s="21" t="inlineStr">
        <is>
          <t>Diretor (RFB partner)</t>
        </is>
      </c>
      <c r="K175" s="21" t="inlineStr">
        <is>
          <t>(65) 3548-1500</t>
        </is>
      </c>
      <c r="L175" s="21" t="inlineStr"/>
      <c r="M175" s="21" t="inlineStr"/>
      <c r="N175" s="21" t="inlineStr"/>
      <c r="O175" s="21" t="inlineStr"/>
      <c r="P175" s="21" t="inlineStr">
        <is>
          <t>DANIEL NOZAKI GUSHI</t>
        </is>
      </c>
      <c r="Q175" s="21" t="inlineStr">
        <is>
          <t>Diretor (RFB partner)</t>
        </is>
      </c>
      <c r="R175" s="21" t="inlineStr"/>
      <c r="S175" s="21" t="inlineStr"/>
      <c r="T175" s="21" t="inlineStr">
        <is>
          <t>RFB partner (QSA); no Apollo match</t>
        </is>
      </c>
      <c r="U175" s="22" t="n">
        <v>425717.6</v>
      </c>
      <c r="V175" s="35" t="inlineStr">
        <is>
          <t>A</t>
        </is>
      </c>
      <c r="W175" s="24">
        <f>IFERROR(VLOOKUP(V175,Assumptions!$A$7:$F$11,2,FALSE),0)</f>
        <v/>
      </c>
      <c r="X175" s="25">
        <f>IF(V175="A",MAX(1,IFERROR(VLOOKUP(V175,Assumptions!$A$7:$F$11,3,FALSE),3)+IFERROR(VLOOKUP(V175,Assumptions!$A$7:$F$11,4,FALSE),8)/2-MAX(0,IF(AO175="",0,YEAR(TODAY())-AO175)-IFERROR(VLOOKUP(V175,Assumptions!$A$7:$F$11,5,FALSE),1.5))),IFERROR(VLOOKUP(V175,Assumptions!$A$7:$F$11,5,FALSE),2.5)+IFERROR(VLOOKUP(V175,Assumptions!$A$7:$F$11,3,FALSE),3)+IFERROR(VLOOKUP(V175,Assumptions!$A$7:$F$11,4,FALSE),8)/2)</f>
        <v/>
      </c>
      <c r="Y175" s="22">
        <f>U175*W175/(1+Assumptions!$B$3)^X175</f>
        <v/>
      </c>
      <c r="Z175" s="26">
        <f>IF(U175=0,"",ROUND(Y175/U175*100,1))</f>
        <v/>
      </c>
      <c r="AA175" s="27">
        <f>Y175*Assumptions!$B$4</f>
        <v/>
      </c>
      <c r="AB175" s="26">
        <f>IF(U175=0,"",ROUND(AA175/U175*100,1))</f>
        <v/>
      </c>
      <c r="AC175" s="27">
        <f>Y175-AA175</f>
        <v/>
      </c>
      <c r="AD175" s="26">
        <f>IF(U175=0,"",ROUND((Y175-AA175)/U175*100,1))</f>
        <v/>
      </c>
      <c r="AE175" s="33" t="inlineStr">
        <is>
          <t>NO TOTALS — list prints none; check page</t>
        </is>
      </c>
      <c r="AF175" s="29" t="inlineStr">
        <is>
          <t>https://stenius.com.br/wp-content/uploads/2026/06/EDITAL-GRUPO-3E.pdf</t>
        </is>
      </c>
      <c r="AG175" s="28" t="inlineStr">
        <is>
          <t>p13 r64</t>
        </is>
      </c>
      <c r="AH175" s="28" t="inlineStr">
        <is>
          <t>p13: R$ 425.717,60</t>
        </is>
      </c>
      <c r="AI175" s="28" t="inlineStr">
        <is>
          <t>Debtor list (art. 51)</t>
        </is>
      </c>
      <c r="AJ175" s="28" t="inlineStr">
        <is>
          <t>2026-06-22</t>
        </is>
      </c>
      <c r="AK175" s="28" t="inlineStr">
        <is>
          <t>PLAN DOC FOUND</t>
        </is>
      </c>
      <c r="AL175" s="30" t="inlineStr">
        <is>
          <t>5341375-33.2026.8.09.0049</t>
        </is>
      </c>
      <c r="AM175" s="30" t="inlineStr">
        <is>
          <t>TJGO</t>
        </is>
      </c>
      <c r="AN175" s="30" t="inlineStr">
        <is>
          <t>ACTIVE</t>
        </is>
      </c>
      <c r="AO175" s="30" t="n">
        <v>2026</v>
      </c>
      <c r="AP175" s="30" t="inlineStr">
        <is>
          <t>plan/homologation document found</t>
        </is>
      </c>
      <c r="AQ175" s="30" t="inlineStr"/>
      <c r="AR175" s="30" t="inlineStr">
        <is>
          <t>printed on the list (read twice)</t>
        </is>
      </c>
      <c r="AS175" s="30" t="inlineStr">
        <is>
          <t>SAO PAULO</t>
        </is>
      </c>
      <c r="AT175" s="30" t="inlineStr">
        <is>
          <t>SP</t>
        </is>
      </c>
      <c r="AU175" s="30" t="inlineStr">
        <is>
          <t>Comércio atacadista de matérias-primas agrícolas não especificadas anteriormente</t>
        </is>
      </c>
      <c r="AV175" s="30" t="inlineStr">
        <is>
          <t>DEMAIS</t>
        </is>
      </c>
      <c r="AW175" s="31" t="n">
        <v>1968365700</v>
      </c>
      <c r="AX175" s="30" t="inlineStr">
        <is>
          <t>LARGE CORP</t>
        </is>
      </c>
      <c r="AY175" s="30" t="inlineStr">
        <is>
          <t>46710597</t>
        </is>
      </c>
      <c r="AZ175" s="30" t="n">
        <v>1</v>
      </c>
      <c r="BA175" s="30" t="inlineStr">
        <is>
          <t>ROWS:p13r64 UNRECONCILED_SOURCE</t>
        </is>
      </c>
    </row>
    <row r="176">
      <c r="A176" s="16" t="inlineStr">
        <is>
          <t>PAX BRAZIL AGROINDUSTRIA LTDA</t>
        </is>
      </c>
      <c r="B176" s="17" t="n">
        <v>788640</v>
      </c>
      <c r="C176" s="18" t="inlineStr">
        <is>
          <t>Grupo Agromeal</t>
        </is>
      </c>
      <c r="D176" s="19" t="inlineStr">
        <is>
          <t>NEW</t>
        </is>
      </c>
      <c r="E176" s="20" t="inlineStr"/>
      <c r="F176" s="19" t="inlineStr"/>
      <c r="G176" s="20" t="inlineStr"/>
      <c r="H176" s="19" t="inlineStr"/>
      <c r="I176" s="21" t="inlineStr">
        <is>
          <t>PETRUS ASSEF NUNES</t>
        </is>
      </c>
      <c r="J176" s="21" t="inlineStr">
        <is>
          <t>Sócio-Administrador (RFB partner)</t>
        </is>
      </c>
      <c r="K176" s="21" t="inlineStr">
        <is>
          <t>(11) 3628-7656</t>
        </is>
      </c>
      <c r="L176" s="21" t="inlineStr"/>
      <c r="M176" s="21" t="inlineStr"/>
      <c r="N176" s="21" t="inlineStr"/>
      <c r="O176" s="21" t="inlineStr"/>
      <c r="P176" s="21" t="inlineStr"/>
      <c r="Q176" s="21" t="inlineStr"/>
      <c r="R176" s="21" t="inlineStr"/>
      <c r="S176" s="21" t="inlineStr"/>
      <c r="T176" s="21" t="inlineStr">
        <is>
          <t>RFB partner (QSA); no Apollo match</t>
        </is>
      </c>
      <c r="U176" s="22" t="n">
        <v>788640</v>
      </c>
      <c r="V176" s="23" t="inlineStr">
        <is>
          <t>B</t>
        </is>
      </c>
      <c r="W176" s="24">
        <f>IFERROR(VLOOKUP(V176,Assumptions!$A$7:$F$11,2,FALSE),0)</f>
        <v/>
      </c>
      <c r="X176" s="25">
        <f>IF(V176="A",MAX(1,IFERROR(VLOOKUP(V176,Assumptions!$A$7:$F$11,3,FALSE),3)+IFERROR(VLOOKUP(V176,Assumptions!$A$7:$F$11,4,FALSE),8)/2-MAX(0,IF(AO176="",0,YEAR(TODAY())-AO176)-IFERROR(VLOOKUP(V176,Assumptions!$A$7:$F$11,5,FALSE),1.5))),IFERROR(VLOOKUP(V176,Assumptions!$A$7:$F$11,5,FALSE),2.5)+IFERROR(VLOOKUP(V176,Assumptions!$A$7:$F$11,3,FALSE),3)+IFERROR(VLOOKUP(V176,Assumptions!$A$7:$F$11,4,FALSE),8)/2)</f>
        <v/>
      </c>
      <c r="Y176" s="22">
        <f>U176*W176/(1+Assumptions!$B$3)^X176</f>
        <v/>
      </c>
      <c r="Z176" s="26">
        <f>IF(U176=0,"",ROUND(Y176/U176*100,1))</f>
        <v/>
      </c>
      <c r="AA176" s="27">
        <f>Y176*Assumptions!$B$4</f>
        <v/>
      </c>
      <c r="AB176" s="26">
        <f>IF(U176=0,"",ROUND(AA176/U176*100,1))</f>
        <v/>
      </c>
      <c r="AC176" s="27">
        <f>Y176-AA176</f>
        <v/>
      </c>
      <c r="AD176" s="26">
        <f>IF(U176=0,"",ROUND((Y176-AA176)/U176*100,1))</f>
        <v/>
      </c>
      <c r="AE176" s="34" t="inlineStr">
        <is>
          <t>PARTIAL — class III reconciled, other classes not</t>
        </is>
      </c>
      <c r="AF176" s="29" t="inlineStr">
        <is>
          <t>https://marquesadmjudicial.com.br/sgc/download.php?file=files/processo_documento/processo_documento17040729052024_1_.pdf&amp;nome=Relação Nominal de Credores AJ-Sintética</t>
        </is>
      </c>
      <c r="AG176" s="28" t="inlineStr">
        <is>
          <t>p12 r13</t>
        </is>
      </c>
      <c r="AH176" s="28" t="inlineStr">
        <is>
          <t>p12: R$ 788.640,00</t>
        </is>
      </c>
      <c r="AI176" s="28" t="inlineStr">
        <is>
          <t>AJ list (art. 7 §2)</t>
        </is>
      </c>
      <c r="AJ176" s="28" t="inlineStr">
        <is>
          <t>2024-05-27</t>
        </is>
      </c>
      <c r="AK176" s="28" t="inlineStr">
        <is>
          <t>NONE FOUND</t>
        </is>
      </c>
      <c r="AL176" s="30" t="inlineStr">
        <is>
          <t>0003971-03.2023.8.16.0119</t>
        </is>
      </c>
      <c r="AM176" s="30" t="inlineStr">
        <is>
          <t>TJPR</t>
        </is>
      </c>
      <c r="AN176" s="30" t="inlineStr">
        <is>
          <t>ACTIVE</t>
        </is>
      </c>
      <c r="AO176" s="30" t="n">
        <v>2023</v>
      </c>
      <c r="AP176" s="30" t="inlineStr">
        <is>
          <t>live case, no plan document yet</t>
        </is>
      </c>
      <c r="AQ176" s="30" t="inlineStr">
        <is>
          <t>11.624.776/0001-07</t>
        </is>
      </c>
      <c r="AR176" s="30" t="inlineStr">
        <is>
          <t>printed on the list (read twice)</t>
        </is>
      </c>
      <c r="AS176" s="30" t="inlineStr">
        <is>
          <t>SAO PAULO</t>
        </is>
      </c>
      <c r="AT176" s="30" t="inlineStr">
        <is>
          <t>SP</t>
        </is>
      </c>
      <c r="AU176" s="30" t="inlineStr">
        <is>
          <t>Comércio atacadista de produtos alimentícios em geral</t>
        </is>
      </c>
      <c r="AV176" s="30" t="inlineStr">
        <is>
          <t>DEMAIS</t>
        </is>
      </c>
      <c r="AW176" s="31" t="n">
        <v>3000000</v>
      </c>
      <c r="AX176" s="30" t="inlineStr">
        <is>
          <t>MID-MARKET</t>
        </is>
      </c>
      <c r="AY176" s="30" t="inlineStr">
        <is>
          <t>13620193</t>
        </is>
      </c>
      <c r="AZ176" s="30" t="n">
        <v>1</v>
      </c>
      <c r="BA176" s="30" t="inlineStr">
        <is>
          <t>PARTIAL_DOC_CLASS_III_RECONCILED ROWS:p12r13</t>
        </is>
      </c>
    </row>
    <row r="177">
      <c r="A177" s="16" t="inlineStr">
        <is>
          <t>PORTAL DO AEROPORTO LOGISTICA LTDA</t>
        </is>
      </c>
      <c r="B177" s="17" t="n">
        <v>780881.58</v>
      </c>
      <c r="C177" s="18" t="inlineStr">
        <is>
          <t>GRUPO DP4</t>
        </is>
      </c>
      <c r="D177" s="19" t="inlineStr">
        <is>
          <t>NEW</t>
        </is>
      </c>
      <c r="E177" s="20" t="inlineStr"/>
      <c r="F177" s="19" t="inlineStr"/>
      <c r="G177" s="20" t="inlineStr"/>
      <c r="H177" s="19" t="inlineStr"/>
      <c r="I177" s="21" t="inlineStr">
        <is>
          <t>CARLOS ROBERTO MARASSI</t>
        </is>
      </c>
      <c r="J177" s="21" t="inlineStr">
        <is>
          <t>Administrador (RFB partner)</t>
        </is>
      </c>
      <c r="K177" s="21" t="inlineStr">
        <is>
          <t>(41) 3134-4003</t>
        </is>
      </c>
      <c r="L177" s="21" t="inlineStr"/>
      <c r="M177" s="21" t="inlineStr"/>
      <c r="N177" s="21" t="inlineStr"/>
      <c r="O177" s="21" t="inlineStr"/>
      <c r="P177" s="21" t="inlineStr"/>
      <c r="Q177" s="21" t="inlineStr"/>
      <c r="R177" s="21" t="inlineStr"/>
      <c r="S177" s="21" t="inlineStr"/>
      <c r="T177" s="21" t="inlineStr">
        <is>
          <t>RFB partner (QSA); no Apollo match</t>
        </is>
      </c>
      <c r="U177" s="22" t="n">
        <v>780881.58</v>
      </c>
      <c r="V177" s="23" t="inlineStr">
        <is>
          <t>B</t>
        </is>
      </c>
      <c r="W177" s="24">
        <f>IFERROR(VLOOKUP(V177,Assumptions!$A$7:$F$11,2,FALSE),0)</f>
        <v/>
      </c>
      <c r="X177" s="25">
        <f>IF(V177="A",MAX(1,IFERROR(VLOOKUP(V177,Assumptions!$A$7:$F$11,3,FALSE),3)+IFERROR(VLOOKUP(V177,Assumptions!$A$7:$F$11,4,FALSE),8)/2-MAX(0,IF(AO177="",0,YEAR(TODAY())-AO177)-IFERROR(VLOOKUP(V177,Assumptions!$A$7:$F$11,5,FALSE),1.5))),IFERROR(VLOOKUP(V177,Assumptions!$A$7:$F$11,5,FALSE),2.5)+IFERROR(VLOOKUP(V177,Assumptions!$A$7:$F$11,3,FALSE),3)+IFERROR(VLOOKUP(V177,Assumptions!$A$7:$F$11,4,FALSE),8)/2)</f>
        <v/>
      </c>
      <c r="Y177" s="22">
        <f>U177*W177/(1+Assumptions!$B$3)^X177</f>
        <v/>
      </c>
      <c r="Z177" s="26">
        <f>IF(U177=0,"",ROUND(Y177/U177*100,1))</f>
        <v/>
      </c>
      <c r="AA177" s="27">
        <f>Y177*Assumptions!$B$4</f>
        <v/>
      </c>
      <c r="AB177" s="26">
        <f>IF(U177=0,"",ROUND(AA177/U177*100,1))</f>
        <v/>
      </c>
      <c r="AC177" s="27">
        <f>Y177-AA177</f>
        <v/>
      </c>
      <c r="AD177" s="26">
        <f>IF(U177=0,"",ROUND((Y177-AA177)/U177*100,1))</f>
        <v/>
      </c>
      <c r="AE177" s="34" t="inlineStr">
        <is>
          <t>PARTIAL — class III reconciled, other classes not</t>
        </is>
      </c>
      <c r="AF177" s="29" t="inlineStr">
        <is>
          <t>https://marquesadmjudicial.com.br/sgc/download.php?file=files/processo_documento/processo_documento15293208032024_1_.pdf&amp;nome=Relação Nominal de Credores da AJ-Sintética</t>
        </is>
      </c>
      <c r="AG177" s="28" t="inlineStr">
        <is>
          <t>p30 r8</t>
        </is>
      </c>
      <c r="AH177" s="28" t="inlineStr">
        <is>
          <t>p30: R$ 780.881,58</t>
        </is>
      </c>
      <c r="AI177" s="28" t="inlineStr">
        <is>
          <t>AJ list (art. 7 §2)</t>
        </is>
      </c>
      <c r="AJ177" s="28" t="inlineStr">
        <is>
          <t>2023-03-02</t>
        </is>
      </c>
      <c r="AK177" s="28" t="inlineStr">
        <is>
          <t>NONE FOUND</t>
        </is>
      </c>
      <c r="AL177" s="30" t="inlineStr">
        <is>
          <t>0005010-98.2023.8.16.0001</t>
        </is>
      </c>
      <c r="AM177" s="30" t="inlineStr">
        <is>
          <t>TJPR</t>
        </is>
      </c>
      <c r="AN177" s="30" t="inlineStr">
        <is>
          <t>ACTIVE</t>
        </is>
      </c>
      <c r="AO177" s="30" t="n">
        <v>2023</v>
      </c>
      <c r="AP177" s="30" t="inlineStr">
        <is>
          <t>live case, no plan document yet</t>
        </is>
      </c>
      <c r="AQ177" s="30" t="inlineStr"/>
      <c r="AR177" s="30" t="inlineStr">
        <is>
          <t>printed on the list (read twice)</t>
        </is>
      </c>
      <c r="AS177" s="30" t="inlineStr">
        <is>
          <t>SAO JOSE DOS PINHAIS</t>
        </is>
      </c>
      <c r="AT177" s="30" t="inlineStr">
        <is>
          <t>PR</t>
        </is>
      </c>
      <c r="AU177" s="30" t="inlineStr">
        <is>
          <t>Aluguel de imóveis próprios</t>
        </is>
      </c>
      <c r="AV177" s="30" t="inlineStr">
        <is>
          <t>DEMAIS</t>
        </is>
      </c>
      <c r="AW177" s="31" t="n">
        <v>4500000</v>
      </c>
      <c r="AX177" s="30" t="inlineStr">
        <is>
          <t>MID-MARKET</t>
        </is>
      </c>
      <c r="AY177" s="30" t="inlineStr">
        <is>
          <t>13477127</t>
        </is>
      </c>
      <c r="AZ177" s="30" t="n">
        <v>1</v>
      </c>
      <c r="BA177" s="30" t="inlineStr">
        <is>
          <t>PARTIAL_DOC_CLASS_III_RECONCILED ROWS:p30r8</t>
        </is>
      </c>
    </row>
    <row r="178">
      <c r="A178" s="16" t="inlineStr">
        <is>
          <t>CENTENARO PNEUS LTDA</t>
        </is>
      </c>
      <c r="B178" s="17" t="n">
        <v>770043</v>
      </c>
      <c r="C178" s="18" t="inlineStr">
        <is>
          <t>GRUPO D&amp;D</t>
        </is>
      </c>
      <c r="D178" s="19" t="inlineStr">
        <is>
          <t>NEW</t>
        </is>
      </c>
      <c r="E178" s="20" t="inlineStr"/>
      <c r="F178" s="19" t="inlineStr"/>
      <c r="G178" s="20" t="inlineStr"/>
      <c r="H178" s="19" t="inlineStr"/>
      <c r="I178" s="21" t="inlineStr">
        <is>
          <t>EDUARDO MATHEUS TRENTIN</t>
        </is>
      </c>
      <c r="J178" s="21" t="inlineStr">
        <is>
          <t>Sócio-Administrador (RFB partner)</t>
        </is>
      </c>
      <c r="K178" s="21" t="inlineStr">
        <is>
          <t>(67) 3317-2277</t>
        </is>
      </c>
      <c r="L178" s="21" t="inlineStr"/>
      <c r="M178" s="21" t="inlineStr"/>
      <c r="N178" s="21" t="inlineStr"/>
      <c r="O178" s="21" t="inlineStr"/>
      <c r="P178" s="21" t="inlineStr">
        <is>
          <t>JACKELINE DE SOUZA LOCATELLI</t>
        </is>
      </c>
      <c r="Q178" s="21" t="inlineStr">
        <is>
          <t>Sócio-Administrador (RFB partner)</t>
        </is>
      </c>
      <c r="R178" s="21" t="inlineStr"/>
      <c r="S178" s="21" t="inlineStr"/>
      <c r="T178" s="21" t="inlineStr">
        <is>
          <t>RFB partner (QSA); no Apollo match</t>
        </is>
      </c>
      <c r="U178" s="22" t="n">
        <v>770043</v>
      </c>
      <c r="V178" s="23" t="inlineStr">
        <is>
          <t>B</t>
        </is>
      </c>
      <c r="W178" s="24">
        <f>IFERROR(VLOOKUP(V178,Assumptions!$A$7:$F$11,2,FALSE),0)</f>
        <v/>
      </c>
      <c r="X178" s="25">
        <f>IF(V178="A",MAX(1,IFERROR(VLOOKUP(V178,Assumptions!$A$7:$F$11,3,FALSE),3)+IFERROR(VLOOKUP(V178,Assumptions!$A$7:$F$11,4,FALSE),8)/2-MAX(0,IF(AO178="",0,YEAR(TODAY())-AO178)-IFERROR(VLOOKUP(V178,Assumptions!$A$7:$F$11,5,FALSE),1.5))),IFERROR(VLOOKUP(V178,Assumptions!$A$7:$F$11,5,FALSE),2.5)+IFERROR(VLOOKUP(V178,Assumptions!$A$7:$F$11,3,FALSE),3)+IFERROR(VLOOKUP(V178,Assumptions!$A$7:$F$11,4,FALSE),8)/2)</f>
        <v/>
      </c>
      <c r="Y178" s="22">
        <f>U178*W178/(1+Assumptions!$B$3)^X178</f>
        <v/>
      </c>
      <c r="Z178" s="26">
        <f>IF(U178=0,"",ROUND(Y178/U178*100,1))</f>
        <v/>
      </c>
      <c r="AA178" s="27">
        <f>Y178*Assumptions!$B$4</f>
        <v/>
      </c>
      <c r="AB178" s="26">
        <f>IF(U178=0,"",ROUND(AA178/U178*100,1))</f>
        <v/>
      </c>
      <c r="AC178" s="27">
        <f>Y178-AA178</f>
        <v/>
      </c>
      <c r="AD178" s="26">
        <f>IF(U178=0,"",ROUND((Y178-AA178)/U178*100,1))</f>
        <v/>
      </c>
      <c r="AE178" s="34" t="inlineStr">
        <is>
          <t>PARTIAL — class III reconciled, other classes not</t>
        </is>
      </c>
      <c r="AF178" s="29" t="inlineStr">
        <is>
          <t>https://marquesadmjudicial.com.br/sgc/download.php?file=files/processo_documento/processo_documento20014127022025_1_.pdf&amp;nome=Relação Nominal de Credores</t>
        </is>
      </c>
      <c r="AG178" s="28" t="inlineStr">
        <is>
          <t>p4 r11</t>
        </is>
      </c>
      <c r="AH178" s="28" t="inlineStr">
        <is>
          <t>p4: R$ 770.043,00</t>
        </is>
      </c>
      <c r="AI178" s="28" t="inlineStr">
        <is>
          <t>AJ list (art. 7 §2)</t>
        </is>
      </c>
      <c r="AJ178" s="28" t="inlineStr">
        <is>
          <t>2024-11-08</t>
        </is>
      </c>
      <c r="AK178" s="28" t="inlineStr">
        <is>
          <t>NONE FOUND</t>
        </is>
      </c>
      <c r="AL178" s="30" t="inlineStr">
        <is>
          <t>0001943-40.2024.8.16.0115</t>
        </is>
      </c>
      <c r="AM178" s="30" t="inlineStr">
        <is>
          <t>TJPR</t>
        </is>
      </c>
      <c r="AN178" s="30" t="inlineStr">
        <is>
          <t>ACTIVE</t>
        </is>
      </c>
      <c r="AO178" s="30" t="n">
        <v>2024</v>
      </c>
      <c r="AP178" s="30" t="inlineStr">
        <is>
          <t>live case, no plan document yet</t>
        </is>
      </c>
      <c r="AQ178" s="30" t="inlineStr"/>
      <c r="AR178" s="30" t="inlineStr">
        <is>
          <t>printed on the list (read twice)</t>
        </is>
      </c>
      <c r="AS178" s="30" t="inlineStr">
        <is>
          <t>CAMPO GRANDE</t>
        </is>
      </c>
      <c r="AT178" s="30" t="inlineStr">
        <is>
          <t>MS</t>
        </is>
      </c>
      <c r="AU178" s="30" t="inlineStr">
        <is>
          <t>Comércio a varejo de pneumáticos e câmaras-de-ar</t>
        </is>
      </c>
      <c r="AV178" s="30" t="inlineStr">
        <is>
          <t>DEMAIS</t>
        </is>
      </c>
      <c r="AW178" s="31" t="n">
        <v>150000</v>
      </c>
      <c r="AX178" s="30" t="inlineStr">
        <is>
          <t>MID-MARKET</t>
        </is>
      </c>
      <c r="AY178" s="30" t="inlineStr">
        <is>
          <t>48833163</t>
        </is>
      </c>
      <c r="AZ178" s="30" t="n">
        <v>1</v>
      </c>
      <c r="BA178" s="30" t="inlineStr">
        <is>
          <t>PARTIAL_DOC_CLASS_III_RECONCILED ROWS:p4r11</t>
        </is>
      </c>
    </row>
    <row r="179">
      <c r="A179" s="16" t="inlineStr">
        <is>
          <t>PARADOX JEANS CONFECCOES DE ROUPAS E TECIDOS LTDA</t>
        </is>
      </c>
      <c r="B179" s="17" t="n">
        <v>769232.88</v>
      </c>
      <c r="C179" s="18" t="inlineStr">
        <is>
          <t>GRUPO CATTAN</t>
        </is>
      </c>
      <c r="D179" s="19" t="inlineStr">
        <is>
          <t>NEW</t>
        </is>
      </c>
      <c r="E179" s="20" t="inlineStr"/>
      <c r="F179" s="19" t="inlineStr"/>
      <c r="G179" s="20" t="inlineStr"/>
      <c r="H179" s="19" t="inlineStr"/>
      <c r="I179" s="21" t="inlineStr">
        <is>
          <t>JOE EL SAMED</t>
        </is>
      </c>
      <c r="J179" s="21" t="inlineStr">
        <is>
          <t>Sócio-Administrador (RFB partner)</t>
        </is>
      </c>
      <c r="K179" s="21" t="inlineStr">
        <is>
          <t>(11) 2693-6106</t>
        </is>
      </c>
      <c r="L179" s="21" t="inlineStr"/>
      <c r="M179" s="21" t="inlineStr"/>
      <c r="N179" s="21" t="inlineStr"/>
      <c r="O179" s="21" t="inlineStr"/>
      <c r="P179" s="21" t="inlineStr"/>
      <c r="Q179" s="21" t="inlineStr"/>
      <c r="R179" s="21" t="inlineStr"/>
      <c r="S179" s="21" t="inlineStr"/>
      <c r="T179" s="21" t="inlineStr">
        <is>
          <t>RFB partner (QSA); no Apollo match</t>
        </is>
      </c>
      <c r="U179" s="22" t="n">
        <v>769232.88</v>
      </c>
      <c r="V179" s="23" t="inlineStr">
        <is>
          <t>B</t>
        </is>
      </c>
      <c r="W179" s="24">
        <f>IFERROR(VLOOKUP(V179,Assumptions!$A$7:$F$11,2,FALSE),0)</f>
        <v/>
      </c>
      <c r="X179" s="25">
        <f>IF(V179="A",MAX(1,IFERROR(VLOOKUP(V179,Assumptions!$A$7:$F$11,3,FALSE),3)+IFERROR(VLOOKUP(V179,Assumptions!$A$7:$F$11,4,FALSE),8)/2-MAX(0,IF(AO179="",0,YEAR(TODAY())-AO179)-IFERROR(VLOOKUP(V179,Assumptions!$A$7:$F$11,5,FALSE),1.5))),IFERROR(VLOOKUP(V179,Assumptions!$A$7:$F$11,5,FALSE),2.5)+IFERROR(VLOOKUP(V179,Assumptions!$A$7:$F$11,3,FALSE),3)+IFERROR(VLOOKUP(V179,Assumptions!$A$7:$F$11,4,FALSE),8)/2)</f>
        <v/>
      </c>
      <c r="Y179" s="22">
        <f>U179*W179/(1+Assumptions!$B$3)^X179</f>
        <v/>
      </c>
      <c r="Z179" s="26">
        <f>IF(U179=0,"",ROUND(Y179/U179*100,1))</f>
        <v/>
      </c>
      <c r="AA179" s="27">
        <f>Y179*Assumptions!$B$4</f>
        <v/>
      </c>
      <c r="AB179" s="26">
        <f>IF(U179=0,"",ROUND(AA179/U179*100,1))</f>
        <v/>
      </c>
      <c r="AC179" s="27">
        <f>Y179-AA179</f>
        <v/>
      </c>
      <c r="AD179" s="26">
        <f>IF(U179=0,"",ROUND((Y179-AA179)/U179*100,1))</f>
        <v/>
      </c>
      <c r="AE179" s="34" t="inlineStr">
        <is>
          <t>PARTIAL — class III reconciled, other classes not</t>
        </is>
      </c>
      <c r="AF179" s="29" t="inlineStr">
        <is>
          <t>https://lrflideres.com.br/wp-content/plugins/download-attachments/includes/download.php?id=4023</t>
        </is>
      </c>
      <c r="AG179" s="28" t="inlineStr">
        <is>
          <t>p7 r115; p9 r86</t>
        </is>
      </c>
      <c r="AH179" s="28" t="inlineStr">
        <is>
          <t>p7: R$ 663.239,28; p9: R$ 105.993,60</t>
        </is>
      </c>
      <c r="AI179" s="28" t="inlineStr">
        <is>
          <t>Debtor list (art. 51)</t>
        </is>
      </c>
      <c r="AJ179" s="28" t="inlineStr"/>
      <c r="AK179" s="28" t="inlineStr">
        <is>
          <t>NONE FOUND</t>
        </is>
      </c>
      <c r="AL179" s="30" t="inlineStr">
        <is>
          <t>0002484-82.2022.8.17.2001</t>
        </is>
      </c>
      <c r="AM179" s="30" t="inlineStr">
        <is>
          <t>TJPE</t>
        </is>
      </c>
      <c r="AN179" s="30" t="inlineStr">
        <is>
          <t>ACTIVE</t>
        </is>
      </c>
      <c r="AO179" s="30" t="n">
        <v>2022</v>
      </c>
      <c r="AP179" s="30" t="inlineStr">
        <is>
          <t>live case, no plan document yet</t>
        </is>
      </c>
      <c r="AQ179" s="30" t="inlineStr"/>
      <c r="AR179" s="30" t="inlineStr">
        <is>
          <t>printed on the list (read twice)</t>
        </is>
      </c>
      <c r="AS179" s="30" t="inlineStr">
        <is>
          <t>SAO PAULO</t>
        </is>
      </c>
      <c r="AT179" s="30" t="inlineStr">
        <is>
          <t>SP</t>
        </is>
      </c>
      <c r="AU179" s="30" t="inlineStr">
        <is>
          <t>Confecção de peças de vestuário, exceto roupas íntimas e as confeccionadas sob medida</t>
        </is>
      </c>
      <c r="AV179" s="30" t="inlineStr">
        <is>
          <t>DEMAIS</t>
        </is>
      </c>
      <c r="AW179" s="31" t="n">
        <v>150000</v>
      </c>
      <c r="AX179" s="30" t="inlineStr">
        <is>
          <t>MID-MARKET</t>
        </is>
      </c>
      <c r="AY179" s="30" t="inlineStr">
        <is>
          <t>21577893</t>
        </is>
      </c>
      <c r="AZ179" s="30" t="n">
        <v>2</v>
      </c>
      <c r="BA179" s="30" t="inlineStr">
        <is>
          <t>PARTIAL_DOC_CLASS_III_RECONCILED ROWS:p7r115,p9r86</t>
        </is>
      </c>
    </row>
    <row r="180">
      <c r="A180" s="16" t="inlineStr">
        <is>
          <t>RSG GESTAO DE ATIVOS LTDA</t>
        </is>
      </c>
      <c r="B180" s="17" t="n">
        <v>760513.79</v>
      </c>
      <c r="C180" s="18" t="inlineStr">
        <is>
          <t>GAMAC IMPORTACAO E EXPORTACAO LTDA (EM RECUPERAÇÃO JUDICIAL)</t>
        </is>
      </c>
      <c r="D180" s="19" t="inlineStr">
        <is>
          <t>NEW</t>
        </is>
      </c>
      <c r="E180" s="20" t="inlineStr"/>
      <c r="F180" s="19" t="inlineStr"/>
      <c r="G180" s="20" t="inlineStr"/>
      <c r="H180" s="19" t="inlineStr"/>
      <c r="I180" s="21" t="inlineStr">
        <is>
          <t>RODRIGO CANO PASSOS</t>
        </is>
      </c>
      <c r="J180" s="21" t="inlineStr">
        <is>
          <t>Administrador (RFB partner)</t>
        </is>
      </c>
      <c r="K180" s="21" t="inlineStr">
        <is>
          <t>(47) 3248-6000</t>
        </is>
      </c>
      <c r="L180" s="21" t="inlineStr"/>
      <c r="M180" s="21" t="inlineStr"/>
      <c r="N180" s="21" t="inlineStr"/>
      <c r="O180" s="21" t="inlineStr"/>
      <c r="P180" s="21" t="inlineStr">
        <is>
          <t>WILLIAM RAMOS</t>
        </is>
      </c>
      <c r="Q180" s="21" t="inlineStr">
        <is>
          <t>Administrador (RFB partner)</t>
        </is>
      </c>
      <c r="R180" s="21" t="inlineStr"/>
      <c r="S180" s="21" t="inlineStr"/>
      <c r="T180" s="21" t="inlineStr">
        <is>
          <t>RFB partner (QSA); no Apollo match</t>
        </is>
      </c>
      <c r="U180" s="22" t="n">
        <v>760513.79</v>
      </c>
      <c r="V180" s="23" t="inlineStr">
        <is>
          <t>B</t>
        </is>
      </c>
      <c r="W180" s="24">
        <f>IFERROR(VLOOKUP(V180,Assumptions!$A$7:$F$11,2,FALSE),0)</f>
        <v/>
      </c>
      <c r="X180" s="25">
        <f>IF(V180="A",MAX(1,IFERROR(VLOOKUP(V180,Assumptions!$A$7:$F$11,3,FALSE),3)+IFERROR(VLOOKUP(V180,Assumptions!$A$7:$F$11,4,FALSE),8)/2-MAX(0,IF(AO180="",0,YEAR(TODAY())-AO180)-IFERROR(VLOOKUP(V180,Assumptions!$A$7:$F$11,5,FALSE),1.5))),IFERROR(VLOOKUP(V180,Assumptions!$A$7:$F$11,5,FALSE),2.5)+IFERROR(VLOOKUP(V180,Assumptions!$A$7:$F$11,3,FALSE),3)+IFERROR(VLOOKUP(V180,Assumptions!$A$7:$F$11,4,FALSE),8)/2)</f>
        <v/>
      </c>
      <c r="Y180" s="22">
        <f>U180*W180/(1+Assumptions!$B$3)^X180</f>
        <v/>
      </c>
      <c r="Z180" s="26">
        <f>IF(U180=0,"",ROUND(Y180/U180*100,1))</f>
        <v/>
      </c>
      <c r="AA180" s="27">
        <f>Y180*Assumptions!$B$4</f>
        <v/>
      </c>
      <c r="AB180" s="26">
        <f>IF(U180=0,"",ROUND(AA180/U180*100,1))</f>
        <v/>
      </c>
      <c r="AC180" s="27">
        <f>Y180-AA180</f>
        <v/>
      </c>
      <c r="AD180" s="26">
        <f>IF(U180=0,"",ROUND((Y180-AA180)/U180*100,1))</f>
        <v/>
      </c>
      <c r="AE180" s="33" t="inlineStr">
        <is>
          <t>NO TOTALS — list prints none; check page</t>
        </is>
      </c>
      <c r="AF180" s="29" t="inlineStr">
        <is>
          <t>https://scalzilliaj.com.br/sgc/download.php?file=files/processo_documento/processo_documento10141405032024_1_.pdf&amp;nome=10 - Edital do art. 7º, §2º da Lei 11.101/2005 (segunda lista de credores)</t>
        </is>
      </c>
      <c r="AG180" s="28" t="inlineStr">
        <is>
          <t>p2 r15</t>
        </is>
      </c>
      <c r="AH180" s="28" t="inlineStr">
        <is>
          <t>p2: R$ 760.513,79</t>
        </is>
      </c>
      <c r="AI180" s="28" t="inlineStr">
        <is>
          <t>QGC (art. 18)</t>
        </is>
      </c>
      <c r="AJ180" s="28" t="inlineStr">
        <is>
          <t>2024-03-05</t>
        </is>
      </c>
      <c r="AK180" s="28" t="inlineStr">
        <is>
          <t>NONE FOUND</t>
        </is>
      </c>
      <c r="AL180" s="30" t="inlineStr">
        <is>
          <t>5012295-78.2023.8.24.0019</t>
        </is>
      </c>
      <c r="AM180" s="30" t="inlineStr">
        <is>
          <t>TJSC</t>
        </is>
      </c>
      <c r="AN180" s="30" t="inlineStr">
        <is>
          <t>ACTIVE</t>
        </is>
      </c>
      <c r="AO180" s="30" t="n">
        <v>2023</v>
      </c>
      <c r="AP180" s="30" t="inlineStr">
        <is>
          <t>live case, no plan document yet</t>
        </is>
      </c>
      <c r="AQ180" s="30" t="inlineStr"/>
      <c r="AR180" s="30" t="inlineStr">
        <is>
          <t>printed on the list (read twice)</t>
        </is>
      </c>
      <c r="AS180" s="30" t="inlineStr">
        <is>
          <t>ITAJAI</t>
        </is>
      </c>
      <c r="AT180" s="30" t="inlineStr">
        <is>
          <t>SC</t>
        </is>
      </c>
      <c r="AU180" s="30" t="inlineStr">
        <is>
          <t>Gestão de ativos intangíveis não-financeiros</t>
        </is>
      </c>
      <c r="AV180" s="30" t="inlineStr">
        <is>
          <t>DEMAIS</t>
        </is>
      </c>
      <c r="AW180" s="31" t="n">
        <v>100000</v>
      </c>
      <c r="AX180" s="30" t="inlineStr">
        <is>
          <t>MID-MARKET</t>
        </is>
      </c>
      <c r="AY180" s="30" t="inlineStr">
        <is>
          <t>30080657</t>
        </is>
      </c>
      <c r="AZ180" s="30" t="n">
        <v>1</v>
      </c>
      <c r="BA180" s="30" t="inlineStr">
        <is>
          <t>ROWS:p2r15 UNRECONCILED_SOURCE</t>
        </is>
      </c>
    </row>
    <row r="181">
      <c r="A181" s="16" t="inlineStr">
        <is>
          <t>UNIPETRO NOVA ANDRADINA DISTRIBUIDORA DE PETROLEO LTDA</t>
        </is>
      </c>
      <c r="B181" s="17" t="n">
        <v>753950</v>
      </c>
      <c r="C181" s="18" t="inlineStr">
        <is>
          <t>ENIVALDO BARELLA TIRONI, MATEUS MANHANI BARELLA, LEILA REGINA MANHANI BARELLA, B&amp;F AGRO COMÉRCIO DE GRÃOS E INSUMOS AGRÍCOLAS LTDA, BARELLA &amp; FILHOS LTDA E M M LOCAÇÃO EIRELI</t>
        </is>
      </c>
      <c r="D181" s="19" t="inlineStr">
        <is>
          <t>NEW</t>
        </is>
      </c>
      <c r="E181" s="20" t="inlineStr"/>
      <c r="F181" s="19" t="inlineStr"/>
      <c r="G181" s="20" t="inlineStr"/>
      <c r="H181" s="19" t="inlineStr"/>
      <c r="I181" s="21" t="inlineStr">
        <is>
          <t>Carlos Batista</t>
        </is>
      </c>
      <c r="J181" s="21" t="inlineStr">
        <is>
          <t>General Manager</t>
        </is>
      </c>
      <c r="K181" s="21" t="inlineStr">
        <is>
          <t>(11) 3990-4090</t>
        </is>
      </c>
      <c r="L181" s="21" t="inlineStr"/>
      <c r="M181" s="21" t="inlineStr"/>
      <c r="N181" s="21" t="inlineStr">
        <is>
          <t>gerencia@unipetroprudente.com.br</t>
        </is>
      </c>
      <c r="O181" s="21" t="inlineStr"/>
      <c r="P181" s="21" t="inlineStr">
        <is>
          <t>ANTONIO FERREIRA DE SOUZA GASPAR</t>
        </is>
      </c>
      <c r="Q181" s="21" t="inlineStr">
        <is>
          <t>Sócio-Administrador (RFB partner)</t>
        </is>
      </c>
      <c r="R181" s="21" t="inlineStr"/>
      <c r="S181" s="21" t="inlineStr"/>
      <c r="T181" s="21" t="inlineStr">
        <is>
          <t>VERIFY org: Apollo lists Unipetro Prudente (SP), target is Unipetro Nova Andradina (MS); has_email; email verified by Apollo</t>
        </is>
      </c>
      <c r="U181" s="22" t="n">
        <v>753950</v>
      </c>
      <c r="V181" s="23" t="inlineStr">
        <is>
          <t>B</t>
        </is>
      </c>
      <c r="W181" s="24">
        <f>IFERROR(VLOOKUP(V181,Assumptions!$A$7:$F$11,2,FALSE),0)</f>
        <v/>
      </c>
      <c r="X181" s="25">
        <f>IF(V181="A",MAX(1,IFERROR(VLOOKUP(V181,Assumptions!$A$7:$F$11,3,FALSE),3)+IFERROR(VLOOKUP(V181,Assumptions!$A$7:$F$11,4,FALSE),8)/2-MAX(0,IF(AO181="",0,YEAR(TODAY())-AO181)-IFERROR(VLOOKUP(V181,Assumptions!$A$7:$F$11,5,FALSE),1.5))),IFERROR(VLOOKUP(V181,Assumptions!$A$7:$F$11,5,FALSE),2.5)+IFERROR(VLOOKUP(V181,Assumptions!$A$7:$F$11,3,FALSE),3)+IFERROR(VLOOKUP(V181,Assumptions!$A$7:$F$11,4,FALSE),8)/2)</f>
        <v/>
      </c>
      <c r="Y181" s="22">
        <f>U181*W181/(1+Assumptions!$B$3)^X181</f>
        <v/>
      </c>
      <c r="Z181" s="26">
        <f>IF(U181=0,"",ROUND(Y181/U181*100,1))</f>
        <v/>
      </c>
      <c r="AA181" s="27">
        <f>Y181*Assumptions!$B$4</f>
        <v/>
      </c>
      <c r="AB181" s="26">
        <f>IF(U181=0,"",ROUND(AA181/U181*100,1))</f>
        <v/>
      </c>
      <c r="AC181" s="27">
        <f>Y181-AA181</f>
        <v/>
      </c>
      <c r="AD181" s="26">
        <f>IF(U181=0,"",ROUND((Y181-AA181)/U181*100,1))</f>
        <v/>
      </c>
      <c r="AE181" s="33" t="inlineStr">
        <is>
          <t>NO TOTALS — list prints none; check page</t>
        </is>
      </c>
      <c r="AF181" s="29" t="inlineStr">
        <is>
          <t>https://scalzilliaj.com.br/sgc/download.php?file=files/processo_documento/processo_documento15542620022025_1_.pdf&amp;nome=11 - Relação de credores - art. 7º, §2º, da LREF</t>
        </is>
      </c>
      <c r="AG181" s="28" t="inlineStr">
        <is>
          <t>p1 r4</t>
        </is>
      </c>
      <c r="AH181" s="28" t="inlineStr">
        <is>
          <t>p1: R$ 753.950,00</t>
        </is>
      </c>
      <c r="AI181" s="28" t="inlineStr">
        <is>
          <t>AJ list (art. 7 §2)</t>
        </is>
      </c>
      <c r="AJ181" s="28" t="inlineStr">
        <is>
          <t>2025-02-19</t>
        </is>
      </c>
      <c r="AK181" s="28" t="inlineStr">
        <is>
          <t>NONE FOUND</t>
        </is>
      </c>
      <c r="AL181" s="30" t="inlineStr">
        <is>
          <t>0028131-73.2024.8.16.0017</t>
        </is>
      </c>
      <c r="AM181" s="30" t="inlineStr">
        <is>
          <t>TJPR</t>
        </is>
      </c>
      <c r="AN181" s="30" t="inlineStr">
        <is>
          <t>ACTIVE</t>
        </is>
      </c>
      <c r="AO181" s="30" t="n">
        <v>2024</v>
      </c>
      <c r="AP181" s="30" t="inlineStr">
        <is>
          <t>live case, no plan document yet</t>
        </is>
      </c>
      <c r="AQ181" s="30" t="inlineStr">
        <is>
          <t>23.706.398/0001-81</t>
        </is>
      </c>
      <c r="AR181" s="30" t="inlineStr">
        <is>
          <t>printed on the list (read twice)</t>
        </is>
      </c>
      <c r="AS181" s="30" t="inlineStr">
        <is>
          <t>NOVA ANDRADINA</t>
        </is>
      </c>
      <c r="AT181" s="30" t="inlineStr">
        <is>
          <t>MS</t>
        </is>
      </c>
      <c r="AU181" s="30" t="inlineStr">
        <is>
          <t>Comércio atacadista de combustíveis realizado por transportador retalhista (T.R.R.)</t>
        </is>
      </c>
      <c r="AV181" s="30" t="inlineStr">
        <is>
          <t>DEMAIS</t>
        </is>
      </c>
      <c r="AW181" s="31" t="n">
        <v>800000</v>
      </c>
      <c r="AX181" s="30" t="inlineStr">
        <is>
          <t>MID-MARKET</t>
        </is>
      </c>
      <c r="AY181" s="30" t="inlineStr">
        <is>
          <t>00210633</t>
        </is>
      </c>
      <c r="AZ181" s="30" t="n">
        <v>1</v>
      </c>
      <c r="BA181" s="30" t="inlineStr">
        <is>
          <t>ROWS:p1r4 UNRECONCILED_SOURCE</t>
        </is>
      </c>
    </row>
    <row r="182">
      <c r="A182" s="16" t="inlineStr">
        <is>
          <t>UNIDADE REVENDEDORA DE BEBIDAS LTDA</t>
        </is>
      </c>
      <c r="B182" s="17" t="n">
        <v>402999.19</v>
      </c>
      <c r="C182" s="18" t="inlineStr">
        <is>
          <t>GRUPO 3E</t>
        </is>
      </c>
      <c r="D182" s="19" t="inlineStr">
        <is>
          <t>NEW</t>
        </is>
      </c>
      <c r="E182" s="20" t="inlineStr"/>
      <c r="F182" s="19" t="inlineStr"/>
      <c r="G182" s="20" t="inlineStr"/>
      <c r="H182" s="19" t="inlineStr"/>
      <c r="I182" s="21" t="inlineStr">
        <is>
          <t>Lidia Costa</t>
        </is>
      </c>
      <c r="J182" s="21" t="inlineStr">
        <is>
          <t>Financial Administrative Manager</t>
        </is>
      </c>
      <c r="K182" s="21" t="inlineStr">
        <is>
          <t>(62) 8455-8905</t>
        </is>
      </c>
      <c r="L182" s="21" t="inlineStr"/>
      <c r="M182" s="21" t="inlineStr"/>
      <c r="N182" s="21" t="inlineStr"/>
      <c r="O182" s="21" t="inlineStr"/>
      <c r="P182" s="21" t="inlineStr">
        <is>
          <t>Frank Resende</t>
        </is>
      </c>
      <c r="Q182" s="21" t="inlineStr">
        <is>
          <t>Financial Supervisor</t>
        </is>
      </c>
      <c r="R182" s="21" t="inlineStr"/>
      <c r="S182" s="21" t="inlineStr"/>
      <c r="T182" s="21" t="inlineStr">
        <is>
          <t>no work email found in Apollo</t>
        </is>
      </c>
      <c r="U182" s="22" t="n">
        <v>402999.19</v>
      </c>
      <c r="V182" s="35" t="inlineStr">
        <is>
          <t>A</t>
        </is>
      </c>
      <c r="W182" s="24">
        <f>IFERROR(VLOOKUP(V182,Assumptions!$A$7:$F$11,2,FALSE),0)</f>
        <v/>
      </c>
      <c r="X182" s="25">
        <f>IF(V182="A",MAX(1,IFERROR(VLOOKUP(V182,Assumptions!$A$7:$F$11,3,FALSE),3)+IFERROR(VLOOKUP(V182,Assumptions!$A$7:$F$11,4,FALSE),8)/2-MAX(0,IF(AO182="",0,YEAR(TODAY())-AO182)-IFERROR(VLOOKUP(V182,Assumptions!$A$7:$F$11,5,FALSE),1.5))),IFERROR(VLOOKUP(V182,Assumptions!$A$7:$F$11,5,FALSE),2.5)+IFERROR(VLOOKUP(V182,Assumptions!$A$7:$F$11,3,FALSE),3)+IFERROR(VLOOKUP(V182,Assumptions!$A$7:$F$11,4,FALSE),8)/2)</f>
        <v/>
      </c>
      <c r="Y182" s="22">
        <f>U182*W182/(1+Assumptions!$B$3)^X182</f>
        <v/>
      </c>
      <c r="Z182" s="26">
        <f>IF(U182=0,"",ROUND(Y182/U182*100,1))</f>
        <v/>
      </c>
      <c r="AA182" s="27">
        <f>Y182*Assumptions!$B$4</f>
        <v/>
      </c>
      <c r="AB182" s="26">
        <f>IF(U182=0,"",ROUND(AA182/U182*100,1))</f>
        <v/>
      </c>
      <c r="AC182" s="27">
        <f>Y182-AA182</f>
        <v/>
      </c>
      <c r="AD182" s="26">
        <f>IF(U182=0,"",ROUND((Y182-AA182)/U182*100,1))</f>
        <v/>
      </c>
      <c r="AE182" s="33" t="inlineStr">
        <is>
          <t>NO TOTALS — list prints none; check page</t>
        </is>
      </c>
      <c r="AF182" s="29" t="inlineStr">
        <is>
          <t>https://stenius.com.br/wp-content/uploads/2026/06/EDITAL-GRUPO-3E.pdf</t>
        </is>
      </c>
      <c r="AG182" s="28" t="inlineStr">
        <is>
          <t>p11 r56</t>
        </is>
      </c>
      <c r="AH182" s="28" t="inlineStr">
        <is>
          <t>p11: R$ 402.999,19</t>
        </is>
      </c>
      <c r="AI182" s="28" t="inlineStr">
        <is>
          <t>Debtor list (art. 51)</t>
        </is>
      </c>
      <c r="AJ182" s="28" t="inlineStr">
        <is>
          <t>2026-06-22</t>
        </is>
      </c>
      <c r="AK182" s="28" t="inlineStr">
        <is>
          <t>PLAN DOC FOUND</t>
        </is>
      </c>
      <c r="AL182" s="30" t="inlineStr">
        <is>
          <t>5341375-33.2026.8.09.0049</t>
        </is>
      </c>
      <c r="AM182" s="30" t="inlineStr">
        <is>
          <t>TJGO</t>
        </is>
      </c>
      <c r="AN182" s="30" t="inlineStr">
        <is>
          <t>ACTIVE</t>
        </is>
      </c>
      <c r="AO182" s="30" t="n">
        <v>2026</v>
      </c>
      <c r="AP182" s="30" t="inlineStr">
        <is>
          <t>plan/homologation document found</t>
        </is>
      </c>
      <c r="AQ182" s="30" t="inlineStr"/>
      <c r="AR182" s="30" t="inlineStr">
        <is>
          <t>printed on the list (read twice)</t>
        </is>
      </c>
      <c r="AS182" s="30" t="inlineStr">
        <is>
          <t>PORANGATU</t>
        </is>
      </c>
      <c r="AT182" s="30" t="inlineStr">
        <is>
          <t>GO</t>
        </is>
      </c>
      <c r="AU182" s="30" t="inlineStr">
        <is>
          <t>Comércio atacadista de cerveja, chope e refrigerante</t>
        </is>
      </c>
      <c r="AV182" s="30" t="inlineStr">
        <is>
          <t>DEMAIS</t>
        </is>
      </c>
      <c r="AW182" s="31" t="n">
        <v>9886428</v>
      </c>
      <c r="AX182" s="30" t="inlineStr">
        <is>
          <t>MID-MARKET</t>
        </is>
      </c>
      <c r="AY182" s="30" t="inlineStr">
        <is>
          <t>12095666</t>
        </is>
      </c>
      <c r="AZ182" s="30" t="n">
        <v>1</v>
      </c>
      <c r="BA182" s="30" t="inlineStr">
        <is>
          <t>ROWS:p11r56 UNRECONCILED_SOURCE</t>
        </is>
      </c>
    </row>
    <row r="183">
      <c r="A183" s="16" t="inlineStr">
        <is>
          <t>EUCATEX S A INDUSTRIA E COMERCIO</t>
        </is>
      </c>
      <c r="B183" s="17" t="n">
        <v>1400000</v>
      </c>
      <c r="C183" s="37" t="inlineStr">
        <is>
          <t>(debtor not identified — see proof)</t>
        </is>
      </c>
      <c r="D183" s="19" t="inlineStr">
        <is>
          <t>NEW</t>
        </is>
      </c>
      <c r="E183" s="20" t="inlineStr"/>
      <c r="F183" s="19" t="inlineStr"/>
      <c r="G183" s="20" t="inlineStr"/>
      <c r="H183" s="19" t="inlineStr"/>
      <c r="I183" s="21" t="inlineStr">
        <is>
          <t>Carlos Oliveira</t>
        </is>
      </c>
      <c r="J183" s="21" t="inlineStr">
        <is>
          <t>Supervisor de Crédito e Contas a Receber</t>
        </is>
      </c>
      <c r="K183" s="21" t="inlineStr">
        <is>
          <t>(11) 3049-2427</t>
        </is>
      </c>
      <c r="L183" s="21" t="inlineStr"/>
      <c r="M183" s="21" t="inlineStr"/>
      <c r="N183" s="21" t="inlineStr"/>
      <c r="O183" s="21" t="inlineStr"/>
      <c r="P183" s="21" t="inlineStr">
        <is>
          <t>GENILDO DE BRITO</t>
        </is>
      </c>
      <c r="Q183" s="21" t="inlineStr">
        <is>
          <t>Diretor (RFB partner)</t>
        </is>
      </c>
      <c r="R183" s="21" t="inlineStr"/>
      <c r="S183" s="21" t="inlineStr"/>
      <c r="T183" s="21" t="inlineStr">
        <is>
          <t>no work email found in Apollo</t>
        </is>
      </c>
      <c r="U183" s="22" t="n">
        <v>1400000</v>
      </c>
      <c r="V183" s="32" t="inlineStr">
        <is>
          <t>U</t>
        </is>
      </c>
      <c r="W183" s="24">
        <f>IFERROR(VLOOKUP(V183,Assumptions!$A$7:$F$11,2,FALSE),0)</f>
        <v/>
      </c>
      <c r="X183" s="25">
        <f>IF(V183="A",MAX(1,IFERROR(VLOOKUP(V183,Assumptions!$A$7:$F$11,3,FALSE),3)+IFERROR(VLOOKUP(V183,Assumptions!$A$7:$F$11,4,FALSE),8)/2-MAX(0,IF(AO183="",0,YEAR(TODAY())-AO183)-IFERROR(VLOOKUP(V183,Assumptions!$A$7:$F$11,5,FALSE),1.5))),IFERROR(VLOOKUP(V183,Assumptions!$A$7:$F$11,5,FALSE),2.5)+IFERROR(VLOOKUP(V183,Assumptions!$A$7:$F$11,3,FALSE),3)+IFERROR(VLOOKUP(V183,Assumptions!$A$7:$F$11,4,FALSE),8)/2)</f>
        <v/>
      </c>
      <c r="Y183" s="22">
        <f>U183*W183/(1+Assumptions!$B$3)^X183</f>
        <v/>
      </c>
      <c r="Z183" s="26">
        <f>IF(U183=0,"",ROUND(Y183/U183*100,1))</f>
        <v/>
      </c>
      <c r="AA183" s="27">
        <f>Y183*Assumptions!$B$4</f>
        <v/>
      </c>
      <c r="AB183" s="26">
        <f>IF(U183=0,"",ROUND(AA183/U183*100,1))</f>
        <v/>
      </c>
      <c r="AC183" s="27">
        <f>Y183-AA183</f>
        <v/>
      </c>
      <c r="AD183" s="26">
        <f>IF(U183=0,"",ROUND((Y183-AA183)/U183*100,1))</f>
        <v/>
      </c>
      <c r="AE183" s="28" t="inlineStr">
        <is>
          <t>OK — totals reconciled</t>
        </is>
      </c>
      <c r="AF183" s="29" t="inlineStr">
        <is>
          <t>https://ajruiz.com.br/sites/default/files/public/arquivos-processos/2023-11/4_relacao_de_credores_analitica_art._51_iii_da_lre.pdf</t>
        </is>
      </c>
      <c r="AG183" s="28" t="inlineStr">
        <is>
          <t>p3 r6</t>
        </is>
      </c>
      <c r="AH183" s="28" t="inlineStr">
        <is>
          <t>p3: R$ 1.400.000,00</t>
        </is>
      </c>
      <c r="AI183" s="28" t="inlineStr">
        <is>
          <t>Unclassified list</t>
        </is>
      </c>
      <c r="AJ183" s="28" t="inlineStr"/>
      <c r="AK183" s="28" t="inlineStr">
        <is>
          <t>NONE FOUND</t>
        </is>
      </c>
      <c r="AL183" s="30" t="inlineStr">
        <is>
          <t>(not printed)</t>
        </is>
      </c>
      <c r="AM183" s="30" t="inlineStr"/>
      <c r="AN183" s="30" t="inlineStr"/>
      <c r="AO183" s="30" t="inlineStr"/>
      <c r="AP183" s="30" t="inlineStr">
        <is>
          <t>RJ case number not identified on the document</t>
        </is>
      </c>
      <c r="AQ183" s="30" t="inlineStr"/>
      <c r="AR183" s="30" t="inlineStr">
        <is>
          <t>not identified</t>
        </is>
      </c>
      <c r="AS183" s="30" t="inlineStr">
        <is>
          <t>SAO PAULO</t>
        </is>
      </c>
      <c r="AT183" s="30" t="inlineStr">
        <is>
          <t>SP</t>
        </is>
      </c>
      <c r="AU183" s="30" t="inlineStr">
        <is>
          <t>Fabricação de madeira laminada e de chapas de madeira compensada, prensada e aglomerada</t>
        </is>
      </c>
      <c r="AV183" s="30" t="inlineStr">
        <is>
          <t>DEMAIS</t>
        </is>
      </c>
      <c r="AW183" s="31" t="n">
        <v>1485246600</v>
      </c>
      <c r="AX183" s="30" t="inlineStr">
        <is>
          <t>LARGE CORP</t>
        </is>
      </c>
      <c r="AY183" s="30" t="inlineStr">
        <is>
          <t>56643018</t>
        </is>
      </c>
      <c r="AZ183" s="30" t="n">
        <v>1</v>
      </c>
      <c r="BA183" s="30" t="inlineStr">
        <is>
          <t>ROWS:p3r6 CASE_NUMBER_CORRECTED</t>
        </is>
      </c>
    </row>
    <row r="184">
      <c r="A184" s="16" t="inlineStr">
        <is>
          <t>INDUSTRIA DE CARROCERIAS METALICAS IBIPORA LTDA</t>
        </is>
      </c>
      <c r="B184" s="17" t="n">
        <v>398969.08</v>
      </c>
      <c r="C184" s="18" t="inlineStr">
        <is>
          <t>GRUPO 3E</t>
        </is>
      </c>
      <c r="D184" s="19" t="inlineStr">
        <is>
          <t>NEW</t>
        </is>
      </c>
      <c r="E184" s="20" t="inlineStr"/>
      <c r="F184" s="19" t="inlineStr"/>
      <c r="G184" s="20" t="inlineStr"/>
      <c r="H184" s="19" t="inlineStr"/>
      <c r="I184" s="21" t="inlineStr">
        <is>
          <t>DAVID WILLIAM MARTINS DA COSTA</t>
        </is>
      </c>
      <c r="J184" s="21" t="inlineStr">
        <is>
          <t>Sócio-Administrador (RFB partner)</t>
        </is>
      </c>
      <c r="K184" s="21" t="inlineStr">
        <is>
          <t>(43) 3178-5000</t>
        </is>
      </c>
      <c r="L184" s="21" t="inlineStr"/>
      <c r="M184" s="21" t="inlineStr"/>
      <c r="N184" s="21" t="inlineStr"/>
      <c r="O184" s="21" t="inlineStr"/>
      <c r="P184" s="21" t="inlineStr">
        <is>
          <t>DEVANIR MARTINS DA COSTA</t>
        </is>
      </c>
      <c r="Q184" s="21" t="inlineStr">
        <is>
          <t>Sócio-Administrador (RFB partner)</t>
        </is>
      </c>
      <c r="R184" s="21" t="inlineStr"/>
      <c r="S184" s="21" t="inlineStr"/>
      <c r="T184" s="21" t="inlineStr">
        <is>
          <t>RFB partner (QSA); no Apollo match</t>
        </is>
      </c>
      <c r="U184" s="22" t="n">
        <v>398969.08</v>
      </c>
      <c r="V184" s="35" t="inlineStr">
        <is>
          <t>A</t>
        </is>
      </c>
      <c r="W184" s="24">
        <f>IFERROR(VLOOKUP(V184,Assumptions!$A$7:$F$11,2,FALSE),0)</f>
        <v/>
      </c>
      <c r="X184" s="25">
        <f>IF(V184="A",MAX(1,IFERROR(VLOOKUP(V184,Assumptions!$A$7:$F$11,3,FALSE),3)+IFERROR(VLOOKUP(V184,Assumptions!$A$7:$F$11,4,FALSE),8)/2-MAX(0,IF(AO184="",0,YEAR(TODAY())-AO184)-IFERROR(VLOOKUP(V184,Assumptions!$A$7:$F$11,5,FALSE),1.5))),IFERROR(VLOOKUP(V184,Assumptions!$A$7:$F$11,5,FALSE),2.5)+IFERROR(VLOOKUP(V184,Assumptions!$A$7:$F$11,3,FALSE),3)+IFERROR(VLOOKUP(V184,Assumptions!$A$7:$F$11,4,FALSE),8)/2)</f>
        <v/>
      </c>
      <c r="Y184" s="22">
        <f>U184*W184/(1+Assumptions!$B$3)^X184</f>
        <v/>
      </c>
      <c r="Z184" s="26">
        <f>IF(U184=0,"",ROUND(Y184/U184*100,1))</f>
        <v/>
      </c>
      <c r="AA184" s="27">
        <f>Y184*Assumptions!$B$4</f>
        <v/>
      </c>
      <c r="AB184" s="26">
        <f>IF(U184=0,"",ROUND(AA184/U184*100,1))</f>
        <v/>
      </c>
      <c r="AC184" s="27">
        <f>Y184-AA184</f>
        <v/>
      </c>
      <c r="AD184" s="26">
        <f>IF(U184=0,"",ROUND((Y184-AA184)/U184*100,1))</f>
        <v/>
      </c>
      <c r="AE184" s="33" t="inlineStr">
        <is>
          <t>NO TOTALS — list prints none; check page</t>
        </is>
      </c>
      <c r="AF184" s="29" t="inlineStr">
        <is>
          <t>https://stenius.com.br/wp-content/uploads/2026/06/EDITAL-GRUPO-3E.pdf</t>
        </is>
      </c>
      <c r="AG184" s="28" t="inlineStr">
        <is>
          <t>p14 r52</t>
        </is>
      </c>
      <c r="AH184" s="28" t="inlineStr">
        <is>
          <t>p14: R$ 398.969,08</t>
        </is>
      </c>
      <c r="AI184" s="28" t="inlineStr">
        <is>
          <t>Debtor list (art. 51)</t>
        </is>
      </c>
      <c r="AJ184" s="28" t="inlineStr">
        <is>
          <t>2026-06-22</t>
        </is>
      </c>
      <c r="AK184" s="28" t="inlineStr">
        <is>
          <t>PLAN DOC FOUND</t>
        </is>
      </c>
      <c r="AL184" s="30" t="inlineStr">
        <is>
          <t>5341375-33.2026.8.09.0049</t>
        </is>
      </c>
      <c r="AM184" s="30" t="inlineStr">
        <is>
          <t>TJGO</t>
        </is>
      </c>
      <c r="AN184" s="30" t="inlineStr">
        <is>
          <t>ACTIVE</t>
        </is>
      </c>
      <c r="AO184" s="30" t="n">
        <v>2026</v>
      </c>
      <c r="AP184" s="30" t="inlineStr">
        <is>
          <t>plan/homologation document found</t>
        </is>
      </c>
      <c r="AQ184" s="30" t="inlineStr"/>
      <c r="AR184" s="30" t="inlineStr">
        <is>
          <t>printed on the list (read twice)</t>
        </is>
      </c>
      <c r="AS184" s="30" t="inlineStr">
        <is>
          <t>IBIPORA</t>
        </is>
      </c>
      <c r="AT184" s="30" t="inlineStr">
        <is>
          <t>PR</t>
        </is>
      </c>
      <c r="AU184" s="30" t="inlineStr">
        <is>
          <t>Fabricação de cabines, carrocerias e reboques para caminhões</t>
        </is>
      </c>
      <c r="AV184" s="30" t="inlineStr">
        <is>
          <t>DEMAIS</t>
        </is>
      </c>
      <c r="AW184" s="31" t="n">
        <v>13650000</v>
      </c>
      <c r="AX184" s="30" t="inlineStr">
        <is>
          <t>MID-MARKET</t>
        </is>
      </c>
      <c r="AY184" s="30" t="inlineStr">
        <is>
          <t>85462471</t>
        </is>
      </c>
      <c r="AZ184" s="30" t="n">
        <v>1</v>
      </c>
      <c r="BA184" s="30" t="inlineStr">
        <is>
          <t>ROWS:p14r52 UNRECONCILED_SOURCE</t>
        </is>
      </c>
    </row>
    <row r="185">
      <c r="A185" s="16" t="inlineStr">
        <is>
          <t>HEMOPROT INDUSTRIA E COMERCIO DE PRODUTOS FRIGORIFICOS LTDA</t>
        </is>
      </c>
      <c r="B185" s="17" t="n">
        <v>398000</v>
      </c>
      <c r="C185" s="18" t="inlineStr">
        <is>
          <t>GRUPO 3E</t>
        </is>
      </c>
      <c r="D185" s="19" t="inlineStr">
        <is>
          <t>NEW</t>
        </is>
      </c>
      <c r="E185" s="20" t="inlineStr"/>
      <c r="F185" s="19" t="inlineStr"/>
      <c r="G185" s="20" t="inlineStr"/>
      <c r="H185" s="19" t="inlineStr"/>
      <c r="I185" s="21" t="inlineStr">
        <is>
          <t>Gustavo Dunzer</t>
        </is>
      </c>
      <c r="J185" s="21" t="inlineStr">
        <is>
          <t>Contador (CRC SC-041346/O-2)</t>
        </is>
      </c>
      <c r="K185" s="21" t="inlineStr">
        <is>
          <t>(67) 9212-6719</t>
        </is>
      </c>
      <c r="L185" s="21" t="inlineStr"/>
      <c r="M185" s="21" t="inlineStr"/>
      <c r="N185" s="21" t="inlineStr">
        <is>
          <t>gustavo.dunzer@hemoprot.com.br</t>
        </is>
      </c>
      <c r="O185" s="21" t="inlineStr">
        <is>
          <t>diogo.bracciali@hemoprot.com.br</t>
        </is>
      </c>
      <c r="P185" s="21" t="inlineStr">
        <is>
          <t>Diogo Bracciali</t>
        </is>
      </c>
      <c r="Q185" s="21" t="inlineStr">
        <is>
          <t>Sales Manager Latam</t>
        </is>
      </c>
      <c r="R185" s="21" t="inlineStr"/>
      <c r="S185" s="21" t="inlineStr">
        <is>
          <t>diogo.bracciali@hemoprot.com.br</t>
        </is>
      </c>
      <c r="T185" s="21" t="inlineStr">
        <is>
          <t>email verified by Apollo</t>
        </is>
      </c>
      <c r="U185" s="22" t="n">
        <v>398000</v>
      </c>
      <c r="V185" s="35" t="inlineStr">
        <is>
          <t>A</t>
        </is>
      </c>
      <c r="W185" s="24">
        <f>IFERROR(VLOOKUP(V185,Assumptions!$A$7:$F$11,2,FALSE),0)</f>
        <v/>
      </c>
      <c r="X185" s="25">
        <f>IF(V185="A",MAX(1,IFERROR(VLOOKUP(V185,Assumptions!$A$7:$F$11,3,FALSE),3)+IFERROR(VLOOKUP(V185,Assumptions!$A$7:$F$11,4,FALSE),8)/2-MAX(0,IF(AO185="",0,YEAR(TODAY())-AO185)-IFERROR(VLOOKUP(V185,Assumptions!$A$7:$F$11,5,FALSE),1.5))),IFERROR(VLOOKUP(V185,Assumptions!$A$7:$F$11,5,FALSE),2.5)+IFERROR(VLOOKUP(V185,Assumptions!$A$7:$F$11,3,FALSE),3)+IFERROR(VLOOKUP(V185,Assumptions!$A$7:$F$11,4,FALSE),8)/2)</f>
        <v/>
      </c>
      <c r="Y185" s="22">
        <f>U185*W185/(1+Assumptions!$B$3)^X185</f>
        <v/>
      </c>
      <c r="Z185" s="26">
        <f>IF(U185=0,"",ROUND(Y185/U185*100,1))</f>
        <v/>
      </c>
      <c r="AA185" s="27">
        <f>Y185*Assumptions!$B$4</f>
        <v/>
      </c>
      <c r="AB185" s="26">
        <f>IF(U185=0,"",ROUND(AA185/U185*100,1))</f>
        <v/>
      </c>
      <c r="AC185" s="27">
        <f>Y185-AA185</f>
        <v/>
      </c>
      <c r="AD185" s="26">
        <f>IF(U185=0,"",ROUND((Y185-AA185)/U185*100,1))</f>
        <v/>
      </c>
      <c r="AE185" s="33" t="inlineStr">
        <is>
          <t>NO TOTALS — list prints none; check page</t>
        </is>
      </c>
      <c r="AF185" s="29" t="inlineStr">
        <is>
          <t>https://stenius.com.br/wp-content/uploads/2026/06/EDITAL-GRUPO-3E.pdf</t>
        </is>
      </c>
      <c r="AG185" s="28" t="inlineStr">
        <is>
          <t>p14 r36</t>
        </is>
      </c>
      <c r="AH185" s="28" t="inlineStr">
        <is>
          <t>p14: R$ 398.000,00</t>
        </is>
      </c>
      <c r="AI185" s="28" t="inlineStr">
        <is>
          <t>Debtor list (art. 51)</t>
        </is>
      </c>
      <c r="AJ185" s="28" t="inlineStr">
        <is>
          <t>2026-06-22</t>
        </is>
      </c>
      <c r="AK185" s="28" t="inlineStr">
        <is>
          <t>PLAN DOC FOUND</t>
        </is>
      </c>
      <c r="AL185" s="30" t="inlineStr">
        <is>
          <t>5341375-33.2026.8.09.0049</t>
        </is>
      </c>
      <c r="AM185" s="30" t="inlineStr">
        <is>
          <t>TJGO</t>
        </is>
      </c>
      <c r="AN185" s="30" t="inlineStr">
        <is>
          <t>ACTIVE</t>
        </is>
      </c>
      <c r="AO185" s="30" t="n">
        <v>2026</v>
      </c>
      <c r="AP185" s="30" t="inlineStr">
        <is>
          <t>plan/homologation document found</t>
        </is>
      </c>
      <c r="AQ185" s="30" t="inlineStr"/>
      <c r="AR185" s="30" t="inlineStr">
        <is>
          <t>printed on the list (read twice)</t>
        </is>
      </c>
      <c r="AS185" s="30" t="inlineStr">
        <is>
          <t>MUNDO NOVO</t>
        </is>
      </c>
      <c r="AT185" s="30" t="inlineStr">
        <is>
          <t>MS</t>
        </is>
      </c>
      <c r="AU185" s="30" t="inlineStr">
        <is>
          <t>Preparação de subprodutos do abate</t>
        </is>
      </c>
      <c r="AV185" s="30" t="inlineStr">
        <is>
          <t>DEMAIS</t>
        </is>
      </c>
      <c r="AW185" s="31" t="n">
        <v>70633910</v>
      </c>
      <c r="AX185" s="30" t="inlineStr">
        <is>
          <t>MID-MARKET</t>
        </is>
      </c>
      <c r="AY185" s="30" t="inlineStr">
        <is>
          <t>02525961</t>
        </is>
      </c>
      <c r="AZ185" s="30" t="n">
        <v>1</v>
      </c>
      <c r="BA185" s="30" t="inlineStr">
        <is>
          <t>ROWS:p14r36 UNRECONCILED_SOURCE</t>
        </is>
      </c>
    </row>
    <row r="186">
      <c r="A186" s="16" t="inlineStr">
        <is>
          <t>IMPROTEC COMERCIO DE MATERIAL CIRURGICO SA</t>
        </is>
      </c>
      <c r="B186" s="17" t="n">
        <v>730000</v>
      </c>
      <c r="C186" s="18" t="inlineStr">
        <is>
          <t>ASSOCIAÇÃO DE CARIDADE SANTA CASA DO RIO GRANDE</t>
        </is>
      </c>
      <c r="D186" s="19" t="inlineStr">
        <is>
          <t>NEW</t>
        </is>
      </c>
      <c r="E186" s="20" t="inlineStr"/>
      <c r="F186" s="19" t="inlineStr"/>
      <c r="G186" s="20" t="inlineStr"/>
      <c r="H186" s="19" t="inlineStr"/>
      <c r="I186" s="21" t="inlineStr">
        <is>
          <t>FRANCISCO JOSE DAMBROS</t>
        </is>
      </c>
      <c r="J186" s="21" t="inlineStr">
        <is>
          <t>Diretor (RFB partner)</t>
        </is>
      </c>
      <c r="K186" s="21" t="inlineStr">
        <is>
          <t>(51) 3361-4560</t>
        </is>
      </c>
      <c r="L186" s="21" t="inlineStr"/>
      <c r="M186" s="21" t="inlineStr"/>
      <c r="N186" s="21" t="inlineStr"/>
      <c r="O186" s="21" t="inlineStr"/>
      <c r="P186" s="21" t="inlineStr"/>
      <c r="Q186" s="21" t="inlineStr"/>
      <c r="R186" s="21" t="inlineStr"/>
      <c r="S186" s="21" t="inlineStr"/>
      <c r="T186" s="21" t="inlineStr">
        <is>
          <t>RFB partner (QSA); no Apollo match</t>
        </is>
      </c>
      <c r="U186" s="22" t="n">
        <v>730000</v>
      </c>
      <c r="V186" s="23" t="inlineStr">
        <is>
          <t>B</t>
        </is>
      </c>
      <c r="W186" s="24">
        <f>IFERROR(VLOOKUP(V186,Assumptions!$A$7:$F$11,2,FALSE),0)</f>
        <v/>
      </c>
      <c r="X186" s="25">
        <f>IF(V186="A",MAX(1,IFERROR(VLOOKUP(V186,Assumptions!$A$7:$F$11,3,FALSE),3)+IFERROR(VLOOKUP(V186,Assumptions!$A$7:$F$11,4,FALSE),8)/2-MAX(0,IF(AO186="",0,YEAR(TODAY())-AO186)-IFERROR(VLOOKUP(V186,Assumptions!$A$7:$F$11,5,FALSE),1.5))),IFERROR(VLOOKUP(V186,Assumptions!$A$7:$F$11,5,FALSE),2.5)+IFERROR(VLOOKUP(V186,Assumptions!$A$7:$F$11,3,FALSE),3)+IFERROR(VLOOKUP(V186,Assumptions!$A$7:$F$11,4,FALSE),8)/2)</f>
        <v/>
      </c>
      <c r="Y186" s="22">
        <f>U186*W186/(1+Assumptions!$B$3)^X186</f>
        <v/>
      </c>
      <c r="Z186" s="26">
        <f>IF(U186=0,"",ROUND(Y186/U186*100,1))</f>
        <v/>
      </c>
      <c r="AA186" s="27">
        <f>Y186*Assumptions!$B$4</f>
        <v/>
      </c>
      <c r="AB186" s="26">
        <f>IF(U186=0,"",ROUND(AA186/U186*100,1))</f>
        <v/>
      </c>
      <c r="AC186" s="27">
        <f>Y186-AA186</f>
        <v/>
      </c>
      <c r="AD186" s="26">
        <f>IF(U186=0,"",ROUND((Y186-AA186)/U186*100,1))</f>
        <v/>
      </c>
      <c r="AE186" s="33" t="inlineStr">
        <is>
          <t>NO TOTALS — list prints none; check page</t>
        </is>
      </c>
      <c r="AF186" s="29" t="inlineStr">
        <is>
          <t>https://scalzilliaj.com.br/sgc/download.php?file=files/processo_documento/processo_documento09120721032023_1_.pdf&amp;nome=15 - Edital do art. 7º, §2º e 53 da Lei 11.101/2005 (segunda lista de credores e recebimento do plano))</t>
        </is>
      </c>
      <c r="AG186" s="28" t="inlineStr">
        <is>
          <t>p27 r55</t>
        </is>
      </c>
      <c r="AH186" s="28" t="inlineStr">
        <is>
          <t>p27: R$ 730.000,00</t>
        </is>
      </c>
      <c r="AI186" s="28" t="inlineStr">
        <is>
          <t>AJ list (art. 7 §2)</t>
        </is>
      </c>
      <c r="AJ186" s="28" t="inlineStr">
        <is>
          <t>2023-03-21</t>
        </is>
      </c>
      <c r="AK186" s="28" t="inlineStr">
        <is>
          <t>NONE FOUND</t>
        </is>
      </c>
      <c r="AL186" s="30" t="inlineStr">
        <is>
          <t>5012306-16.2022.8.21.0023</t>
        </is>
      </c>
      <c r="AM186" s="30" t="inlineStr">
        <is>
          <t>TJRS</t>
        </is>
      </c>
      <c r="AN186" s="30" t="inlineStr">
        <is>
          <t>ACTIVE</t>
        </is>
      </c>
      <c r="AO186" s="30" t="n">
        <v>2022</v>
      </c>
      <c r="AP186" s="30" t="inlineStr">
        <is>
          <t>live case, no plan document yet</t>
        </is>
      </c>
      <c r="AQ186" s="30" t="inlineStr"/>
      <c r="AR186" s="30" t="inlineStr">
        <is>
          <t>printed on the list (read twice)</t>
        </is>
      </c>
      <c r="AS186" s="30" t="inlineStr">
        <is>
          <t>PORTO ALEGRE</t>
        </is>
      </c>
      <c r="AT186" s="30" t="inlineStr">
        <is>
          <t>RS</t>
        </is>
      </c>
      <c r="AU186" s="30" t="inlineStr">
        <is>
          <t>Comércio atacadista de instrumentos e materiais para uso médico, cirúrgico, hospitalar e de laboratórios</t>
        </is>
      </c>
      <c r="AV186" s="30" t="inlineStr">
        <is>
          <t>DEMAIS</t>
        </is>
      </c>
      <c r="AW186" s="31" t="n">
        <v>3000000</v>
      </c>
      <c r="AX186" s="30" t="inlineStr">
        <is>
          <t>MID-MARKET</t>
        </is>
      </c>
      <c r="AY186" s="30" t="inlineStr">
        <is>
          <t>94868742</t>
        </is>
      </c>
      <c r="AZ186" s="30" t="n">
        <v>1</v>
      </c>
      <c r="BA186" s="30" t="inlineStr">
        <is>
          <t>ROWS:p27r55 UNRECONCILED_SOURCE</t>
        </is>
      </c>
    </row>
    <row r="187">
      <c r="A187" s="16" t="inlineStr">
        <is>
          <t>SH INDUSTRIA TEXTIL LTDA.</t>
        </is>
      </c>
      <c r="B187" s="17" t="n">
        <v>723908</v>
      </c>
      <c r="C187" s="18" t="inlineStr">
        <is>
          <t>GRUPO CATTAN</t>
        </is>
      </c>
      <c r="D187" s="19" t="inlineStr">
        <is>
          <t>NEW</t>
        </is>
      </c>
      <c r="E187" s="20" t="inlineStr"/>
      <c r="F187" s="19" t="inlineStr"/>
      <c r="G187" s="20" t="inlineStr"/>
      <c r="H187" s="19" t="inlineStr"/>
      <c r="I187" s="21" t="inlineStr">
        <is>
          <t>IVANILDE CRISTINA DE PAULA HAMMES</t>
        </is>
      </c>
      <c r="J187" s="21" t="inlineStr">
        <is>
          <t>Sócio-Administrador (RFB partner)</t>
        </is>
      </c>
      <c r="K187" s="21" t="inlineStr">
        <is>
          <t>(24) 2103-9003</t>
        </is>
      </c>
      <c r="L187" s="21" t="inlineStr"/>
      <c r="M187" s="21" t="inlineStr"/>
      <c r="N187" s="21" t="inlineStr"/>
      <c r="O187" s="21" t="inlineStr"/>
      <c r="P187" s="21" t="inlineStr">
        <is>
          <t>MARLAN SCHERER HAMMES</t>
        </is>
      </c>
      <c r="Q187" s="21" t="inlineStr">
        <is>
          <t>Sócio-Administrador (RFB partner)</t>
        </is>
      </c>
      <c r="R187" s="21" t="inlineStr"/>
      <c r="S187" s="21" t="inlineStr"/>
      <c r="T187" s="21" t="inlineStr">
        <is>
          <t>RFB partner (QSA); no Apollo match</t>
        </is>
      </c>
      <c r="U187" s="22" t="n">
        <v>723908</v>
      </c>
      <c r="V187" s="23" t="inlineStr">
        <is>
          <t>B</t>
        </is>
      </c>
      <c r="W187" s="24">
        <f>IFERROR(VLOOKUP(V187,Assumptions!$A$7:$F$11,2,FALSE),0)</f>
        <v/>
      </c>
      <c r="X187" s="25">
        <f>IF(V187="A",MAX(1,IFERROR(VLOOKUP(V187,Assumptions!$A$7:$F$11,3,FALSE),3)+IFERROR(VLOOKUP(V187,Assumptions!$A$7:$F$11,4,FALSE),8)/2-MAX(0,IF(AO187="",0,YEAR(TODAY())-AO187)-IFERROR(VLOOKUP(V187,Assumptions!$A$7:$F$11,5,FALSE),1.5))),IFERROR(VLOOKUP(V187,Assumptions!$A$7:$F$11,5,FALSE),2.5)+IFERROR(VLOOKUP(V187,Assumptions!$A$7:$F$11,3,FALSE),3)+IFERROR(VLOOKUP(V187,Assumptions!$A$7:$F$11,4,FALSE),8)/2)</f>
        <v/>
      </c>
      <c r="Y187" s="22">
        <f>U187*W187/(1+Assumptions!$B$3)^X187</f>
        <v/>
      </c>
      <c r="Z187" s="26">
        <f>IF(U187=0,"",ROUND(Y187/U187*100,1))</f>
        <v/>
      </c>
      <c r="AA187" s="27">
        <f>Y187*Assumptions!$B$4</f>
        <v/>
      </c>
      <c r="AB187" s="26">
        <f>IF(U187=0,"",ROUND(AA187/U187*100,1))</f>
        <v/>
      </c>
      <c r="AC187" s="27">
        <f>Y187-AA187</f>
        <v/>
      </c>
      <c r="AD187" s="26">
        <f>IF(U187=0,"",ROUND((Y187-AA187)/U187*100,1))</f>
        <v/>
      </c>
      <c r="AE187" s="34" t="inlineStr">
        <is>
          <t>PARTIAL — class III reconciled, other classes not</t>
        </is>
      </c>
      <c r="AF187" s="29" t="inlineStr">
        <is>
          <t>https://lrflideres.com.br/wp-content/plugins/download-attachments/includes/download.php?id=4023</t>
        </is>
      </c>
      <c r="AG187" s="28" t="inlineStr">
        <is>
          <t>p4 r91</t>
        </is>
      </c>
      <c r="AH187" s="28" t="inlineStr">
        <is>
          <t>p4: R$ 723.908,00</t>
        </is>
      </c>
      <c r="AI187" s="28" t="inlineStr">
        <is>
          <t>Debtor list (art. 51)</t>
        </is>
      </c>
      <c r="AJ187" s="28" t="inlineStr"/>
      <c r="AK187" s="28" t="inlineStr">
        <is>
          <t>NONE FOUND</t>
        </is>
      </c>
      <c r="AL187" s="30" t="inlineStr">
        <is>
          <t>0002484-82.2022.8.17.2001</t>
        </is>
      </c>
      <c r="AM187" s="30" t="inlineStr">
        <is>
          <t>TJPE</t>
        </is>
      </c>
      <c r="AN187" s="30" t="inlineStr">
        <is>
          <t>ACTIVE</t>
        </is>
      </c>
      <c r="AO187" s="30" t="n">
        <v>2022</v>
      </c>
      <c r="AP187" s="30" t="inlineStr">
        <is>
          <t>live case, no plan document yet</t>
        </is>
      </c>
      <c r="AQ187" s="30" t="inlineStr"/>
      <c r="AR187" s="30" t="inlineStr">
        <is>
          <t>printed on the list (read twice)</t>
        </is>
      </c>
      <c r="AS187" s="30" t="inlineStr">
        <is>
          <t>PETROPOLIS</t>
        </is>
      </c>
      <c r="AT187" s="30" t="inlineStr">
        <is>
          <t>RJ</t>
        </is>
      </c>
      <c r="AU187" s="30" t="inlineStr">
        <is>
          <t>Fabricação de tecidos de malha</t>
        </is>
      </c>
      <c r="AV187" s="30" t="inlineStr">
        <is>
          <t>DEMAIS</t>
        </is>
      </c>
      <c r="AW187" s="31" t="n">
        <v>1000000</v>
      </c>
      <c r="AX187" s="30" t="inlineStr">
        <is>
          <t>MID-MARKET</t>
        </is>
      </c>
      <c r="AY187" s="30" t="inlineStr">
        <is>
          <t>07790530</t>
        </is>
      </c>
      <c r="AZ187" s="30" t="n">
        <v>1</v>
      </c>
      <c r="BA187" s="30" t="inlineStr">
        <is>
          <t>PARTIAL_DOC_CLASS_III_RECONCILED ROWS:p4r91</t>
        </is>
      </c>
    </row>
    <row r="188">
      <c r="A188" s="16" t="inlineStr">
        <is>
          <t>GERDAU ACOS LONGOS S.A.</t>
        </is>
      </c>
      <c r="B188" s="17" t="n">
        <v>1340193.75</v>
      </c>
      <c r="C188" s="18" t="inlineStr">
        <is>
          <t>EGESA ENGENHARIA S/A (Consórcio ETDI)</t>
        </is>
      </c>
      <c r="D188" s="19" t="inlineStr">
        <is>
          <t>NEW</t>
        </is>
      </c>
      <c r="E188" s="20" t="inlineStr"/>
      <c r="F188" s="19" t="inlineStr"/>
      <c r="G188" s="20" t="inlineStr"/>
      <c r="H188" s="19" t="inlineStr"/>
      <c r="I188" s="21" t="inlineStr">
        <is>
          <t>Guilherme Freitas</t>
        </is>
      </c>
      <c r="J188" s="21" t="inlineStr">
        <is>
          <t>Coordenador de Crédito e Cobrança</t>
        </is>
      </c>
      <c r="K188" s="21" t="inlineStr">
        <is>
          <t>(11) 3094-6600</t>
        </is>
      </c>
      <c r="L188" s="21" t="inlineStr"/>
      <c r="M188" s="21" t="inlineStr"/>
      <c r="N188" s="21" t="inlineStr">
        <is>
          <t>guilherme.freitas@gerdau.com.br</t>
        </is>
      </c>
      <c r="O188" s="21" t="inlineStr"/>
      <c r="P188" s="21" t="inlineStr">
        <is>
          <t>Anajara Lopes</t>
        </is>
      </c>
      <c r="Q188" s="21" t="inlineStr">
        <is>
          <t>Chefe de Crédito</t>
        </is>
      </c>
      <c r="R188" s="21" t="inlineStr"/>
      <c r="S188" s="21" t="inlineStr"/>
      <c r="T188" s="21" t="inlineStr">
        <is>
          <t>email verified by Apollo</t>
        </is>
      </c>
      <c r="U188" s="22" t="n">
        <v>1340193.75</v>
      </c>
      <c r="V188" s="32" t="inlineStr">
        <is>
          <t>U</t>
        </is>
      </c>
      <c r="W188" s="24">
        <f>IFERROR(VLOOKUP(V188,Assumptions!$A$7:$F$11,2,FALSE),0)</f>
        <v/>
      </c>
      <c r="X188" s="25">
        <f>IF(V188="A",MAX(1,IFERROR(VLOOKUP(V188,Assumptions!$A$7:$F$11,3,FALSE),3)+IFERROR(VLOOKUP(V188,Assumptions!$A$7:$F$11,4,FALSE),8)/2-MAX(0,IF(AO188="",0,YEAR(TODAY())-AO188)-IFERROR(VLOOKUP(V188,Assumptions!$A$7:$F$11,5,FALSE),1.5))),IFERROR(VLOOKUP(V188,Assumptions!$A$7:$F$11,5,FALSE),2.5)+IFERROR(VLOOKUP(V188,Assumptions!$A$7:$F$11,3,FALSE),3)+IFERROR(VLOOKUP(V188,Assumptions!$A$7:$F$11,4,FALSE),8)/2)</f>
        <v/>
      </c>
      <c r="Y188" s="22">
        <f>U188*W188/(1+Assumptions!$B$3)^X188</f>
        <v/>
      </c>
      <c r="Z188" s="26">
        <f>IF(U188=0,"",ROUND(Y188/U188*100,1))</f>
        <v/>
      </c>
      <c r="AA188" s="27">
        <f>Y188*Assumptions!$B$4</f>
        <v/>
      </c>
      <c r="AB188" s="26">
        <f>IF(U188=0,"",ROUND(AA188/U188*100,1))</f>
        <v/>
      </c>
      <c r="AC188" s="27">
        <f>Y188-AA188</f>
        <v/>
      </c>
      <c r="AD188" s="26">
        <f>IF(U188=0,"",ROUND((Y188-AA188)/U188*100,1))</f>
        <v/>
      </c>
      <c r="AE188" s="28" t="inlineStr">
        <is>
          <t>OK — totals reconciled</t>
        </is>
      </c>
      <c r="AF188" s="29" t="inlineStr">
        <is>
          <t>https://scalzilliaj.com.br/sgc/download.php?file=files/processo_documento/processo_documento09514021082025_1_.pdf&amp;nome=04 - Relação de credores das Recuperandas</t>
        </is>
      </c>
      <c r="AG188" s="28" t="inlineStr">
        <is>
          <t>p67 r6; p67 r7; p67 r8</t>
        </is>
      </c>
      <c r="AH188" s="28" t="inlineStr">
        <is>
          <t>p67: R$ 697.078,05; p67: R$ 550.843,32; p67: R$ 92.272,38</t>
        </is>
      </c>
      <c r="AI188" s="28" t="inlineStr">
        <is>
          <t>Debtor list (art. 51)</t>
        </is>
      </c>
      <c r="AJ188" s="28" t="inlineStr"/>
      <c r="AK188" s="28" t="inlineStr">
        <is>
          <t>NONE FOUND</t>
        </is>
      </c>
      <c r="AL188" s="30" t="inlineStr">
        <is>
          <t>(not printed)</t>
        </is>
      </c>
      <c r="AM188" s="30" t="inlineStr"/>
      <c r="AN188" s="30" t="inlineStr"/>
      <c r="AO188" s="30" t="inlineStr"/>
      <c r="AP188" s="30" t="inlineStr">
        <is>
          <t>RJ case number not identified on the document</t>
        </is>
      </c>
      <c r="AQ188" s="30" t="inlineStr"/>
      <c r="AR188" s="30" t="inlineStr">
        <is>
          <t>portal page title / URL — not printed on the list</t>
        </is>
      </c>
      <c r="AS188" s="30" t="inlineStr">
        <is>
          <t>RIO DE JANEIRO</t>
        </is>
      </c>
      <c r="AT188" s="30" t="inlineStr">
        <is>
          <t>RJ</t>
        </is>
      </c>
      <c r="AU188" s="30" t="inlineStr">
        <is>
          <t>Produção de laminados longos de aço, exceto tubos</t>
        </is>
      </c>
      <c r="AV188" s="30" t="inlineStr">
        <is>
          <t>DEMAIS</t>
        </is>
      </c>
      <c r="AW188" s="31" t="n">
        <v>7707648000</v>
      </c>
      <c r="AX188" s="30" t="inlineStr">
        <is>
          <t>LARGE CORP</t>
        </is>
      </c>
      <c r="AY188" s="30" t="inlineStr">
        <is>
          <t>07358761</t>
        </is>
      </c>
      <c r="AZ188" s="30" t="n">
        <v>3</v>
      </c>
      <c r="BA188" s="30" t="inlineStr">
        <is>
          <t>ROWS:p67r6,p67r7,p67r8 VALUE_COL:Valor_Atualizado CASE_NUMBER_CORRECTED</t>
        </is>
      </c>
    </row>
    <row r="189">
      <c r="A189" s="16" t="inlineStr">
        <is>
          <t>GE HEALTHCARE DO BRASIL COMERCIO E SERVICOS PARA EQUIPAMENTOS MEDICO-HOSPITALARES LTDA</t>
        </is>
      </c>
      <c r="B189" s="17" t="n">
        <v>693357.04</v>
      </c>
      <c r="C189" s="18" t="inlineStr">
        <is>
          <t>ASSOCIAÇÃO DE CARIDADE SANTA CASA DO RIO GRANDE</t>
        </is>
      </c>
      <c r="D189" s="19" t="inlineStr">
        <is>
          <t>NEW</t>
        </is>
      </c>
      <c r="E189" s="20" t="inlineStr"/>
      <c r="F189" s="19" t="inlineStr"/>
      <c r="G189" s="20" t="inlineStr"/>
      <c r="H189" s="19" t="inlineStr"/>
      <c r="I189" s="21" t="inlineStr">
        <is>
          <t>ANTONIO SABRE NASSER FILHO</t>
        </is>
      </c>
      <c r="J189" s="21" t="inlineStr">
        <is>
          <t>Administrador (RFB partner)</t>
        </is>
      </c>
      <c r="K189" s="21" t="inlineStr">
        <is>
          <t>(11) 3067-8181</t>
        </is>
      </c>
      <c r="L189" s="21" t="inlineStr">
        <is>
          <t>(11) 3067-8095</t>
        </is>
      </c>
      <c r="M189" s="21" t="inlineStr"/>
      <c r="N189" s="21" t="inlineStr"/>
      <c r="O189" s="21" t="inlineStr"/>
      <c r="P189" s="21" t="inlineStr">
        <is>
          <t>CAROLINE BURRIEL ZAMPOLLO</t>
        </is>
      </c>
      <c r="Q189" s="21" t="inlineStr">
        <is>
          <t>Administrador (RFB partner)</t>
        </is>
      </c>
      <c r="R189" s="21" t="inlineStr"/>
      <c r="S189" s="21" t="inlineStr"/>
      <c r="T189" s="21" t="inlineStr">
        <is>
          <t>RFB partner (QSA); no Apollo match</t>
        </is>
      </c>
      <c r="U189" s="22" t="n">
        <v>693357.04</v>
      </c>
      <c r="V189" s="23" t="inlineStr">
        <is>
          <t>B</t>
        </is>
      </c>
      <c r="W189" s="24">
        <f>IFERROR(VLOOKUP(V189,Assumptions!$A$7:$F$11,2,FALSE),0)</f>
        <v/>
      </c>
      <c r="X189" s="25">
        <f>IF(V189="A",MAX(1,IFERROR(VLOOKUP(V189,Assumptions!$A$7:$F$11,3,FALSE),3)+IFERROR(VLOOKUP(V189,Assumptions!$A$7:$F$11,4,FALSE),8)/2-MAX(0,IF(AO189="",0,YEAR(TODAY())-AO189)-IFERROR(VLOOKUP(V189,Assumptions!$A$7:$F$11,5,FALSE),1.5))),IFERROR(VLOOKUP(V189,Assumptions!$A$7:$F$11,5,FALSE),2.5)+IFERROR(VLOOKUP(V189,Assumptions!$A$7:$F$11,3,FALSE),3)+IFERROR(VLOOKUP(V189,Assumptions!$A$7:$F$11,4,FALSE),8)/2)</f>
        <v/>
      </c>
      <c r="Y189" s="22">
        <f>U189*W189/(1+Assumptions!$B$3)^X189</f>
        <v/>
      </c>
      <c r="Z189" s="26">
        <f>IF(U189=0,"",ROUND(Y189/U189*100,1))</f>
        <v/>
      </c>
      <c r="AA189" s="27">
        <f>Y189*Assumptions!$B$4</f>
        <v/>
      </c>
      <c r="AB189" s="26">
        <f>IF(U189=0,"",ROUND(AA189/U189*100,1))</f>
        <v/>
      </c>
      <c r="AC189" s="27">
        <f>Y189-AA189</f>
        <v/>
      </c>
      <c r="AD189" s="26">
        <f>IF(U189=0,"",ROUND((Y189-AA189)/U189*100,1))</f>
        <v/>
      </c>
      <c r="AE189" s="33" t="inlineStr">
        <is>
          <t>NO TOTALS — list prints none; check page</t>
        </is>
      </c>
      <c r="AF189" s="29" t="inlineStr">
        <is>
          <t>https://scalzilliaj.com.br/sgc/download.php?file=files/processo_documento/processo_documento09120721032023_1_.pdf&amp;nome=15 - Edital do art. 7º, §2º e 53 da Lei 11.101/2005 (segunda lista de credores e recebimento do plano))</t>
        </is>
      </c>
      <c r="AG189" s="28" t="inlineStr">
        <is>
          <t>p27 r39</t>
        </is>
      </c>
      <c r="AH189" s="28" t="inlineStr">
        <is>
          <t>p27: R$ 693.357,04</t>
        </is>
      </c>
      <c r="AI189" s="28" t="inlineStr">
        <is>
          <t>AJ list (art. 7 §2)</t>
        </is>
      </c>
      <c r="AJ189" s="28" t="inlineStr">
        <is>
          <t>2023-03-21</t>
        </is>
      </c>
      <c r="AK189" s="28" t="inlineStr">
        <is>
          <t>NONE FOUND</t>
        </is>
      </c>
      <c r="AL189" s="30" t="inlineStr">
        <is>
          <t>5012306-16.2022.8.21.0023</t>
        </is>
      </c>
      <c r="AM189" s="30" t="inlineStr">
        <is>
          <t>TJRS</t>
        </is>
      </c>
      <c r="AN189" s="30" t="inlineStr">
        <is>
          <t>ACTIVE</t>
        </is>
      </c>
      <c r="AO189" s="30" t="n">
        <v>2022</v>
      </c>
      <c r="AP189" s="30" t="inlineStr">
        <is>
          <t>live case, no plan document yet</t>
        </is>
      </c>
      <c r="AQ189" s="30" t="inlineStr"/>
      <c r="AR189" s="30" t="inlineStr">
        <is>
          <t>printed on the list (read twice)</t>
        </is>
      </c>
      <c r="AS189" s="30" t="inlineStr">
        <is>
          <t>SAO PAULO</t>
        </is>
      </c>
      <c r="AT189" s="30" t="inlineStr">
        <is>
          <t>SP</t>
        </is>
      </c>
      <c r="AU189" s="30" t="inlineStr">
        <is>
          <t>Comércio atacadista de máquinas, aparelhos e equipamentos para uso odonto-médico-hospitalar; partes e peças</t>
        </is>
      </c>
      <c r="AV189" s="30" t="inlineStr">
        <is>
          <t>DEMAIS</t>
        </is>
      </c>
      <c r="AW189" s="31" t="n">
        <v>1016689700</v>
      </c>
      <c r="AX189" s="30" t="inlineStr">
        <is>
          <t>LARGE CORP</t>
        </is>
      </c>
      <c r="AY189" s="30" t="inlineStr">
        <is>
          <t>00029372</t>
        </is>
      </c>
      <c r="AZ189" s="30" t="n">
        <v>1</v>
      </c>
      <c r="BA189" s="30" t="inlineStr">
        <is>
          <t>ROWS:p27r39 UNRECONCILED_SOURCE</t>
        </is>
      </c>
    </row>
    <row r="190">
      <c r="A190" s="16" t="inlineStr">
        <is>
          <t>CAMPO BOM INSUMOS AGRICOLAS LTDA</t>
        </is>
      </c>
      <c r="B190" s="17" t="n">
        <v>691120</v>
      </c>
      <c r="C190" s="37" t="inlineStr">
        <is>
          <t>(debtor not identified — see proof)</t>
        </is>
      </c>
      <c r="D190" s="19" t="inlineStr">
        <is>
          <t>NEW</t>
        </is>
      </c>
      <c r="E190" s="20" t="inlineStr"/>
      <c r="F190" s="19" t="inlineStr"/>
      <c r="G190" s="20" t="inlineStr"/>
      <c r="H190" s="19" t="inlineStr"/>
      <c r="I190" s="21" t="inlineStr">
        <is>
          <t>ANDREIA PATRICIA MAGGIONI MOURA</t>
        </is>
      </c>
      <c r="J190" s="21" t="inlineStr">
        <is>
          <t>Sócio-Administrador (RFB partner)</t>
        </is>
      </c>
      <c r="K190" s="21" t="inlineStr">
        <is>
          <t>(64) 3636-2178</t>
        </is>
      </c>
      <c r="L190" s="21" t="inlineStr"/>
      <c r="M190" s="21" t="inlineStr"/>
      <c r="N190" s="21" t="inlineStr"/>
      <c r="O190" s="21" t="inlineStr"/>
      <c r="P190" s="21" t="inlineStr">
        <is>
          <t>FAGNER DE MOURA COSTA</t>
        </is>
      </c>
      <c r="Q190" s="21" t="inlineStr">
        <is>
          <t>Sócio-Administrador (RFB partner)</t>
        </is>
      </c>
      <c r="R190" s="21" t="inlineStr"/>
      <c r="S190" s="21" t="inlineStr"/>
      <c r="T190" s="21" t="inlineStr">
        <is>
          <t>RFB partner (QSA); no Apollo match</t>
        </is>
      </c>
      <c r="U190" s="22" t="n">
        <v>691120</v>
      </c>
      <c r="V190" s="23" t="inlineStr">
        <is>
          <t>B</t>
        </is>
      </c>
      <c r="W190" s="24">
        <f>IFERROR(VLOOKUP(V190,Assumptions!$A$7:$F$11,2,FALSE),0)</f>
        <v/>
      </c>
      <c r="X190" s="25">
        <f>IF(V190="A",MAX(1,IFERROR(VLOOKUP(V190,Assumptions!$A$7:$F$11,3,FALSE),3)+IFERROR(VLOOKUP(V190,Assumptions!$A$7:$F$11,4,FALSE),8)/2-MAX(0,IF(AO190="",0,YEAR(TODAY())-AO190)-IFERROR(VLOOKUP(V190,Assumptions!$A$7:$F$11,5,FALSE),1.5))),IFERROR(VLOOKUP(V190,Assumptions!$A$7:$F$11,5,FALSE),2.5)+IFERROR(VLOOKUP(V190,Assumptions!$A$7:$F$11,3,FALSE),3)+IFERROR(VLOOKUP(V190,Assumptions!$A$7:$F$11,4,FALSE),8)/2)</f>
        <v/>
      </c>
      <c r="Y190" s="22">
        <f>U190*W190/(1+Assumptions!$B$3)^X190</f>
        <v/>
      </c>
      <c r="Z190" s="26">
        <f>IF(U190=0,"",ROUND(Y190/U190*100,1))</f>
        <v/>
      </c>
      <c r="AA190" s="27">
        <f>Y190*Assumptions!$B$4</f>
        <v/>
      </c>
      <c r="AB190" s="26">
        <f>IF(U190=0,"",ROUND(AA190/U190*100,1))</f>
        <v/>
      </c>
      <c r="AC190" s="27">
        <f>Y190-AA190</f>
        <v/>
      </c>
      <c r="AD190" s="26">
        <f>IF(U190=0,"",ROUND((Y190-AA190)/U190*100,1))</f>
        <v/>
      </c>
      <c r="AE190" s="33" t="inlineStr">
        <is>
          <t>NO TOTALS — list prints none; check page</t>
        </is>
      </c>
      <c r="AF190" s="29" t="inlineStr">
        <is>
          <t>https://scalzilliaj.com.br/sgc/download.php?file=files/processo_documento/processo_documento11421222052026_1_.pdf&amp;nome=08. Lista de credores do edital do art. 52, §1º da LREF</t>
        </is>
      </c>
      <c r="AG190" s="28" t="inlineStr">
        <is>
          <t>p2 r2</t>
        </is>
      </c>
      <c r="AH190" s="28" t="inlineStr">
        <is>
          <t>p2: R$ 691.120,00</t>
        </is>
      </c>
      <c r="AI190" s="28" t="inlineStr">
        <is>
          <t>Unclassified list</t>
        </is>
      </c>
      <c r="AJ190" s="28" t="inlineStr"/>
      <c r="AK190" s="28" t="inlineStr">
        <is>
          <t>NONE FOUND</t>
        </is>
      </c>
      <c r="AL190" s="30" t="inlineStr">
        <is>
          <t>5011369-81.2026.8.09.0093</t>
        </is>
      </c>
      <c r="AM190" s="30" t="inlineStr">
        <is>
          <t>TJGO</t>
        </is>
      </c>
      <c r="AN190" s="30" t="inlineStr">
        <is>
          <t>ACTIVE</t>
        </is>
      </c>
      <c r="AO190" s="30" t="n">
        <v>2026</v>
      </c>
      <c r="AP190" s="30" t="inlineStr">
        <is>
          <t>live case, no plan document yet</t>
        </is>
      </c>
      <c r="AQ190" s="30" t="inlineStr"/>
      <c r="AR190" s="30" t="inlineStr">
        <is>
          <t>not identified</t>
        </is>
      </c>
      <c r="AS190" s="30" t="inlineStr">
        <is>
          <t>JATAI</t>
        </is>
      </c>
      <c r="AT190" s="30" t="inlineStr">
        <is>
          <t>GO</t>
        </is>
      </c>
      <c r="AU190" s="30" t="inlineStr">
        <is>
          <t>Comércio atacadista de defensivos agrícolas, adubos, fertilizantes e corretivos do solo</t>
        </is>
      </c>
      <c r="AV190" s="30" t="inlineStr">
        <is>
          <t>DEMAIS</t>
        </is>
      </c>
      <c r="AW190" s="31" t="n">
        <v>500000</v>
      </c>
      <c r="AX190" s="30" t="inlineStr">
        <is>
          <t>MID-MARKET</t>
        </is>
      </c>
      <c r="AY190" s="30" t="inlineStr">
        <is>
          <t>08078241</t>
        </is>
      </c>
      <c r="AZ190" s="30" t="n">
        <v>1</v>
      </c>
      <c r="BA190" s="30" t="inlineStr">
        <is>
          <t>ROWS:p2r2 UNRECONCILED_SOURCE</t>
        </is>
      </c>
    </row>
    <row r="191">
      <c r="A191" s="16" t="inlineStr">
        <is>
          <t>COOPERATIVA UNIMED CENTRAL DE COOPERATIVAS UNIMED DO RIO GRANDE DO SUL LTDA</t>
        </is>
      </c>
      <c r="B191" s="17" t="n">
        <v>686964.09</v>
      </c>
      <c r="C191" s="18" t="inlineStr">
        <is>
          <t>ASSOCIAÇÃO DE CARIDADE SANTA CASA DO RIO GRANDE</t>
        </is>
      </c>
      <c r="D191" s="19" t="inlineStr">
        <is>
          <t>NEW</t>
        </is>
      </c>
      <c r="E191" s="20" t="inlineStr"/>
      <c r="F191" s="19" t="inlineStr"/>
      <c r="G191" s="20" t="inlineStr"/>
      <c r="H191" s="19" t="inlineStr"/>
      <c r="I191" s="21" t="inlineStr">
        <is>
          <t>HENDLEY RESCHKE</t>
        </is>
      </c>
      <c r="J191" s="21" t="inlineStr">
        <is>
          <t>Administrador (RFB partner)</t>
        </is>
      </c>
      <c r="K191" s="21" t="inlineStr">
        <is>
          <t>(51) 3462-6400</t>
        </is>
      </c>
      <c r="L191" s="21" t="inlineStr">
        <is>
          <t>(51) 3462-6428</t>
        </is>
      </c>
      <c r="M191" s="21" t="inlineStr"/>
      <c r="N191" s="21" t="inlineStr"/>
      <c r="O191" s="21" t="inlineStr"/>
      <c r="P191" s="21" t="inlineStr">
        <is>
          <t>JORGE GUILHERME ROBINSON</t>
        </is>
      </c>
      <c r="Q191" s="21" t="inlineStr">
        <is>
          <t>Presidente (RFB partner)</t>
        </is>
      </c>
      <c r="R191" s="21" t="inlineStr"/>
      <c r="S191" s="21" t="inlineStr"/>
      <c r="T191" s="21" t="inlineStr">
        <is>
          <t>RFB partner (QSA); no Apollo match</t>
        </is>
      </c>
      <c r="U191" s="22" t="n">
        <v>686964.09</v>
      </c>
      <c r="V191" s="23" t="inlineStr">
        <is>
          <t>B</t>
        </is>
      </c>
      <c r="W191" s="24">
        <f>IFERROR(VLOOKUP(V191,Assumptions!$A$7:$F$11,2,FALSE),0)</f>
        <v/>
      </c>
      <c r="X191" s="25">
        <f>IF(V191="A",MAX(1,IFERROR(VLOOKUP(V191,Assumptions!$A$7:$F$11,3,FALSE),3)+IFERROR(VLOOKUP(V191,Assumptions!$A$7:$F$11,4,FALSE),8)/2-MAX(0,IF(AO191="",0,YEAR(TODAY())-AO191)-IFERROR(VLOOKUP(V191,Assumptions!$A$7:$F$11,5,FALSE),1.5))),IFERROR(VLOOKUP(V191,Assumptions!$A$7:$F$11,5,FALSE),2.5)+IFERROR(VLOOKUP(V191,Assumptions!$A$7:$F$11,3,FALSE),3)+IFERROR(VLOOKUP(V191,Assumptions!$A$7:$F$11,4,FALSE),8)/2)</f>
        <v/>
      </c>
      <c r="Y191" s="22">
        <f>U191*W191/(1+Assumptions!$B$3)^X191</f>
        <v/>
      </c>
      <c r="Z191" s="26">
        <f>IF(U191=0,"",ROUND(Y191/U191*100,1))</f>
        <v/>
      </c>
      <c r="AA191" s="27">
        <f>Y191*Assumptions!$B$4</f>
        <v/>
      </c>
      <c r="AB191" s="26">
        <f>IF(U191=0,"",ROUND(AA191/U191*100,1))</f>
        <v/>
      </c>
      <c r="AC191" s="27">
        <f>Y191-AA191</f>
        <v/>
      </c>
      <c r="AD191" s="26">
        <f>IF(U191=0,"",ROUND((Y191-AA191)/U191*100,1))</f>
        <v/>
      </c>
      <c r="AE191" s="33" t="inlineStr">
        <is>
          <t>NO TOTALS — list prints none; check page</t>
        </is>
      </c>
      <c r="AF191" s="29" t="inlineStr">
        <is>
          <t>https://scalzilliaj.com.br/sgc/download.php?file=files/processo_documento/processo_documento09120721032023_1_.pdf&amp;nome=15 - Edital do art. 7º, §2º e 53 da Lei 11.101/2005 (segunda lista de credores e recebimento do plano))</t>
        </is>
      </c>
      <c r="AG191" s="28" t="inlineStr">
        <is>
          <t>p26 r48</t>
        </is>
      </c>
      <c r="AH191" s="28" t="inlineStr">
        <is>
          <t>p26: R$ 686.964,09</t>
        </is>
      </c>
      <c r="AI191" s="28" t="inlineStr">
        <is>
          <t>AJ list (art. 7 §2)</t>
        </is>
      </c>
      <c r="AJ191" s="28" t="inlineStr">
        <is>
          <t>2023-03-21</t>
        </is>
      </c>
      <c r="AK191" s="28" t="inlineStr">
        <is>
          <t>NONE FOUND</t>
        </is>
      </c>
      <c r="AL191" s="30" t="inlineStr">
        <is>
          <t>5012306-16.2022.8.21.0023</t>
        </is>
      </c>
      <c r="AM191" s="30" t="inlineStr">
        <is>
          <t>TJRS</t>
        </is>
      </c>
      <c r="AN191" s="30" t="inlineStr">
        <is>
          <t>ACTIVE</t>
        </is>
      </c>
      <c r="AO191" s="30" t="n">
        <v>2022</v>
      </c>
      <c r="AP191" s="30" t="inlineStr">
        <is>
          <t>live case, no plan document yet</t>
        </is>
      </c>
      <c r="AQ191" s="30" t="inlineStr"/>
      <c r="AR191" s="30" t="inlineStr">
        <is>
          <t>printed on the list (read twice)</t>
        </is>
      </c>
      <c r="AS191" s="30" t="inlineStr">
        <is>
          <t>CANOAS</t>
        </is>
      </c>
      <c r="AT191" s="30" t="inlineStr">
        <is>
          <t>RS</t>
        </is>
      </c>
      <c r="AU191" s="30" t="inlineStr">
        <is>
          <t>Comércio atacadista de instrumentos e materiais para uso médico, cirúrgico, hospitalar e de laboratórios</t>
        </is>
      </c>
      <c r="AV191" s="30" t="inlineStr">
        <is>
          <t>DEMAIS</t>
        </is>
      </c>
      <c r="AW191" s="31" t="inlineStr"/>
      <c r="AX191" s="30" t="inlineStr">
        <is>
          <t>MID-MARKET</t>
        </is>
      </c>
      <c r="AY191" s="30" t="inlineStr">
        <is>
          <t>02494715</t>
        </is>
      </c>
      <c r="AZ191" s="30" t="n">
        <v>1</v>
      </c>
      <c r="BA191" s="30" t="inlineStr">
        <is>
          <t>ROWS:p26r48 UNRECONCILED_SOURCE</t>
        </is>
      </c>
    </row>
    <row r="192">
      <c r="A192" s="16" t="inlineStr">
        <is>
          <t>MMB SPORTS PARTICIPACOES LTDA</t>
        </is>
      </c>
      <c r="B192" s="17" t="n">
        <v>680417.28</v>
      </c>
      <c r="C192" s="18" t="inlineStr">
        <is>
          <t>CLUBE NÁUTICO CAPIBARIBE</t>
        </is>
      </c>
      <c r="D192" s="19" t="inlineStr">
        <is>
          <t>NEW</t>
        </is>
      </c>
      <c r="E192" s="20" t="inlineStr"/>
      <c r="F192" s="19" t="inlineStr"/>
      <c r="G192" s="20" t="inlineStr"/>
      <c r="H192" s="19" t="inlineStr"/>
      <c r="I192" s="21" t="inlineStr">
        <is>
          <t>MARCIO CARVALHO BITTENCOURT</t>
        </is>
      </c>
      <c r="J192" s="21" t="inlineStr">
        <is>
          <t>Sócio-Administrador (RFB partner)</t>
        </is>
      </c>
      <c r="K192" s="21" t="inlineStr">
        <is>
          <t>(21) 9711-8264</t>
        </is>
      </c>
      <c r="L192" s="21" t="inlineStr"/>
      <c r="M192" s="21" t="inlineStr"/>
      <c r="N192" s="21" t="inlineStr"/>
      <c r="O192" s="21" t="inlineStr"/>
      <c r="P192" s="21" t="inlineStr"/>
      <c r="Q192" s="21" t="inlineStr"/>
      <c r="R192" s="21" t="inlineStr"/>
      <c r="S192" s="21" t="inlineStr"/>
      <c r="T192" s="21" t="inlineStr">
        <is>
          <t>RFB partner (QSA); no Apollo match</t>
        </is>
      </c>
      <c r="U192" s="22" t="n">
        <v>680417.28</v>
      </c>
      <c r="V192" s="23" t="inlineStr">
        <is>
          <t>B</t>
        </is>
      </c>
      <c r="W192" s="24">
        <f>IFERROR(VLOOKUP(V192,Assumptions!$A$7:$F$11,2,FALSE),0)</f>
        <v/>
      </c>
      <c r="X192" s="25">
        <f>IF(V192="A",MAX(1,IFERROR(VLOOKUP(V192,Assumptions!$A$7:$F$11,3,FALSE),3)+IFERROR(VLOOKUP(V192,Assumptions!$A$7:$F$11,4,FALSE),8)/2-MAX(0,IF(AO192="",0,YEAR(TODAY())-AO192)-IFERROR(VLOOKUP(V192,Assumptions!$A$7:$F$11,5,FALSE),1.5))),IFERROR(VLOOKUP(V192,Assumptions!$A$7:$F$11,5,FALSE),2.5)+IFERROR(VLOOKUP(V192,Assumptions!$A$7:$F$11,3,FALSE),3)+IFERROR(VLOOKUP(V192,Assumptions!$A$7:$F$11,4,FALSE),8)/2)</f>
        <v/>
      </c>
      <c r="Y192" s="22">
        <f>U192*W192/(1+Assumptions!$B$3)^X192</f>
        <v/>
      </c>
      <c r="Z192" s="26">
        <f>IF(U192=0,"",ROUND(Y192/U192*100,1))</f>
        <v/>
      </c>
      <c r="AA192" s="27">
        <f>Y192*Assumptions!$B$4</f>
        <v/>
      </c>
      <c r="AB192" s="26">
        <f>IF(U192=0,"",ROUND(AA192/U192*100,1))</f>
        <v/>
      </c>
      <c r="AC192" s="27">
        <f>Y192-AA192</f>
        <v/>
      </c>
      <c r="AD192" s="26">
        <f>IF(U192=0,"",ROUND((Y192-AA192)/U192*100,1))</f>
        <v/>
      </c>
      <c r="AE192" s="34" t="inlineStr">
        <is>
          <t>PARTIAL — class III reconciled, other classes not</t>
        </is>
      </c>
      <c r="AF192" s="29" t="inlineStr">
        <is>
          <t>https://lrflideres.com.br/wp-content/plugins/download-attachments/includes/download.php?id=5589</t>
        </is>
      </c>
      <c r="AG192" s="28" t="inlineStr">
        <is>
          <t>p12 r34</t>
        </is>
      </c>
      <c r="AH192" s="28" t="inlineStr">
        <is>
          <t>p12: R$ 680.417,28</t>
        </is>
      </c>
      <c r="AI192" s="28" t="inlineStr">
        <is>
          <t>AJ list (art. 7 §2)</t>
        </is>
      </c>
      <c r="AJ192" s="28" t="inlineStr">
        <is>
          <t>2023-11-27</t>
        </is>
      </c>
      <c r="AK192" s="28" t="inlineStr">
        <is>
          <t>NONE FOUND</t>
        </is>
      </c>
      <c r="AL192" s="30" t="inlineStr">
        <is>
          <t>0011283-80.2023.8.17.2001</t>
        </is>
      </c>
      <c r="AM192" s="30" t="inlineStr">
        <is>
          <t>TJPE</t>
        </is>
      </c>
      <c r="AN192" s="30" t="inlineStr">
        <is>
          <t>ACTIVE</t>
        </is>
      </c>
      <c r="AO192" s="30" t="n">
        <v>2023</v>
      </c>
      <c r="AP192" s="30" t="inlineStr">
        <is>
          <t>live case, no plan document yet</t>
        </is>
      </c>
      <c r="AQ192" s="30" t="inlineStr">
        <is>
          <t>08.145.021/0001-07</t>
        </is>
      </c>
      <c r="AR192" s="30" t="inlineStr">
        <is>
          <t>printed on the list (read twice)</t>
        </is>
      </c>
      <c r="AS192" s="30" t="inlineStr">
        <is>
          <t>RIO DE JANEIRO</t>
        </is>
      </c>
      <c r="AT192" s="30" t="inlineStr">
        <is>
          <t>RJ</t>
        </is>
      </c>
      <c r="AU192" s="30" t="inlineStr">
        <is>
          <t>Outras atividades de publicidade não especificadas anteriormente</t>
        </is>
      </c>
      <c r="AV192" s="30" t="inlineStr">
        <is>
          <t>MICRO EMPRESA</t>
        </is>
      </c>
      <c r="AW192" s="31" t="n">
        <v>5000</v>
      </c>
      <c r="AX192" s="30" t="inlineStr">
        <is>
          <t>SMALL</t>
        </is>
      </c>
      <c r="AY192" s="30" t="inlineStr">
        <is>
          <t>10394384</t>
        </is>
      </c>
      <c r="AZ192" s="30" t="n">
        <v>1</v>
      </c>
      <c r="BA192" s="30" t="inlineStr">
        <is>
          <t>PARTIAL_DOC_CLASS_III_RECONCILED ROWS:p12r34</t>
        </is>
      </c>
    </row>
    <row r="193">
      <c r="A193" s="16" t="inlineStr">
        <is>
          <t>FAN STORE ENTRETENIMENTO S.A</t>
        </is>
      </c>
      <c r="B193" s="17" t="n">
        <v>677400.38</v>
      </c>
      <c r="C193" s="18" t="inlineStr">
        <is>
          <t>GRUPO CATTAN</t>
        </is>
      </c>
      <c r="D193" s="19" t="inlineStr">
        <is>
          <t>NEW</t>
        </is>
      </c>
      <c r="E193" s="20" t="inlineStr"/>
      <c r="F193" s="19" t="inlineStr"/>
      <c r="G193" s="20" t="inlineStr"/>
      <c r="H193" s="19" t="inlineStr"/>
      <c r="I193" s="21" t="inlineStr">
        <is>
          <t>BRUNO DE MARCHI FILHO</t>
        </is>
      </c>
      <c r="J193" s="21" t="inlineStr">
        <is>
          <t>Diretor (RFB partner)</t>
        </is>
      </c>
      <c r="K193" s="21" t="inlineStr">
        <is>
          <t>(14) 3604-2024</t>
        </is>
      </c>
      <c r="L193" s="21" t="inlineStr"/>
      <c r="M193" s="21" t="inlineStr"/>
      <c r="N193" s="21" t="inlineStr"/>
      <c r="O193" s="21" t="inlineStr"/>
      <c r="P193" s="21" t="inlineStr"/>
      <c r="Q193" s="21" t="inlineStr"/>
      <c r="R193" s="21" t="inlineStr"/>
      <c r="S193" s="21" t="inlineStr"/>
      <c r="T193" s="21" t="inlineStr">
        <is>
          <t>RFB partner (QSA); no Apollo match</t>
        </is>
      </c>
      <c r="U193" s="22" t="n">
        <v>677400.38</v>
      </c>
      <c r="V193" s="23" t="inlineStr">
        <is>
          <t>B</t>
        </is>
      </c>
      <c r="W193" s="24">
        <f>IFERROR(VLOOKUP(V193,Assumptions!$A$7:$F$11,2,FALSE),0)</f>
        <v/>
      </c>
      <c r="X193" s="25">
        <f>IF(V193="A",MAX(1,IFERROR(VLOOKUP(V193,Assumptions!$A$7:$F$11,3,FALSE),3)+IFERROR(VLOOKUP(V193,Assumptions!$A$7:$F$11,4,FALSE),8)/2-MAX(0,IF(AO193="",0,YEAR(TODAY())-AO193)-IFERROR(VLOOKUP(V193,Assumptions!$A$7:$F$11,5,FALSE),1.5))),IFERROR(VLOOKUP(V193,Assumptions!$A$7:$F$11,5,FALSE),2.5)+IFERROR(VLOOKUP(V193,Assumptions!$A$7:$F$11,3,FALSE),3)+IFERROR(VLOOKUP(V193,Assumptions!$A$7:$F$11,4,FALSE),8)/2)</f>
        <v/>
      </c>
      <c r="Y193" s="22">
        <f>U193*W193/(1+Assumptions!$B$3)^X193</f>
        <v/>
      </c>
      <c r="Z193" s="26">
        <f>IF(U193=0,"",ROUND(Y193/U193*100,1))</f>
        <v/>
      </c>
      <c r="AA193" s="27">
        <f>Y193*Assumptions!$B$4</f>
        <v/>
      </c>
      <c r="AB193" s="26">
        <f>IF(U193=0,"",ROUND(AA193/U193*100,1))</f>
        <v/>
      </c>
      <c r="AC193" s="27">
        <f>Y193-AA193</f>
        <v/>
      </c>
      <c r="AD193" s="26">
        <f>IF(U193=0,"",ROUND((Y193-AA193)/U193*100,1))</f>
        <v/>
      </c>
      <c r="AE193" s="34" t="inlineStr">
        <is>
          <t>PARTIAL — class III reconciled, other classes not</t>
        </is>
      </c>
      <c r="AF193" s="29" t="inlineStr">
        <is>
          <t>https://lrflideres.com.br/wp-content/plugins/download-attachments/includes/download.php?id=4023</t>
        </is>
      </c>
      <c r="AG193" s="28" t="inlineStr">
        <is>
          <t>p4 r71; p7 r95; p9 r70</t>
        </is>
      </c>
      <c r="AH193" s="28" t="inlineStr">
        <is>
          <t>p4: R$ 25.111,29; p7: R$ 553.175,46; p9: R$ 99.113,63</t>
        </is>
      </c>
      <c r="AI193" s="28" t="inlineStr">
        <is>
          <t>Debtor list (art. 51)</t>
        </is>
      </c>
      <c r="AJ193" s="28" t="inlineStr"/>
      <c r="AK193" s="28" t="inlineStr">
        <is>
          <t>NONE FOUND</t>
        </is>
      </c>
      <c r="AL193" s="30" t="inlineStr">
        <is>
          <t>0002484-82.2022.8.17.2001</t>
        </is>
      </c>
      <c r="AM193" s="30" t="inlineStr">
        <is>
          <t>TJPE</t>
        </is>
      </c>
      <c r="AN193" s="30" t="inlineStr">
        <is>
          <t>ACTIVE</t>
        </is>
      </c>
      <c r="AO193" s="30" t="n">
        <v>2022</v>
      </c>
      <c r="AP193" s="30" t="inlineStr">
        <is>
          <t>live case, no plan document yet</t>
        </is>
      </c>
      <c r="AQ193" s="30" t="inlineStr"/>
      <c r="AR193" s="30" t="inlineStr">
        <is>
          <t>printed on the list (read twice)</t>
        </is>
      </c>
      <c r="AS193" s="30" t="inlineStr">
        <is>
          <t>BARRA BONITA</t>
        </is>
      </c>
      <c r="AT193" s="30" t="inlineStr">
        <is>
          <t>SP</t>
        </is>
      </c>
      <c r="AU193" s="30" t="inlineStr">
        <is>
          <t>Estamparia e texturização em fios, tecidos, artefatos têxteis e peças do vestuário</t>
        </is>
      </c>
      <c r="AV193" s="30" t="inlineStr">
        <is>
          <t>DEMAIS</t>
        </is>
      </c>
      <c r="AW193" s="31" t="n">
        <v>18411122</v>
      </c>
      <c r="AX193" s="30" t="inlineStr">
        <is>
          <t>MID-MARKET</t>
        </is>
      </c>
      <c r="AY193" s="30" t="inlineStr">
        <is>
          <t>01424397</t>
        </is>
      </c>
      <c r="AZ193" s="30" t="n">
        <v>3</v>
      </c>
      <c r="BA193" s="30" t="inlineStr">
        <is>
          <t>PARTIAL_DOC_CLASS_III_RECONCILED ROWS:p4r71,p7r95,p9r70</t>
        </is>
      </c>
    </row>
    <row r="194">
      <c r="A194" s="16" t="inlineStr">
        <is>
          <t>PEDREIRA ARAGUAIA LTDA</t>
        </is>
      </c>
      <c r="B194" s="17" t="n">
        <v>1261848.82</v>
      </c>
      <c r="C194" s="18" t="inlineStr">
        <is>
          <t>EGESA ENGENHARIA S/A (Consórcio ETDI)</t>
        </is>
      </c>
      <c r="D194" s="19" t="inlineStr">
        <is>
          <t>NEW</t>
        </is>
      </c>
      <c r="E194" s="20" t="inlineStr"/>
      <c r="F194" s="19" t="inlineStr"/>
      <c r="G194" s="20" t="inlineStr"/>
      <c r="H194" s="19" t="inlineStr"/>
      <c r="I194" s="21" t="inlineStr">
        <is>
          <t>NASSIM MAMED JUNIOR</t>
        </is>
      </c>
      <c r="J194" s="21" t="inlineStr">
        <is>
          <t>Administrador (RFB partner)</t>
        </is>
      </c>
      <c r="K194" s="21" t="inlineStr">
        <is>
          <t>(62) 3284-8484</t>
        </is>
      </c>
      <c r="L194" s="21" t="inlineStr"/>
      <c r="M194" s="21" t="inlineStr"/>
      <c r="N194" s="21" t="inlineStr"/>
      <c r="O194" s="21" t="inlineStr"/>
      <c r="P194" s="21" t="inlineStr"/>
      <c r="Q194" s="21" t="inlineStr"/>
      <c r="R194" s="21" t="inlineStr"/>
      <c r="S194" s="21" t="inlineStr"/>
      <c r="T194" s="21" t="inlineStr">
        <is>
          <t>RFB partner (QSA); no Apollo match</t>
        </is>
      </c>
      <c r="U194" s="22" t="n">
        <v>1261848.82</v>
      </c>
      <c r="V194" s="32" t="inlineStr">
        <is>
          <t>U</t>
        </is>
      </c>
      <c r="W194" s="24">
        <f>IFERROR(VLOOKUP(V194,Assumptions!$A$7:$F$11,2,FALSE),0)</f>
        <v/>
      </c>
      <c r="X194" s="25">
        <f>IF(V194="A",MAX(1,IFERROR(VLOOKUP(V194,Assumptions!$A$7:$F$11,3,FALSE),3)+IFERROR(VLOOKUP(V194,Assumptions!$A$7:$F$11,4,FALSE),8)/2-MAX(0,IF(AO194="",0,YEAR(TODAY())-AO194)-IFERROR(VLOOKUP(V194,Assumptions!$A$7:$F$11,5,FALSE),1.5))),IFERROR(VLOOKUP(V194,Assumptions!$A$7:$F$11,5,FALSE),2.5)+IFERROR(VLOOKUP(V194,Assumptions!$A$7:$F$11,3,FALSE),3)+IFERROR(VLOOKUP(V194,Assumptions!$A$7:$F$11,4,FALSE),8)/2)</f>
        <v/>
      </c>
      <c r="Y194" s="22">
        <f>U194*W194/(1+Assumptions!$B$3)^X194</f>
        <v/>
      </c>
      <c r="Z194" s="26">
        <f>IF(U194=0,"",ROUND(Y194/U194*100,1))</f>
        <v/>
      </c>
      <c r="AA194" s="27">
        <f>Y194*Assumptions!$B$4</f>
        <v/>
      </c>
      <c r="AB194" s="26">
        <f>IF(U194=0,"",ROUND(AA194/U194*100,1))</f>
        <v/>
      </c>
      <c r="AC194" s="27">
        <f>Y194-AA194</f>
        <v/>
      </c>
      <c r="AD194" s="26">
        <f>IF(U194=0,"",ROUND((Y194-AA194)/U194*100,1))</f>
        <v/>
      </c>
      <c r="AE194" s="28" t="inlineStr">
        <is>
          <t>OK — totals reconciled</t>
        </is>
      </c>
      <c r="AF194" s="29" t="inlineStr">
        <is>
          <t>https://scalzilliaj.com.br/sgc/download.php?file=files/processo_documento/processo_documento09514021082025_1_.pdf&amp;nome=04 - Relação de credores das Recuperandas</t>
        </is>
      </c>
      <c r="AG194" s="28" t="inlineStr">
        <is>
          <t>p71 r6</t>
        </is>
      </c>
      <c r="AH194" s="28" t="inlineStr">
        <is>
          <t>p71: R$ 1.261.848,82</t>
        </is>
      </c>
      <c r="AI194" s="28" t="inlineStr">
        <is>
          <t>Debtor list (art. 51)</t>
        </is>
      </c>
      <c r="AJ194" s="28" t="inlineStr"/>
      <c r="AK194" s="28" t="inlineStr">
        <is>
          <t>NONE FOUND</t>
        </is>
      </c>
      <c r="AL194" s="30" t="inlineStr">
        <is>
          <t>(not printed)</t>
        </is>
      </c>
      <c r="AM194" s="30" t="inlineStr"/>
      <c r="AN194" s="30" t="inlineStr"/>
      <c r="AO194" s="30" t="inlineStr"/>
      <c r="AP194" s="30" t="inlineStr">
        <is>
          <t>RJ case number not identified on the document</t>
        </is>
      </c>
      <c r="AQ194" s="30" t="inlineStr"/>
      <c r="AR194" s="30" t="inlineStr">
        <is>
          <t>portal page title / URL — not printed on the list</t>
        </is>
      </c>
      <c r="AS194" s="30" t="inlineStr">
        <is>
          <t>APARECIDA DE GOIANIA</t>
        </is>
      </c>
      <c r="AT194" s="30" t="inlineStr">
        <is>
          <t>GO</t>
        </is>
      </c>
      <c r="AU194" s="30" t="inlineStr">
        <is>
          <t>Extração e britamento de pedras e outros materiais para construção e beneficiamento associado</t>
        </is>
      </c>
      <c r="AV194" s="30" t="inlineStr">
        <is>
          <t>DEMAIS</t>
        </is>
      </c>
      <c r="AW194" s="31" t="n">
        <v>3200000</v>
      </c>
      <c r="AX194" s="30" t="inlineStr">
        <is>
          <t>MID-MARKET</t>
        </is>
      </c>
      <c r="AY194" s="30" t="inlineStr">
        <is>
          <t>00052803</t>
        </is>
      </c>
      <c r="AZ194" s="30" t="n">
        <v>1</v>
      </c>
      <c r="BA194" s="30" t="inlineStr">
        <is>
          <t>ROWS:p71r6 VALUE_COL:Valor_Atualizado CASE_NUMBER_CORRECTED</t>
        </is>
      </c>
    </row>
    <row r="195">
      <c r="A195" s="16" t="inlineStr">
        <is>
          <t>MAXINUTRI SUPLEMENTOS NUTRICIONAIS LTDA</t>
        </is>
      </c>
      <c r="B195" s="17" t="n">
        <v>664358.4399999999</v>
      </c>
      <c r="C195" s="18" t="inlineStr">
        <is>
          <t>GRUPO DP4</t>
        </is>
      </c>
      <c r="D195" s="19" t="inlineStr">
        <is>
          <t>NEW</t>
        </is>
      </c>
      <c r="E195" s="20" t="inlineStr"/>
      <c r="F195" s="19" t="inlineStr"/>
      <c r="G195" s="20" t="inlineStr"/>
      <c r="H195" s="19" t="inlineStr"/>
      <c r="I195" s="21" t="inlineStr">
        <is>
          <t>Janderson Gandra</t>
        </is>
      </c>
      <c r="J195" s="21" t="inlineStr">
        <is>
          <t>Financial and Administrative Director</t>
        </is>
      </c>
      <c r="K195" s="21" t="inlineStr">
        <is>
          <t>(43) 3274-5262</t>
        </is>
      </c>
      <c r="L195" s="21" t="inlineStr"/>
      <c r="M195" s="21" t="inlineStr"/>
      <c r="N195" s="21" t="inlineStr">
        <is>
          <t>janderson@maxinutri.com.br</t>
        </is>
      </c>
      <c r="O195" s="21" t="inlineStr"/>
      <c r="P195" s="21" t="inlineStr">
        <is>
          <t>Lucas Roberto</t>
        </is>
      </c>
      <c r="Q195" s="21" t="inlineStr">
        <is>
          <t>Coordenador Financeiro &amp; Tesouraria</t>
        </is>
      </c>
      <c r="R195" s="21" t="inlineStr"/>
      <c r="S195" s="21" t="inlineStr"/>
      <c r="T195" s="21" t="inlineStr">
        <is>
          <t>email verified by Apollo</t>
        </is>
      </c>
      <c r="U195" s="22" t="n">
        <v>664358.4399999999</v>
      </c>
      <c r="V195" s="23" t="inlineStr">
        <is>
          <t>B</t>
        </is>
      </c>
      <c r="W195" s="24">
        <f>IFERROR(VLOOKUP(V195,Assumptions!$A$7:$F$11,2,FALSE),0)</f>
        <v/>
      </c>
      <c r="X195" s="25">
        <f>IF(V195="A",MAX(1,IFERROR(VLOOKUP(V195,Assumptions!$A$7:$F$11,3,FALSE),3)+IFERROR(VLOOKUP(V195,Assumptions!$A$7:$F$11,4,FALSE),8)/2-MAX(0,IF(AO195="",0,YEAR(TODAY())-AO195)-IFERROR(VLOOKUP(V195,Assumptions!$A$7:$F$11,5,FALSE),1.5))),IFERROR(VLOOKUP(V195,Assumptions!$A$7:$F$11,5,FALSE),2.5)+IFERROR(VLOOKUP(V195,Assumptions!$A$7:$F$11,3,FALSE),3)+IFERROR(VLOOKUP(V195,Assumptions!$A$7:$F$11,4,FALSE),8)/2)</f>
        <v/>
      </c>
      <c r="Y195" s="22">
        <f>U195*W195/(1+Assumptions!$B$3)^X195</f>
        <v/>
      </c>
      <c r="Z195" s="26">
        <f>IF(U195=0,"",ROUND(Y195/U195*100,1))</f>
        <v/>
      </c>
      <c r="AA195" s="27">
        <f>Y195*Assumptions!$B$4</f>
        <v/>
      </c>
      <c r="AB195" s="26">
        <f>IF(U195=0,"",ROUND(AA195/U195*100,1))</f>
        <v/>
      </c>
      <c r="AC195" s="27">
        <f>Y195-AA195</f>
        <v/>
      </c>
      <c r="AD195" s="26">
        <f>IF(U195=0,"",ROUND((Y195-AA195)/U195*100,1))</f>
        <v/>
      </c>
      <c r="AE195" s="34" t="inlineStr">
        <is>
          <t>PARTIAL — class III reconciled, other classes not</t>
        </is>
      </c>
      <c r="AF195" s="29" t="inlineStr">
        <is>
          <t>https://marquesadmjudicial.com.br/sgc/download.php?file=files/processo_documento/processo_documento15293208032024_1_.pdf&amp;nome=Relação Nominal de Credores da AJ-Sintética</t>
        </is>
      </c>
      <c r="AG195" s="28" t="inlineStr">
        <is>
          <t>p28 r12</t>
        </is>
      </c>
      <c r="AH195" s="28" t="inlineStr">
        <is>
          <t>p28: R$ 664.358,44</t>
        </is>
      </c>
      <c r="AI195" s="28" t="inlineStr">
        <is>
          <t>AJ list (art. 7 §2)</t>
        </is>
      </c>
      <c r="AJ195" s="28" t="inlineStr">
        <is>
          <t>2023-03-02</t>
        </is>
      </c>
      <c r="AK195" s="28" t="inlineStr">
        <is>
          <t>NONE FOUND</t>
        </is>
      </c>
      <c r="AL195" s="30" t="inlineStr">
        <is>
          <t>0005010-98.2023.8.16.0001</t>
        </is>
      </c>
      <c r="AM195" s="30" t="inlineStr">
        <is>
          <t>TJPR</t>
        </is>
      </c>
      <c r="AN195" s="30" t="inlineStr">
        <is>
          <t>ACTIVE</t>
        </is>
      </c>
      <c r="AO195" s="30" t="n">
        <v>2023</v>
      </c>
      <c r="AP195" s="30" t="inlineStr">
        <is>
          <t>live case, no plan document yet</t>
        </is>
      </c>
      <c r="AQ195" s="30" t="inlineStr"/>
      <c r="AR195" s="30" t="inlineStr">
        <is>
          <t>printed on the list (read twice)</t>
        </is>
      </c>
      <c r="AS195" s="30" t="inlineStr">
        <is>
          <t>ARAPONGAS</t>
        </is>
      </c>
      <c r="AT195" s="30" t="inlineStr">
        <is>
          <t>PR</t>
        </is>
      </c>
      <c r="AU195" s="30" t="inlineStr">
        <is>
          <t>Fabricação de outros produtos alimentícios não especificados anteriormente</t>
        </is>
      </c>
      <c r="AV195" s="30" t="inlineStr">
        <is>
          <t>DEMAIS</t>
        </is>
      </c>
      <c r="AW195" s="31" t="n">
        <v>200000</v>
      </c>
      <c r="AX195" s="30" t="inlineStr">
        <is>
          <t>MID-MARKET</t>
        </is>
      </c>
      <c r="AY195" s="30" t="inlineStr">
        <is>
          <t>39452556</t>
        </is>
      </c>
      <c r="AZ195" s="30" t="n">
        <v>1</v>
      </c>
      <c r="BA195" s="30" t="inlineStr">
        <is>
          <t>PARTIAL_DOC_CLASS_III_RECONCILED ROWS:p28r12</t>
        </is>
      </c>
    </row>
    <row r="196">
      <c r="A196" s="16" t="inlineStr">
        <is>
          <t>SUECA ROLAMENTOS E SOLUCOES INDUSTRIAIS LTDA</t>
        </is>
      </c>
      <c r="B196" s="17" t="n">
        <v>657691.6</v>
      </c>
      <c r="C196" s="18" t="inlineStr">
        <is>
          <t>Grupo Rech</t>
        </is>
      </c>
      <c r="D196" s="19" t="inlineStr">
        <is>
          <t>NEW</t>
        </is>
      </c>
      <c r="E196" s="20" t="inlineStr"/>
      <c r="F196" s="19" t="inlineStr"/>
      <c r="G196" s="20" t="inlineStr"/>
      <c r="H196" s="19" t="inlineStr"/>
      <c r="I196" s="21" t="inlineStr">
        <is>
          <t>Hamiltom Malagues</t>
        </is>
      </c>
      <c r="J196" s="21" t="inlineStr">
        <is>
          <t>Encarregado de Compras</t>
        </is>
      </c>
      <c r="K196" s="21" t="inlineStr">
        <is>
          <t>(51) 3337-8477</t>
        </is>
      </c>
      <c r="L196" s="21" t="inlineStr"/>
      <c r="M196" s="21" t="inlineStr"/>
      <c r="N196" s="21" t="inlineStr">
        <is>
          <t>hamiltom@sueca.com.br</t>
        </is>
      </c>
      <c r="O196" s="21" t="inlineStr"/>
      <c r="P196" s="21" t="inlineStr"/>
      <c r="Q196" s="21" t="inlineStr"/>
      <c r="R196" s="21" t="inlineStr"/>
      <c r="S196" s="21" t="inlineStr"/>
      <c r="T196" s="21" t="inlineStr">
        <is>
          <t>email verified by Apollo</t>
        </is>
      </c>
      <c r="U196" s="22" t="n">
        <v>657691.6</v>
      </c>
      <c r="V196" s="23" t="inlineStr">
        <is>
          <t>B</t>
        </is>
      </c>
      <c r="W196" s="24">
        <f>IFERROR(VLOOKUP(V196,Assumptions!$A$7:$F$11,2,FALSE),0)</f>
        <v/>
      </c>
      <c r="X196" s="25">
        <f>IF(V196="A",MAX(1,IFERROR(VLOOKUP(V196,Assumptions!$A$7:$F$11,3,FALSE),3)+IFERROR(VLOOKUP(V196,Assumptions!$A$7:$F$11,4,FALSE),8)/2-MAX(0,IF(AO196="",0,YEAR(TODAY())-AO196)-IFERROR(VLOOKUP(V196,Assumptions!$A$7:$F$11,5,FALSE),1.5))),IFERROR(VLOOKUP(V196,Assumptions!$A$7:$F$11,5,FALSE),2.5)+IFERROR(VLOOKUP(V196,Assumptions!$A$7:$F$11,3,FALSE),3)+IFERROR(VLOOKUP(V196,Assumptions!$A$7:$F$11,4,FALSE),8)/2)</f>
        <v/>
      </c>
      <c r="Y196" s="22">
        <f>U196*W196/(1+Assumptions!$B$3)^X196</f>
        <v/>
      </c>
      <c r="Z196" s="26">
        <f>IF(U196=0,"",ROUND(Y196/U196*100,1))</f>
        <v/>
      </c>
      <c r="AA196" s="27">
        <f>Y196*Assumptions!$B$4</f>
        <v/>
      </c>
      <c r="AB196" s="26">
        <f>IF(U196=0,"",ROUND(AA196/U196*100,1))</f>
        <v/>
      </c>
      <c r="AC196" s="27">
        <f>Y196-AA196</f>
        <v/>
      </c>
      <c r="AD196" s="26">
        <f>IF(U196=0,"",ROUND((Y196-AA196)/U196*100,1))</f>
        <v/>
      </c>
      <c r="AE196" s="36" t="inlineStr">
        <is>
          <t>CHECK — source is not a statutory creditor list</t>
        </is>
      </c>
      <c r="AF196" s="29" t="inlineStr">
        <is>
          <t>https://credibilita.com.br/wp-content/uploads/2025/09/Relacao-Credores-29.04.2026.pdf</t>
        </is>
      </c>
      <c r="AG196" s="28" t="inlineStr">
        <is>
          <t>p2 r19</t>
        </is>
      </c>
      <c r="AH196" s="28" t="inlineStr">
        <is>
          <t>p2: R$ 657.691,60</t>
        </is>
      </c>
      <c r="AI196" s="28" t="inlineStr">
        <is>
          <t>Quorum list — NOT an art. 7/51 list</t>
        </is>
      </c>
      <c r="AJ196" s="28" t="inlineStr"/>
      <c r="AK196" s="28" t="inlineStr">
        <is>
          <t>NONE FOUND</t>
        </is>
      </c>
      <c r="AL196" s="30" t="inlineStr">
        <is>
          <t>5057720-48.2025.8.24.0023</t>
        </is>
      </c>
      <c r="AM196" s="30" t="inlineStr">
        <is>
          <t>TJSC</t>
        </is>
      </c>
      <c r="AN196" s="30" t="inlineStr"/>
      <c r="AO196" s="30" t="n">
        <v>2025</v>
      </c>
      <c r="AP196" s="30" t="inlineStr">
        <is>
          <t>live case, no plan document yet</t>
        </is>
      </c>
      <c r="AQ196" s="30" t="inlineStr"/>
      <c r="AR196" s="30" t="inlineStr">
        <is>
          <t>portal page title / URL — not printed on the list</t>
        </is>
      </c>
      <c r="AS196" s="30" t="inlineStr">
        <is>
          <t>PORTO ALEGRE</t>
        </is>
      </c>
      <c r="AT196" s="30" t="inlineStr">
        <is>
          <t>RS</t>
        </is>
      </c>
      <c r="AU196" s="30" t="inlineStr">
        <is>
          <t>Comércio atacadista de Máquinas e equipamentos para uso industrial; partes e peças</t>
        </is>
      </c>
      <c r="AV196" s="30" t="inlineStr">
        <is>
          <t>DEMAIS</t>
        </is>
      </c>
      <c r="AW196" s="31" t="n">
        <v>600000</v>
      </c>
      <c r="AX196" s="30" t="inlineStr">
        <is>
          <t>MID-MARKET</t>
        </is>
      </c>
      <c r="AY196" s="30" t="inlineStr">
        <is>
          <t>02410500</t>
        </is>
      </c>
      <c r="AZ196" s="30" t="n">
        <v>1</v>
      </c>
      <c r="BA196" s="30" t="inlineStr">
        <is>
          <t>ROWS:p2r19 UNRECONCILED_SOURCE VALUE_COL:Valor_Após_Analise CASE_NUMBER_CORRECTED</t>
        </is>
      </c>
    </row>
    <row r="197">
      <c r="A197" s="16" t="inlineStr">
        <is>
          <t>KSPG AUTOMOTIVE BRAZIL LTDA.</t>
        </is>
      </c>
      <c r="B197" s="17" t="n">
        <v>651861.65</v>
      </c>
      <c r="C197" s="18" t="inlineStr">
        <is>
          <t>Grupo Rech</t>
        </is>
      </c>
      <c r="D197" s="19" t="inlineStr">
        <is>
          <t>NEW</t>
        </is>
      </c>
      <c r="E197" s="20" t="inlineStr"/>
      <c r="F197" s="19" t="inlineStr"/>
      <c r="G197" s="20" t="inlineStr"/>
      <c r="H197" s="19" t="inlineStr"/>
      <c r="I197" s="21" t="inlineStr">
        <is>
          <t>FLAVIO PEREIRA SOTO</t>
        </is>
      </c>
      <c r="J197" s="21" t="inlineStr">
        <is>
          <t>Administrador (RFB partner)</t>
        </is>
      </c>
      <c r="K197" s="21" t="inlineStr">
        <is>
          <t>(19) 3466-9842</t>
        </is>
      </c>
      <c r="L197" s="21" t="inlineStr">
        <is>
          <t>(19) 3466-9777</t>
        </is>
      </c>
      <c r="M197" s="21" t="inlineStr"/>
      <c r="N197" s="21" t="inlineStr"/>
      <c r="O197" s="21" t="inlineStr"/>
      <c r="P197" s="21" t="inlineStr"/>
      <c r="Q197" s="21" t="inlineStr"/>
      <c r="R197" s="21" t="inlineStr"/>
      <c r="S197" s="21" t="inlineStr"/>
      <c r="T197" s="21" t="inlineStr">
        <is>
          <t>RFB partner (QSA); no Apollo match</t>
        </is>
      </c>
      <c r="U197" s="22" t="n">
        <v>651861.65</v>
      </c>
      <c r="V197" s="23" t="inlineStr">
        <is>
          <t>B</t>
        </is>
      </c>
      <c r="W197" s="24">
        <f>IFERROR(VLOOKUP(V197,Assumptions!$A$7:$F$11,2,FALSE),0)</f>
        <v/>
      </c>
      <c r="X197" s="25">
        <f>IF(V197="A",MAX(1,IFERROR(VLOOKUP(V197,Assumptions!$A$7:$F$11,3,FALSE),3)+IFERROR(VLOOKUP(V197,Assumptions!$A$7:$F$11,4,FALSE),8)/2-MAX(0,IF(AO197="",0,YEAR(TODAY())-AO197)-IFERROR(VLOOKUP(V197,Assumptions!$A$7:$F$11,5,FALSE),1.5))),IFERROR(VLOOKUP(V197,Assumptions!$A$7:$F$11,5,FALSE),2.5)+IFERROR(VLOOKUP(V197,Assumptions!$A$7:$F$11,3,FALSE),3)+IFERROR(VLOOKUP(V197,Assumptions!$A$7:$F$11,4,FALSE),8)/2)</f>
        <v/>
      </c>
      <c r="Y197" s="22">
        <f>U197*W197/(1+Assumptions!$B$3)^X197</f>
        <v/>
      </c>
      <c r="Z197" s="26">
        <f>IF(U197=0,"",ROUND(Y197/U197*100,1))</f>
        <v/>
      </c>
      <c r="AA197" s="27">
        <f>Y197*Assumptions!$B$4</f>
        <v/>
      </c>
      <c r="AB197" s="26">
        <f>IF(U197=0,"",ROUND(AA197/U197*100,1))</f>
        <v/>
      </c>
      <c r="AC197" s="27">
        <f>Y197-AA197</f>
        <v/>
      </c>
      <c r="AD197" s="26">
        <f>IF(U197=0,"",ROUND((Y197-AA197)/U197*100,1))</f>
        <v/>
      </c>
      <c r="AE197" s="36" t="inlineStr">
        <is>
          <t>CHECK — source is not a statutory creditor list</t>
        </is>
      </c>
      <c r="AF197" s="29" t="inlineStr">
        <is>
          <t>https://credibilita.com.br/wp-content/uploads/2025/09/Relacao-Credores-29.04.2026.pdf</t>
        </is>
      </c>
      <c r="AG197" s="28" t="inlineStr">
        <is>
          <t>p1 r32</t>
        </is>
      </c>
      <c r="AH197" s="28" t="inlineStr">
        <is>
          <t>p1: R$ 651.861,65</t>
        </is>
      </c>
      <c r="AI197" s="28" t="inlineStr">
        <is>
          <t>Quorum list — NOT an art. 7/51 list</t>
        </is>
      </c>
      <c r="AJ197" s="28" t="inlineStr"/>
      <c r="AK197" s="28" t="inlineStr">
        <is>
          <t>NONE FOUND</t>
        </is>
      </c>
      <c r="AL197" s="30" t="inlineStr">
        <is>
          <t>5057720-48.2025.8.24.0023</t>
        </is>
      </c>
      <c r="AM197" s="30" t="inlineStr">
        <is>
          <t>TJSC</t>
        </is>
      </c>
      <c r="AN197" s="30" t="inlineStr"/>
      <c r="AO197" s="30" t="n">
        <v>2025</v>
      </c>
      <c r="AP197" s="30" t="inlineStr">
        <is>
          <t>live case, no plan document yet</t>
        </is>
      </c>
      <c r="AQ197" s="30" t="inlineStr"/>
      <c r="AR197" s="30" t="inlineStr">
        <is>
          <t>portal page title / URL — not printed on the list</t>
        </is>
      </c>
      <c r="AS197" s="30" t="inlineStr">
        <is>
          <t>NOVA ODESSA</t>
        </is>
      </c>
      <c r="AT197" s="30" t="inlineStr">
        <is>
          <t>SP</t>
        </is>
      </c>
      <c r="AU197" s="30" t="inlineStr">
        <is>
          <t>Fabricação de peças e acessórios para o sistema motor de veículos automotores</t>
        </is>
      </c>
      <c r="AV197" s="30" t="inlineStr">
        <is>
          <t>DEMAIS</t>
        </is>
      </c>
      <c r="AW197" s="31" t="n">
        <v>395637150</v>
      </c>
      <c r="AX197" s="30" t="inlineStr">
        <is>
          <t>MID-MARKET</t>
        </is>
      </c>
      <c r="AY197" s="30" t="inlineStr">
        <is>
          <t>57576274</t>
        </is>
      </c>
      <c r="AZ197" s="30" t="n">
        <v>1</v>
      </c>
      <c r="BA197" s="30" t="inlineStr">
        <is>
          <t>ROWS:p1r32 UNRECONCILED_SOURCE VALUE_COL:Valor_Após_Analise CASE_NUMBER_CORRECTED</t>
        </is>
      </c>
    </row>
    <row r="198">
      <c r="A198" s="16" t="inlineStr">
        <is>
          <t>INCOTERM SOLUCOES EM MEDICAO LTDA</t>
        </is>
      </c>
      <c r="B198" s="17" t="n">
        <v>650761.62</v>
      </c>
      <c r="C198" s="18" t="inlineStr">
        <is>
          <t>GRUPO DP4</t>
        </is>
      </c>
      <c r="D198" s="19" t="inlineStr">
        <is>
          <t>NEW</t>
        </is>
      </c>
      <c r="E198" s="20" t="inlineStr"/>
      <c r="F198" s="19" t="inlineStr"/>
      <c r="G198" s="20" t="inlineStr"/>
      <c r="H198" s="19" t="inlineStr"/>
      <c r="I198" s="21" t="inlineStr">
        <is>
          <t>ANDREAS WEIMER</t>
        </is>
      </c>
      <c r="J198" s="21" t="inlineStr">
        <is>
          <t>Sócio-Administrador (RFB partner)</t>
        </is>
      </c>
      <c r="K198" s="21" t="inlineStr">
        <is>
          <t>(51) 3245-7112</t>
        </is>
      </c>
      <c r="L198" s="21" t="inlineStr">
        <is>
          <t>(51) 3245-7157</t>
        </is>
      </c>
      <c r="M198" s="21" t="inlineStr"/>
      <c r="N198" s="21" t="inlineStr"/>
      <c r="O198" s="21" t="inlineStr"/>
      <c r="P198" s="21" t="inlineStr"/>
      <c r="Q198" s="21" t="inlineStr"/>
      <c r="R198" s="21" t="inlineStr"/>
      <c r="S198" s="21" t="inlineStr"/>
      <c r="T198" s="21" t="inlineStr">
        <is>
          <t>RFB partner (QSA); no Apollo match</t>
        </is>
      </c>
      <c r="U198" s="22" t="n">
        <v>650761.62</v>
      </c>
      <c r="V198" s="23" t="inlineStr">
        <is>
          <t>B</t>
        </is>
      </c>
      <c r="W198" s="24">
        <f>IFERROR(VLOOKUP(V198,Assumptions!$A$7:$F$11,2,FALSE),0)</f>
        <v/>
      </c>
      <c r="X198" s="25">
        <f>IF(V198="A",MAX(1,IFERROR(VLOOKUP(V198,Assumptions!$A$7:$F$11,3,FALSE),3)+IFERROR(VLOOKUP(V198,Assumptions!$A$7:$F$11,4,FALSE),8)/2-MAX(0,IF(AO198="",0,YEAR(TODAY())-AO198)-IFERROR(VLOOKUP(V198,Assumptions!$A$7:$F$11,5,FALSE),1.5))),IFERROR(VLOOKUP(V198,Assumptions!$A$7:$F$11,5,FALSE),2.5)+IFERROR(VLOOKUP(V198,Assumptions!$A$7:$F$11,3,FALSE),3)+IFERROR(VLOOKUP(V198,Assumptions!$A$7:$F$11,4,FALSE),8)/2)</f>
        <v/>
      </c>
      <c r="Y198" s="22">
        <f>U198*W198/(1+Assumptions!$B$3)^X198</f>
        <v/>
      </c>
      <c r="Z198" s="26">
        <f>IF(U198=0,"",ROUND(Y198/U198*100,1))</f>
        <v/>
      </c>
      <c r="AA198" s="27">
        <f>Y198*Assumptions!$B$4</f>
        <v/>
      </c>
      <c r="AB198" s="26">
        <f>IF(U198=0,"",ROUND(AA198/U198*100,1))</f>
        <v/>
      </c>
      <c r="AC198" s="27">
        <f>Y198-AA198</f>
        <v/>
      </c>
      <c r="AD198" s="26">
        <f>IF(U198=0,"",ROUND((Y198-AA198)/U198*100,1))</f>
        <v/>
      </c>
      <c r="AE198" s="34" t="inlineStr">
        <is>
          <t>PARTIAL — class III reconciled, other classes not</t>
        </is>
      </c>
      <c r="AF198" s="29" t="inlineStr">
        <is>
          <t>https://marquesadmjudicial.com.br/sgc/download.php?file=files/processo_documento/processo_documento15293208032024_1_.pdf&amp;nome=Relação Nominal de Credores da AJ-Sintética</t>
        </is>
      </c>
      <c r="AG198" s="28" t="inlineStr">
        <is>
          <t>p26 r11</t>
        </is>
      </c>
      <c r="AH198" s="28" t="inlineStr">
        <is>
          <t>p26: R$ 650.761,62</t>
        </is>
      </c>
      <c r="AI198" s="28" t="inlineStr">
        <is>
          <t>AJ list (art. 7 §2)</t>
        </is>
      </c>
      <c r="AJ198" s="28" t="inlineStr">
        <is>
          <t>2023-03-02</t>
        </is>
      </c>
      <c r="AK198" s="28" t="inlineStr">
        <is>
          <t>NONE FOUND</t>
        </is>
      </c>
      <c r="AL198" s="30" t="inlineStr">
        <is>
          <t>0005010-98.2023.8.16.0001</t>
        </is>
      </c>
      <c r="AM198" s="30" t="inlineStr">
        <is>
          <t>TJPR</t>
        </is>
      </c>
      <c r="AN198" s="30" t="inlineStr">
        <is>
          <t>ACTIVE</t>
        </is>
      </c>
      <c r="AO198" s="30" t="n">
        <v>2023</v>
      </c>
      <c r="AP198" s="30" t="inlineStr">
        <is>
          <t>live case, no plan document yet</t>
        </is>
      </c>
      <c r="AQ198" s="30" t="inlineStr"/>
      <c r="AR198" s="30" t="inlineStr">
        <is>
          <t>printed on the list (read twice)</t>
        </is>
      </c>
      <c r="AS198" s="30" t="inlineStr">
        <is>
          <t>PORTO ALEGRE</t>
        </is>
      </c>
      <c r="AT198" s="30" t="inlineStr">
        <is>
          <t>RS</t>
        </is>
      </c>
      <c r="AU198" s="30" t="inlineStr">
        <is>
          <t>Fabricação de aparelhos e equipamentos de medida, teste e controle</t>
        </is>
      </c>
      <c r="AV198" s="30" t="inlineStr">
        <is>
          <t>DEMAIS</t>
        </is>
      </c>
      <c r="AW198" s="31" t="n">
        <v>30000000</v>
      </c>
      <c r="AX198" s="30" t="inlineStr">
        <is>
          <t>MID-MARKET</t>
        </is>
      </c>
      <c r="AY198" s="30" t="inlineStr">
        <is>
          <t>87156352</t>
        </is>
      </c>
      <c r="AZ198" s="30" t="n">
        <v>1</v>
      </c>
      <c r="BA198" s="30" t="inlineStr">
        <is>
          <t>PARTIAL_DOC_CLASS_III_RECONCILED ROWS:p26r11</t>
        </is>
      </c>
    </row>
    <row r="199">
      <c r="A199" s="16" t="inlineStr">
        <is>
          <t>MAGNUM DISTRIBUIDORA DE PNEUS S/A</t>
        </is>
      </c>
      <c r="B199" s="17" t="n">
        <v>644893.08</v>
      </c>
      <c r="C199" s="18" t="inlineStr">
        <is>
          <t>SECULAR COMÉRCIO CONSTRUÇÃO E REPRESENTAÇÃO LTDA - ME, EM RECUPERAÇÃO JUDICIAL</t>
        </is>
      </c>
      <c r="D199" s="19" t="inlineStr">
        <is>
          <t>NEW</t>
        </is>
      </c>
      <c r="E199" s="20" t="inlineStr"/>
      <c r="F199" s="19" t="inlineStr"/>
      <c r="G199" s="20" t="inlineStr"/>
      <c r="H199" s="19" t="inlineStr"/>
      <c r="I199" s="21" t="inlineStr">
        <is>
          <t>Rafaela Almeida</t>
        </is>
      </c>
      <c r="J199" s="21" t="inlineStr">
        <is>
          <t>Coordenadora de Câmbio e Tesouraria</t>
        </is>
      </c>
      <c r="K199" s="21" t="inlineStr">
        <is>
          <t>(81) 3797-6245</t>
        </is>
      </c>
      <c r="L199" s="21" t="inlineStr">
        <is>
          <t>(81) 3797-6246</t>
        </is>
      </c>
      <c r="M199" s="21" t="inlineStr"/>
      <c r="N199" s="21" t="inlineStr"/>
      <c r="O199" s="21" t="inlineStr">
        <is>
          <t>gfurtado@magnumtires.com.br</t>
        </is>
      </c>
      <c r="P199" s="21" t="inlineStr">
        <is>
          <t>Gilsilene Furtado</t>
        </is>
      </c>
      <c r="Q199" s="21" t="inlineStr">
        <is>
          <t>Analista Financeiro Contas a Receber</t>
        </is>
      </c>
      <c r="R199" s="21" t="inlineStr"/>
      <c r="S199" s="21" t="inlineStr">
        <is>
          <t>gfurtado@magnumtires.com.br</t>
        </is>
      </c>
      <c r="T199" s="21" t="inlineStr">
        <is>
          <t>no work email found in Apollo</t>
        </is>
      </c>
      <c r="U199" s="22" t="n">
        <v>644893.08</v>
      </c>
      <c r="V199" s="23" t="inlineStr">
        <is>
          <t>B</t>
        </is>
      </c>
      <c r="W199" s="24">
        <f>IFERROR(VLOOKUP(V199,Assumptions!$A$7:$F$11,2,FALSE),0)</f>
        <v/>
      </c>
      <c r="X199" s="25">
        <f>IF(V199="A",MAX(1,IFERROR(VLOOKUP(V199,Assumptions!$A$7:$F$11,3,FALSE),3)+IFERROR(VLOOKUP(V199,Assumptions!$A$7:$F$11,4,FALSE),8)/2-MAX(0,IF(AO199="",0,YEAR(TODAY())-AO199)-IFERROR(VLOOKUP(V199,Assumptions!$A$7:$F$11,5,FALSE),1.5))),IFERROR(VLOOKUP(V199,Assumptions!$A$7:$F$11,5,FALSE),2.5)+IFERROR(VLOOKUP(V199,Assumptions!$A$7:$F$11,3,FALSE),3)+IFERROR(VLOOKUP(V199,Assumptions!$A$7:$F$11,4,FALSE),8)/2)</f>
        <v/>
      </c>
      <c r="Y199" s="22">
        <f>U199*W199/(1+Assumptions!$B$3)^X199</f>
        <v/>
      </c>
      <c r="Z199" s="26">
        <f>IF(U199=0,"",ROUND(Y199/U199*100,1))</f>
        <v/>
      </c>
      <c r="AA199" s="27">
        <f>Y199*Assumptions!$B$4</f>
        <v/>
      </c>
      <c r="AB199" s="26">
        <f>IF(U199=0,"",ROUND(AA199/U199*100,1))</f>
        <v/>
      </c>
      <c r="AC199" s="27">
        <f>Y199-AA199</f>
        <v/>
      </c>
      <c r="AD199" s="26">
        <f>IF(U199=0,"",ROUND((Y199-AA199)/U199*100,1))</f>
        <v/>
      </c>
      <c r="AE199" s="28" t="inlineStr">
        <is>
          <t>OK — totals reconciled</t>
        </is>
      </c>
      <c r="AF199" s="29" t="inlineStr">
        <is>
          <t>https://lrflideres.com.br/wp-content/uploads/2022/08/4.-EDITAL-2a-LISTA-DE-CREDORES.pdf</t>
        </is>
      </c>
      <c r="AG199" s="28" t="inlineStr">
        <is>
          <t>p1 r21</t>
        </is>
      </c>
      <c r="AH199" s="28" t="inlineStr">
        <is>
          <t>p1: R$ 644.893,08</t>
        </is>
      </c>
      <c r="AI199" s="28" t="inlineStr">
        <is>
          <t>AJ list (art. 7 §2)</t>
        </is>
      </c>
      <c r="AJ199" s="28" t="inlineStr">
        <is>
          <t>2023-12-04</t>
        </is>
      </c>
      <c r="AK199" s="28" t="inlineStr">
        <is>
          <t>NONE FOUND</t>
        </is>
      </c>
      <c r="AL199" s="30" t="inlineStr">
        <is>
          <t>0804204-35.2022.8.15.0731</t>
        </is>
      </c>
      <c r="AM199" s="30" t="inlineStr">
        <is>
          <t>TJPB</t>
        </is>
      </c>
      <c r="AN199" s="30" t="inlineStr">
        <is>
          <t>ACTIVE</t>
        </is>
      </c>
      <c r="AO199" s="30" t="n">
        <v>2022</v>
      </c>
      <c r="AP199" s="30" t="inlineStr">
        <is>
          <t>live case, no plan document yet</t>
        </is>
      </c>
      <c r="AQ199" s="30" t="inlineStr"/>
      <c r="AR199" s="30" t="inlineStr">
        <is>
          <t>printed on the list (read twice)</t>
        </is>
      </c>
      <c r="AS199" s="30" t="inlineStr">
        <is>
          <t>JABOATAO DOS GUARARAPES</t>
        </is>
      </c>
      <c r="AT199" s="30" t="inlineStr">
        <is>
          <t>PE</t>
        </is>
      </c>
      <c r="AU199" s="30" t="inlineStr">
        <is>
          <t>Comércio por atacado de pneumáticos e câmaras-de-ar</t>
        </is>
      </c>
      <c r="AV199" s="30" t="inlineStr">
        <is>
          <t>DEMAIS</t>
        </is>
      </c>
      <c r="AW199" s="31" t="n">
        <v>44080948</v>
      </c>
      <c r="AX199" s="30" t="inlineStr">
        <is>
          <t>MID-MARKET</t>
        </is>
      </c>
      <c r="AY199" s="30" t="inlineStr">
        <is>
          <t>19403406</t>
        </is>
      </c>
      <c r="AZ199" s="30" t="n">
        <v>1</v>
      </c>
      <c r="BA199" s="30" t="inlineStr">
        <is>
          <t>ROWS:p1r21</t>
        </is>
      </c>
    </row>
    <row r="200">
      <c r="A200" s="16" t="inlineStr">
        <is>
          <t>EMC TECNOLOGIA LTDA</t>
        </is>
      </c>
      <c r="B200" s="17" t="n">
        <v>1200491.42</v>
      </c>
      <c r="C200" s="18" t="inlineStr">
        <is>
          <t>EGESA ENGENHARIA S/A (Consórcio ETDI)</t>
        </is>
      </c>
      <c r="D200" s="19" t="inlineStr">
        <is>
          <t>NEW</t>
        </is>
      </c>
      <c r="E200" s="20" t="inlineStr"/>
      <c r="F200" s="19" t="inlineStr"/>
      <c r="G200" s="20" t="inlineStr"/>
      <c r="H200" s="19" t="inlineStr"/>
      <c r="I200" s="21" t="inlineStr">
        <is>
          <t>Denise Maia</t>
        </is>
      </c>
      <c r="J200" s="21" t="inlineStr">
        <is>
          <t>Diretora Administrativo Financeira</t>
        </is>
      </c>
      <c r="K200" s="21" t="inlineStr">
        <is>
          <t>(31) 2121-2121</t>
        </is>
      </c>
      <c r="L200" s="21" t="inlineStr">
        <is>
          <t>(31) 2121-2105</t>
        </is>
      </c>
      <c r="M200" s="21" t="inlineStr"/>
      <c r="N200" s="21" t="inlineStr">
        <is>
          <t>denise@emc.com.br</t>
        </is>
      </c>
      <c r="O200" s="21" t="inlineStr">
        <is>
          <t>eduardo@emc.com.br</t>
        </is>
      </c>
      <c r="P200" s="21" t="inlineStr">
        <is>
          <t>Eduardo Carvalho</t>
        </is>
      </c>
      <c r="Q200" s="21" t="inlineStr">
        <is>
          <t>Diretor Geral</t>
        </is>
      </c>
      <c r="R200" s="21" t="inlineStr"/>
      <c r="S200" s="21" t="inlineStr">
        <is>
          <t>eduardo@emc.com.br</t>
        </is>
      </c>
      <c r="T200" s="21" t="inlineStr">
        <is>
          <t>email verified by Apollo</t>
        </is>
      </c>
      <c r="U200" s="22" t="n">
        <v>1200491.42</v>
      </c>
      <c r="V200" s="32" t="inlineStr">
        <is>
          <t>U</t>
        </is>
      </c>
      <c r="W200" s="24">
        <f>IFERROR(VLOOKUP(V200,Assumptions!$A$7:$F$11,2,FALSE),0)</f>
        <v/>
      </c>
      <c r="X200" s="25">
        <f>IF(V200="A",MAX(1,IFERROR(VLOOKUP(V200,Assumptions!$A$7:$F$11,3,FALSE),3)+IFERROR(VLOOKUP(V200,Assumptions!$A$7:$F$11,4,FALSE),8)/2-MAX(0,IF(AO200="",0,YEAR(TODAY())-AO200)-IFERROR(VLOOKUP(V200,Assumptions!$A$7:$F$11,5,FALSE),1.5))),IFERROR(VLOOKUP(V200,Assumptions!$A$7:$F$11,5,FALSE),2.5)+IFERROR(VLOOKUP(V200,Assumptions!$A$7:$F$11,3,FALSE),3)+IFERROR(VLOOKUP(V200,Assumptions!$A$7:$F$11,4,FALSE),8)/2)</f>
        <v/>
      </c>
      <c r="Y200" s="22">
        <f>U200*W200/(1+Assumptions!$B$3)^X200</f>
        <v/>
      </c>
      <c r="Z200" s="26">
        <f>IF(U200=0,"",ROUND(Y200/U200*100,1))</f>
        <v/>
      </c>
      <c r="AA200" s="27">
        <f>Y200*Assumptions!$B$4</f>
        <v/>
      </c>
      <c r="AB200" s="26">
        <f>IF(U200=0,"",ROUND(AA200/U200*100,1))</f>
        <v/>
      </c>
      <c r="AC200" s="27">
        <f>Y200-AA200</f>
        <v/>
      </c>
      <c r="AD200" s="26">
        <f>IF(U200=0,"",ROUND((Y200-AA200)/U200*100,1))</f>
        <v/>
      </c>
      <c r="AE200" s="28" t="inlineStr">
        <is>
          <t>OK — totals reconciled</t>
        </is>
      </c>
      <c r="AF200" s="29" t="inlineStr">
        <is>
          <t>https://scalzilliaj.com.br/sgc/download.php?file=files/processo_documento/processo_documento09514021082025_1_.pdf&amp;nome=04 - Relação de credores das Recuperandas</t>
        </is>
      </c>
      <c r="AG200" s="28" t="inlineStr">
        <is>
          <t>p65 r17; p66 r1; p66 r2; p66 r3; p66 r4</t>
        </is>
      </c>
      <c r="AH200" s="28" t="inlineStr">
        <is>
          <t>p65: R$ 30.422,33; p66: R$ 965.893,27; p66: R$ 105.447,29; p66: R$ 80.265,53; p66: R$ 18.463,00</t>
        </is>
      </c>
      <c r="AI200" s="28" t="inlineStr">
        <is>
          <t>Debtor list (art. 51)</t>
        </is>
      </c>
      <c r="AJ200" s="28" t="inlineStr"/>
      <c r="AK200" s="28" t="inlineStr">
        <is>
          <t>NONE FOUND</t>
        </is>
      </c>
      <c r="AL200" s="30" t="inlineStr">
        <is>
          <t>(not printed)</t>
        </is>
      </c>
      <c r="AM200" s="30" t="inlineStr"/>
      <c r="AN200" s="30" t="inlineStr"/>
      <c r="AO200" s="30" t="inlineStr"/>
      <c r="AP200" s="30" t="inlineStr">
        <is>
          <t>RJ case number not identified on the document</t>
        </is>
      </c>
      <c r="AQ200" s="30" t="inlineStr"/>
      <c r="AR200" s="30" t="inlineStr">
        <is>
          <t>portal page title / URL — not printed on the list</t>
        </is>
      </c>
      <c r="AS200" s="30" t="inlineStr">
        <is>
          <t>BELO HORIZONTE</t>
        </is>
      </c>
      <c r="AT200" s="30" t="inlineStr">
        <is>
          <t>MG</t>
        </is>
      </c>
      <c r="AU200" s="30" t="inlineStr">
        <is>
          <t>Aluguel de máquinas e equipamentos para escritórios</t>
        </is>
      </c>
      <c r="AV200" s="30" t="inlineStr">
        <is>
          <t>DEMAIS</t>
        </is>
      </c>
      <c r="AW200" s="31" t="n">
        <v>100000000</v>
      </c>
      <c r="AX200" s="30" t="inlineStr">
        <is>
          <t>MID-MARKET</t>
        </is>
      </c>
      <c r="AY200" s="30" t="inlineStr">
        <is>
          <t>22261093</t>
        </is>
      </c>
      <c r="AZ200" s="30" t="n">
        <v>5</v>
      </c>
      <c r="BA200" s="30" t="inlineStr">
        <is>
          <t>ROWS:p65r17,p66r1,p66r2,p66r3,p66r4 VALUE_COL:Valor_Atualizado CASE_NUMBER_CORRECTED</t>
        </is>
      </c>
    </row>
    <row r="201">
      <c r="A201" s="16" t="inlineStr">
        <is>
          <t>TREVO ALIMENTOS LTDA</t>
        </is>
      </c>
      <c r="B201" s="17" t="n">
        <v>341398.88</v>
      </c>
      <c r="C201" s="18" t="inlineStr">
        <is>
          <t>GRUPO 3E</t>
        </is>
      </c>
      <c r="D201" s="19" t="inlineStr">
        <is>
          <t>NEW</t>
        </is>
      </c>
      <c r="E201" s="20" t="inlineStr"/>
      <c r="F201" s="19" t="inlineStr"/>
      <c r="G201" s="20" t="inlineStr"/>
      <c r="H201" s="19" t="inlineStr"/>
      <c r="I201" s="21" t="inlineStr">
        <is>
          <t>PAULO BENTO DE ARAUJO</t>
        </is>
      </c>
      <c r="J201" s="21" t="inlineStr">
        <is>
          <t>Sócio-Administrador (RFB partner)</t>
        </is>
      </c>
      <c r="K201" s="21" t="inlineStr">
        <is>
          <t>(62) 3295-5359</t>
        </is>
      </c>
      <c r="L201" s="21" t="inlineStr"/>
      <c r="M201" s="21" t="inlineStr"/>
      <c r="N201" s="21" t="inlineStr"/>
      <c r="O201" s="21" t="inlineStr"/>
      <c r="P201" s="21" t="inlineStr"/>
      <c r="Q201" s="21" t="inlineStr"/>
      <c r="R201" s="21" t="inlineStr"/>
      <c r="S201" s="21" t="inlineStr"/>
      <c r="T201" s="21" t="inlineStr">
        <is>
          <t>RFB partner (QSA); no Apollo match</t>
        </is>
      </c>
      <c r="U201" s="22" t="n">
        <v>341398.88</v>
      </c>
      <c r="V201" s="35" t="inlineStr">
        <is>
          <t>A</t>
        </is>
      </c>
      <c r="W201" s="24">
        <f>IFERROR(VLOOKUP(V201,Assumptions!$A$7:$F$11,2,FALSE),0)</f>
        <v/>
      </c>
      <c r="X201" s="25">
        <f>IF(V201="A",MAX(1,IFERROR(VLOOKUP(V201,Assumptions!$A$7:$F$11,3,FALSE),3)+IFERROR(VLOOKUP(V201,Assumptions!$A$7:$F$11,4,FALSE),8)/2-MAX(0,IF(AO201="",0,YEAR(TODAY())-AO201)-IFERROR(VLOOKUP(V201,Assumptions!$A$7:$F$11,5,FALSE),1.5))),IFERROR(VLOOKUP(V201,Assumptions!$A$7:$F$11,5,FALSE),2.5)+IFERROR(VLOOKUP(V201,Assumptions!$A$7:$F$11,3,FALSE),3)+IFERROR(VLOOKUP(V201,Assumptions!$A$7:$F$11,4,FALSE),8)/2)</f>
        <v/>
      </c>
      <c r="Y201" s="22">
        <f>U201*W201/(1+Assumptions!$B$3)^X201</f>
        <v/>
      </c>
      <c r="Z201" s="26">
        <f>IF(U201=0,"",ROUND(Y201/U201*100,1))</f>
        <v/>
      </c>
      <c r="AA201" s="27">
        <f>Y201*Assumptions!$B$4</f>
        <v/>
      </c>
      <c r="AB201" s="26">
        <f>IF(U201=0,"",ROUND(AA201/U201*100,1))</f>
        <v/>
      </c>
      <c r="AC201" s="27">
        <f>Y201-AA201</f>
        <v/>
      </c>
      <c r="AD201" s="26">
        <f>IF(U201=0,"",ROUND((Y201-AA201)/U201*100,1))</f>
        <v/>
      </c>
      <c r="AE201" s="33" t="inlineStr">
        <is>
          <t>NO TOTALS — list prints none; check page</t>
        </is>
      </c>
      <c r="AF201" s="29" t="inlineStr">
        <is>
          <t>https://stenius.com.br/wp-content/uploads/2026/06/EDITAL-GRUPO-3E.pdf</t>
        </is>
      </c>
      <c r="AG201" s="28" t="inlineStr">
        <is>
          <t>p18 r48</t>
        </is>
      </c>
      <c r="AH201" s="28" t="inlineStr">
        <is>
          <t>p18: R$ 341.398,88</t>
        </is>
      </c>
      <c r="AI201" s="28" t="inlineStr">
        <is>
          <t>Debtor list (art. 51)</t>
        </is>
      </c>
      <c r="AJ201" s="28" t="inlineStr">
        <is>
          <t>2026-06-22</t>
        </is>
      </c>
      <c r="AK201" s="28" t="inlineStr">
        <is>
          <t>PLAN DOC FOUND</t>
        </is>
      </c>
      <c r="AL201" s="30" t="inlineStr">
        <is>
          <t>5341375-33.2026.8.09.0049</t>
        </is>
      </c>
      <c r="AM201" s="30" t="inlineStr">
        <is>
          <t>TJGO</t>
        </is>
      </c>
      <c r="AN201" s="30" t="inlineStr">
        <is>
          <t>ACTIVE</t>
        </is>
      </c>
      <c r="AO201" s="30" t="n">
        <v>2026</v>
      </c>
      <c r="AP201" s="30" t="inlineStr">
        <is>
          <t>plan/homologation document found</t>
        </is>
      </c>
      <c r="AQ201" s="30" t="inlineStr"/>
      <c r="AR201" s="30" t="inlineStr">
        <is>
          <t>printed on the list (read twice)</t>
        </is>
      </c>
      <c r="AS201" s="30" t="inlineStr">
        <is>
          <t>ITAUCU</t>
        </is>
      </c>
      <c r="AT201" s="30" t="inlineStr">
        <is>
          <t>GO</t>
        </is>
      </c>
      <c r="AU201" s="30" t="inlineStr">
        <is>
          <t>Frigorífico - abate de bovinos</t>
        </is>
      </c>
      <c r="AV201" s="30" t="inlineStr">
        <is>
          <t>EMPRESA DE PEQUENO PORTE</t>
        </is>
      </c>
      <c r="AW201" s="31" t="n">
        <v>2000000</v>
      </c>
      <c r="AX201" s="30" t="inlineStr">
        <is>
          <t>SMALL</t>
        </is>
      </c>
      <c r="AY201" s="30" t="inlineStr">
        <is>
          <t>32902452</t>
        </is>
      </c>
      <c r="AZ201" s="30" t="n">
        <v>1</v>
      </c>
      <c r="BA201" s="30" t="inlineStr">
        <is>
          <t>ROWS:p18r48 UNRECONCILED_SOURCE</t>
        </is>
      </c>
    </row>
    <row r="202">
      <c r="A202" s="16" t="inlineStr">
        <is>
          <t>WALDMAN COMERCIO IMPORTACAO E EXPORTACAO LTDA</t>
        </is>
      </c>
      <c r="B202" s="17" t="n">
        <v>628894.45</v>
      </c>
      <c r="C202" s="18" t="inlineStr">
        <is>
          <t>GRUPO RIVER MUSIC</t>
        </is>
      </c>
      <c r="D202" s="19" t="inlineStr">
        <is>
          <t>NEW</t>
        </is>
      </c>
      <c r="E202" s="20" t="inlineStr"/>
      <c r="F202" s="19" t="inlineStr"/>
      <c r="G202" s="20" t="inlineStr"/>
      <c r="H202" s="19" t="inlineStr"/>
      <c r="I202" s="21" t="inlineStr">
        <is>
          <t>EVERTON WALDMAN</t>
        </is>
      </c>
      <c r="J202" s="21" t="inlineStr">
        <is>
          <t>Sócio-Administrador (RFB partner)</t>
        </is>
      </c>
      <c r="K202" s="21" t="inlineStr">
        <is>
          <t>(11) 2199-2999</t>
        </is>
      </c>
      <c r="L202" s="21" t="inlineStr"/>
      <c r="M202" s="21" t="inlineStr"/>
      <c r="N202" s="21" t="inlineStr"/>
      <c r="O202" s="21" t="inlineStr"/>
      <c r="P202" s="21" t="inlineStr">
        <is>
          <t>JULIANO WALDMAN</t>
        </is>
      </c>
      <c r="Q202" s="21" t="inlineStr">
        <is>
          <t>Sócio-Administrador (RFB partner)</t>
        </is>
      </c>
      <c r="R202" s="21" t="inlineStr"/>
      <c r="S202" s="21" t="inlineStr"/>
      <c r="T202" s="21" t="inlineStr">
        <is>
          <t>RFB partner (QSA); no Apollo match</t>
        </is>
      </c>
      <c r="U202" s="22" t="n">
        <v>628894.45</v>
      </c>
      <c r="V202" s="23" t="inlineStr">
        <is>
          <t>B</t>
        </is>
      </c>
      <c r="W202" s="24">
        <f>IFERROR(VLOOKUP(V202,Assumptions!$A$7:$F$11,2,FALSE),0)</f>
        <v/>
      </c>
      <c r="X202" s="25">
        <f>IF(V202="A",MAX(1,IFERROR(VLOOKUP(V202,Assumptions!$A$7:$F$11,3,FALSE),3)+IFERROR(VLOOKUP(V202,Assumptions!$A$7:$F$11,4,FALSE),8)/2-MAX(0,IF(AO202="",0,YEAR(TODAY())-AO202)-IFERROR(VLOOKUP(V202,Assumptions!$A$7:$F$11,5,FALSE),1.5))),IFERROR(VLOOKUP(V202,Assumptions!$A$7:$F$11,5,FALSE),2.5)+IFERROR(VLOOKUP(V202,Assumptions!$A$7:$F$11,3,FALSE),3)+IFERROR(VLOOKUP(V202,Assumptions!$A$7:$F$11,4,FALSE),8)/2)</f>
        <v/>
      </c>
      <c r="Y202" s="22">
        <f>U202*W202/(1+Assumptions!$B$3)^X202</f>
        <v/>
      </c>
      <c r="Z202" s="26">
        <f>IF(U202=0,"",ROUND(Y202/U202*100,1))</f>
        <v/>
      </c>
      <c r="AA202" s="27">
        <f>Y202*Assumptions!$B$4</f>
        <v/>
      </c>
      <c r="AB202" s="26">
        <f>IF(U202=0,"",ROUND(AA202/U202*100,1))</f>
        <v/>
      </c>
      <c r="AC202" s="27">
        <f>Y202-AA202</f>
        <v/>
      </c>
      <c r="AD202" s="26">
        <f>IF(U202=0,"",ROUND((Y202-AA202)/U202*100,1))</f>
        <v/>
      </c>
      <c r="AE202" s="33" t="inlineStr">
        <is>
          <t>NO TOTALS — list prints none; check page</t>
        </is>
      </c>
      <c r="AF202" s="29" t="inlineStr">
        <is>
          <t>https://ativosajce.com.br/admin/download.php?file=files/processo_documento/processo_documento18543908052025_1_.pdf&amp;nome=Relação de Credores - art. 52, §1º da Lei 11.101/05 - 27/01/2025</t>
        </is>
      </c>
      <c r="AG202" s="28" t="inlineStr">
        <is>
          <t>p3 r12; p3 r28</t>
        </is>
      </c>
      <c r="AH202" s="28" t="inlineStr">
        <is>
          <t>p3: R$ 75.600,00; p3: R$ 553.294,45</t>
        </is>
      </c>
      <c r="AI202" s="28" t="inlineStr">
        <is>
          <t>Unclassified list</t>
        </is>
      </c>
      <c r="AJ202" s="28" t="inlineStr"/>
      <c r="AK202" s="28" t="inlineStr">
        <is>
          <t>NONE FOUND</t>
        </is>
      </c>
      <c r="AL202" s="30" t="inlineStr">
        <is>
          <t>1001174-80.2024.8.26.0359</t>
        </is>
      </c>
      <c r="AM202" s="30" t="inlineStr">
        <is>
          <t>TJSP</t>
        </is>
      </c>
      <c r="AN202" s="30" t="inlineStr">
        <is>
          <t>ACTIVE</t>
        </is>
      </c>
      <c r="AO202" s="30" t="n">
        <v>2024</v>
      </c>
      <c r="AP202" s="30" t="inlineStr">
        <is>
          <t>live case, no plan document yet</t>
        </is>
      </c>
      <c r="AQ202" s="30" t="inlineStr">
        <is>
          <t>14.469.612/0001-32</t>
        </is>
      </c>
      <c r="AR202" s="30" t="inlineStr">
        <is>
          <t>printed on the list (read twice)</t>
        </is>
      </c>
      <c r="AS202" s="30" t="inlineStr">
        <is>
          <t>BARUERI</t>
        </is>
      </c>
      <c r="AT202" s="30" t="inlineStr">
        <is>
          <t>SP</t>
        </is>
      </c>
      <c r="AU202" s="30" t="inlineStr">
        <is>
          <t>Comércio atacadista de outros equipamentos e artigos de uso pessoal e doméstico não especificados anteriormente</t>
        </is>
      </c>
      <c r="AV202" s="30" t="inlineStr">
        <is>
          <t>DEMAIS</t>
        </is>
      </c>
      <c r="AW202" s="31" t="n">
        <v>12450000</v>
      </c>
      <c r="AX202" s="30" t="inlineStr">
        <is>
          <t>MID-MARKET</t>
        </is>
      </c>
      <c r="AY202" s="30" t="inlineStr">
        <is>
          <t>71800296</t>
        </is>
      </c>
      <c r="AZ202" s="30" t="n">
        <v>2</v>
      </c>
      <c r="BA202" s="30" t="inlineStr">
        <is>
          <t>ROWS:p3r12,p3r28 UNRECONCILED_SOURCE VALUE_COL:Valor_Do_Créidto</t>
        </is>
      </c>
    </row>
    <row r="203">
      <c r="A203" s="16" t="inlineStr">
        <is>
          <t>COMPANHIA ENERGETICA DE PERNAMBUCO</t>
        </is>
      </c>
      <c r="B203" s="17" t="n">
        <v>628007.87</v>
      </c>
      <c r="C203" s="18" t="inlineStr">
        <is>
          <t>GRUPO DIVINA</t>
        </is>
      </c>
      <c r="D203" s="19" t="inlineStr">
        <is>
          <t>NEW</t>
        </is>
      </c>
      <c r="E203" s="20" t="inlineStr"/>
      <c r="F203" s="19" t="inlineStr"/>
      <c r="G203" s="20" t="inlineStr"/>
      <c r="H203" s="19" t="inlineStr"/>
      <c r="I203" s="21" t="inlineStr">
        <is>
          <t>SAULO CABRAL E SILVA</t>
        </is>
      </c>
      <c r="J203" s="21" t="inlineStr">
        <is>
          <t>Presidente (RFB partner)</t>
        </is>
      </c>
      <c r="K203" s="21" t="inlineStr">
        <is>
          <t>(81) 3217-5226</t>
        </is>
      </c>
      <c r="L203" s="21" t="inlineStr"/>
      <c r="M203" s="21" t="inlineStr"/>
      <c r="N203" s="21" t="inlineStr"/>
      <c r="O203" s="21" t="inlineStr"/>
      <c r="P203" s="21" t="inlineStr">
        <is>
          <t>FABIANO DA ROSA CARVALHO</t>
        </is>
      </c>
      <c r="Q203" s="21" t="inlineStr">
        <is>
          <t>Diretor (RFB partner)</t>
        </is>
      </c>
      <c r="R203" s="21" t="inlineStr"/>
      <c r="S203" s="21" t="inlineStr"/>
      <c r="T203" s="21" t="inlineStr">
        <is>
          <t>RFB partner (QSA); no Apollo match</t>
        </is>
      </c>
      <c r="U203" s="22" t="n">
        <v>628007.87</v>
      </c>
      <c r="V203" s="23" t="inlineStr">
        <is>
          <t>B</t>
        </is>
      </c>
      <c r="W203" s="24">
        <f>IFERROR(VLOOKUP(V203,Assumptions!$A$7:$F$11,2,FALSE),0)</f>
        <v/>
      </c>
      <c r="X203" s="25">
        <f>IF(V203="A",MAX(1,IFERROR(VLOOKUP(V203,Assumptions!$A$7:$F$11,3,FALSE),3)+IFERROR(VLOOKUP(V203,Assumptions!$A$7:$F$11,4,FALSE),8)/2-MAX(0,IF(AO203="",0,YEAR(TODAY())-AO203)-IFERROR(VLOOKUP(V203,Assumptions!$A$7:$F$11,5,FALSE),1.5))),IFERROR(VLOOKUP(V203,Assumptions!$A$7:$F$11,5,FALSE),2.5)+IFERROR(VLOOKUP(V203,Assumptions!$A$7:$F$11,3,FALSE),3)+IFERROR(VLOOKUP(V203,Assumptions!$A$7:$F$11,4,FALSE),8)/2)</f>
        <v/>
      </c>
      <c r="Y203" s="22">
        <f>U203*W203/(1+Assumptions!$B$3)^X203</f>
        <v/>
      </c>
      <c r="Z203" s="26">
        <f>IF(U203=0,"",ROUND(Y203/U203*100,1))</f>
        <v/>
      </c>
      <c r="AA203" s="27">
        <f>Y203*Assumptions!$B$4</f>
        <v/>
      </c>
      <c r="AB203" s="26">
        <f>IF(U203=0,"",ROUND(AA203/U203*100,1))</f>
        <v/>
      </c>
      <c r="AC203" s="27">
        <f>Y203-AA203</f>
        <v/>
      </c>
      <c r="AD203" s="26">
        <f>IF(U203=0,"",ROUND((Y203-AA203)/U203*100,1))</f>
        <v/>
      </c>
      <c r="AE203" s="34" t="inlineStr">
        <is>
          <t>PARTIAL — class III reconciled, other classes not</t>
        </is>
      </c>
      <c r="AF203" s="29" t="inlineStr">
        <is>
          <t>https://lrflideres.com.br/wp-content/plugins/download-attachments/includes/download.php?id=6252</t>
        </is>
      </c>
      <c r="AG203" s="28" t="inlineStr">
        <is>
          <t>p2 r63</t>
        </is>
      </c>
      <c r="AH203" s="28" t="inlineStr">
        <is>
          <t>p2: R$ 628.007,87</t>
        </is>
      </c>
      <c r="AI203" s="28" t="inlineStr">
        <is>
          <t>AJ list (art. 7 §2)</t>
        </is>
      </c>
      <c r="AJ203" s="28" t="inlineStr">
        <is>
          <t>2024-11-27</t>
        </is>
      </c>
      <c r="AK203" s="28" t="inlineStr">
        <is>
          <t>NONE FOUND</t>
        </is>
      </c>
      <c r="AL203" s="30" t="inlineStr">
        <is>
          <t>0000721-61.2024.8.17.2620</t>
        </is>
      </c>
      <c r="AM203" s="30" t="inlineStr">
        <is>
          <t>TJPE</t>
        </is>
      </c>
      <c r="AN203" s="30" t="inlineStr">
        <is>
          <t>ACTIVE</t>
        </is>
      </c>
      <c r="AO203" s="30" t="n">
        <v>2024</v>
      </c>
      <c r="AP203" s="30" t="inlineStr">
        <is>
          <t>live case, no plan document yet</t>
        </is>
      </c>
      <c r="AQ203" s="30" t="inlineStr">
        <is>
          <t>08.785.522/0001-58</t>
        </is>
      </c>
      <c r="AR203" s="30" t="inlineStr">
        <is>
          <t>printed on the list (read twice)</t>
        </is>
      </c>
      <c r="AS203" s="30" t="inlineStr">
        <is>
          <t>RECIFE</t>
        </is>
      </c>
      <c r="AT203" s="30" t="inlineStr">
        <is>
          <t>PE</t>
        </is>
      </c>
      <c r="AU203" s="30" t="inlineStr">
        <is>
          <t>Distribuição de energia elétrica</t>
        </is>
      </c>
      <c r="AV203" s="30" t="inlineStr">
        <is>
          <t>DEMAIS</t>
        </is>
      </c>
      <c r="AW203" s="31" t="n">
        <v>1663177700</v>
      </c>
      <c r="AX203" s="30" t="inlineStr">
        <is>
          <t>LARGE CORP</t>
        </is>
      </c>
      <c r="AY203" s="30" t="inlineStr">
        <is>
          <t>10835932</t>
        </is>
      </c>
      <c r="AZ203" s="30" t="n">
        <v>1</v>
      </c>
      <c r="BA203" s="30" t="inlineStr">
        <is>
          <t>PARTIAL_DOC_CLASS_III_RECONCILED ROWS:p2r63</t>
        </is>
      </c>
    </row>
    <row r="204">
      <c r="A204" s="16" t="inlineStr">
        <is>
          <t>CONFECCOES ALTA MODA LTDA</t>
        </is>
      </c>
      <c r="B204" s="17" t="n">
        <v>619038.5600000001</v>
      </c>
      <c r="C204" s="18" t="inlineStr">
        <is>
          <t>GRUPO CATTAN</t>
        </is>
      </c>
      <c r="D204" s="19" t="inlineStr">
        <is>
          <t>NEW</t>
        </is>
      </c>
      <c r="E204" s="20" t="inlineStr"/>
      <c r="F204" s="19" t="inlineStr"/>
      <c r="G204" s="20" t="inlineStr"/>
      <c r="H204" s="19" t="inlineStr"/>
      <c r="I204" s="21" t="inlineStr">
        <is>
          <t>Viviane Daufembach</t>
        </is>
      </c>
      <c r="J204" s="21" t="inlineStr">
        <is>
          <t>Key Account Manager</t>
        </is>
      </c>
      <c r="K204" s="21" t="inlineStr">
        <is>
          <t>(11) 2698-0111</t>
        </is>
      </c>
      <c r="L204" s="21" t="inlineStr"/>
      <c r="M204" s="21" t="inlineStr"/>
      <c r="N204" s="21" t="inlineStr"/>
      <c r="O204" s="21" t="inlineStr">
        <is>
          <t>rh@biotipo.com.br</t>
        </is>
      </c>
      <c r="P204" s="21" t="inlineStr">
        <is>
          <t>Paula Garcia</t>
        </is>
      </c>
      <c r="Q204" s="21" t="inlineStr">
        <is>
          <t>HR Supervisor</t>
        </is>
      </c>
      <c r="R204" s="21" t="inlineStr"/>
      <c r="S204" s="21" t="inlineStr">
        <is>
          <t>rh@biotipo.com.br</t>
        </is>
      </c>
      <c r="T204" s="21" t="inlineStr">
        <is>
          <t>no work email found in Apollo</t>
        </is>
      </c>
      <c r="U204" s="22" t="n">
        <v>619038.5600000001</v>
      </c>
      <c r="V204" s="23" t="inlineStr">
        <is>
          <t>B</t>
        </is>
      </c>
      <c r="W204" s="24">
        <f>IFERROR(VLOOKUP(V204,Assumptions!$A$7:$F$11,2,FALSE),0)</f>
        <v/>
      </c>
      <c r="X204" s="25">
        <f>IF(V204="A",MAX(1,IFERROR(VLOOKUP(V204,Assumptions!$A$7:$F$11,3,FALSE),3)+IFERROR(VLOOKUP(V204,Assumptions!$A$7:$F$11,4,FALSE),8)/2-MAX(0,IF(AO204="",0,YEAR(TODAY())-AO204)-IFERROR(VLOOKUP(V204,Assumptions!$A$7:$F$11,5,FALSE),1.5))),IFERROR(VLOOKUP(V204,Assumptions!$A$7:$F$11,5,FALSE),2.5)+IFERROR(VLOOKUP(V204,Assumptions!$A$7:$F$11,3,FALSE),3)+IFERROR(VLOOKUP(V204,Assumptions!$A$7:$F$11,4,FALSE),8)/2)</f>
        <v/>
      </c>
      <c r="Y204" s="22">
        <f>U204*W204/(1+Assumptions!$B$3)^X204</f>
        <v/>
      </c>
      <c r="Z204" s="26">
        <f>IF(U204=0,"",ROUND(Y204/U204*100,1))</f>
        <v/>
      </c>
      <c r="AA204" s="27">
        <f>Y204*Assumptions!$B$4</f>
        <v/>
      </c>
      <c r="AB204" s="26">
        <f>IF(U204=0,"",ROUND(AA204/U204*100,1))</f>
        <v/>
      </c>
      <c r="AC204" s="27">
        <f>Y204-AA204</f>
        <v/>
      </c>
      <c r="AD204" s="26">
        <f>IF(U204=0,"",ROUND((Y204-AA204)/U204*100,1))</f>
        <v/>
      </c>
      <c r="AE204" s="34" t="inlineStr">
        <is>
          <t>PARTIAL — class III reconciled, other classes not</t>
        </is>
      </c>
      <c r="AF204" s="29" t="inlineStr">
        <is>
          <t>https://lrflideres.com.br/wp-content/plugins/download-attachments/includes/download.php?id=4023</t>
        </is>
      </c>
      <c r="AG204" s="28" t="inlineStr">
        <is>
          <t>p7 r86; p9 r64</t>
        </is>
      </c>
      <c r="AH204" s="28" t="inlineStr">
        <is>
          <t>p7: R$ 522.841,76; p9: R$ 96.196,80</t>
        </is>
      </c>
      <c r="AI204" s="28" t="inlineStr">
        <is>
          <t>Debtor list (art. 51)</t>
        </is>
      </c>
      <c r="AJ204" s="28" t="inlineStr"/>
      <c r="AK204" s="28" t="inlineStr">
        <is>
          <t>NONE FOUND</t>
        </is>
      </c>
      <c r="AL204" s="30" t="inlineStr">
        <is>
          <t>0002484-82.2022.8.17.2001</t>
        </is>
      </c>
      <c r="AM204" s="30" t="inlineStr">
        <is>
          <t>TJPE</t>
        </is>
      </c>
      <c r="AN204" s="30" t="inlineStr">
        <is>
          <t>ACTIVE</t>
        </is>
      </c>
      <c r="AO204" s="30" t="n">
        <v>2022</v>
      </c>
      <c r="AP204" s="30" t="inlineStr">
        <is>
          <t>live case, no plan document yet</t>
        </is>
      </c>
      <c r="AQ204" s="30" t="inlineStr"/>
      <c r="AR204" s="30" t="inlineStr">
        <is>
          <t>printed on the list (read twice)</t>
        </is>
      </c>
      <c r="AS204" s="30" t="inlineStr">
        <is>
          <t>SAO PAULO</t>
        </is>
      </c>
      <c r="AT204" s="30" t="inlineStr">
        <is>
          <t>SP</t>
        </is>
      </c>
      <c r="AU204" s="30" t="inlineStr">
        <is>
          <t>Confecção de peças de vestuário, exceto roupas íntimas e as confeccionadas sob medida</t>
        </is>
      </c>
      <c r="AV204" s="30" t="inlineStr">
        <is>
          <t>DEMAIS</t>
        </is>
      </c>
      <c r="AW204" s="31" t="n">
        <v>61000000</v>
      </c>
      <c r="AX204" s="30" t="inlineStr">
        <is>
          <t>MID-MARKET</t>
        </is>
      </c>
      <c r="AY204" s="30" t="inlineStr">
        <is>
          <t>04273385</t>
        </is>
      </c>
      <c r="AZ204" s="30" t="n">
        <v>2</v>
      </c>
      <c r="BA204" s="30" t="inlineStr">
        <is>
          <t>PARTIAL_DOC_CLASS_III_RECONCILED ROWS:p7r86,p9r64</t>
        </is>
      </c>
    </row>
    <row r="205">
      <c r="A205" s="16" t="inlineStr">
        <is>
          <t>TOTALCLEAN - COMERCIO DE PRODUTOS DE HIGIENE E LIMPEZA LTDA</t>
        </is>
      </c>
      <c r="B205" s="17" t="n">
        <v>617079.91</v>
      </c>
      <c r="C205" s="18" t="inlineStr">
        <is>
          <t>ASSOCIAÇÃO DE CARIDADE SANTA CASA DO RIO GRANDE</t>
        </is>
      </c>
      <c r="D205" s="19" t="inlineStr">
        <is>
          <t>NEW</t>
        </is>
      </c>
      <c r="E205" s="20" t="inlineStr"/>
      <c r="F205" s="19" t="inlineStr"/>
      <c r="G205" s="20" t="inlineStr"/>
      <c r="H205" s="19" t="inlineStr"/>
      <c r="I205" s="21" t="inlineStr">
        <is>
          <t>JOSE NEI PARODES</t>
        </is>
      </c>
      <c r="J205" s="21" t="inlineStr">
        <is>
          <t>Sócio-Administrador (RFB partner)</t>
        </is>
      </c>
      <c r="K205" s="21" t="inlineStr">
        <is>
          <t>(53) 8402-0212</t>
        </is>
      </c>
      <c r="L205" s="21" t="inlineStr"/>
      <c r="M205" s="21" t="inlineStr"/>
      <c r="N205" s="21" t="inlineStr"/>
      <c r="O205" s="21" t="inlineStr"/>
      <c r="P205" s="21" t="inlineStr"/>
      <c r="Q205" s="21" t="inlineStr"/>
      <c r="R205" s="21" t="inlineStr"/>
      <c r="S205" s="21" t="inlineStr"/>
      <c r="T205" s="21" t="inlineStr">
        <is>
          <t>RFB partner (QSA); no Apollo match</t>
        </is>
      </c>
      <c r="U205" s="22" t="n">
        <v>617079.91</v>
      </c>
      <c r="V205" s="23" t="inlineStr">
        <is>
          <t>B</t>
        </is>
      </c>
      <c r="W205" s="24">
        <f>IFERROR(VLOOKUP(V205,Assumptions!$A$7:$F$11,2,FALSE),0)</f>
        <v/>
      </c>
      <c r="X205" s="25">
        <f>IF(V205="A",MAX(1,IFERROR(VLOOKUP(V205,Assumptions!$A$7:$F$11,3,FALSE),3)+IFERROR(VLOOKUP(V205,Assumptions!$A$7:$F$11,4,FALSE),8)/2-MAX(0,IF(AO205="",0,YEAR(TODAY())-AO205)-IFERROR(VLOOKUP(V205,Assumptions!$A$7:$F$11,5,FALSE),1.5))),IFERROR(VLOOKUP(V205,Assumptions!$A$7:$F$11,5,FALSE),2.5)+IFERROR(VLOOKUP(V205,Assumptions!$A$7:$F$11,3,FALSE),3)+IFERROR(VLOOKUP(V205,Assumptions!$A$7:$F$11,4,FALSE),8)/2)</f>
        <v/>
      </c>
      <c r="Y205" s="22">
        <f>U205*W205/(1+Assumptions!$B$3)^X205</f>
        <v/>
      </c>
      <c r="Z205" s="26">
        <f>IF(U205=0,"",ROUND(Y205/U205*100,1))</f>
        <v/>
      </c>
      <c r="AA205" s="27">
        <f>Y205*Assumptions!$B$4</f>
        <v/>
      </c>
      <c r="AB205" s="26">
        <f>IF(U205=0,"",ROUND(AA205/U205*100,1))</f>
        <v/>
      </c>
      <c r="AC205" s="27">
        <f>Y205-AA205</f>
        <v/>
      </c>
      <c r="AD205" s="26">
        <f>IF(U205=0,"",ROUND((Y205-AA205)/U205*100,1))</f>
        <v/>
      </c>
      <c r="AE205" s="33" t="inlineStr">
        <is>
          <t>NO TOTALS — list prints none; check page</t>
        </is>
      </c>
      <c r="AF205" s="29" t="inlineStr">
        <is>
          <t>https://scalzilliaj.com.br/sgc/download.php?file=files/processo_documento/processo_documento09120721032023_1_.pdf&amp;nome=15 - Edital do art. 7º, §2º e 53 da Lei 11.101/2005 (segunda lista de credores e recebimento do plano))</t>
        </is>
      </c>
      <c r="AG205" s="28" t="inlineStr">
        <is>
          <t>p30 r21</t>
        </is>
      </c>
      <c r="AH205" s="28" t="inlineStr">
        <is>
          <t>p30: R$ 617.079,91</t>
        </is>
      </c>
      <c r="AI205" s="28" t="inlineStr">
        <is>
          <t>AJ list (art. 7 §2)</t>
        </is>
      </c>
      <c r="AJ205" s="28" t="inlineStr">
        <is>
          <t>2023-03-21</t>
        </is>
      </c>
      <c r="AK205" s="28" t="inlineStr">
        <is>
          <t>NONE FOUND</t>
        </is>
      </c>
      <c r="AL205" s="30" t="inlineStr">
        <is>
          <t>5012306-16.2022.8.21.0023</t>
        </is>
      </c>
      <c r="AM205" s="30" t="inlineStr">
        <is>
          <t>TJRS</t>
        </is>
      </c>
      <c r="AN205" s="30" t="inlineStr">
        <is>
          <t>ACTIVE</t>
        </is>
      </c>
      <c r="AO205" s="30" t="n">
        <v>2022</v>
      </c>
      <c r="AP205" s="30" t="inlineStr">
        <is>
          <t>live case, no plan document yet</t>
        </is>
      </c>
      <c r="AQ205" s="30" t="inlineStr"/>
      <c r="AR205" s="30" t="inlineStr">
        <is>
          <t>printed on the list (read twice)</t>
        </is>
      </c>
      <c r="AS205" s="30" t="inlineStr">
        <is>
          <t>PELOTAS</t>
        </is>
      </c>
      <c r="AT205" s="30" t="inlineStr">
        <is>
          <t>RS</t>
        </is>
      </c>
      <c r="AU205" s="30" t="inlineStr">
        <is>
          <t>Comércio atacadista de produtos de higiene, limpeza e conservação domiciliar</t>
        </is>
      </c>
      <c r="AV205" s="30" t="inlineStr">
        <is>
          <t>MICRO EMPRESA</t>
        </is>
      </c>
      <c r="AW205" s="31" t="n">
        <v>20000</v>
      </c>
      <c r="AX205" s="30" t="inlineStr">
        <is>
          <t>SMALL</t>
        </is>
      </c>
      <c r="AY205" s="30" t="inlineStr">
        <is>
          <t>07911181</t>
        </is>
      </c>
      <c r="AZ205" s="30" t="n">
        <v>1</v>
      </c>
      <c r="BA205" s="30" t="inlineStr">
        <is>
          <t>ROWS:p30r21 UNRECONCILED_SOURCE</t>
        </is>
      </c>
    </row>
    <row r="206">
      <c r="A206" s="16" t="inlineStr">
        <is>
          <t>RBG PRODUTOS THERAPEUTICOS S/A</t>
        </is>
      </c>
      <c r="B206" s="17" t="n">
        <v>616054.5</v>
      </c>
      <c r="C206" s="18" t="inlineStr">
        <is>
          <t>ASSOCIAÇÃO DE CARIDADE SANTA CASA DO RIO GRANDE</t>
        </is>
      </c>
      <c r="D206" s="19" t="inlineStr">
        <is>
          <t>NEW</t>
        </is>
      </c>
      <c r="E206" s="20" t="inlineStr"/>
      <c r="F206" s="19" t="inlineStr"/>
      <c r="G206" s="20" t="inlineStr"/>
      <c r="H206" s="19" t="inlineStr"/>
      <c r="I206" s="21" t="inlineStr">
        <is>
          <t>Tatiana Ghisleri</t>
        </is>
      </c>
      <c r="J206" s="21" t="inlineStr">
        <is>
          <t>Manager</t>
        </is>
      </c>
      <c r="K206" s="21" t="inlineStr">
        <is>
          <t>(51) 3382-3350</t>
        </is>
      </c>
      <c r="L206" s="21" t="inlineStr"/>
      <c r="M206" s="21" t="inlineStr"/>
      <c r="N206" s="21" t="inlineStr">
        <is>
          <t>tatiana@rbgmedical.com.br</t>
        </is>
      </c>
      <c r="O206" s="21" t="inlineStr">
        <is>
          <t>maura@rbgmedical.com.br</t>
        </is>
      </c>
      <c r="P206" s="21" t="inlineStr">
        <is>
          <t>Maura Louzada</t>
        </is>
      </c>
      <c r="Q206" s="21" t="inlineStr">
        <is>
          <t>Advogada Compliance e DPO</t>
        </is>
      </c>
      <c r="R206" s="21" t="inlineStr"/>
      <c r="S206" s="21" t="inlineStr">
        <is>
          <t>maura@rbgmedical.com.br</t>
        </is>
      </c>
      <c r="T206" s="21" t="inlineStr">
        <is>
          <t>email verified by Apollo</t>
        </is>
      </c>
      <c r="U206" s="22" t="n">
        <v>616054.5</v>
      </c>
      <c r="V206" s="23" t="inlineStr">
        <is>
          <t>B</t>
        </is>
      </c>
      <c r="W206" s="24">
        <f>IFERROR(VLOOKUP(V206,Assumptions!$A$7:$F$11,2,FALSE),0)</f>
        <v/>
      </c>
      <c r="X206" s="25">
        <f>IF(V206="A",MAX(1,IFERROR(VLOOKUP(V206,Assumptions!$A$7:$F$11,3,FALSE),3)+IFERROR(VLOOKUP(V206,Assumptions!$A$7:$F$11,4,FALSE),8)/2-MAX(0,IF(AO206="",0,YEAR(TODAY())-AO206)-IFERROR(VLOOKUP(V206,Assumptions!$A$7:$F$11,5,FALSE),1.5))),IFERROR(VLOOKUP(V206,Assumptions!$A$7:$F$11,5,FALSE),2.5)+IFERROR(VLOOKUP(V206,Assumptions!$A$7:$F$11,3,FALSE),3)+IFERROR(VLOOKUP(V206,Assumptions!$A$7:$F$11,4,FALSE),8)/2)</f>
        <v/>
      </c>
      <c r="Y206" s="22">
        <f>U206*W206/(1+Assumptions!$B$3)^X206</f>
        <v/>
      </c>
      <c r="Z206" s="26">
        <f>IF(U206=0,"",ROUND(Y206/U206*100,1))</f>
        <v/>
      </c>
      <c r="AA206" s="27">
        <f>Y206*Assumptions!$B$4</f>
        <v/>
      </c>
      <c r="AB206" s="26">
        <f>IF(U206=0,"",ROUND(AA206/U206*100,1))</f>
        <v/>
      </c>
      <c r="AC206" s="27">
        <f>Y206-AA206</f>
        <v/>
      </c>
      <c r="AD206" s="26">
        <f>IF(U206=0,"",ROUND((Y206-AA206)/U206*100,1))</f>
        <v/>
      </c>
      <c r="AE206" s="33" t="inlineStr">
        <is>
          <t>NO TOTALS — list prints none; check page</t>
        </is>
      </c>
      <c r="AF206" s="29" t="inlineStr">
        <is>
          <t>https://scalzilliaj.com.br/sgc/download.php?file=files/processo_documento/processo_documento09120721032023_1_.pdf&amp;nome=15 - Edital do art. 7º, §2º e 53 da Lei 11.101/2005 (segunda lista de credores e recebimento do plano))</t>
        </is>
      </c>
      <c r="AG206" s="28" t="inlineStr">
        <is>
          <t>p29 r30</t>
        </is>
      </c>
      <c r="AH206" s="28" t="inlineStr">
        <is>
          <t>p29: R$ 616.054,50</t>
        </is>
      </c>
      <c r="AI206" s="28" t="inlineStr">
        <is>
          <t>AJ list (art. 7 §2)</t>
        </is>
      </c>
      <c r="AJ206" s="28" t="inlineStr">
        <is>
          <t>2023-03-21</t>
        </is>
      </c>
      <c r="AK206" s="28" t="inlineStr">
        <is>
          <t>NONE FOUND</t>
        </is>
      </c>
      <c r="AL206" s="30" t="inlineStr">
        <is>
          <t>5012306-16.2022.8.21.0023</t>
        </is>
      </c>
      <c r="AM206" s="30" t="inlineStr">
        <is>
          <t>TJRS</t>
        </is>
      </c>
      <c r="AN206" s="30" t="inlineStr">
        <is>
          <t>ACTIVE</t>
        </is>
      </c>
      <c r="AO206" s="30" t="n">
        <v>2022</v>
      </c>
      <c r="AP206" s="30" t="inlineStr">
        <is>
          <t>live case, no plan document yet</t>
        </is>
      </c>
      <c r="AQ206" s="30" t="inlineStr"/>
      <c r="AR206" s="30" t="inlineStr">
        <is>
          <t>printed on the list (read twice)</t>
        </is>
      </c>
      <c r="AS206" s="30" t="inlineStr">
        <is>
          <t>PORTO ALEGRE</t>
        </is>
      </c>
      <c r="AT206" s="30" t="inlineStr">
        <is>
          <t>RS</t>
        </is>
      </c>
      <c r="AU206" s="30" t="inlineStr">
        <is>
          <t>Comércio atacadista de instrumentos e materiais para uso médico, cirúrgico, hospitalar e de laboratórios</t>
        </is>
      </c>
      <c r="AV206" s="30" t="inlineStr">
        <is>
          <t>DEMAIS</t>
        </is>
      </c>
      <c r="AW206" s="31" t="n">
        <v>7000000</v>
      </c>
      <c r="AX206" s="30" t="inlineStr">
        <is>
          <t>MID-MARKET</t>
        </is>
      </c>
      <c r="AY206" s="30" t="inlineStr">
        <is>
          <t>03882840</t>
        </is>
      </c>
      <c r="AZ206" s="30" t="n">
        <v>1</v>
      </c>
      <c r="BA206" s="30" t="inlineStr">
        <is>
          <t>ROWS:p29r30 UNRECONCILED_SOURCE</t>
        </is>
      </c>
    </row>
    <row r="207">
      <c r="A207" s="16" t="inlineStr">
        <is>
          <t>MARTINS COMERCIO E SERVICOS DE DISTRIBUICAO S/A</t>
        </is>
      </c>
      <c r="B207" s="17" t="n">
        <v>329842.98</v>
      </c>
      <c r="C207" s="18" t="inlineStr">
        <is>
          <t>GRUPO 3E</t>
        </is>
      </c>
      <c r="D207" s="19" t="inlineStr">
        <is>
          <t>NEW</t>
        </is>
      </c>
      <c r="E207" s="20" t="inlineStr"/>
      <c r="F207" s="19" t="inlineStr"/>
      <c r="G207" s="20" t="inlineStr"/>
      <c r="H207" s="19" t="inlineStr"/>
      <c r="I207" s="21" t="inlineStr">
        <is>
          <t>LEANDRO HENRIQUE DE PADUA</t>
        </is>
      </c>
      <c r="J207" s="21" t="inlineStr">
        <is>
          <t>Diretor (RFB partner)</t>
        </is>
      </c>
      <c r="K207" s="21" t="inlineStr">
        <is>
          <t>(34) 3218-1500</t>
        </is>
      </c>
      <c r="L207" s="21" t="inlineStr"/>
      <c r="M207" s="21" t="inlineStr"/>
      <c r="N207" s="21" t="inlineStr"/>
      <c r="O207" s="21" t="inlineStr"/>
      <c r="P207" s="21" t="inlineStr">
        <is>
          <t>MARCO ANTONIO VILELA TANNUS FILHO</t>
        </is>
      </c>
      <c r="Q207" s="21" t="inlineStr">
        <is>
          <t>Diretor (RFB partner)</t>
        </is>
      </c>
      <c r="R207" s="21" t="inlineStr"/>
      <c r="S207" s="21" t="inlineStr"/>
      <c r="T207" s="21" t="inlineStr">
        <is>
          <t>RFB partner (QSA); no Apollo match</t>
        </is>
      </c>
      <c r="U207" s="22" t="n">
        <v>329842.98</v>
      </c>
      <c r="V207" s="35" t="inlineStr">
        <is>
          <t>A</t>
        </is>
      </c>
      <c r="W207" s="24">
        <f>IFERROR(VLOOKUP(V207,Assumptions!$A$7:$F$11,2,FALSE),0)</f>
        <v/>
      </c>
      <c r="X207" s="25">
        <f>IF(V207="A",MAX(1,IFERROR(VLOOKUP(V207,Assumptions!$A$7:$F$11,3,FALSE),3)+IFERROR(VLOOKUP(V207,Assumptions!$A$7:$F$11,4,FALSE),8)/2-MAX(0,IF(AO207="",0,YEAR(TODAY())-AO207)-IFERROR(VLOOKUP(V207,Assumptions!$A$7:$F$11,5,FALSE),1.5))),IFERROR(VLOOKUP(V207,Assumptions!$A$7:$F$11,5,FALSE),2.5)+IFERROR(VLOOKUP(V207,Assumptions!$A$7:$F$11,3,FALSE),3)+IFERROR(VLOOKUP(V207,Assumptions!$A$7:$F$11,4,FALSE),8)/2)</f>
        <v/>
      </c>
      <c r="Y207" s="22">
        <f>U207*W207/(1+Assumptions!$B$3)^X207</f>
        <v/>
      </c>
      <c r="Z207" s="26">
        <f>IF(U207=0,"",ROUND(Y207/U207*100,1))</f>
        <v/>
      </c>
      <c r="AA207" s="27">
        <f>Y207*Assumptions!$B$4</f>
        <v/>
      </c>
      <c r="AB207" s="26">
        <f>IF(U207=0,"",ROUND(AA207/U207*100,1))</f>
        <v/>
      </c>
      <c r="AC207" s="27">
        <f>Y207-AA207</f>
        <v/>
      </c>
      <c r="AD207" s="26">
        <f>IF(U207=0,"",ROUND((Y207-AA207)/U207*100,1))</f>
        <v/>
      </c>
      <c r="AE207" s="33" t="inlineStr">
        <is>
          <t>NO TOTALS — list prints none; check page</t>
        </is>
      </c>
      <c r="AF207" s="29" t="inlineStr">
        <is>
          <t>https://stenius.com.br/wp-content/uploads/2026/06/EDITAL-GRUPO-3E.pdf</t>
        </is>
      </c>
      <c r="AG207" s="28" t="inlineStr">
        <is>
          <t>p15 r55; p15 r56</t>
        </is>
      </c>
      <c r="AH207" s="28" t="inlineStr">
        <is>
          <t>p15: R$ 198.490,01; p15: R$ 131.352,97</t>
        </is>
      </c>
      <c r="AI207" s="28" t="inlineStr">
        <is>
          <t>Debtor list (art. 51)</t>
        </is>
      </c>
      <c r="AJ207" s="28" t="inlineStr">
        <is>
          <t>2026-06-22</t>
        </is>
      </c>
      <c r="AK207" s="28" t="inlineStr">
        <is>
          <t>PLAN DOC FOUND</t>
        </is>
      </c>
      <c r="AL207" s="30" t="inlineStr">
        <is>
          <t>5341375-33.2026.8.09.0049</t>
        </is>
      </c>
      <c r="AM207" s="30" t="inlineStr">
        <is>
          <t>TJGO</t>
        </is>
      </c>
      <c r="AN207" s="30" t="inlineStr">
        <is>
          <t>ACTIVE</t>
        </is>
      </c>
      <c r="AO207" s="30" t="n">
        <v>2026</v>
      </c>
      <c r="AP207" s="30" t="inlineStr">
        <is>
          <t>plan/homologation document found</t>
        </is>
      </c>
      <c r="AQ207" s="30" t="inlineStr"/>
      <c r="AR207" s="30" t="inlineStr">
        <is>
          <t>printed on the list (read twice)</t>
        </is>
      </c>
      <c r="AS207" s="30" t="inlineStr">
        <is>
          <t>UBERLANDIA</t>
        </is>
      </c>
      <c r="AT207" s="30" t="inlineStr">
        <is>
          <t>MG</t>
        </is>
      </c>
      <c r="AU207" s="30" t="inlineStr">
        <is>
          <t>Comércio atacadista de mercadorias em geral, sem predominância de alimentos ou de insumos agropecuários</t>
        </is>
      </c>
      <c r="AV207" s="30" t="inlineStr">
        <is>
          <t>DEMAIS</t>
        </is>
      </c>
      <c r="AW207" s="31" t="n">
        <v>842939300</v>
      </c>
      <c r="AX207" s="30" t="inlineStr">
        <is>
          <t>LARGE CORP</t>
        </is>
      </c>
      <c r="AY207" s="30" t="inlineStr">
        <is>
          <t>43214055</t>
        </is>
      </c>
      <c r="AZ207" s="30" t="n">
        <v>2</v>
      </c>
      <c r="BA207" s="30" t="inlineStr">
        <is>
          <t>ROWS:p15r55,p15r56 UNRECONCILED_SOURCE</t>
        </is>
      </c>
    </row>
    <row r="208">
      <c r="A208" s="16" t="inlineStr">
        <is>
          <t>CIAPETRO DISTRIBUIDORA DE COMBUSTIVEIS LTDA</t>
        </is>
      </c>
      <c r="B208" s="17" t="n">
        <v>614493.12</v>
      </c>
      <c r="C208" s="18" t="inlineStr">
        <is>
          <t>GRUPO D&amp;D</t>
        </is>
      </c>
      <c r="D208" s="19" t="inlineStr">
        <is>
          <t>NEW</t>
        </is>
      </c>
      <c r="E208" s="20" t="inlineStr"/>
      <c r="F208" s="19" t="inlineStr"/>
      <c r="G208" s="20" t="inlineStr"/>
      <c r="H208" s="19" t="inlineStr"/>
      <c r="I208" s="21" t="inlineStr">
        <is>
          <t>MARCELO RODRIGUES DE OLIVEIRA</t>
        </is>
      </c>
      <c r="J208" s="21" t="inlineStr">
        <is>
          <t>Administrador (RFB partner)</t>
        </is>
      </c>
      <c r="K208" s="21" t="inlineStr">
        <is>
          <t>(44) 3619-6400</t>
        </is>
      </c>
      <c r="L208" s="21" t="inlineStr"/>
      <c r="M208" s="21" t="inlineStr"/>
      <c r="N208" s="21" t="inlineStr"/>
      <c r="O208" s="21" t="inlineStr"/>
      <c r="P208" s="21" t="inlineStr"/>
      <c r="Q208" s="21" t="inlineStr"/>
      <c r="R208" s="21" t="inlineStr"/>
      <c r="S208" s="21" t="inlineStr"/>
      <c r="T208" s="21" t="inlineStr">
        <is>
          <t>RFB partner (QSA); no Apollo match</t>
        </is>
      </c>
      <c r="U208" s="22" t="n">
        <v>614493.12</v>
      </c>
      <c r="V208" s="23" t="inlineStr">
        <is>
          <t>B</t>
        </is>
      </c>
      <c r="W208" s="24">
        <f>IFERROR(VLOOKUP(V208,Assumptions!$A$7:$F$11,2,FALSE),0)</f>
        <v/>
      </c>
      <c r="X208" s="25">
        <f>IF(V208="A",MAX(1,IFERROR(VLOOKUP(V208,Assumptions!$A$7:$F$11,3,FALSE),3)+IFERROR(VLOOKUP(V208,Assumptions!$A$7:$F$11,4,FALSE),8)/2-MAX(0,IF(AO208="",0,YEAR(TODAY())-AO208)-IFERROR(VLOOKUP(V208,Assumptions!$A$7:$F$11,5,FALSE),1.5))),IFERROR(VLOOKUP(V208,Assumptions!$A$7:$F$11,5,FALSE),2.5)+IFERROR(VLOOKUP(V208,Assumptions!$A$7:$F$11,3,FALSE),3)+IFERROR(VLOOKUP(V208,Assumptions!$A$7:$F$11,4,FALSE),8)/2)</f>
        <v/>
      </c>
      <c r="Y208" s="22">
        <f>U208*W208/(1+Assumptions!$B$3)^X208</f>
        <v/>
      </c>
      <c r="Z208" s="26">
        <f>IF(U208=0,"",ROUND(Y208/U208*100,1))</f>
        <v/>
      </c>
      <c r="AA208" s="27">
        <f>Y208*Assumptions!$B$4</f>
        <v/>
      </c>
      <c r="AB208" s="26">
        <f>IF(U208=0,"",ROUND(AA208/U208*100,1))</f>
        <v/>
      </c>
      <c r="AC208" s="27">
        <f>Y208-AA208</f>
        <v/>
      </c>
      <c r="AD208" s="26">
        <f>IF(U208=0,"",ROUND((Y208-AA208)/U208*100,1))</f>
        <v/>
      </c>
      <c r="AE208" s="34" t="inlineStr">
        <is>
          <t>PARTIAL — class III reconciled, other classes not</t>
        </is>
      </c>
      <c r="AF208" s="29" t="inlineStr">
        <is>
          <t>https://marquesadmjudicial.com.br/sgc/download.php?file=files/processo_documento/processo_documento20014127022025_1_.pdf&amp;nome=Relação Nominal de Credores</t>
        </is>
      </c>
      <c r="AG208" s="28" t="inlineStr">
        <is>
          <t>p4 r12</t>
        </is>
      </c>
      <c r="AH208" s="28" t="inlineStr">
        <is>
          <t>p4: R$ 614.493,12</t>
        </is>
      </c>
      <c r="AI208" s="28" t="inlineStr">
        <is>
          <t>AJ list (art. 7 §2)</t>
        </is>
      </c>
      <c r="AJ208" s="28" t="inlineStr">
        <is>
          <t>2024-11-08</t>
        </is>
      </c>
      <c r="AK208" s="28" t="inlineStr">
        <is>
          <t>NONE FOUND</t>
        </is>
      </c>
      <c r="AL208" s="30" t="inlineStr">
        <is>
          <t>0001943-40.2024.8.16.0115</t>
        </is>
      </c>
      <c r="AM208" s="30" t="inlineStr">
        <is>
          <t>TJPR</t>
        </is>
      </c>
      <c r="AN208" s="30" t="inlineStr">
        <is>
          <t>ACTIVE</t>
        </is>
      </c>
      <c r="AO208" s="30" t="n">
        <v>2024</v>
      </c>
      <c r="AP208" s="30" t="inlineStr">
        <is>
          <t>live case, no plan document yet</t>
        </is>
      </c>
      <c r="AQ208" s="30" t="inlineStr"/>
      <c r="AR208" s="30" t="inlineStr">
        <is>
          <t>printed on the list (read twice)</t>
        </is>
      </c>
      <c r="AS208" s="30" t="inlineStr">
        <is>
          <t>CIANORTE</t>
        </is>
      </c>
      <c r="AT208" s="30" t="inlineStr">
        <is>
          <t>PR</t>
        </is>
      </c>
      <c r="AU208" s="30" t="inlineStr">
        <is>
          <t>Comércio atacadista de álcool carburante, biodiesel, gasolina e demais derivados de petróleo, exceto lubrificantes, não realizado por transportador re</t>
        </is>
      </c>
      <c r="AV208" s="30" t="inlineStr">
        <is>
          <t>DEMAIS</t>
        </is>
      </c>
      <c r="AW208" s="31" t="n">
        <v>41000000</v>
      </c>
      <c r="AX208" s="30" t="inlineStr">
        <is>
          <t>MID-MARKET</t>
        </is>
      </c>
      <c r="AY208" s="30" t="inlineStr">
        <is>
          <t>01466091</t>
        </is>
      </c>
      <c r="AZ208" s="30" t="n">
        <v>1</v>
      </c>
      <c r="BA208" s="30" t="inlineStr">
        <is>
          <t>PARTIAL_DOC_CLASS_III_RECONCILED ROWS:p4r12</t>
        </is>
      </c>
    </row>
    <row r="209">
      <c r="A209" s="16" t="inlineStr">
        <is>
          <t>ROSINA ALIMENTOS LTDA</t>
        </is>
      </c>
      <c r="B209" s="17" t="n">
        <v>614157.33</v>
      </c>
      <c r="C209" s="18" t="inlineStr">
        <is>
          <t>Cerealista Safrasul Ltda</t>
        </is>
      </c>
      <c r="D209" s="19" t="inlineStr">
        <is>
          <t>NEW</t>
        </is>
      </c>
      <c r="E209" s="20" t="inlineStr"/>
      <c r="F209" s="19" t="inlineStr"/>
      <c r="G209" s="20" t="inlineStr"/>
      <c r="H209" s="19" t="inlineStr"/>
      <c r="I209" s="21" t="inlineStr">
        <is>
          <t>Ale Scotton</t>
        </is>
      </c>
      <c r="J209" s="21" t="inlineStr">
        <is>
          <t>Financial</t>
        </is>
      </c>
      <c r="K209" s="21" t="inlineStr"/>
      <c r="L209" s="21" t="inlineStr"/>
      <c r="M209" s="21" t="inlineStr"/>
      <c r="N209" s="21" t="inlineStr"/>
      <c r="O209" s="21" t="inlineStr"/>
      <c r="P209" s="21" t="inlineStr"/>
      <c r="Q209" s="21" t="inlineStr"/>
      <c r="R209" s="21" t="inlineStr"/>
      <c r="S209" s="21" t="inlineStr"/>
      <c r="T209" s="21" t="inlineStr">
        <is>
          <t>no work email found in Apollo</t>
        </is>
      </c>
      <c r="U209" s="22" t="n">
        <v>614157.33</v>
      </c>
      <c r="V209" s="23" t="inlineStr">
        <is>
          <t>B</t>
        </is>
      </c>
      <c r="W209" s="24">
        <f>IFERROR(VLOOKUP(V209,Assumptions!$A$7:$F$11,2,FALSE),0)</f>
        <v/>
      </c>
      <c r="X209" s="25">
        <f>IF(V209="A",MAX(1,IFERROR(VLOOKUP(V209,Assumptions!$A$7:$F$11,3,FALSE),3)+IFERROR(VLOOKUP(V209,Assumptions!$A$7:$F$11,4,FALSE),8)/2-MAX(0,IF(AO209="",0,YEAR(TODAY())-AO209)-IFERROR(VLOOKUP(V209,Assumptions!$A$7:$F$11,5,FALSE),1.5))),IFERROR(VLOOKUP(V209,Assumptions!$A$7:$F$11,5,FALSE),2.5)+IFERROR(VLOOKUP(V209,Assumptions!$A$7:$F$11,3,FALSE),3)+IFERROR(VLOOKUP(V209,Assumptions!$A$7:$F$11,4,FALSE),8)/2)</f>
        <v/>
      </c>
      <c r="Y209" s="22">
        <f>U209*W209/(1+Assumptions!$B$3)^X209</f>
        <v/>
      </c>
      <c r="Z209" s="26">
        <f>IF(U209=0,"",ROUND(Y209/U209*100,1))</f>
        <v/>
      </c>
      <c r="AA209" s="27">
        <f>Y209*Assumptions!$B$4</f>
        <v/>
      </c>
      <c r="AB209" s="26">
        <f>IF(U209=0,"",ROUND(AA209/U209*100,1))</f>
        <v/>
      </c>
      <c r="AC209" s="27">
        <f>Y209-AA209</f>
        <v/>
      </c>
      <c r="AD209" s="26">
        <f>IF(U209=0,"",ROUND((Y209-AA209)/U209*100,1))</f>
        <v/>
      </c>
      <c r="AE209" s="33" t="inlineStr">
        <is>
          <t>NO TOTALS — list prints none; check page</t>
        </is>
      </c>
      <c r="AF209" s="29" t="inlineStr">
        <is>
          <t>https://ajruiz.com.br/sites/default/files/public/arquivos-processos/2026-01/safrasul_relacao_de_credores_recuperanda.pdf</t>
        </is>
      </c>
      <c r="AG209" s="28" t="inlineStr">
        <is>
          <t>p8 r37</t>
        </is>
      </c>
      <c r="AH209" s="28" t="inlineStr">
        <is>
          <t>p8: R$ 614.157,33</t>
        </is>
      </c>
      <c r="AI209" s="28" t="inlineStr">
        <is>
          <t>AJ list (art. 7 §2)</t>
        </is>
      </c>
      <c r="AJ209" s="28" t="inlineStr">
        <is>
          <t>2026-01-14</t>
        </is>
      </c>
      <c r="AK209" s="28" t="inlineStr">
        <is>
          <t>NONE FOUND</t>
        </is>
      </c>
      <c r="AL209" s="30" t="inlineStr">
        <is>
          <t>4000167-23.2025.8.26.0373</t>
        </is>
      </c>
      <c r="AM209" s="30" t="inlineStr">
        <is>
          <t>TJSP</t>
        </is>
      </c>
      <c r="AN209" s="30" t="inlineStr">
        <is>
          <t>ACTIVE</t>
        </is>
      </c>
      <c r="AO209" s="30" t="n">
        <v>2025</v>
      </c>
      <c r="AP209" s="30" t="inlineStr">
        <is>
          <t>live case, no plan document yet</t>
        </is>
      </c>
      <c r="AQ209" s="30" t="inlineStr"/>
      <c r="AR209" s="30" t="inlineStr">
        <is>
          <t>printed on the list (read twice)</t>
        </is>
      </c>
      <c r="AS209" s="30" t="inlineStr">
        <is>
          <t>SERTAO SANTANA</t>
        </is>
      </c>
      <c r="AT209" s="30" t="inlineStr">
        <is>
          <t>RS</t>
        </is>
      </c>
      <c r="AU209" s="30" t="inlineStr">
        <is>
          <t>Beneficiamento de arroz</t>
        </is>
      </c>
      <c r="AV209" s="30" t="inlineStr">
        <is>
          <t>DEMAIS</t>
        </is>
      </c>
      <c r="AW209" s="31" t="n">
        <v>300000</v>
      </c>
      <c r="AX209" s="30" t="inlineStr">
        <is>
          <t>MID-MARKET</t>
        </is>
      </c>
      <c r="AY209" s="30" t="inlineStr">
        <is>
          <t>04253854</t>
        </is>
      </c>
      <c r="AZ209" s="30" t="n">
        <v>1</v>
      </c>
      <c r="BA209" s="30" t="inlineStr">
        <is>
          <t>ROWS:p8r37 UNRECONCILED_SOURCE</t>
        </is>
      </c>
    </row>
    <row r="210">
      <c r="A210" s="16" t="inlineStr">
        <is>
          <t>SOTIN SOLUCOES TECNICAS, INDUSTRIA E COMERCIO LTDA</t>
        </is>
      </c>
      <c r="B210" s="17" t="n">
        <v>611207.1</v>
      </c>
      <c r="C210" s="18" t="inlineStr">
        <is>
          <t>SECULAR COMÉRCIO CONSTRUÇÃO E REPRESENTAÇÃO LTDA - ME, EM RECUPERAÇÃO JUDICIAL</t>
        </is>
      </c>
      <c r="D210" s="19" t="inlineStr">
        <is>
          <t>NEW</t>
        </is>
      </c>
      <c r="E210" s="20" t="inlineStr"/>
      <c r="F210" s="19" t="inlineStr"/>
      <c r="G210" s="20" t="inlineStr"/>
      <c r="H210" s="19" t="inlineStr"/>
      <c r="I210" s="21" t="inlineStr">
        <is>
          <t>Kleber Cavallari</t>
        </is>
      </c>
      <c r="J210" s="21" t="inlineStr">
        <is>
          <t>Commercial Manager</t>
        </is>
      </c>
      <c r="K210" s="21" t="inlineStr">
        <is>
          <t>(11) 4496-8888</t>
        </is>
      </c>
      <c r="L210" s="21" t="inlineStr"/>
      <c r="M210" s="21" t="inlineStr"/>
      <c r="N210" s="21" t="inlineStr">
        <is>
          <t>kleber.cavallari@sotin.com.br</t>
        </is>
      </c>
      <c r="O210" s="21" t="inlineStr"/>
      <c r="P210" s="21" t="inlineStr"/>
      <c r="Q210" s="21" t="inlineStr"/>
      <c r="R210" s="21" t="inlineStr"/>
      <c r="S210" s="21" t="inlineStr"/>
      <c r="T210" s="21" t="inlineStr">
        <is>
          <t>email verified by Apollo</t>
        </is>
      </c>
      <c r="U210" s="22" t="n">
        <v>611207.1</v>
      </c>
      <c r="V210" s="23" t="inlineStr">
        <is>
          <t>B</t>
        </is>
      </c>
      <c r="W210" s="24">
        <f>IFERROR(VLOOKUP(V210,Assumptions!$A$7:$F$11,2,FALSE),0)</f>
        <v/>
      </c>
      <c r="X210" s="25">
        <f>IF(V210="A",MAX(1,IFERROR(VLOOKUP(V210,Assumptions!$A$7:$F$11,3,FALSE),3)+IFERROR(VLOOKUP(V210,Assumptions!$A$7:$F$11,4,FALSE),8)/2-MAX(0,IF(AO210="",0,YEAR(TODAY())-AO210)-IFERROR(VLOOKUP(V210,Assumptions!$A$7:$F$11,5,FALSE),1.5))),IFERROR(VLOOKUP(V210,Assumptions!$A$7:$F$11,5,FALSE),2.5)+IFERROR(VLOOKUP(V210,Assumptions!$A$7:$F$11,3,FALSE),3)+IFERROR(VLOOKUP(V210,Assumptions!$A$7:$F$11,4,FALSE),8)/2)</f>
        <v/>
      </c>
      <c r="Y210" s="22">
        <f>U210*W210/(1+Assumptions!$B$3)^X210</f>
        <v/>
      </c>
      <c r="Z210" s="26">
        <f>IF(U210=0,"",ROUND(Y210/U210*100,1))</f>
        <v/>
      </c>
      <c r="AA210" s="27">
        <f>Y210*Assumptions!$B$4</f>
        <v/>
      </c>
      <c r="AB210" s="26">
        <f>IF(U210=0,"",ROUND(AA210/U210*100,1))</f>
        <v/>
      </c>
      <c r="AC210" s="27">
        <f>Y210-AA210</f>
        <v/>
      </c>
      <c r="AD210" s="26">
        <f>IF(U210=0,"",ROUND((Y210-AA210)/U210*100,1))</f>
        <v/>
      </c>
      <c r="AE210" s="28" t="inlineStr">
        <is>
          <t>OK — totals reconciled</t>
        </is>
      </c>
      <c r="AF210" s="29" t="inlineStr">
        <is>
          <t>https://lrflideres.com.br/wp-content/uploads/2022/08/4.-EDITAL-2a-LISTA-DE-CREDORES.pdf</t>
        </is>
      </c>
      <c r="AG210" s="28" t="inlineStr">
        <is>
          <t>p2 r9</t>
        </is>
      </c>
      <c r="AH210" s="28" t="inlineStr">
        <is>
          <t>p2: R$ 611.207,10</t>
        </is>
      </c>
      <c r="AI210" s="28" t="inlineStr">
        <is>
          <t>AJ list (art. 7 §2)</t>
        </is>
      </c>
      <c r="AJ210" s="28" t="inlineStr">
        <is>
          <t>2023-12-04</t>
        </is>
      </c>
      <c r="AK210" s="28" t="inlineStr">
        <is>
          <t>NONE FOUND</t>
        </is>
      </c>
      <c r="AL210" s="30" t="inlineStr">
        <is>
          <t>0804204-35.2022.8.15.0731</t>
        </is>
      </c>
      <c r="AM210" s="30" t="inlineStr">
        <is>
          <t>TJPB</t>
        </is>
      </c>
      <c r="AN210" s="30" t="inlineStr">
        <is>
          <t>ACTIVE</t>
        </is>
      </c>
      <c r="AO210" s="30" t="n">
        <v>2022</v>
      </c>
      <c r="AP210" s="30" t="inlineStr">
        <is>
          <t>live case, no plan document yet</t>
        </is>
      </c>
      <c r="AQ210" s="30" t="inlineStr"/>
      <c r="AR210" s="30" t="inlineStr">
        <is>
          <t>printed on the list (read twice)</t>
        </is>
      </c>
      <c r="AS210" s="30" t="inlineStr">
        <is>
          <t>JUNDIAI</t>
        </is>
      </c>
      <c r="AT210" s="30" t="inlineStr">
        <is>
          <t>SP</t>
        </is>
      </c>
      <c r="AU210" s="30" t="inlineStr">
        <is>
          <t>Fabricação de outros produtos de metal não especificados anteriormente</t>
        </is>
      </c>
      <c r="AV210" s="30" t="inlineStr">
        <is>
          <t>DEMAIS</t>
        </is>
      </c>
      <c r="AW210" s="31" t="n">
        <v>8400000</v>
      </c>
      <c r="AX210" s="30" t="inlineStr">
        <is>
          <t>MID-MARKET</t>
        </is>
      </c>
      <c r="AY210" s="30" t="inlineStr">
        <is>
          <t>38733545</t>
        </is>
      </c>
      <c r="AZ210" s="30" t="n">
        <v>1</v>
      </c>
      <c r="BA210" s="30" t="inlineStr">
        <is>
          <t>ROWS:p2r9</t>
        </is>
      </c>
    </row>
    <row r="211">
      <c r="A211" s="16" t="inlineStr">
        <is>
          <t>INDUSTRIA E COMERCIO DE CARNES E DERIVADOS BOI BRASIL LTDA - EM RECUPERACAO JUDICIAL</t>
        </is>
      </c>
      <c r="B211" s="17" t="n">
        <v>327994.4</v>
      </c>
      <c r="C211" s="18" t="inlineStr">
        <is>
          <t>GRUPO 3E</t>
        </is>
      </c>
      <c r="D211" s="19" t="inlineStr">
        <is>
          <t>NEW</t>
        </is>
      </c>
      <c r="E211" s="20" t="inlineStr"/>
      <c r="F211" s="19" t="inlineStr"/>
      <c r="G211" s="20" t="inlineStr"/>
      <c r="H211" s="19" t="inlineStr"/>
      <c r="I211" s="21" t="inlineStr">
        <is>
          <t>GERALDO HELENO DE FARIA</t>
        </is>
      </c>
      <c r="J211" s="21" t="inlineStr">
        <is>
          <t>Sócio-Administrador (RFB partner)</t>
        </is>
      </c>
      <c r="K211" s="21" t="inlineStr">
        <is>
          <t>(27) 3300-9000</t>
        </is>
      </c>
      <c r="L211" s="21" t="inlineStr"/>
      <c r="M211" s="21" t="inlineStr"/>
      <c r="N211" s="21" t="inlineStr"/>
      <c r="O211" s="21" t="inlineStr"/>
      <c r="P211" s="21" t="inlineStr"/>
      <c r="Q211" s="21" t="inlineStr"/>
      <c r="R211" s="21" t="inlineStr"/>
      <c r="S211" s="21" t="inlineStr"/>
      <c r="T211" s="21" t="inlineStr">
        <is>
          <t>RFB partner (QSA); no Apollo match</t>
        </is>
      </c>
      <c r="U211" s="22" t="n">
        <v>327994.4</v>
      </c>
      <c r="V211" s="35" t="inlineStr">
        <is>
          <t>A</t>
        </is>
      </c>
      <c r="W211" s="24">
        <f>IFERROR(VLOOKUP(V211,Assumptions!$A$7:$F$11,2,FALSE),0)</f>
        <v/>
      </c>
      <c r="X211" s="25">
        <f>IF(V211="A",MAX(1,IFERROR(VLOOKUP(V211,Assumptions!$A$7:$F$11,3,FALSE),3)+IFERROR(VLOOKUP(V211,Assumptions!$A$7:$F$11,4,FALSE),8)/2-MAX(0,IF(AO211="",0,YEAR(TODAY())-AO211)-IFERROR(VLOOKUP(V211,Assumptions!$A$7:$F$11,5,FALSE),1.5))),IFERROR(VLOOKUP(V211,Assumptions!$A$7:$F$11,5,FALSE),2.5)+IFERROR(VLOOKUP(V211,Assumptions!$A$7:$F$11,3,FALSE),3)+IFERROR(VLOOKUP(V211,Assumptions!$A$7:$F$11,4,FALSE),8)/2)</f>
        <v/>
      </c>
      <c r="Y211" s="22">
        <f>U211*W211/(1+Assumptions!$B$3)^X211</f>
        <v/>
      </c>
      <c r="Z211" s="26">
        <f>IF(U211=0,"",ROUND(Y211/U211*100,1))</f>
        <v/>
      </c>
      <c r="AA211" s="27">
        <f>Y211*Assumptions!$B$4</f>
        <v/>
      </c>
      <c r="AB211" s="26">
        <f>IF(U211=0,"",ROUND(AA211/U211*100,1))</f>
        <v/>
      </c>
      <c r="AC211" s="27">
        <f>Y211-AA211</f>
        <v/>
      </c>
      <c r="AD211" s="26">
        <f>IF(U211=0,"",ROUND((Y211-AA211)/U211*100,1))</f>
        <v/>
      </c>
      <c r="AE211" s="33" t="inlineStr">
        <is>
          <t>NO TOTALS — list prints none; check page</t>
        </is>
      </c>
      <c r="AF211" s="29" t="inlineStr">
        <is>
          <t>https://stenius.com.br/wp-content/uploads/2026/06/EDITAL-GRUPO-3E.pdf</t>
        </is>
      </c>
      <c r="AG211" s="28" t="inlineStr">
        <is>
          <t>p13 r55</t>
        </is>
      </c>
      <c r="AH211" s="28" t="inlineStr">
        <is>
          <t>p13: R$ 327.994,40</t>
        </is>
      </c>
      <c r="AI211" s="28" t="inlineStr">
        <is>
          <t>Debtor list (art. 51)</t>
        </is>
      </c>
      <c r="AJ211" s="28" t="inlineStr">
        <is>
          <t>2026-06-22</t>
        </is>
      </c>
      <c r="AK211" s="28" t="inlineStr">
        <is>
          <t>PLAN DOC FOUND</t>
        </is>
      </c>
      <c r="AL211" s="30" t="inlineStr">
        <is>
          <t>5341375-33.2026.8.09.0049</t>
        </is>
      </c>
      <c r="AM211" s="30" t="inlineStr">
        <is>
          <t>TJGO</t>
        </is>
      </c>
      <c r="AN211" s="30" t="inlineStr">
        <is>
          <t>ACTIVE</t>
        </is>
      </c>
      <c r="AO211" s="30" t="n">
        <v>2026</v>
      </c>
      <c r="AP211" s="30" t="inlineStr">
        <is>
          <t>plan/homologation document found</t>
        </is>
      </c>
      <c r="AQ211" s="30" t="inlineStr"/>
      <c r="AR211" s="30" t="inlineStr">
        <is>
          <t>printed on the list (read twice)</t>
        </is>
      </c>
      <c r="AS211" s="30" t="inlineStr">
        <is>
          <t>APARECIDA DE GOIANIA</t>
        </is>
      </c>
      <c r="AT211" s="30" t="inlineStr">
        <is>
          <t>GO</t>
        </is>
      </c>
      <c r="AU211" s="30" t="inlineStr">
        <is>
          <t>Frigorífico - abate de bovinos</t>
        </is>
      </c>
      <c r="AV211" s="30" t="inlineStr">
        <is>
          <t>DEMAIS</t>
        </is>
      </c>
      <c r="AW211" s="31" t="n">
        <v>173000</v>
      </c>
      <c r="AX211" s="30" t="inlineStr">
        <is>
          <t>MID-MARKET</t>
        </is>
      </c>
      <c r="AY211" s="30" t="inlineStr">
        <is>
          <t>04603630</t>
        </is>
      </c>
      <c r="AZ211" s="30" t="n">
        <v>1</v>
      </c>
      <c r="BA211" s="30" t="inlineStr">
        <is>
          <t>ROWS:p13r55 UNRECONCILED_SOURCE</t>
        </is>
      </c>
    </row>
    <row r="212">
      <c r="A212" s="16" t="inlineStr">
        <is>
          <t>COBREMACK INDUSTRIA DE CONDUTORES ELETRICOS LIMITADA EM RECUPERACAO JUDICIAL EM RECUPERACAO JUDICIAL</t>
        </is>
      </c>
      <c r="B212" s="17" t="n">
        <v>611009.25</v>
      </c>
      <c r="C212" s="18" t="inlineStr">
        <is>
          <t>Grupo Conduscabos</t>
        </is>
      </c>
      <c r="D212" s="19" t="inlineStr">
        <is>
          <t>NEW</t>
        </is>
      </c>
      <c r="E212" s="20" t="inlineStr"/>
      <c r="F212" s="19" t="inlineStr"/>
      <c r="G212" s="20" t="inlineStr"/>
      <c r="H212" s="19" t="inlineStr"/>
      <c r="I212" s="21" t="inlineStr">
        <is>
          <t>JOSE CARLOS MENDES MATUIAMA</t>
        </is>
      </c>
      <c r="J212" s="21" t="inlineStr">
        <is>
          <t>Sócio-Administrador (RFB partner)</t>
        </is>
      </c>
      <c r="K212" s="21" t="inlineStr">
        <is>
          <t>(11) 4156-5531</t>
        </is>
      </c>
      <c r="L212" s="21" t="inlineStr"/>
      <c r="M212" s="21" t="inlineStr"/>
      <c r="N212" s="21" t="inlineStr"/>
      <c r="O212" s="21" t="inlineStr"/>
      <c r="P212" s="21" t="inlineStr"/>
      <c r="Q212" s="21" t="inlineStr"/>
      <c r="R212" s="21" t="inlineStr"/>
      <c r="S212" s="21" t="inlineStr"/>
      <c r="T212" s="21" t="inlineStr">
        <is>
          <t>RFB partner (QSA); no Apollo match</t>
        </is>
      </c>
      <c r="U212" s="22" t="n">
        <v>611009.25</v>
      </c>
      <c r="V212" s="23" t="inlineStr">
        <is>
          <t>B</t>
        </is>
      </c>
      <c r="W212" s="24">
        <f>IFERROR(VLOOKUP(V212,Assumptions!$A$7:$F$11,2,FALSE),0)</f>
        <v/>
      </c>
      <c r="X212" s="25">
        <f>IF(V212="A",MAX(1,IFERROR(VLOOKUP(V212,Assumptions!$A$7:$F$11,3,FALSE),3)+IFERROR(VLOOKUP(V212,Assumptions!$A$7:$F$11,4,FALSE),8)/2-MAX(0,IF(AO212="",0,YEAR(TODAY())-AO212)-IFERROR(VLOOKUP(V212,Assumptions!$A$7:$F$11,5,FALSE),1.5))),IFERROR(VLOOKUP(V212,Assumptions!$A$7:$F$11,5,FALSE),2.5)+IFERROR(VLOOKUP(V212,Assumptions!$A$7:$F$11,3,FALSE),3)+IFERROR(VLOOKUP(V212,Assumptions!$A$7:$F$11,4,FALSE),8)/2)</f>
        <v/>
      </c>
      <c r="Y212" s="22">
        <f>U212*W212/(1+Assumptions!$B$3)^X212</f>
        <v/>
      </c>
      <c r="Z212" s="26">
        <f>IF(U212=0,"",ROUND(Y212/U212*100,1))</f>
        <v/>
      </c>
      <c r="AA212" s="27">
        <f>Y212*Assumptions!$B$4</f>
        <v/>
      </c>
      <c r="AB212" s="26">
        <f>IF(U212=0,"",ROUND(AA212/U212*100,1))</f>
        <v/>
      </c>
      <c r="AC212" s="27">
        <f>Y212-AA212</f>
        <v/>
      </c>
      <c r="AD212" s="26">
        <f>IF(U212=0,"",ROUND((Y212-AA212)/U212*100,1))</f>
        <v/>
      </c>
      <c r="AE212" s="33" t="inlineStr">
        <is>
          <t>NO TOTALS — list prints none; check page</t>
        </is>
      </c>
      <c r="AF212" s="29" t="inlineStr">
        <is>
          <t>https://assistjud.com.br/wp-content/uploads/elementor/forms/65098c80a5824.pdf</t>
        </is>
      </c>
      <c r="AG212" s="28" t="inlineStr">
        <is>
          <t>p6 r8; p17 r10</t>
        </is>
      </c>
      <c r="AH212" s="28" t="inlineStr">
        <is>
          <t>p6: R$ 420.273,65; p17: R$ 190.735,60</t>
        </is>
      </c>
      <c r="AI212" s="28" t="inlineStr">
        <is>
          <t>AJ list (art. 7 §2)</t>
        </is>
      </c>
      <c r="AJ212" s="28" t="inlineStr">
        <is>
          <t>2023-09-18</t>
        </is>
      </c>
      <c r="AK212" s="28" t="inlineStr">
        <is>
          <t>NONE FOUND</t>
        </is>
      </c>
      <c r="AL212" s="30" t="inlineStr">
        <is>
          <t>8005129-09.2023.8.05.0039</t>
        </is>
      </c>
      <c r="AM212" s="30" t="inlineStr">
        <is>
          <t>TJBA</t>
        </is>
      </c>
      <c r="AN212" s="30" t="inlineStr">
        <is>
          <t>ACTIVE</t>
        </is>
      </c>
      <c r="AO212" s="30" t="n">
        <v>2023</v>
      </c>
      <c r="AP212" s="30" t="inlineStr">
        <is>
          <t>live case, no plan document yet</t>
        </is>
      </c>
      <c r="AQ212" s="30" t="inlineStr"/>
      <c r="AR212" s="30" t="inlineStr">
        <is>
          <t>printed on the list (read twice)</t>
        </is>
      </c>
      <c r="AS212" s="30" t="inlineStr">
        <is>
          <t>LAURO DE FREITAS</t>
        </is>
      </c>
      <c r="AT212" s="30" t="inlineStr">
        <is>
          <t>BA</t>
        </is>
      </c>
      <c r="AU212" s="30" t="inlineStr">
        <is>
          <t>Fabricação de fios, cabos e condutores elétricos isolados</t>
        </is>
      </c>
      <c r="AV212" s="30" t="inlineStr">
        <is>
          <t>DEMAIS</t>
        </is>
      </c>
      <c r="AW212" s="31" t="n">
        <v>20000000</v>
      </c>
      <c r="AX212" s="30" t="inlineStr">
        <is>
          <t>MID-MARKET</t>
        </is>
      </c>
      <c r="AY212" s="30" t="inlineStr">
        <is>
          <t>11065453</t>
        </is>
      </c>
      <c r="AZ212" s="30" t="n">
        <v>2</v>
      </c>
      <c r="BA212" s="30" t="inlineStr">
        <is>
          <t>ROWS:p6r8,p17r10 UNRECONCILED_SOURCE VALUE_COL:Valor_Do_Crédito_2º_Edital_De_Credores</t>
        </is>
      </c>
    </row>
    <row r="213">
      <c r="A213" s="16" t="inlineStr">
        <is>
          <t>LOG GOIANIA II</t>
        </is>
      </c>
      <c r="B213" s="17" t="n">
        <v>610696.38</v>
      </c>
      <c r="C213" s="18" t="inlineStr">
        <is>
          <t>Grupo Rech</t>
        </is>
      </c>
      <c r="D213" s="19" t="inlineStr">
        <is>
          <t>NEW</t>
        </is>
      </c>
      <c r="E213" s="20" t="inlineStr"/>
      <c r="F213" s="19" t="inlineStr"/>
      <c r="G213" s="20" t="inlineStr"/>
      <c r="H213" s="19" t="inlineStr"/>
      <c r="I213" s="21" t="inlineStr"/>
      <c r="J213" s="21" t="inlineStr"/>
      <c r="K213" s="21" t="inlineStr">
        <is>
          <t>(31) 3615-8248</t>
        </is>
      </c>
      <c r="L213" s="21" t="inlineStr"/>
      <c r="M213" s="21" t="inlineStr"/>
      <c r="N213" s="21" t="inlineStr"/>
      <c r="O213" s="21" t="inlineStr"/>
      <c r="P213" s="21" t="inlineStr"/>
      <c r="Q213" s="21" t="inlineStr"/>
      <c r="R213" s="21" t="inlineStr"/>
      <c r="S213" s="21" t="inlineStr"/>
      <c r="T213" s="21" t="inlineStr">
        <is>
          <t>no named contact found</t>
        </is>
      </c>
      <c r="U213" s="22" t="n">
        <v>610696.38</v>
      </c>
      <c r="V213" s="23" t="inlineStr">
        <is>
          <t>B</t>
        </is>
      </c>
      <c r="W213" s="24">
        <f>IFERROR(VLOOKUP(V213,Assumptions!$A$7:$F$11,2,FALSE),0)</f>
        <v/>
      </c>
      <c r="X213" s="25">
        <f>IF(V213="A",MAX(1,IFERROR(VLOOKUP(V213,Assumptions!$A$7:$F$11,3,FALSE),3)+IFERROR(VLOOKUP(V213,Assumptions!$A$7:$F$11,4,FALSE),8)/2-MAX(0,IF(AO213="",0,YEAR(TODAY())-AO213)-IFERROR(VLOOKUP(V213,Assumptions!$A$7:$F$11,5,FALSE),1.5))),IFERROR(VLOOKUP(V213,Assumptions!$A$7:$F$11,5,FALSE),2.5)+IFERROR(VLOOKUP(V213,Assumptions!$A$7:$F$11,3,FALSE),3)+IFERROR(VLOOKUP(V213,Assumptions!$A$7:$F$11,4,FALSE),8)/2)</f>
        <v/>
      </c>
      <c r="Y213" s="22">
        <f>U213*W213/(1+Assumptions!$B$3)^X213</f>
        <v/>
      </c>
      <c r="Z213" s="26">
        <f>IF(U213=0,"",ROUND(Y213/U213*100,1))</f>
        <v/>
      </c>
      <c r="AA213" s="27">
        <f>Y213*Assumptions!$B$4</f>
        <v/>
      </c>
      <c r="AB213" s="26">
        <f>IF(U213=0,"",ROUND(AA213/U213*100,1))</f>
        <v/>
      </c>
      <c r="AC213" s="27">
        <f>Y213-AA213</f>
        <v/>
      </c>
      <c r="AD213" s="26">
        <f>IF(U213=0,"",ROUND((Y213-AA213)/U213*100,1))</f>
        <v/>
      </c>
      <c r="AE213" s="36" t="inlineStr">
        <is>
          <t>CHECK — source is not a statutory creditor list</t>
        </is>
      </c>
      <c r="AF213" s="29" t="inlineStr">
        <is>
          <t>https://credibilita.com.br/wp-content/uploads/2025/09/Relacao-Credores-29.04.2026.pdf</t>
        </is>
      </c>
      <c r="AG213" s="28" t="inlineStr">
        <is>
          <t>p2 r1</t>
        </is>
      </c>
      <c r="AH213" s="28" t="inlineStr">
        <is>
          <t>p2: R$ 610.696,38</t>
        </is>
      </c>
      <c r="AI213" s="28" t="inlineStr">
        <is>
          <t>Quorum list — NOT an art. 7/51 list</t>
        </is>
      </c>
      <c r="AJ213" s="28" t="inlineStr"/>
      <c r="AK213" s="28" t="inlineStr">
        <is>
          <t>NONE FOUND</t>
        </is>
      </c>
      <c r="AL213" s="30" t="inlineStr">
        <is>
          <t>5057720-48.2025.8.24.0023</t>
        </is>
      </c>
      <c r="AM213" s="30" t="inlineStr">
        <is>
          <t>TJSC</t>
        </is>
      </c>
      <c r="AN213" s="30" t="inlineStr"/>
      <c r="AO213" s="30" t="n">
        <v>2025</v>
      </c>
      <c r="AP213" s="30" t="inlineStr">
        <is>
          <t>live case, no plan document yet</t>
        </is>
      </c>
      <c r="AQ213" s="30" t="inlineStr"/>
      <c r="AR213" s="30" t="inlineStr">
        <is>
          <t>portal page title / URL — not printed on the list</t>
        </is>
      </c>
      <c r="AS213" s="30" t="inlineStr">
        <is>
          <t>HIDROLANDIA</t>
        </is>
      </c>
      <c r="AT213" s="30" t="inlineStr">
        <is>
          <t>GO</t>
        </is>
      </c>
      <c r="AU213" s="30" t="inlineStr">
        <is>
          <t>Condomínios prediais</t>
        </is>
      </c>
      <c r="AV213" s="30" t="inlineStr">
        <is>
          <t>DEMAIS</t>
        </is>
      </c>
      <c r="AW213" s="31" t="inlineStr"/>
      <c r="AX213" s="30" t="inlineStr">
        <is>
          <t>MID-MARKET</t>
        </is>
      </c>
      <c r="AY213" s="30" t="inlineStr">
        <is>
          <t>47365763</t>
        </is>
      </c>
      <c r="AZ213" s="30" t="n">
        <v>1</v>
      </c>
      <c r="BA213" s="30" t="inlineStr">
        <is>
          <t>ROWS:p2r1 UNRECONCILED_SOURCE VALUE_COL:Valor_Após_Analise CASE_NUMBER_CORRECTED</t>
        </is>
      </c>
    </row>
    <row r="214">
      <c r="A214" s="16" t="inlineStr">
        <is>
          <t>RANCHEIRO S.A.</t>
        </is>
      </c>
      <c r="B214" s="17" t="n">
        <v>326527.45</v>
      </c>
      <c r="C214" s="18" t="inlineStr">
        <is>
          <t>GRUPO 3E</t>
        </is>
      </c>
      <c r="D214" s="19" t="inlineStr">
        <is>
          <t>NEW</t>
        </is>
      </c>
      <c r="E214" s="20" t="inlineStr"/>
      <c r="F214" s="19" t="inlineStr"/>
      <c r="G214" s="20" t="inlineStr"/>
      <c r="H214" s="19" t="inlineStr"/>
      <c r="I214" s="21" t="inlineStr">
        <is>
          <t>Leonardo Souza</t>
        </is>
      </c>
      <c r="J214" s="21" t="inlineStr">
        <is>
          <t>Credit and Collection Analyst</t>
        </is>
      </c>
      <c r="K214" s="21" t="inlineStr">
        <is>
          <t>(62) 4015-8955</t>
        </is>
      </c>
      <c r="L214" s="21" t="inlineStr"/>
      <c r="M214" s="21" t="inlineStr"/>
      <c r="N214" s="21" t="inlineStr">
        <is>
          <t>leonardo.souza@rancheiro.com.br</t>
        </is>
      </c>
      <c r="O214" s="21" t="inlineStr">
        <is>
          <t>keite.marrone@rancheiro.com.br</t>
        </is>
      </c>
      <c r="P214" s="21" t="inlineStr">
        <is>
          <t>Keite Marrone</t>
        </is>
      </c>
      <c r="Q214" s="21" t="inlineStr">
        <is>
          <t>Senior Tax Analyst</t>
        </is>
      </c>
      <c r="R214" s="21" t="inlineStr"/>
      <c r="S214" s="21" t="inlineStr">
        <is>
          <t>keite.marrone@rancheiro.com.br</t>
        </is>
      </c>
      <c r="T214" s="21" t="inlineStr">
        <is>
          <t>email verified by Apollo</t>
        </is>
      </c>
      <c r="U214" s="22" t="n">
        <v>326527.45</v>
      </c>
      <c r="V214" s="35" t="inlineStr">
        <is>
          <t>A</t>
        </is>
      </c>
      <c r="W214" s="24">
        <f>IFERROR(VLOOKUP(V214,Assumptions!$A$7:$F$11,2,FALSE),0)</f>
        <v/>
      </c>
      <c r="X214" s="25">
        <f>IF(V214="A",MAX(1,IFERROR(VLOOKUP(V214,Assumptions!$A$7:$F$11,3,FALSE),3)+IFERROR(VLOOKUP(V214,Assumptions!$A$7:$F$11,4,FALSE),8)/2-MAX(0,IF(AO214="",0,YEAR(TODAY())-AO214)-IFERROR(VLOOKUP(V214,Assumptions!$A$7:$F$11,5,FALSE),1.5))),IFERROR(VLOOKUP(V214,Assumptions!$A$7:$F$11,5,FALSE),2.5)+IFERROR(VLOOKUP(V214,Assumptions!$A$7:$F$11,3,FALSE),3)+IFERROR(VLOOKUP(V214,Assumptions!$A$7:$F$11,4,FALSE),8)/2)</f>
        <v/>
      </c>
      <c r="Y214" s="22">
        <f>U214*W214/(1+Assumptions!$B$3)^X214</f>
        <v/>
      </c>
      <c r="Z214" s="26">
        <f>IF(U214=0,"",ROUND(Y214/U214*100,1))</f>
        <v/>
      </c>
      <c r="AA214" s="27">
        <f>Y214*Assumptions!$B$4</f>
        <v/>
      </c>
      <c r="AB214" s="26">
        <f>IF(U214=0,"",ROUND(AA214/U214*100,1))</f>
        <v/>
      </c>
      <c r="AC214" s="27">
        <f>Y214-AA214</f>
        <v/>
      </c>
      <c r="AD214" s="26">
        <f>IF(U214=0,"",ROUND((Y214-AA214)/U214*100,1))</f>
        <v/>
      </c>
      <c r="AE214" s="33" t="inlineStr">
        <is>
          <t>NO TOTALS — list prints none; check page</t>
        </is>
      </c>
      <c r="AF214" s="29" t="inlineStr">
        <is>
          <t>https://stenius.com.br/wp-content/uploads/2026/06/EDITAL-GRUPO-3E.pdf</t>
        </is>
      </c>
      <c r="AG214" s="28" t="inlineStr">
        <is>
          <t>p11 r23</t>
        </is>
      </c>
      <c r="AH214" s="28" t="inlineStr">
        <is>
          <t>p11: R$ 326.527,45</t>
        </is>
      </c>
      <c r="AI214" s="28" t="inlineStr">
        <is>
          <t>Debtor list (art. 51)</t>
        </is>
      </c>
      <c r="AJ214" s="28" t="inlineStr">
        <is>
          <t>2026-06-22</t>
        </is>
      </c>
      <c r="AK214" s="28" t="inlineStr">
        <is>
          <t>PLAN DOC FOUND</t>
        </is>
      </c>
      <c r="AL214" s="30" t="inlineStr">
        <is>
          <t>5341375-33.2026.8.09.0049</t>
        </is>
      </c>
      <c r="AM214" s="30" t="inlineStr">
        <is>
          <t>TJGO</t>
        </is>
      </c>
      <c r="AN214" s="30" t="inlineStr">
        <is>
          <t>ACTIVE</t>
        </is>
      </c>
      <c r="AO214" s="30" t="n">
        <v>2026</v>
      </c>
      <c r="AP214" s="30" t="inlineStr">
        <is>
          <t>plan/homologation document found</t>
        </is>
      </c>
      <c r="AQ214" s="30" t="inlineStr"/>
      <c r="AR214" s="30" t="inlineStr">
        <is>
          <t>printed on the list (read twice)</t>
        </is>
      </c>
      <c r="AS214" s="30" t="inlineStr">
        <is>
          <t>ANAPOLIS</t>
        </is>
      </c>
      <c r="AT214" s="30" t="inlineStr">
        <is>
          <t>GO</t>
        </is>
      </c>
      <c r="AU214" s="30" t="inlineStr">
        <is>
          <t>Fabricação de biscoitos e bolachas</t>
        </is>
      </c>
      <c r="AV214" s="30" t="inlineStr">
        <is>
          <t>DEMAIS</t>
        </is>
      </c>
      <c r="AW214" s="31" t="n">
        <v>111100000</v>
      </c>
      <c r="AX214" s="30" t="inlineStr">
        <is>
          <t>MID-MARKET</t>
        </is>
      </c>
      <c r="AY214" s="30" t="inlineStr">
        <is>
          <t>02924249</t>
        </is>
      </c>
      <c r="AZ214" s="30" t="n">
        <v>1</v>
      </c>
      <c r="BA214" s="30" t="inlineStr">
        <is>
          <t>ROWS:p11r23 UNRECONCILED_SOURCE</t>
        </is>
      </c>
    </row>
    <row r="215">
      <c r="A215" s="16" t="inlineStr">
        <is>
          <t>IPIRANGA PRODUTOS DE PETROLEO S.A.</t>
        </is>
      </c>
      <c r="B215" s="17" t="n">
        <v>608385.4</v>
      </c>
      <c r="C215" s="18" t="inlineStr">
        <is>
          <t>GRUPO D&amp;D</t>
        </is>
      </c>
      <c r="D215" s="19" t="inlineStr">
        <is>
          <t>NEW</t>
        </is>
      </c>
      <c r="E215" s="20" t="inlineStr"/>
      <c r="F215" s="19" t="inlineStr"/>
      <c r="G215" s="20" t="inlineStr"/>
      <c r="H215" s="19" t="inlineStr"/>
      <c r="I215" s="21" t="inlineStr">
        <is>
          <t>CARLOS FREDERICO RESENDE</t>
        </is>
      </c>
      <c r="J215" s="21" t="inlineStr">
        <is>
          <t>Administrador (RFB partner)</t>
        </is>
      </c>
      <c r="K215" s="21" t="inlineStr">
        <is>
          <t>(21) 2574-5858</t>
        </is>
      </c>
      <c r="L215" s="21" t="inlineStr"/>
      <c r="M215" s="21" t="inlineStr"/>
      <c r="N215" s="21" t="inlineStr"/>
      <c r="O215" s="21" t="inlineStr"/>
      <c r="P215" s="21" t="inlineStr">
        <is>
          <t>CRISTIANE SILVA LEITE</t>
        </is>
      </c>
      <c r="Q215" s="21" t="inlineStr">
        <is>
          <t>Diretor (RFB partner)</t>
        </is>
      </c>
      <c r="R215" s="21" t="inlineStr"/>
      <c r="S215" s="21" t="inlineStr"/>
      <c r="T215" s="21" t="inlineStr">
        <is>
          <t>RFB partner (QSA); no Apollo match</t>
        </is>
      </c>
      <c r="U215" s="22" t="n">
        <v>608385.4</v>
      </c>
      <c r="V215" s="23" t="inlineStr">
        <is>
          <t>B</t>
        </is>
      </c>
      <c r="W215" s="24">
        <f>IFERROR(VLOOKUP(V215,Assumptions!$A$7:$F$11,2,FALSE),0)</f>
        <v/>
      </c>
      <c r="X215" s="25">
        <f>IF(V215="A",MAX(1,IFERROR(VLOOKUP(V215,Assumptions!$A$7:$F$11,3,FALSE),3)+IFERROR(VLOOKUP(V215,Assumptions!$A$7:$F$11,4,FALSE),8)/2-MAX(0,IF(AO215="",0,YEAR(TODAY())-AO215)-IFERROR(VLOOKUP(V215,Assumptions!$A$7:$F$11,5,FALSE),1.5))),IFERROR(VLOOKUP(V215,Assumptions!$A$7:$F$11,5,FALSE),2.5)+IFERROR(VLOOKUP(V215,Assumptions!$A$7:$F$11,3,FALSE),3)+IFERROR(VLOOKUP(V215,Assumptions!$A$7:$F$11,4,FALSE),8)/2)</f>
        <v/>
      </c>
      <c r="Y215" s="22">
        <f>U215*W215/(1+Assumptions!$B$3)^X215</f>
        <v/>
      </c>
      <c r="Z215" s="26">
        <f>IF(U215=0,"",ROUND(Y215/U215*100,1))</f>
        <v/>
      </c>
      <c r="AA215" s="27">
        <f>Y215*Assumptions!$B$4</f>
        <v/>
      </c>
      <c r="AB215" s="26">
        <f>IF(U215=0,"",ROUND(AA215/U215*100,1))</f>
        <v/>
      </c>
      <c r="AC215" s="27">
        <f>Y215-AA215</f>
        <v/>
      </c>
      <c r="AD215" s="26">
        <f>IF(U215=0,"",ROUND((Y215-AA215)/U215*100,1))</f>
        <v/>
      </c>
      <c r="AE215" s="34" t="inlineStr">
        <is>
          <t>PARTIAL — class III reconciled, other classes not</t>
        </is>
      </c>
      <c r="AF215" s="29" t="inlineStr">
        <is>
          <t>https://marquesadmjudicial.com.br/sgc/download.php?file=files/processo_documento/processo_documento20014127022025_1_.pdf&amp;nome=Relação Nominal de Credores</t>
        </is>
      </c>
      <c r="AG215" s="28" t="inlineStr">
        <is>
          <t>p5 r5</t>
        </is>
      </c>
      <c r="AH215" s="28" t="inlineStr">
        <is>
          <t>p5: R$ 608.385,40</t>
        </is>
      </c>
      <c r="AI215" s="28" t="inlineStr">
        <is>
          <t>AJ list (art. 7 §2)</t>
        </is>
      </c>
      <c r="AJ215" s="28" t="inlineStr">
        <is>
          <t>2024-11-08</t>
        </is>
      </c>
      <c r="AK215" s="28" t="inlineStr">
        <is>
          <t>NONE FOUND</t>
        </is>
      </c>
      <c r="AL215" s="30" t="inlineStr">
        <is>
          <t>0001943-40.2024.8.16.0115</t>
        </is>
      </c>
      <c r="AM215" s="30" t="inlineStr">
        <is>
          <t>TJPR</t>
        </is>
      </c>
      <c r="AN215" s="30" t="inlineStr">
        <is>
          <t>ACTIVE</t>
        </is>
      </c>
      <c r="AO215" s="30" t="n">
        <v>2024</v>
      </c>
      <c r="AP215" s="30" t="inlineStr">
        <is>
          <t>live case, no plan document yet</t>
        </is>
      </c>
      <c r="AQ215" s="30" t="inlineStr"/>
      <c r="AR215" s="30" t="inlineStr">
        <is>
          <t>printed on the list (read twice)</t>
        </is>
      </c>
      <c r="AS215" s="30" t="inlineStr">
        <is>
          <t>RIO DE JANEIRO</t>
        </is>
      </c>
      <c r="AT215" s="30" t="inlineStr">
        <is>
          <t>RJ</t>
        </is>
      </c>
      <c r="AU215" s="30" t="inlineStr">
        <is>
          <t>Comércio atacadista de álcool carburante, biodiesel, gasolina e demais derivados de petróleo, exceto lubrificantes, não realizado por transportador re</t>
        </is>
      </c>
      <c r="AV215" s="30" t="inlineStr">
        <is>
          <t>DEMAIS</t>
        </is>
      </c>
      <c r="AW215" s="31" t="n">
        <v>4668601300</v>
      </c>
      <c r="AX215" s="30" t="inlineStr">
        <is>
          <t>LARGE CORP</t>
        </is>
      </c>
      <c r="AY215" s="30" t="inlineStr">
        <is>
          <t>33337122</t>
        </is>
      </c>
      <c r="AZ215" s="30" t="n">
        <v>1</v>
      </c>
      <c r="BA215" s="30" t="inlineStr">
        <is>
          <t>PARTIAL_DOC_CLASS_III_RECONCILED ROWS:p5r5</t>
        </is>
      </c>
    </row>
    <row r="216">
      <c r="A216" s="16" t="inlineStr">
        <is>
          <t>INTER TELECOM - COMERCIO E LOCACAO DE EQUIPAMENTOS DE COMUNICACAO LTDA</t>
        </is>
      </c>
      <c r="B216" s="17" t="n">
        <v>1125816.11</v>
      </c>
      <c r="C216" s="18" t="inlineStr">
        <is>
          <t>EGESA ENGENHARIA S/A (Consórcio ETDI)</t>
        </is>
      </c>
      <c r="D216" s="19" t="inlineStr">
        <is>
          <t>NEW</t>
        </is>
      </c>
      <c r="E216" s="20" t="inlineStr"/>
      <c r="F216" s="19" t="inlineStr"/>
      <c r="G216" s="20" t="inlineStr"/>
      <c r="H216" s="19" t="inlineStr"/>
      <c r="I216" s="21" t="inlineStr">
        <is>
          <t>FRANCISCA APARECIDA D ANGELO PALOMARES</t>
        </is>
      </c>
      <c r="J216" s="21" t="inlineStr">
        <is>
          <t>Sócio-Administrador (RFB partner)</t>
        </is>
      </c>
      <c r="K216" s="21" t="inlineStr">
        <is>
          <t>(11) 4221-1746</t>
        </is>
      </c>
      <c r="L216" s="21" t="inlineStr"/>
      <c r="M216" s="21" t="inlineStr"/>
      <c r="N216" s="21" t="inlineStr"/>
      <c r="O216" s="21" t="inlineStr"/>
      <c r="P216" s="21" t="inlineStr"/>
      <c r="Q216" s="21" t="inlineStr"/>
      <c r="R216" s="21" t="inlineStr"/>
      <c r="S216" s="21" t="inlineStr"/>
      <c r="T216" s="21" t="inlineStr">
        <is>
          <t>RFB partner (QSA); no Apollo match</t>
        </is>
      </c>
      <c r="U216" s="22" t="n">
        <v>1125816.11</v>
      </c>
      <c r="V216" s="32" t="inlineStr">
        <is>
          <t>U</t>
        </is>
      </c>
      <c r="W216" s="24">
        <f>IFERROR(VLOOKUP(V216,Assumptions!$A$7:$F$11,2,FALSE),0)</f>
        <v/>
      </c>
      <c r="X216" s="25">
        <f>IF(V216="A",MAX(1,IFERROR(VLOOKUP(V216,Assumptions!$A$7:$F$11,3,FALSE),3)+IFERROR(VLOOKUP(V216,Assumptions!$A$7:$F$11,4,FALSE),8)/2-MAX(0,IF(AO216="",0,YEAR(TODAY())-AO216)-IFERROR(VLOOKUP(V216,Assumptions!$A$7:$F$11,5,FALSE),1.5))),IFERROR(VLOOKUP(V216,Assumptions!$A$7:$F$11,5,FALSE),2.5)+IFERROR(VLOOKUP(V216,Assumptions!$A$7:$F$11,3,FALSE),3)+IFERROR(VLOOKUP(V216,Assumptions!$A$7:$F$11,4,FALSE),8)/2)</f>
        <v/>
      </c>
      <c r="Y216" s="22">
        <f>U216*W216/(1+Assumptions!$B$3)^X216</f>
        <v/>
      </c>
      <c r="Z216" s="26">
        <f>IF(U216=0,"",ROUND(Y216/U216*100,1))</f>
        <v/>
      </c>
      <c r="AA216" s="27">
        <f>Y216*Assumptions!$B$4</f>
        <v/>
      </c>
      <c r="AB216" s="26">
        <f>IF(U216=0,"",ROUND(AA216/U216*100,1))</f>
        <v/>
      </c>
      <c r="AC216" s="27">
        <f>Y216-AA216</f>
        <v/>
      </c>
      <c r="AD216" s="26">
        <f>IF(U216=0,"",ROUND((Y216-AA216)/U216*100,1))</f>
        <v/>
      </c>
      <c r="AE216" s="28" t="inlineStr">
        <is>
          <t>OK — totals reconciled</t>
        </is>
      </c>
      <c r="AF216" s="29" t="inlineStr">
        <is>
          <t>https://scalzilliaj.com.br/sgc/download.php?file=files/processo_documento/processo_documento09514021082025_1_.pdf&amp;nome=04 - Relação de credores das Recuperandas</t>
        </is>
      </c>
      <c r="AG216" s="28" t="inlineStr">
        <is>
          <t>p68 r7</t>
        </is>
      </c>
      <c r="AH216" s="28" t="inlineStr">
        <is>
          <t>p68: R$ 1.125.816,11</t>
        </is>
      </c>
      <c r="AI216" s="28" t="inlineStr">
        <is>
          <t>Debtor list (art. 51)</t>
        </is>
      </c>
      <c r="AJ216" s="28" t="inlineStr"/>
      <c r="AK216" s="28" t="inlineStr">
        <is>
          <t>NONE FOUND</t>
        </is>
      </c>
      <c r="AL216" s="30" t="inlineStr">
        <is>
          <t>(not printed)</t>
        </is>
      </c>
      <c r="AM216" s="30" t="inlineStr"/>
      <c r="AN216" s="30" t="inlineStr"/>
      <c r="AO216" s="30" t="inlineStr"/>
      <c r="AP216" s="30" t="inlineStr">
        <is>
          <t>RJ case number not identified on the document</t>
        </is>
      </c>
      <c r="AQ216" s="30" t="inlineStr"/>
      <c r="AR216" s="30" t="inlineStr">
        <is>
          <t>portal page title / URL — not printed on the list</t>
        </is>
      </c>
      <c r="AS216" s="30" t="inlineStr">
        <is>
          <t>SAO CAETANO DO SUL</t>
        </is>
      </c>
      <c r="AT216" s="30" t="inlineStr">
        <is>
          <t>SP</t>
        </is>
      </c>
      <c r="AU216" s="30" t="inlineStr">
        <is>
          <t>Comércio varejista especializado de equipamentos de telefonia e comunicação</t>
        </is>
      </c>
      <c r="AV216" s="30" t="inlineStr">
        <is>
          <t>DEMAIS</t>
        </is>
      </c>
      <c r="AW216" s="31" t="n">
        <v>1000000</v>
      </c>
      <c r="AX216" s="30" t="inlineStr">
        <is>
          <t>MID-MARKET</t>
        </is>
      </c>
      <c r="AY216" s="30" t="inlineStr">
        <is>
          <t>06936357</t>
        </is>
      </c>
      <c r="AZ216" s="30" t="n">
        <v>1</v>
      </c>
      <c r="BA216" s="30" t="inlineStr">
        <is>
          <t>ROWS:p68r7 VALUE_COL:Valor_Atualizado CASE_NUMBER_CORRECTED</t>
        </is>
      </c>
    </row>
    <row r="217">
      <c r="A217" s="16" t="inlineStr">
        <is>
          <t>ALUMINIO SAO JOSE LTDA.</t>
        </is>
      </c>
      <c r="B217" s="17" t="n">
        <v>596077.15</v>
      </c>
      <c r="C217" s="18" t="inlineStr">
        <is>
          <t>GRUPO CASAS BAHIA S.A.</t>
        </is>
      </c>
      <c r="D217" s="19" t="inlineStr">
        <is>
          <t>NEW</t>
        </is>
      </c>
      <c r="E217" s="20" t="inlineStr"/>
      <c r="F217" s="19" t="inlineStr"/>
      <c r="G217" s="20" t="inlineStr"/>
      <c r="H217" s="19" t="inlineStr"/>
      <c r="I217" s="21" t="inlineStr">
        <is>
          <t>Polliana Santos</t>
        </is>
      </c>
      <c r="J217" s="21" t="inlineStr">
        <is>
          <t>Supervisor de Finanças</t>
        </is>
      </c>
      <c r="K217" s="21" t="inlineStr">
        <is>
          <t>(48) 2106-6600</t>
        </is>
      </c>
      <c r="L217" s="21" t="inlineStr"/>
      <c r="M217" s="21" t="inlineStr"/>
      <c r="N217" s="21" t="inlineStr">
        <is>
          <t>polliana@aluminiosaojose.com.br</t>
        </is>
      </c>
      <c r="O217" s="21" t="inlineStr">
        <is>
          <t>nicolau@aluminiosaojose.com.br</t>
        </is>
      </c>
      <c r="P217" s="21" t="inlineStr">
        <is>
          <t>Nicolau Back</t>
        </is>
      </c>
      <c r="Q217" s="21" t="inlineStr">
        <is>
          <t>Alcoa</t>
        </is>
      </c>
      <c r="R217" s="21" t="inlineStr"/>
      <c r="S217" s="21" t="inlineStr">
        <is>
          <t>nicolau@aluminiosaojose.com.br</t>
        </is>
      </c>
      <c r="T217" s="21" t="inlineStr">
        <is>
          <t>email verified by Apollo</t>
        </is>
      </c>
      <c r="U217" s="22" t="n">
        <v>596077.15</v>
      </c>
      <c r="V217" s="23" t="inlineStr">
        <is>
          <t>B</t>
        </is>
      </c>
      <c r="W217" s="24">
        <f>IFERROR(VLOOKUP(V217,Assumptions!$A$7:$F$11,2,FALSE),0)</f>
        <v/>
      </c>
      <c r="X217" s="25">
        <f>IF(V217="A",MAX(1,IFERROR(VLOOKUP(V217,Assumptions!$A$7:$F$11,3,FALSE),3)+IFERROR(VLOOKUP(V217,Assumptions!$A$7:$F$11,4,FALSE),8)/2-MAX(0,IF(AO217="",0,YEAR(TODAY())-AO217)-IFERROR(VLOOKUP(V217,Assumptions!$A$7:$F$11,5,FALSE),1.5))),IFERROR(VLOOKUP(V217,Assumptions!$A$7:$F$11,5,FALSE),2.5)+IFERROR(VLOOKUP(V217,Assumptions!$A$7:$F$11,3,FALSE),3)+IFERROR(VLOOKUP(V217,Assumptions!$A$7:$F$11,4,FALSE),8)/2)</f>
        <v/>
      </c>
      <c r="Y217" s="22">
        <f>U217*W217/(1+Assumptions!$B$3)^X217</f>
        <v/>
      </c>
      <c r="Z217" s="26">
        <f>IF(U217=0,"",ROUND(Y217/U217*100,1))</f>
        <v/>
      </c>
      <c r="AA217" s="27">
        <f>Y217*Assumptions!$B$4</f>
        <v/>
      </c>
      <c r="AB217" s="26">
        <f>IF(U217=0,"",ROUND(AA217/U217*100,1))</f>
        <v/>
      </c>
      <c r="AC217" s="27">
        <f>Y217-AA217</f>
        <v/>
      </c>
      <c r="AD217" s="26">
        <f>IF(U217=0,"",ROUND((Y217-AA217)/U217*100,1))</f>
        <v/>
      </c>
      <c r="AE217" s="33" t="inlineStr">
        <is>
          <t>NO TOTALS — list prints none; check page</t>
        </is>
      </c>
      <c r="AF217" s="29" t="inlineStr">
        <is>
          <t>https://scalzilliaj.com.br/sgc/download.php?file=files/processo_documento/processo_documento15180810062026_1_.pdf&amp;nome=10 - Relação de credores do art. 7º, §2º, da Lei 11.101/2005</t>
        </is>
      </c>
      <c r="AG217" s="28" t="inlineStr">
        <is>
          <t>p1 r17</t>
        </is>
      </c>
      <c r="AH217" s="28" t="inlineStr">
        <is>
          <t>p1: R$ 596.077,15</t>
        </is>
      </c>
      <c r="AI217" s="28" t="inlineStr">
        <is>
          <t>AJ list (art. 7 §2)</t>
        </is>
      </c>
      <c r="AJ217" s="28" t="inlineStr"/>
      <c r="AK217" s="28" t="inlineStr">
        <is>
          <t>NONE FOUND</t>
        </is>
      </c>
      <c r="AL217" s="30" t="inlineStr">
        <is>
          <t>5009529-81.2025.8.24.0019</t>
        </is>
      </c>
      <c r="AM217" s="30" t="inlineStr">
        <is>
          <t>TJSC</t>
        </is>
      </c>
      <c r="AN217" s="30" t="inlineStr"/>
      <c r="AO217" s="30" t="n">
        <v>2025</v>
      </c>
      <c r="AP217" s="30" t="inlineStr">
        <is>
          <t>live case, no plan document yet</t>
        </is>
      </c>
      <c r="AQ217" s="30" t="inlineStr">
        <is>
          <t>33.041.260/0652-90</t>
        </is>
      </c>
      <c r="AR217" s="30" t="inlineStr">
        <is>
          <t>registry (RFB) match</t>
        </is>
      </c>
      <c r="AS217" s="30" t="inlineStr">
        <is>
          <t>SAO JOSE</t>
        </is>
      </c>
      <c r="AT217" s="30" t="inlineStr">
        <is>
          <t>SC</t>
        </is>
      </c>
      <c r="AU217" s="30" t="inlineStr">
        <is>
          <t>Comércio atacadista de ferragens e ferramentas</t>
        </is>
      </c>
      <c r="AV217" s="30" t="inlineStr">
        <is>
          <t>DEMAIS</t>
        </is>
      </c>
      <c r="AW217" s="31" t="n">
        <v>12460000</v>
      </c>
      <c r="AX217" s="30" t="inlineStr">
        <is>
          <t>MID-MARKET</t>
        </is>
      </c>
      <c r="AY217" s="30" t="inlineStr">
        <is>
          <t>04954155</t>
        </is>
      </c>
      <c r="AZ217" s="30" t="n">
        <v>1</v>
      </c>
      <c r="BA217" s="30" t="inlineStr">
        <is>
          <t>ROWS:p1r17 UNRECONCILED_SOURCE VALUE_COL:Valor_(Art._7º,_§2º)</t>
        </is>
      </c>
    </row>
    <row r="218">
      <c r="A218" s="16" t="inlineStr">
        <is>
          <t>GRAXARIA BB LTDA</t>
        </is>
      </c>
      <c r="B218" s="17" t="n">
        <v>319660.2</v>
      </c>
      <c r="C218" s="18" t="inlineStr">
        <is>
          <t>GRUPO 3E</t>
        </is>
      </c>
      <c r="D218" s="19" t="inlineStr">
        <is>
          <t>NEW</t>
        </is>
      </c>
      <c r="E218" s="20" t="inlineStr"/>
      <c r="F218" s="19" t="inlineStr"/>
      <c r="G218" s="20" t="inlineStr"/>
      <c r="H218" s="19" t="inlineStr"/>
      <c r="I218" s="21" t="inlineStr">
        <is>
          <t>ELSON JOSE LOPES</t>
        </is>
      </c>
      <c r="J218" s="21" t="inlineStr">
        <is>
          <t>Administrador (RFB partner)</t>
        </is>
      </c>
      <c r="K218" s="21" t="inlineStr">
        <is>
          <t>(62) 8115-0283</t>
        </is>
      </c>
      <c r="L218" s="21" t="inlineStr">
        <is>
          <t>000000000000</t>
        </is>
      </c>
      <c r="M218" s="21" t="inlineStr"/>
      <c r="N218" s="21" t="inlineStr"/>
      <c r="O218" s="21" t="inlineStr"/>
      <c r="P218" s="21" t="inlineStr"/>
      <c r="Q218" s="21" t="inlineStr"/>
      <c r="R218" s="21" t="inlineStr"/>
      <c r="S218" s="21" t="inlineStr"/>
      <c r="T218" s="21" t="inlineStr">
        <is>
          <t>RFB partner (QSA); no Apollo match</t>
        </is>
      </c>
      <c r="U218" s="22" t="n">
        <v>319660.2</v>
      </c>
      <c r="V218" s="35" t="inlineStr">
        <is>
          <t>A</t>
        </is>
      </c>
      <c r="W218" s="24">
        <f>IFERROR(VLOOKUP(V218,Assumptions!$A$7:$F$11,2,FALSE),0)</f>
        <v/>
      </c>
      <c r="X218" s="25">
        <f>IF(V218="A",MAX(1,IFERROR(VLOOKUP(V218,Assumptions!$A$7:$F$11,3,FALSE),3)+IFERROR(VLOOKUP(V218,Assumptions!$A$7:$F$11,4,FALSE),8)/2-MAX(0,IF(AO218="",0,YEAR(TODAY())-AO218)-IFERROR(VLOOKUP(V218,Assumptions!$A$7:$F$11,5,FALSE),1.5))),IFERROR(VLOOKUP(V218,Assumptions!$A$7:$F$11,5,FALSE),2.5)+IFERROR(VLOOKUP(V218,Assumptions!$A$7:$F$11,3,FALSE),3)+IFERROR(VLOOKUP(V218,Assumptions!$A$7:$F$11,4,FALSE),8)/2)</f>
        <v/>
      </c>
      <c r="Y218" s="22">
        <f>U218*W218/(1+Assumptions!$B$3)^X218</f>
        <v/>
      </c>
      <c r="Z218" s="26">
        <f>IF(U218=0,"",ROUND(Y218/U218*100,1))</f>
        <v/>
      </c>
      <c r="AA218" s="27">
        <f>Y218*Assumptions!$B$4</f>
        <v/>
      </c>
      <c r="AB218" s="26">
        <f>IF(U218=0,"",ROUND(AA218/U218*100,1))</f>
        <v/>
      </c>
      <c r="AC218" s="27">
        <f>Y218-AA218</f>
        <v/>
      </c>
      <c r="AD218" s="26">
        <f>IF(U218=0,"",ROUND((Y218-AA218)/U218*100,1))</f>
        <v/>
      </c>
      <c r="AE218" s="33" t="inlineStr">
        <is>
          <t>NO TOTALS — list prints none; check page</t>
        </is>
      </c>
      <c r="AF218" s="29" t="inlineStr">
        <is>
          <t>https://stenius.com.br/wp-content/uploads/2026/06/EDITAL-GRUPO-3E.pdf</t>
        </is>
      </c>
      <c r="AG218" s="28" t="inlineStr">
        <is>
          <t>p14 r19</t>
        </is>
      </c>
      <c r="AH218" s="28" t="inlineStr">
        <is>
          <t>p14: R$ 319.660,20</t>
        </is>
      </c>
      <c r="AI218" s="28" t="inlineStr">
        <is>
          <t>Debtor list (art. 51)</t>
        </is>
      </c>
      <c r="AJ218" s="28" t="inlineStr">
        <is>
          <t>2026-06-22</t>
        </is>
      </c>
      <c r="AK218" s="28" t="inlineStr">
        <is>
          <t>PLAN DOC FOUND</t>
        </is>
      </c>
      <c r="AL218" s="30" t="inlineStr">
        <is>
          <t>5341375-33.2026.8.09.0049</t>
        </is>
      </c>
      <c r="AM218" s="30" t="inlineStr">
        <is>
          <t>TJGO</t>
        </is>
      </c>
      <c r="AN218" s="30" t="inlineStr">
        <is>
          <t>ACTIVE</t>
        </is>
      </c>
      <c r="AO218" s="30" t="n">
        <v>2026</v>
      </c>
      <c r="AP218" s="30" t="inlineStr">
        <is>
          <t>plan/homologation document found</t>
        </is>
      </c>
      <c r="AQ218" s="30" t="inlineStr"/>
      <c r="AR218" s="30" t="inlineStr">
        <is>
          <t>printed on the list (read twice)</t>
        </is>
      </c>
      <c r="AS218" s="30" t="inlineStr">
        <is>
          <t>NIQUELANDIA</t>
        </is>
      </c>
      <c r="AT218" s="30" t="inlineStr">
        <is>
          <t>GO</t>
        </is>
      </c>
      <c r="AU218" s="30" t="inlineStr">
        <is>
          <t>Preparação de subprodutos do abate</t>
        </is>
      </c>
      <c r="AV218" s="30" t="inlineStr">
        <is>
          <t>DEMAIS</t>
        </is>
      </c>
      <c r="AW218" s="31" t="n">
        <v>50000</v>
      </c>
      <c r="AX218" s="30" t="inlineStr">
        <is>
          <t>MID-MARKET</t>
        </is>
      </c>
      <c r="AY218" s="30" t="inlineStr">
        <is>
          <t>61773646</t>
        </is>
      </c>
      <c r="AZ218" s="30" t="n">
        <v>1</v>
      </c>
      <c r="BA218" s="30" t="inlineStr">
        <is>
          <t>ROWS:p14r19 UNRECONCILED_SOURCE</t>
        </is>
      </c>
    </row>
    <row r="219">
      <c r="A219" s="16" t="inlineStr">
        <is>
          <t>DELICIOUS FISH AGROINDUSTRIA E COMERCIO DE PESCADOS LTDA</t>
        </is>
      </c>
      <c r="B219" s="17" t="n">
        <v>318000</v>
      </c>
      <c r="C219" s="18" t="inlineStr">
        <is>
          <t>GRUPO 3E</t>
        </is>
      </c>
      <c r="D219" s="19" t="inlineStr">
        <is>
          <t>NEW</t>
        </is>
      </c>
      <c r="E219" s="20" t="inlineStr"/>
      <c r="F219" s="19" t="inlineStr"/>
      <c r="G219" s="20" t="inlineStr"/>
      <c r="H219" s="19" t="inlineStr"/>
      <c r="I219" s="21" t="inlineStr">
        <is>
          <t>Eliane Volek</t>
        </is>
      </c>
      <c r="J219" s="21" t="inlineStr">
        <is>
          <t>Comptroller (Controladoria)</t>
        </is>
      </c>
      <c r="K219" s="21" t="inlineStr">
        <is>
          <t>(66) 3584-1000</t>
        </is>
      </c>
      <c r="L219" s="21" t="inlineStr"/>
      <c r="M219" s="21" t="inlineStr"/>
      <c r="N219" s="21" t="inlineStr"/>
      <c r="O219" s="21" t="inlineStr"/>
      <c r="P219" s="21" t="inlineStr">
        <is>
          <t>Ney Campos</t>
        </is>
      </c>
      <c r="Q219" s="21" t="inlineStr">
        <is>
          <t>Financeiro</t>
        </is>
      </c>
      <c r="R219" s="21" t="inlineStr"/>
      <c r="S219" s="21" t="inlineStr"/>
      <c r="T219" s="21" t="inlineStr">
        <is>
          <t>no work email found in Apollo</t>
        </is>
      </c>
      <c r="U219" s="22" t="n">
        <v>318000</v>
      </c>
      <c r="V219" s="35" t="inlineStr">
        <is>
          <t>A</t>
        </is>
      </c>
      <c r="W219" s="24">
        <f>IFERROR(VLOOKUP(V219,Assumptions!$A$7:$F$11,2,FALSE),0)</f>
        <v/>
      </c>
      <c r="X219" s="25">
        <f>IF(V219="A",MAX(1,IFERROR(VLOOKUP(V219,Assumptions!$A$7:$F$11,3,FALSE),3)+IFERROR(VLOOKUP(V219,Assumptions!$A$7:$F$11,4,FALSE),8)/2-MAX(0,IF(AO219="",0,YEAR(TODAY())-AO219)-IFERROR(VLOOKUP(V219,Assumptions!$A$7:$F$11,5,FALSE),1.5))),IFERROR(VLOOKUP(V219,Assumptions!$A$7:$F$11,5,FALSE),2.5)+IFERROR(VLOOKUP(V219,Assumptions!$A$7:$F$11,3,FALSE),3)+IFERROR(VLOOKUP(V219,Assumptions!$A$7:$F$11,4,FALSE),8)/2)</f>
        <v/>
      </c>
      <c r="Y219" s="22">
        <f>U219*W219/(1+Assumptions!$B$3)^X219</f>
        <v/>
      </c>
      <c r="Z219" s="26">
        <f>IF(U219=0,"",ROUND(Y219/U219*100,1))</f>
        <v/>
      </c>
      <c r="AA219" s="27">
        <f>Y219*Assumptions!$B$4</f>
        <v/>
      </c>
      <c r="AB219" s="26">
        <f>IF(U219=0,"",ROUND(AA219/U219*100,1))</f>
        <v/>
      </c>
      <c r="AC219" s="27">
        <f>Y219-AA219</f>
        <v/>
      </c>
      <c r="AD219" s="26">
        <f>IF(U219=0,"",ROUND((Y219-AA219)/U219*100,1))</f>
        <v/>
      </c>
      <c r="AE219" s="33" t="inlineStr">
        <is>
          <t>NO TOTALS — list prints none; check page</t>
        </is>
      </c>
      <c r="AF219" s="29" t="inlineStr">
        <is>
          <t>https://stenius.com.br/wp-content/uploads/2026/06/EDITAL-GRUPO-3E.pdf</t>
        </is>
      </c>
      <c r="AG219" s="28" t="inlineStr">
        <is>
          <t>p12 r30</t>
        </is>
      </c>
      <c r="AH219" s="28" t="inlineStr">
        <is>
          <t>p12: R$ 318.000,00</t>
        </is>
      </c>
      <c r="AI219" s="28" t="inlineStr">
        <is>
          <t>Debtor list (art. 51)</t>
        </is>
      </c>
      <c r="AJ219" s="28" t="inlineStr">
        <is>
          <t>2026-06-22</t>
        </is>
      </c>
      <c r="AK219" s="28" t="inlineStr">
        <is>
          <t>PLAN DOC FOUND</t>
        </is>
      </c>
      <c r="AL219" s="30" t="inlineStr">
        <is>
          <t>5341375-33.2026.8.09.0049</t>
        </is>
      </c>
      <c r="AM219" s="30" t="inlineStr">
        <is>
          <t>TJGO</t>
        </is>
      </c>
      <c r="AN219" s="30" t="inlineStr">
        <is>
          <t>ACTIVE</t>
        </is>
      </c>
      <c r="AO219" s="30" t="n">
        <v>2026</v>
      </c>
      <c r="AP219" s="30" t="inlineStr">
        <is>
          <t>plan/homologation document found</t>
        </is>
      </c>
      <c r="AQ219" s="30" t="inlineStr"/>
      <c r="AR219" s="30" t="inlineStr">
        <is>
          <t>printed on the list (read twice)</t>
        </is>
      </c>
      <c r="AS219" s="30" t="inlineStr">
        <is>
          <t>SORRISO</t>
        </is>
      </c>
      <c r="AT219" s="30" t="inlineStr">
        <is>
          <t>MT</t>
        </is>
      </c>
      <c r="AU219" s="30" t="inlineStr">
        <is>
          <t>Fabricação de conservas de peixes, crustáceos e moluscos</t>
        </is>
      </c>
      <c r="AV219" s="30" t="inlineStr">
        <is>
          <t>DEMAIS</t>
        </is>
      </c>
      <c r="AW219" s="31" t="n">
        <v>12679850</v>
      </c>
      <c r="AX219" s="30" t="inlineStr">
        <is>
          <t>MID-MARKET</t>
        </is>
      </c>
      <c r="AY219" s="30" t="inlineStr">
        <is>
          <t>70494828</t>
        </is>
      </c>
      <c r="AZ219" s="30" t="n">
        <v>1</v>
      </c>
      <c r="BA219" s="30" t="inlineStr">
        <is>
          <t>ROWS:p12r30 UNRECONCILED_SOURCE</t>
        </is>
      </c>
    </row>
    <row r="220">
      <c r="A220" s="16" t="inlineStr">
        <is>
          <t>SUPRA EMBALAGENS LTDA</t>
        </is>
      </c>
      <c r="B220" s="17" t="n">
        <v>587814.25</v>
      </c>
      <c r="C220" s="18" t="inlineStr">
        <is>
          <t>TOP TEXTIL EMBALAGENS LTDA</t>
        </is>
      </c>
      <c r="D220" s="19" t="inlineStr">
        <is>
          <t>NEW</t>
        </is>
      </c>
      <c r="E220" s="20" t="inlineStr"/>
      <c r="F220" s="19" t="inlineStr"/>
      <c r="G220" s="20" t="inlineStr"/>
      <c r="H220" s="19" t="inlineStr"/>
      <c r="I220" s="21" t="inlineStr">
        <is>
          <t>EDILSON ARAUJO MARTINS</t>
        </is>
      </c>
      <c r="J220" s="21" t="inlineStr">
        <is>
          <t>Sócio-Administrador (RFB partner)</t>
        </is>
      </c>
      <c r="K220" s="21" t="inlineStr">
        <is>
          <t>(42) 3627-7722</t>
        </is>
      </c>
      <c r="L220" s="21" t="inlineStr"/>
      <c r="M220" s="21" t="inlineStr"/>
      <c r="N220" s="21" t="inlineStr"/>
      <c r="O220" s="21" t="inlineStr"/>
      <c r="P220" s="21" t="inlineStr">
        <is>
          <t>LUIZ CARLOS DE OLIVEIRA</t>
        </is>
      </c>
      <c r="Q220" s="21" t="inlineStr">
        <is>
          <t>Sócio-Administrador (RFB partner)</t>
        </is>
      </c>
      <c r="R220" s="21" t="inlineStr"/>
      <c r="S220" s="21" t="inlineStr"/>
      <c r="T220" s="21" t="inlineStr">
        <is>
          <t>RFB partner (QSA); no Apollo match</t>
        </is>
      </c>
      <c r="U220" s="22" t="n">
        <v>587814.25</v>
      </c>
      <c r="V220" s="23" t="inlineStr">
        <is>
          <t>B</t>
        </is>
      </c>
      <c r="W220" s="24">
        <f>IFERROR(VLOOKUP(V220,Assumptions!$A$7:$F$11,2,FALSE),0)</f>
        <v/>
      </c>
      <c r="X220" s="25">
        <f>IF(V220="A",MAX(1,IFERROR(VLOOKUP(V220,Assumptions!$A$7:$F$11,3,FALSE),3)+IFERROR(VLOOKUP(V220,Assumptions!$A$7:$F$11,4,FALSE),8)/2-MAX(0,IF(AO220="",0,YEAR(TODAY())-AO220)-IFERROR(VLOOKUP(V220,Assumptions!$A$7:$F$11,5,FALSE),1.5))),IFERROR(VLOOKUP(V220,Assumptions!$A$7:$F$11,5,FALSE),2.5)+IFERROR(VLOOKUP(V220,Assumptions!$A$7:$F$11,3,FALSE),3)+IFERROR(VLOOKUP(V220,Assumptions!$A$7:$F$11,4,FALSE),8)/2)</f>
        <v/>
      </c>
      <c r="Y220" s="22">
        <f>U220*W220/(1+Assumptions!$B$3)^X220</f>
        <v/>
      </c>
      <c r="Z220" s="26">
        <f>IF(U220=0,"",ROUND(Y220/U220*100,1))</f>
        <v/>
      </c>
      <c r="AA220" s="27">
        <f>Y220*Assumptions!$B$4</f>
        <v/>
      </c>
      <c r="AB220" s="26">
        <f>IF(U220=0,"",ROUND(AA220/U220*100,1))</f>
        <v/>
      </c>
      <c r="AC220" s="27">
        <f>Y220-AA220</f>
        <v/>
      </c>
      <c r="AD220" s="26">
        <f>IF(U220=0,"",ROUND((Y220-AA220)/U220*100,1))</f>
        <v/>
      </c>
      <c r="AE220" s="33" t="inlineStr">
        <is>
          <t>NO TOTALS — list prints none; check page</t>
        </is>
      </c>
      <c r="AF220" s="29" t="inlineStr">
        <is>
          <t>https://cataliseaj.com.br/sgc/download.php?file=files/processo_documento/processo_documento15092204102024_1_.pdf&amp;nome=02. RELAÇÃO DE CREDORES</t>
        </is>
      </c>
      <c r="AG220" s="28" t="inlineStr">
        <is>
          <t>p3 r22</t>
        </is>
      </c>
      <c r="AH220" s="28" t="inlineStr">
        <is>
          <t>p3: R$ 587.814,25</t>
        </is>
      </c>
      <c r="AI220" s="28" t="inlineStr">
        <is>
          <t>Debtor list (art. 51)</t>
        </is>
      </c>
      <c r="AJ220" s="28" t="inlineStr"/>
      <c r="AK220" s="28" t="inlineStr">
        <is>
          <t>NONE FOUND</t>
        </is>
      </c>
      <c r="AL220" s="30" t="inlineStr">
        <is>
          <t>5011460-87.2023.8.24.0020</t>
        </is>
      </c>
      <c r="AM220" s="30" t="inlineStr">
        <is>
          <t>TJSC</t>
        </is>
      </c>
      <c r="AN220" s="30" t="inlineStr">
        <is>
          <t>ACTIVE</t>
        </is>
      </c>
      <c r="AO220" s="30" t="n">
        <v>2023</v>
      </c>
      <c r="AP220" s="30" t="inlineStr">
        <is>
          <t>live case, no plan document yet</t>
        </is>
      </c>
      <c r="AQ220" s="30" t="inlineStr">
        <is>
          <t>26.588.741/0001-29</t>
        </is>
      </c>
      <c r="AR220" s="30" t="inlineStr">
        <is>
          <t>printed on the list (read twice)</t>
        </is>
      </c>
      <c r="AS220" s="30" t="inlineStr">
        <is>
          <t>GUARAPUAVA</t>
        </is>
      </c>
      <c r="AT220" s="30" t="inlineStr">
        <is>
          <t>PR</t>
        </is>
      </c>
      <c r="AU220" s="30" t="inlineStr">
        <is>
          <t>Fabricação de embalagens de material plástico</t>
        </is>
      </c>
      <c r="AV220" s="30" t="inlineStr">
        <is>
          <t>DEMAIS</t>
        </is>
      </c>
      <c r="AW220" s="31" t="n">
        <v>880000</v>
      </c>
      <c r="AX220" s="30" t="inlineStr">
        <is>
          <t>MID-MARKET</t>
        </is>
      </c>
      <c r="AY220" s="30" t="inlineStr">
        <is>
          <t>08582585</t>
        </is>
      </c>
      <c r="AZ220" s="30" t="n">
        <v>1</v>
      </c>
      <c r="BA220" s="30" t="inlineStr">
        <is>
          <t>ROWS:p3r22 UNRECONCILED_SOURCE</t>
        </is>
      </c>
    </row>
    <row r="221">
      <c r="A221" s="16" t="inlineStr">
        <is>
          <t>TOTVS S.A.</t>
        </is>
      </c>
      <c r="B221" s="17" t="n">
        <v>584334.6800000001</v>
      </c>
      <c r="C221" s="18" t="inlineStr">
        <is>
          <t>REAL DISTRIBUIDORA ÚNICA RIO COMÉRCIO DE REFRIGERAÇÃO LTDA.</t>
        </is>
      </c>
      <c r="D221" s="19" t="inlineStr">
        <is>
          <t>NEW</t>
        </is>
      </c>
      <c r="E221" s="20" t="inlineStr"/>
      <c r="F221" s="19" t="inlineStr"/>
      <c r="G221" s="20" t="inlineStr"/>
      <c r="H221" s="19" t="inlineStr"/>
      <c r="I221" s="21" t="inlineStr">
        <is>
          <t>Maiara Parisotto</t>
        </is>
      </c>
      <c r="J221" s="21" t="inlineStr">
        <is>
          <t>Gerente de Contas a Receber, Crédito e Cobrança</t>
        </is>
      </c>
      <c r="K221" s="21" t="inlineStr">
        <is>
          <t>(11) 4004-0015</t>
        </is>
      </c>
      <c r="L221" s="21" t="inlineStr"/>
      <c r="M221" s="21" t="inlineStr"/>
      <c r="N221" s="21" t="inlineStr">
        <is>
          <t>maiara.parisotto@totvs.com.br</t>
        </is>
      </c>
      <c r="O221" s="21" t="inlineStr"/>
      <c r="P221" s="21" t="inlineStr">
        <is>
          <t>ALEXANDRE HADDAD APENDINO</t>
        </is>
      </c>
      <c r="Q221" s="21" t="inlineStr">
        <is>
          <t>Diretor (RFB partner)</t>
        </is>
      </c>
      <c r="R221" s="21" t="inlineStr"/>
      <c r="S221" s="21" t="inlineStr"/>
      <c r="T221" s="21" t="inlineStr">
        <is>
          <t>email verified by Apollo</t>
        </is>
      </c>
      <c r="U221" s="22" t="n">
        <v>584334.6800000001</v>
      </c>
      <c r="V221" s="23" t="inlineStr">
        <is>
          <t>B</t>
        </is>
      </c>
      <c r="W221" s="24">
        <f>IFERROR(VLOOKUP(V221,Assumptions!$A$7:$F$11,2,FALSE),0)</f>
        <v/>
      </c>
      <c r="X221" s="25">
        <f>IF(V221="A",MAX(1,IFERROR(VLOOKUP(V221,Assumptions!$A$7:$F$11,3,FALSE),3)+IFERROR(VLOOKUP(V221,Assumptions!$A$7:$F$11,4,FALSE),8)/2-MAX(0,IF(AO221="",0,YEAR(TODAY())-AO221)-IFERROR(VLOOKUP(V221,Assumptions!$A$7:$F$11,5,FALSE),1.5))),IFERROR(VLOOKUP(V221,Assumptions!$A$7:$F$11,5,FALSE),2.5)+IFERROR(VLOOKUP(V221,Assumptions!$A$7:$F$11,3,FALSE),3)+IFERROR(VLOOKUP(V221,Assumptions!$A$7:$F$11,4,FALSE),8)/2)</f>
        <v/>
      </c>
      <c r="Y221" s="22">
        <f>U221*W221/(1+Assumptions!$B$3)^X221</f>
        <v/>
      </c>
      <c r="Z221" s="26">
        <f>IF(U221=0,"",ROUND(Y221/U221*100,1))</f>
        <v/>
      </c>
      <c r="AA221" s="27">
        <f>Y221*Assumptions!$B$4</f>
        <v/>
      </c>
      <c r="AB221" s="26">
        <f>IF(U221=0,"",ROUND(AA221/U221*100,1))</f>
        <v/>
      </c>
      <c r="AC221" s="27">
        <f>Y221-AA221</f>
        <v/>
      </c>
      <c r="AD221" s="26">
        <f>IF(U221=0,"",ROUND((Y221-AA221)/U221*100,1))</f>
        <v/>
      </c>
      <c r="AE221" s="28" t="inlineStr">
        <is>
          <t>OK — totals reconciled</t>
        </is>
      </c>
      <c r="AF221" s="29" t="inlineStr">
        <is>
          <t>https://inova-aj.com.br/wp-content/uploads/2026/08/1a-Relacao-de-Credores-Real.pdf</t>
        </is>
      </c>
      <c r="AG221" s="28" t="inlineStr">
        <is>
          <t>p2 r11</t>
        </is>
      </c>
      <c r="AH221" s="28" t="inlineStr">
        <is>
          <t>p2: R$ 584.334,68</t>
        </is>
      </c>
      <c r="AI221" s="28" t="inlineStr">
        <is>
          <t>AJ list (art. 7 §2)</t>
        </is>
      </c>
      <c r="AJ221" s="28" t="inlineStr">
        <is>
          <t>2023-06-05</t>
        </is>
      </c>
      <c r="AK221" s="28" t="inlineStr">
        <is>
          <t>NONE FOUND</t>
        </is>
      </c>
      <c r="AL221" s="30" t="inlineStr">
        <is>
          <t>0873061-47.2023.8.19.0001</t>
        </is>
      </c>
      <c r="AM221" s="30" t="inlineStr">
        <is>
          <t>TJRJ</t>
        </is>
      </c>
      <c r="AN221" s="30" t="inlineStr"/>
      <c r="AO221" s="30" t="n">
        <v>2023</v>
      </c>
      <c r="AP221" s="30" t="inlineStr">
        <is>
          <t>live case, no plan document yet</t>
        </is>
      </c>
      <c r="AQ221" s="30" t="inlineStr"/>
      <c r="AR221" s="30" t="inlineStr">
        <is>
          <t>printed on the list (read twice)</t>
        </is>
      </c>
      <c r="AS221" s="30" t="inlineStr">
        <is>
          <t>SAO PAULO</t>
        </is>
      </c>
      <c r="AT221" s="30" t="inlineStr">
        <is>
          <t>SP</t>
        </is>
      </c>
      <c r="AU221" s="30" t="inlineStr">
        <is>
          <t>Desenvolvimento de programas de computador sob encomenda</t>
        </is>
      </c>
      <c r="AV221" s="30" t="inlineStr">
        <is>
          <t>DEMAIS</t>
        </is>
      </c>
      <c r="AW221" s="31" t="n">
        <v>2962584600</v>
      </c>
      <c r="AX221" s="30" t="inlineStr">
        <is>
          <t>LARGE CORP</t>
        </is>
      </c>
      <c r="AY221" s="30" t="inlineStr">
        <is>
          <t>53113791</t>
        </is>
      </c>
      <c r="AZ221" s="30" t="n">
        <v>1</v>
      </c>
      <c r="BA221" s="30" t="inlineStr">
        <is>
          <t>ALT_VALUE:R$424.874,45 ROWS:p2r11</t>
        </is>
      </c>
    </row>
    <row r="222">
      <c r="A222" s="16" t="inlineStr">
        <is>
          <t>LICHT COMERCIO IMPORTACAO E EXPORTACAO LTDA</t>
        </is>
      </c>
      <c r="B222" s="17" t="n">
        <v>583200</v>
      </c>
      <c r="C222" s="37" t="inlineStr">
        <is>
          <t>(debtor not identified — see proof)</t>
        </is>
      </c>
      <c r="D222" s="19" t="inlineStr">
        <is>
          <t>NEW</t>
        </is>
      </c>
      <c r="E222" s="20" t="inlineStr"/>
      <c r="F222" s="19" t="inlineStr"/>
      <c r="G222" s="20" t="inlineStr"/>
      <c r="H222" s="19" t="inlineStr"/>
      <c r="I222" s="21" t="inlineStr">
        <is>
          <t>RODRIGO ABEL TENORIO</t>
        </is>
      </c>
      <c r="J222" s="21" t="inlineStr">
        <is>
          <t>Sócio-Administrador (RFB partner)</t>
        </is>
      </c>
      <c r="K222" s="21" t="inlineStr">
        <is>
          <t>(11) 2724-2007</t>
        </is>
      </c>
      <c r="L222" s="21" t="inlineStr"/>
      <c r="M222" s="21" t="inlineStr"/>
      <c r="N222" s="21" t="inlineStr"/>
      <c r="O222" s="21" t="inlineStr"/>
      <c r="P222" s="21" t="inlineStr"/>
      <c r="Q222" s="21" t="inlineStr"/>
      <c r="R222" s="21" t="inlineStr"/>
      <c r="S222" s="21" t="inlineStr"/>
      <c r="T222" s="21" t="inlineStr">
        <is>
          <t>RFB partner (QSA); no Apollo match</t>
        </is>
      </c>
      <c r="U222" s="22" t="n">
        <v>583200</v>
      </c>
      <c r="V222" s="23" t="inlineStr">
        <is>
          <t>B</t>
        </is>
      </c>
      <c r="W222" s="24">
        <f>IFERROR(VLOOKUP(V222,Assumptions!$A$7:$F$11,2,FALSE),0)</f>
        <v/>
      </c>
      <c r="X222" s="25">
        <f>IF(V222="A",MAX(1,IFERROR(VLOOKUP(V222,Assumptions!$A$7:$F$11,3,FALSE),3)+IFERROR(VLOOKUP(V222,Assumptions!$A$7:$F$11,4,FALSE),8)/2-MAX(0,IF(AO222="",0,YEAR(TODAY())-AO222)-IFERROR(VLOOKUP(V222,Assumptions!$A$7:$F$11,5,FALSE),1.5))),IFERROR(VLOOKUP(V222,Assumptions!$A$7:$F$11,5,FALSE),2.5)+IFERROR(VLOOKUP(V222,Assumptions!$A$7:$F$11,3,FALSE),3)+IFERROR(VLOOKUP(V222,Assumptions!$A$7:$F$11,4,FALSE),8)/2)</f>
        <v/>
      </c>
      <c r="Y222" s="22">
        <f>U222*W222/(1+Assumptions!$B$3)^X222</f>
        <v/>
      </c>
      <c r="Z222" s="26">
        <f>IF(U222=0,"",ROUND(Y222/U222*100,1))</f>
        <v/>
      </c>
      <c r="AA222" s="27">
        <f>Y222*Assumptions!$B$4</f>
        <v/>
      </c>
      <c r="AB222" s="26">
        <f>IF(U222=0,"",ROUND(AA222/U222*100,1))</f>
        <v/>
      </c>
      <c r="AC222" s="27">
        <f>Y222-AA222</f>
        <v/>
      </c>
      <c r="AD222" s="26">
        <f>IF(U222=0,"",ROUND((Y222-AA222)/U222*100,1))</f>
        <v/>
      </c>
      <c r="AE222" s="28" t="inlineStr">
        <is>
          <t>OK — totals reconciled</t>
        </is>
      </c>
      <c r="AF222" s="29" t="inlineStr">
        <is>
          <t>https://ajruiz.com.br/sites/default/files/public/arquivos-processos/2024-04/relacao_de_credores_recuperanda_1.pdf</t>
        </is>
      </c>
      <c r="AG222" s="28" t="inlineStr">
        <is>
          <t>p8 r1; p8 r2; p8 r3; p8 r4; p8 r5; p8 r6; p8 r7; p8 r8; p8 r9</t>
        </is>
      </c>
      <c r="AH222" s="28" t="inlineStr">
        <is>
          <t>p8: R$ 70.000,00; p8: R$ 196.000,00; p8: R$ 1.500,00; p8: R$ 52.500,00; p8: R$ 58.800,00; p8: R$ 182.000,00; p8: R$ 196.000,00; p8: R$ 196.000,00; p8: R$ 22.400,00</t>
        </is>
      </c>
      <c r="AI222" s="28" t="inlineStr">
        <is>
          <t>QGC (art. 18)</t>
        </is>
      </c>
      <c r="AJ222" s="28" t="inlineStr">
        <is>
          <t>2024-01-31</t>
        </is>
      </c>
      <c r="AK222" s="28" t="inlineStr">
        <is>
          <t>NONE FOUND</t>
        </is>
      </c>
      <c r="AL222" s="30" t="inlineStr">
        <is>
          <t>1022634-27.2024.8.26.0100</t>
        </is>
      </c>
      <c r="AM222" s="30" t="inlineStr">
        <is>
          <t>TJSP</t>
        </is>
      </c>
      <c r="AN222" s="30" t="inlineStr"/>
      <c r="AO222" s="30" t="n">
        <v>2024</v>
      </c>
      <c r="AP222" s="30" t="inlineStr">
        <is>
          <t>live case, no plan document yet</t>
        </is>
      </c>
      <c r="AQ222" s="30" t="inlineStr"/>
      <c r="AR222" s="30" t="inlineStr">
        <is>
          <t>not identified</t>
        </is>
      </c>
      <c r="AS222" s="30" t="inlineStr">
        <is>
          <t>RIBEIRAO PRETO</t>
        </is>
      </c>
      <c r="AT222" s="30" t="inlineStr">
        <is>
          <t>SP</t>
        </is>
      </c>
      <c r="AU222" s="30" t="inlineStr">
        <is>
          <t>Serviços combinados de escritório e apoio administrativo</t>
        </is>
      </c>
      <c r="AV222" s="30" t="inlineStr">
        <is>
          <t>DEMAIS</t>
        </is>
      </c>
      <c r="AW222" s="31" t="n">
        <v>110000</v>
      </c>
      <c r="AX222" s="30" t="inlineStr">
        <is>
          <t>MID-MARKET</t>
        </is>
      </c>
      <c r="AY222" s="30" t="inlineStr">
        <is>
          <t>40777556</t>
        </is>
      </c>
      <c r="AZ222" s="30" t="n">
        <v>7</v>
      </c>
      <c r="BA222" s="30" t="inlineStr">
        <is>
          <t>ROWS:p8r1,p8r2,p8r3,p8r4,p8r5,p8r6,p8r9 CASE_NUMBER_CORRECTED</t>
        </is>
      </c>
    </row>
    <row r="223">
      <c r="A223" s="16" t="inlineStr">
        <is>
          <t>TELEFONICA CLOUD E TECNOLOGIA DO BRASIL S.A.</t>
        </is>
      </c>
      <c r="B223" s="17" t="n">
        <v>581750.48</v>
      </c>
      <c r="C223" s="18" t="inlineStr">
        <is>
          <t>Grupo Rech</t>
        </is>
      </c>
      <c r="D223" s="19" t="inlineStr">
        <is>
          <t>NEW</t>
        </is>
      </c>
      <c r="E223" s="20" t="inlineStr"/>
      <c r="F223" s="19" t="inlineStr"/>
      <c r="G223" s="20" t="inlineStr"/>
      <c r="H223" s="19" t="inlineStr"/>
      <c r="I223" s="21" t="inlineStr">
        <is>
          <t>DEBORA HEREDIA IGNACIO BORTOLASI</t>
        </is>
      </c>
      <c r="J223" s="21" t="inlineStr">
        <is>
          <t>Presidente (RFB partner)</t>
        </is>
      </c>
      <c r="K223" s="21" t="inlineStr">
        <is>
          <t>(11) 3430-2145</t>
        </is>
      </c>
      <c r="L223" s="21" t="inlineStr"/>
      <c r="M223" s="21" t="inlineStr"/>
      <c r="N223" s="21" t="inlineStr"/>
      <c r="O223" s="21" t="inlineStr"/>
      <c r="P223" s="21" t="inlineStr">
        <is>
          <t>BRENO RODRIGO PACHECO DE OLIVEIRA</t>
        </is>
      </c>
      <c r="Q223" s="21" t="inlineStr">
        <is>
          <t>Diretor (RFB partner)</t>
        </is>
      </c>
      <c r="R223" s="21" t="inlineStr"/>
      <c r="S223" s="21" t="inlineStr"/>
      <c r="T223" s="21" t="inlineStr">
        <is>
          <t>RFB partner (QSA); no Apollo match</t>
        </is>
      </c>
      <c r="U223" s="22" t="n">
        <v>581750.48</v>
      </c>
      <c r="V223" s="23" t="inlineStr">
        <is>
          <t>B</t>
        </is>
      </c>
      <c r="W223" s="24">
        <f>IFERROR(VLOOKUP(V223,Assumptions!$A$7:$F$11,2,FALSE),0)</f>
        <v/>
      </c>
      <c r="X223" s="25">
        <f>IF(V223="A",MAX(1,IFERROR(VLOOKUP(V223,Assumptions!$A$7:$F$11,3,FALSE),3)+IFERROR(VLOOKUP(V223,Assumptions!$A$7:$F$11,4,FALSE),8)/2-MAX(0,IF(AO223="",0,YEAR(TODAY())-AO223)-IFERROR(VLOOKUP(V223,Assumptions!$A$7:$F$11,5,FALSE),1.5))),IFERROR(VLOOKUP(V223,Assumptions!$A$7:$F$11,5,FALSE),2.5)+IFERROR(VLOOKUP(V223,Assumptions!$A$7:$F$11,3,FALSE),3)+IFERROR(VLOOKUP(V223,Assumptions!$A$7:$F$11,4,FALSE),8)/2)</f>
        <v/>
      </c>
      <c r="Y223" s="22">
        <f>U223*W223/(1+Assumptions!$B$3)^X223</f>
        <v/>
      </c>
      <c r="Z223" s="26">
        <f>IF(U223=0,"",ROUND(Y223/U223*100,1))</f>
        <v/>
      </c>
      <c r="AA223" s="27">
        <f>Y223*Assumptions!$B$4</f>
        <v/>
      </c>
      <c r="AB223" s="26">
        <f>IF(U223=0,"",ROUND(AA223/U223*100,1))</f>
        <v/>
      </c>
      <c r="AC223" s="27">
        <f>Y223-AA223</f>
        <v/>
      </c>
      <c r="AD223" s="26">
        <f>IF(U223=0,"",ROUND((Y223-AA223)/U223*100,1))</f>
        <v/>
      </c>
      <c r="AE223" s="36" t="inlineStr">
        <is>
          <t>CHECK — source is not a statutory creditor list</t>
        </is>
      </c>
      <c r="AF223" s="29" t="inlineStr">
        <is>
          <t>https://credibilita.com.br/wp-content/uploads/2025/09/Relacao-Credores-29.04.2026.pdf</t>
        </is>
      </c>
      <c r="AG223" s="28" t="inlineStr">
        <is>
          <t>p2 r20</t>
        </is>
      </c>
      <c r="AH223" s="28" t="inlineStr">
        <is>
          <t>p2: R$ 581.750,48</t>
        </is>
      </c>
      <c r="AI223" s="28" t="inlineStr">
        <is>
          <t>Quorum list — NOT an art. 7/51 list</t>
        </is>
      </c>
      <c r="AJ223" s="28" t="inlineStr"/>
      <c r="AK223" s="28" t="inlineStr">
        <is>
          <t>NONE FOUND</t>
        </is>
      </c>
      <c r="AL223" s="30" t="inlineStr">
        <is>
          <t>5057720-48.2025.8.24.0023</t>
        </is>
      </c>
      <c r="AM223" s="30" t="inlineStr">
        <is>
          <t>TJSC</t>
        </is>
      </c>
      <c r="AN223" s="30" t="inlineStr"/>
      <c r="AO223" s="30" t="n">
        <v>2025</v>
      </c>
      <c r="AP223" s="30" t="inlineStr">
        <is>
          <t>live case, no plan document yet</t>
        </is>
      </c>
      <c r="AQ223" s="30" t="inlineStr"/>
      <c r="AR223" s="30" t="inlineStr">
        <is>
          <t>portal page title / URL — not printed on the list</t>
        </is>
      </c>
      <c r="AS223" s="30" t="inlineStr">
        <is>
          <t>SANTANA DE PARNAIBA</t>
        </is>
      </c>
      <c r="AT223" s="30" t="inlineStr">
        <is>
          <t>SP</t>
        </is>
      </c>
      <c r="AU223" s="30" t="inlineStr">
        <is>
          <t>Consultoria em tecnologia da informação</t>
        </is>
      </c>
      <c r="AV223" s="30" t="inlineStr">
        <is>
          <t>DEMAIS</t>
        </is>
      </c>
      <c r="AW223" s="31" t="n">
        <v>213236350</v>
      </c>
      <c r="AX223" s="30" t="inlineStr">
        <is>
          <t>MID-MARKET</t>
        </is>
      </c>
      <c r="AY223" s="30" t="inlineStr">
        <is>
          <t>35473014</t>
        </is>
      </c>
      <c r="AZ223" s="30" t="n">
        <v>1</v>
      </c>
      <c r="BA223" s="30" t="inlineStr">
        <is>
          <t>ROWS:p2r20 UNRECONCILED_SOURCE VALUE_COL:Valor_Após_Analise CASE_NUMBER_CORRECTED</t>
        </is>
      </c>
    </row>
    <row r="224">
      <c r="A224" s="16" t="inlineStr">
        <is>
          <t>ASK CRIOS PRODUTOS QUIMICOS DO BRASIL LTDA</t>
        </is>
      </c>
      <c r="B224" s="17" t="n">
        <v>2270274.68</v>
      </c>
      <c r="C224" s="18" t="inlineStr">
        <is>
          <t>FORMAPLAN FORMAS PLANEJADAS INDÚSTRIA E COMÉRCIO LTDA</t>
        </is>
      </c>
      <c r="D224" s="19" t="inlineStr">
        <is>
          <t>NEW</t>
        </is>
      </c>
      <c r="E224" s="20" t="inlineStr"/>
      <c r="F224" s="19" t="inlineStr"/>
      <c r="G224" s="20" t="inlineStr"/>
      <c r="H224" s="19" t="inlineStr"/>
      <c r="I224" s="21" t="inlineStr">
        <is>
          <t>LUIS ROBERTO OLIVEIRA DEGASPARI</t>
        </is>
      </c>
      <c r="J224" s="21" t="inlineStr">
        <is>
          <t>Administrador (RFB partner)</t>
        </is>
      </c>
      <c r="K224" s="21" t="inlineStr">
        <is>
          <t>(19) 9953-9805</t>
        </is>
      </c>
      <c r="L224" s="21" t="inlineStr"/>
      <c r="M224" s="21" t="inlineStr"/>
      <c r="N224" s="21" t="inlineStr"/>
      <c r="O224" s="21" t="inlineStr"/>
      <c r="P224" s="21" t="inlineStr">
        <is>
          <t>MICHELINE WANDERLEY DE ARAUJO</t>
        </is>
      </c>
      <c r="Q224" s="21" t="inlineStr">
        <is>
          <t>Administrador (RFB partner)</t>
        </is>
      </c>
      <c r="R224" s="21" t="inlineStr"/>
      <c r="S224" s="21" t="inlineStr"/>
      <c r="T224" s="21" t="inlineStr">
        <is>
          <t>RFB partner (QSA); no Apollo match</t>
        </is>
      </c>
      <c r="U224" s="22" t="n">
        <v>2270274.68</v>
      </c>
      <c r="V224" s="38" t="inlineStr">
        <is>
          <t>C</t>
        </is>
      </c>
      <c r="W224" s="24">
        <f>IFERROR(VLOOKUP(V224,Assumptions!$A$7:$F$11,2,FALSE),0)</f>
        <v/>
      </c>
      <c r="X224" s="25">
        <f>IF(V224="A",MAX(1,IFERROR(VLOOKUP(V224,Assumptions!$A$7:$F$11,3,FALSE),3)+IFERROR(VLOOKUP(V224,Assumptions!$A$7:$F$11,4,FALSE),8)/2-MAX(0,IF(AO224="",0,YEAR(TODAY())-AO224)-IFERROR(VLOOKUP(V224,Assumptions!$A$7:$F$11,5,FALSE),1.5))),IFERROR(VLOOKUP(V224,Assumptions!$A$7:$F$11,5,FALSE),2.5)+IFERROR(VLOOKUP(V224,Assumptions!$A$7:$F$11,3,FALSE),3)+IFERROR(VLOOKUP(V224,Assumptions!$A$7:$F$11,4,FALSE),8)/2)</f>
        <v/>
      </c>
      <c r="Y224" s="22">
        <f>U224*W224/(1+Assumptions!$B$3)^X224</f>
        <v/>
      </c>
      <c r="Z224" s="26">
        <f>IF(U224=0,"",ROUND(Y224/U224*100,1))</f>
        <v/>
      </c>
      <c r="AA224" s="27">
        <f>Y224*Assumptions!$B$4</f>
        <v/>
      </c>
      <c r="AB224" s="26">
        <f>IF(U224=0,"",ROUND(AA224/U224*100,1))</f>
        <v/>
      </c>
      <c r="AC224" s="27">
        <f>Y224-AA224</f>
        <v/>
      </c>
      <c r="AD224" s="26">
        <f>IF(U224=0,"",ROUND((Y224-AA224)/U224*100,1))</f>
        <v/>
      </c>
      <c r="AE224" s="34" t="inlineStr">
        <is>
          <t>PARTIAL — class III reconciled, other classes not</t>
        </is>
      </c>
      <c r="AF224" s="29" t="inlineStr">
        <is>
          <t>https://marquesadmjudicial.com.br/sgc/download.php?file=files/processo_documento/processo_documento15232121112024_1_.pdf&amp;nome=Relação de Credores</t>
        </is>
      </c>
      <c r="AG224" s="28" t="inlineStr">
        <is>
          <t>p15 r19</t>
        </is>
      </c>
      <c r="AH224" s="28" t="inlineStr">
        <is>
          <t>p15: R$ 2.270.274,68</t>
        </is>
      </c>
      <c r="AI224" s="28" t="inlineStr">
        <is>
          <t>AJ list (art. 7 §2)</t>
        </is>
      </c>
      <c r="AJ224" s="28" t="inlineStr">
        <is>
          <t>2021-01-22</t>
        </is>
      </c>
      <c r="AK224" s="28" t="inlineStr">
        <is>
          <t>NONE FOUND</t>
        </is>
      </c>
      <c r="AL224" s="30" t="inlineStr">
        <is>
          <t>0000410-68.2021.8.16.0174</t>
        </is>
      </c>
      <c r="AM224" s="30" t="inlineStr">
        <is>
          <t>TJPR</t>
        </is>
      </c>
      <c r="AN224" s="30" t="inlineStr">
        <is>
          <t>ACTIVE</t>
        </is>
      </c>
      <c r="AO224" s="30" t="n">
        <v>2021</v>
      </c>
      <c r="AP224" s="30" t="inlineStr">
        <is>
          <t>5y since filing, no plan document</t>
        </is>
      </c>
      <c r="AQ224" s="30" t="inlineStr">
        <is>
          <t>00.262.371/0001-41</t>
        </is>
      </c>
      <c r="AR224" s="30" t="inlineStr">
        <is>
          <t>printed on the list (read twice)</t>
        </is>
      </c>
      <c r="AS224" s="30" t="inlineStr">
        <is>
          <t>RIO CLARO</t>
        </is>
      </c>
      <c r="AT224" s="30" t="inlineStr">
        <is>
          <t>SP</t>
        </is>
      </c>
      <c r="AU224" s="30" t="inlineStr">
        <is>
          <t>Fabricação de resinas termofixas</t>
        </is>
      </c>
      <c r="AV224" s="30" t="inlineStr">
        <is>
          <t>DEMAIS</t>
        </is>
      </c>
      <c r="AW224" s="31" t="n">
        <v>25190928</v>
      </c>
      <c r="AX224" s="30" t="inlineStr">
        <is>
          <t>MID-MARKET</t>
        </is>
      </c>
      <c r="AY224" s="30" t="inlineStr">
        <is>
          <t>44246528</t>
        </is>
      </c>
      <c r="AZ224" s="30" t="n">
        <v>1</v>
      </c>
      <c r="BA224" s="30" t="inlineStr">
        <is>
          <t>PARTIAL_DOC_CLASS_III_RECONCILED ROWS:p15r19</t>
        </is>
      </c>
    </row>
    <row r="225">
      <c r="A225" s="16" t="inlineStr">
        <is>
          <t>VERTICE CONSTRUTORA E INCORPORADORA LTDA</t>
        </is>
      </c>
      <c r="B225" s="17" t="n">
        <v>580000</v>
      </c>
      <c r="C225" s="18" t="inlineStr">
        <is>
          <t>GRUPO CASAS BAHIA S.A.</t>
        </is>
      </c>
      <c r="D225" s="19" t="inlineStr">
        <is>
          <t>NEW</t>
        </is>
      </c>
      <c r="E225" s="20" t="inlineStr"/>
      <c r="F225" s="19" t="inlineStr"/>
      <c r="G225" s="20" t="inlineStr"/>
      <c r="H225" s="19" t="inlineStr"/>
      <c r="I225" s="21" t="inlineStr">
        <is>
          <t>GIANCARLOS AGNOLETTO</t>
        </is>
      </c>
      <c r="J225" s="21" t="inlineStr">
        <is>
          <t>Sócio-Administrador (RFB partner)</t>
        </is>
      </c>
      <c r="K225" s="21" t="inlineStr">
        <is>
          <t>(49) 3322-1111</t>
        </is>
      </c>
      <c r="L225" s="21" t="inlineStr"/>
      <c r="M225" s="21" t="inlineStr"/>
      <c r="N225" s="21" t="inlineStr"/>
      <c r="O225" s="21" t="inlineStr"/>
      <c r="P225" s="21" t="inlineStr"/>
      <c r="Q225" s="21" t="inlineStr"/>
      <c r="R225" s="21" t="inlineStr"/>
      <c r="S225" s="21" t="inlineStr"/>
      <c r="T225" s="21" t="inlineStr">
        <is>
          <t>RFB partner (QSA); no Apollo match</t>
        </is>
      </c>
      <c r="U225" s="22" t="n">
        <v>580000</v>
      </c>
      <c r="V225" s="23" t="inlineStr">
        <is>
          <t>B</t>
        </is>
      </c>
      <c r="W225" s="24">
        <f>IFERROR(VLOOKUP(V225,Assumptions!$A$7:$F$11,2,FALSE),0)</f>
        <v/>
      </c>
      <c r="X225" s="25">
        <f>IF(V225="A",MAX(1,IFERROR(VLOOKUP(V225,Assumptions!$A$7:$F$11,3,FALSE),3)+IFERROR(VLOOKUP(V225,Assumptions!$A$7:$F$11,4,FALSE),8)/2-MAX(0,IF(AO225="",0,YEAR(TODAY())-AO225)-IFERROR(VLOOKUP(V225,Assumptions!$A$7:$F$11,5,FALSE),1.5))),IFERROR(VLOOKUP(V225,Assumptions!$A$7:$F$11,5,FALSE),2.5)+IFERROR(VLOOKUP(V225,Assumptions!$A$7:$F$11,3,FALSE),3)+IFERROR(VLOOKUP(V225,Assumptions!$A$7:$F$11,4,FALSE),8)/2)</f>
        <v/>
      </c>
      <c r="Y225" s="22">
        <f>U225*W225/(1+Assumptions!$B$3)^X225</f>
        <v/>
      </c>
      <c r="Z225" s="26">
        <f>IF(U225=0,"",ROUND(Y225/U225*100,1))</f>
        <v/>
      </c>
      <c r="AA225" s="27">
        <f>Y225*Assumptions!$B$4</f>
        <v/>
      </c>
      <c r="AB225" s="26">
        <f>IF(U225=0,"",ROUND(AA225/U225*100,1))</f>
        <v/>
      </c>
      <c r="AC225" s="27">
        <f>Y225-AA225</f>
        <v/>
      </c>
      <c r="AD225" s="26">
        <f>IF(U225=0,"",ROUND((Y225-AA225)/U225*100,1))</f>
        <v/>
      </c>
      <c r="AE225" s="33" t="inlineStr">
        <is>
          <t>NO TOTALS — list prints none; check page</t>
        </is>
      </c>
      <c r="AF225" s="29" t="inlineStr">
        <is>
          <t>https://scalzilliaj.com.br/sgc/download.php?file=files/processo_documento/processo_documento15180810062026_1_.pdf&amp;nome=10 - Relação de credores do art. 7º, §2º, da Lei 11.101/2005</t>
        </is>
      </c>
      <c r="AG225" s="28" t="inlineStr">
        <is>
          <t>p2 r43</t>
        </is>
      </c>
      <c r="AH225" s="28" t="inlineStr">
        <is>
          <t>p2: R$ 580.000,00</t>
        </is>
      </c>
      <c r="AI225" s="28" t="inlineStr">
        <is>
          <t>AJ list (art. 7 §2)</t>
        </is>
      </c>
      <c r="AJ225" s="28" t="inlineStr"/>
      <c r="AK225" s="28" t="inlineStr">
        <is>
          <t>NONE FOUND</t>
        </is>
      </c>
      <c r="AL225" s="30" t="inlineStr">
        <is>
          <t>5009529-81.2025.8.24.0019</t>
        </is>
      </c>
      <c r="AM225" s="30" t="inlineStr">
        <is>
          <t>TJSC</t>
        </is>
      </c>
      <c r="AN225" s="30" t="inlineStr"/>
      <c r="AO225" s="30" t="n">
        <v>2025</v>
      </c>
      <c r="AP225" s="30" t="inlineStr">
        <is>
          <t>live case, no plan document yet</t>
        </is>
      </c>
      <c r="AQ225" s="30" t="inlineStr">
        <is>
          <t>33.041.260/0652-90</t>
        </is>
      </c>
      <c r="AR225" s="30" t="inlineStr">
        <is>
          <t>registry (RFB) match</t>
        </is>
      </c>
      <c r="AS225" s="30" t="inlineStr">
        <is>
          <t>CHAPECO</t>
        </is>
      </c>
      <c r="AT225" s="30" t="inlineStr">
        <is>
          <t>SC</t>
        </is>
      </c>
      <c r="AU225" s="30" t="inlineStr">
        <is>
          <t>Incorporação de empreendimentos imobiliários</t>
        </is>
      </c>
      <c r="AV225" s="30" t="inlineStr">
        <is>
          <t>DEMAIS</t>
        </is>
      </c>
      <c r="AW225" s="31" t="n">
        <v>1000000</v>
      </c>
      <c r="AX225" s="30" t="inlineStr">
        <is>
          <t>MID-MARKET</t>
        </is>
      </c>
      <c r="AY225" s="30" t="inlineStr">
        <is>
          <t>07120505</t>
        </is>
      </c>
      <c r="AZ225" s="30" t="n">
        <v>1</v>
      </c>
      <c r="BA225" s="30" t="inlineStr">
        <is>
          <t>ROWS:p2r43 UNRECONCILED_SOURCE</t>
        </is>
      </c>
    </row>
    <row r="226">
      <c r="A226" s="16" t="inlineStr">
        <is>
          <t>CRBS S/A</t>
        </is>
      </c>
      <c r="B226" s="17" t="n">
        <v>308761.42</v>
      </c>
      <c r="C226" s="18" t="inlineStr">
        <is>
          <t>GRUPO 3E</t>
        </is>
      </c>
      <c r="D226" s="19" t="inlineStr">
        <is>
          <t>NEW</t>
        </is>
      </c>
      <c r="E226" s="20" t="inlineStr"/>
      <c r="F226" s="19" t="inlineStr"/>
      <c r="G226" s="20" t="inlineStr"/>
      <c r="H226" s="19" t="inlineStr"/>
      <c r="I226" s="21" t="inlineStr">
        <is>
          <t>AUGUSTO GABRIEL ANDRADE GARCIA CATTANEO</t>
        </is>
      </c>
      <c r="J226" s="21" t="inlineStr">
        <is>
          <t>Diretor (RFB partner)</t>
        </is>
      </c>
      <c r="K226" s="21" t="inlineStr">
        <is>
          <t>(19) 3313-5680</t>
        </is>
      </c>
      <c r="L226" s="21" t="inlineStr">
        <is>
          <t>(19) 3313-6000</t>
        </is>
      </c>
      <c r="M226" s="21" t="inlineStr"/>
      <c r="N226" s="21" t="inlineStr"/>
      <c r="O226" s="21" t="inlineStr"/>
      <c r="P226" s="21" t="inlineStr">
        <is>
          <t>DANIELA GAVRANIC CACHICH</t>
        </is>
      </c>
      <c r="Q226" s="21" t="inlineStr">
        <is>
          <t>Diretor (RFB partner)</t>
        </is>
      </c>
      <c r="R226" s="21" t="inlineStr"/>
      <c r="S226" s="21" t="inlineStr"/>
      <c r="T226" s="21" t="inlineStr">
        <is>
          <t>RFB partner (QSA); no Apollo match</t>
        </is>
      </c>
      <c r="U226" s="22" t="n">
        <v>308761.42</v>
      </c>
      <c r="V226" s="35" t="inlineStr">
        <is>
          <t>A</t>
        </is>
      </c>
      <c r="W226" s="24">
        <f>IFERROR(VLOOKUP(V226,Assumptions!$A$7:$F$11,2,FALSE),0)</f>
        <v/>
      </c>
      <c r="X226" s="25">
        <f>IF(V226="A",MAX(1,IFERROR(VLOOKUP(V226,Assumptions!$A$7:$F$11,3,FALSE),3)+IFERROR(VLOOKUP(V226,Assumptions!$A$7:$F$11,4,FALSE),8)/2-MAX(0,IF(AO226="",0,YEAR(TODAY())-AO226)-IFERROR(VLOOKUP(V226,Assumptions!$A$7:$F$11,5,FALSE),1.5))),IFERROR(VLOOKUP(V226,Assumptions!$A$7:$F$11,5,FALSE),2.5)+IFERROR(VLOOKUP(V226,Assumptions!$A$7:$F$11,3,FALSE),3)+IFERROR(VLOOKUP(V226,Assumptions!$A$7:$F$11,4,FALSE),8)/2)</f>
        <v/>
      </c>
      <c r="Y226" s="22">
        <f>U226*W226/(1+Assumptions!$B$3)^X226</f>
        <v/>
      </c>
      <c r="Z226" s="26">
        <f>IF(U226=0,"",ROUND(Y226/U226*100,1))</f>
        <v/>
      </c>
      <c r="AA226" s="27">
        <f>Y226*Assumptions!$B$4</f>
        <v/>
      </c>
      <c r="AB226" s="26">
        <f>IF(U226=0,"",ROUND(AA226/U226*100,1))</f>
        <v/>
      </c>
      <c r="AC226" s="27">
        <f>Y226-AA226</f>
        <v/>
      </c>
      <c r="AD226" s="26">
        <f>IF(U226=0,"",ROUND((Y226-AA226)/U226*100,1))</f>
        <v/>
      </c>
      <c r="AE226" s="33" t="inlineStr">
        <is>
          <t>NO TOTALS — list prints none; check page</t>
        </is>
      </c>
      <c r="AF226" s="29" t="inlineStr">
        <is>
          <t>https://stenius.com.br/wp-content/uploads/2026/06/EDITAL-GRUPO-3E.pdf</t>
        </is>
      </c>
      <c r="AG226" s="28" t="inlineStr">
        <is>
          <t>p9 r31</t>
        </is>
      </c>
      <c r="AH226" s="28" t="inlineStr">
        <is>
          <t>p9: R$ 308.761,42</t>
        </is>
      </c>
      <c r="AI226" s="28" t="inlineStr">
        <is>
          <t>Debtor list (art. 51)</t>
        </is>
      </c>
      <c r="AJ226" s="28" t="inlineStr">
        <is>
          <t>2026-06-22</t>
        </is>
      </c>
      <c r="AK226" s="28" t="inlineStr">
        <is>
          <t>PLAN DOC FOUND</t>
        </is>
      </c>
      <c r="AL226" s="30" t="inlineStr">
        <is>
          <t>5341375-33.2026.8.09.0049</t>
        </is>
      </c>
      <c r="AM226" s="30" t="inlineStr">
        <is>
          <t>TJGO</t>
        </is>
      </c>
      <c r="AN226" s="30" t="inlineStr">
        <is>
          <t>ACTIVE</t>
        </is>
      </c>
      <c r="AO226" s="30" t="n">
        <v>2026</v>
      </c>
      <c r="AP226" s="30" t="inlineStr">
        <is>
          <t>plan/homologation document found</t>
        </is>
      </c>
      <c r="AQ226" s="30" t="inlineStr"/>
      <c r="AR226" s="30" t="inlineStr">
        <is>
          <t>printed on the list (read twice)</t>
        </is>
      </c>
      <c r="AS226" s="30" t="inlineStr">
        <is>
          <t>JAGUARIUNA</t>
        </is>
      </c>
      <c r="AT226" s="30" t="inlineStr">
        <is>
          <t>SP</t>
        </is>
      </c>
      <c r="AU226" s="30" t="inlineStr">
        <is>
          <t>Comércio atacadista de cerveja, chope e refrigerante</t>
        </is>
      </c>
      <c r="AV226" s="30" t="inlineStr">
        <is>
          <t>DEMAIS</t>
        </is>
      </c>
      <c r="AW226" s="31" t="n">
        <v>2044888400</v>
      </c>
      <c r="AX226" s="30" t="inlineStr">
        <is>
          <t>LARGE CORP</t>
        </is>
      </c>
      <c r="AY226" s="30" t="inlineStr">
        <is>
          <t>56228356</t>
        </is>
      </c>
      <c r="AZ226" s="30" t="n">
        <v>1</v>
      </c>
      <c r="BA226" s="30" t="inlineStr">
        <is>
          <t>ROWS:p9r31 UNRECONCILED_SOURCE</t>
        </is>
      </c>
    </row>
    <row r="227">
      <c r="A227" s="16" t="inlineStr">
        <is>
          <t>BRANDILI TEXTIL LTDA</t>
        </is>
      </c>
      <c r="B227" s="17" t="n">
        <v>567952.01</v>
      </c>
      <c r="C227" s="18" t="inlineStr">
        <is>
          <t>GRUPO CATTAN</t>
        </is>
      </c>
      <c r="D227" s="19" t="inlineStr">
        <is>
          <t>NEW</t>
        </is>
      </c>
      <c r="E227" s="20" t="inlineStr"/>
      <c r="F227" s="19" t="inlineStr"/>
      <c r="G227" s="20" t="inlineStr"/>
      <c r="H227" s="19" t="inlineStr"/>
      <c r="I227" s="21" t="inlineStr">
        <is>
          <t>Everson Marcon</t>
        </is>
      </c>
      <c r="J227" s="21" t="inlineStr">
        <is>
          <t>Chief Financial Officer</t>
        </is>
      </c>
      <c r="K227" s="21" t="inlineStr">
        <is>
          <t>(47) 3144-6000</t>
        </is>
      </c>
      <c r="L227" s="21" t="inlineStr">
        <is>
          <t>(47) 3353-2401</t>
        </is>
      </c>
      <c r="M227" s="21" t="inlineStr"/>
      <c r="N227" s="21" t="inlineStr">
        <is>
          <t>everson@brandili.com.br</t>
        </is>
      </c>
      <c r="O227" s="21" t="inlineStr">
        <is>
          <t>kelly.medina@brandili.com.br</t>
        </is>
      </c>
      <c r="P227" s="21" t="inlineStr">
        <is>
          <t>Kelly Medina</t>
        </is>
      </c>
      <c r="Q227" s="21" t="inlineStr">
        <is>
          <t>Analista de Crédito e Cobrança Sênior</t>
        </is>
      </c>
      <c r="R227" s="21" t="inlineStr"/>
      <c r="S227" s="21" t="inlineStr">
        <is>
          <t>kelly.medina@brandili.com.br</t>
        </is>
      </c>
      <c r="T227" s="21" t="inlineStr">
        <is>
          <t>email verified by Apollo</t>
        </is>
      </c>
      <c r="U227" s="22" t="n">
        <v>567952.01</v>
      </c>
      <c r="V227" s="23" t="inlineStr">
        <is>
          <t>B</t>
        </is>
      </c>
      <c r="W227" s="24">
        <f>IFERROR(VLOOKUP(V227,Assumptions!$A$7:$F$11,2,FALSE),0)</f>
        <v/>
      </c>
      <c r="X227" s="25">
        <f>IF(V227="A",MAX(1,IFERROR(VLOOKUP(V227,Assumptions!$A$7:$F$11,3,FALSE),3)+IFERROR(VLOOKUP(V227,Assumptions!$A$7:$F$11,4,FALSE),8)/2-MAX(0,IF(AO227="",0,YEAR(TODAY())-AO227)-IFERROR(VLOOKUP(V227,Assumptions!$A$7:$F$11,5,FALSE),1.5))),IFERROR(VLOOKUP(V227,Assumptions!$A$7:$F$11,5,FALSE),2.5)+IFERROR(VLOOKUP(V227,Assumptions!$A$7:$F$11,3,FALSE),3)+IFERROR(VLOOKUP(V227,Assumptions!$A$7:$F$11,4,FALSE),8)/2)</f>
        <v/>
      </c>
      <c r="Y227" s="22">
        <f>U227*W227/(1+Assumptions!$B$3)^X227</f>
        <v/>
      </c>
      <c r="Z227" s="26">
        <f>IF(U227=0,"",ROUND(Y227/U227*100,1))</f>
        <v/>
      </c>
      <c r="AA227" s="27">
        <f>Y227*Assumptions!$B$4</f>
        <v/>
      </c>
      <c r="AB227" s="26">
        <f>IF(U227=0,"",ROUND(AA227/U227*100,1))</f>
        <v/>
      </c>
      <c r="AC227" s="27">
        <f>Y227-AA227</f>
        <v/>
      </c>
      <c r="AD227" s="26">
        <f>IF(U227=0,"",ROUND((Y227-AA227)/U227*100,1))</f>
        <v/>
      </c>
      <c r="AE227" s="34" t="inlineStr">
        <is>
          <t>PARTIAL — class III reconciled, other classes not</t>
        </is>
      </c>
      <c r="AF227" s="29" t="inlineStr">
        <is>
          <t>https://lrflideres.com.br/wp-content/plugins/download-attachments/includes/download.php?id=4023</t>
        </is>
      </c>
      <c r="AG227" s="28" t="inlineStr">
        <is>
          <t>p4 r58; p7 r81; p9 r60</t>
        </is>
      </c>
      <c r="AH227" s="28" t="inlineStr">
        <is>
          <t>p4: R$ 165.914,50; p7: R$ 324.485,33; p9: R$ 77.552,18</t>
        </is>
      </c>
      <c r="AI227" s="28" t="inlineStr">
        <is>
          <t>Debtor list (art. 51)</t>
        </is>
      </c>
      <c r="AJ227" s="28" t="inlineStr"/>
      <c r="AK227" s="28" t="inlineStr">
        <is>
          <t>NONE FOUND</t>
        </is>
      </c>
      <c r="AL227" s="30" t="inlineStr">
        <is>
          <t>0002484-82.2022.8.17.2001</t>
        </is>
      </c>
      <c r="AM227" s="30" t="inlineStr">
        <is>
          <t>TJPE</t>
        </is>
      </c>
      <c r="AN227" s="30" t="inlineStr">
        <is>
          <t>ACTIVE</t>
        </is>
      </c>
      <c r="AO227" s="30" t="n">
        <v>2022</v>
      </c>
      <c r="AP227" s="30" t="inlineStr">
        <is>
          <t>live case, no plan document yet</t>
        </is>
      </c>
      <c r="AQ227" s="30" t="inlineStr"/>
      <c r="AR227" s="30" t="inlineStr">
        <is>
          <t>printed on the list (read twice)</t>
        </is>
      </c>
      <c r="AS227" s="30" t="inlineStr">
        <is>
          <t>APIUNA</t>
        </is>
      </c>
      <c r="AT227" s="30" t="inlineStr">
        <is>
          <t>SC</t>
        </is>
      </c>
      <c r="AU227" s="30" t="inlineStr">
        <is>
          <t>Confecção de peças de vestuário, exceto roupas íntimas e as confeccionadas sob medida</t>
        </is>
      </c>
      <c r="AV227" s="30" t="inlineStr">
        <is>
          <t>DEMAIS</t>
        </is>
      </c>
      <c r="AW227" s="31" t="n">
        <v>55327336</v>
      </c>
      <c r="AX227" s="30" t="inlineStr">
        <is>
          <t>MID-MARKET</t>
        </is>
      </c>
      <c r="AY227" s="30" t="inlineStr">
        <is>
          <t>84229889</t>
        </is>
      </c>
      <c r="AZ227" s="30" t="n">
        <v>3</v>
      </c>
      <c r="BA227" s="30" t="inlineStr">
        <is>
          <t>PARTIAL_DOC_CLASS_III_RECONCILED ROWS:p4r58,p7r81,p9r60</t>
        </is>
      </c>
    </row>
    <row r="228">
      <c r="A228" s="16" t="inlineStr">
        <is>
          <t>ESMALTEC S/A</t>
        </is>
      </c>
      <c r="B228" s="17" t="n">
        <v>2210242.75</v>
      </c>
      <c r="C228" s="18" t="inlineStr">
        <is>
          <t>CREDIMÓVEIS NOVOLAR LTDA.</t>
        </is>
      </c>
      <c r="D228" s="19" t="inlineStr">
        <is>
          <t>NEW</t>
        </is>
      </c>
      <c r="E228" s="20" t="inlineStr"/>
      <c r="F228" s="19" t="inlineStr"/>
      <c r="G228" s="20" t="inlineStr"/>
      <c r="H228" s="19" t="inlineStr"/>
      <c r="I228" s="21" t="inlineStr">
        <is>
          <t>Tiago Mota</t>
        </is>
      </c>
      <c r="J228" s="21" t="inlineStr">
        <is>
          <t>Financial Administrative Manager</t>
        </is>
      </c>
      <c r="K228" s="21" t="inlineStr">
        <is>
          <t>(85) 3466-8540</t>
        </is>
      </c>
      <c r="L228" s="21" t="inlineStr"/>
      <c r="M228" s="21" t="inlineStr"/>
      <c r="N228" s="21" t="inlineStr">
        <is>
          <t>tiago.mota@esmaltec.com.br</t>
        </is>
      </c>
      <c r="O228" s="21" t="inlineStr">
        <is>
          <t>marcelo.pinto@esmaltec.com.br</t>
        </is>
      </c>
      <c r="P228" s="21" t="inlineStr">
        <is>
          <t>Marcelo Pinto</t>
        </is>
      </c>
      <c r="Q228" s="21" t="inlineStr">
        <is>
          <t>Diretor Superintendente | CEO</t>
        </is>
      </c>
      <c r="R228" s="21" t="inlineStr"/>
      <c r="S228" s="21" t="inlineStr">
        <is>
          <t>marcelo.pinto@esmaltec.com.br</t>
        </is>
      </c>
      <c r="T228" s="21" t="inlineStr">
        <is>
          <t>email verified by Apollo</t>
        </is>
      </c>
      <c r="U228" s="22" t="n">
        <v>2210242.75</v>
      </c>
      <c r="V228" s="38" t="inlineStr">
        <is>
          <t>C</t>
        </is>
      </c>
      <c r="W228" s="24">
        <f>IFERROR(VLOOKUP(V228,Assumptions!$A$7:$F$11,2,FALSE),0)</f>
        <v/>
      </c>
      <c r="X228" s="25">
        <f>IF(V228="A",MAX(1,IFERROR(VLOOKUP(V228,Assumptions!$A$7:$F$11,3,FALSE),3)+IFERROR(VLOOKUP(V228,Assumptions!$A$7:$F$11,4,FALSE),8)/2-MAX(0,IF(AO228="",0,YEAR(TODAY())-AO228)-IFERROR(VLOOKUP(V228,Assumptions!$A$7:$F$11,5,FALSE),1.5))),IFERROR(VLOOKUP(V228,Assumptions!$A$7:$F$11,5,FALSE),2.5)+IFERROR(VLOOKUP(V228,Assumptions!$A$7:$F$11,3,FALSE),3)+IFERROR(VLOOKUP(V228,Assumptions!$A$7:$F$11,4,FALSE),8)/2)</f>
        <v/>
      </c>
      <c r="Y228" s="22">
        <f>U228*W228/(1+Assumptions!$B$3)^X228</f>
        <v/>
      </c>
      <c r="Z228" s="26">
        <f>IF(U228=0,"",ROUND(Y228/U228*100,1))</f>
        <v/>
      </c>
      <c r="AA228" s="27">
        <f>Y228*Assumptions!$B$4</f>
        <v/>
      </c>
      <c r="AB228" s="26">
        <f>IF(U228=0,"",ROUND(AA228/U228*100,1))</f>
        <v/>
      </c>
      <c r="AC228" s="27">
        <f>Y228-AA228</f>
        <v/>
      </c>
      <c r="AD228" s="26">
        <f>IF(U228=0,"",ROUND((Y228-AA228)/U228*100,1))</f>
        <v/>
      </c>
      <c r="AE228" s="28" t="inlineStr">
        <is>
          <t>OK — totals reconciled</t>
        </is>
      </c>
      <c r="AF228" s="29" t="inlineStr">
        <is>
          <t>https://recuperacaojudicial.squarespace.com/s/RJ-Credimoveis-QGC-01082025.pdf</t>
        </is>
      </c>
      <c r="AG228" s="28" t="inlineStr">
        <is>
          <t>p15 r42</t>
        </is>
      </c>
      <c r="AH228" s="28" t="inlineStr">
        <is>
          <t>p15: R$ 2.210.242,75</t>
        </is>
      </c>
      <c r="AI228" s="28" t="inlineStr">
        <is>
          <t>QGC (art. 18)</t>
        </is>
      </c>
      <c r="AJ228" s="28" t="inlineStr">
        <is>
          <t>2026-01-28</t>
        </is>
      </c>
      <c r="AK228" s="28" t="inlineStr">
        <is>
          <t>NONE FOUND</t>
        </is>
      </c>
      <c r="AL228" s="30" t="inlineStr">
        <is>
          <t>0007565-40.2020.8.17.2370</t>
        </is>
      </c>
      <c r="AM228" s="30" t="inlineStr">
        <is>
          <t>TJPE</t>
        </is>
      </c>
      <c r="AN228" s="30" t="inlineStr">
        <is>
          <t>ACTIVE</t>
        </is>
      </c>
      <c r="AO228" s="30" t="n">
        <v>2020</v>
      </c>
      <c r="AP228" s="30" t="inlineStr">
        <is>
          <t>6y since filing, no plan document</t>
        </is>
      </c>
      <c r="AQ228" s="30" t="inlineStr">
        <is>
          <t>09.930.165/0001-37</t>
        </is>
      </c>
      <c r="AR228" s="30" t="inlineStr">
        <is>
          <t>printed on the list (read twice)</t>
        </is>
      </c>
      <c r="AS228" s="30" t="inlineStr">
        <is>
          <t>FORTALEZA</t>
        </is>
      </c>
      <c r="AT228" s="30" t="inlineStr">
        <is>
          <t>CE</t>
        </is>
      </c>
      <c r="AU228" s="30" t="inlineStr">
        <is>
          <t>Fabricação de fogões, refrigeradores e máquinas de lavar e secar para uso doméstico, peças e acessórios</t>
        </is>
      </c>
      <c r="AV228" s="30" t="inlineStr">
        <is>
          <t>DEMAIS</t>
        </is>
      </c>
      <c r="AW228" s="31" t="n">
        <v>250673000</v>
      </c>
      <c r="AX228" s="30" t="inlineStr">
        <is>
          <t>MID-MARKET</t>
        </is>
      </c>
      <c r="AY228" s="30" t="inlineStr">
        <is>
          <t>02948030</t>
        </is>
      </c>
      <c r="AZ228" s="30" t="n">
        <v>1</v>
      </c>
      <c r="BA228" s="30" t="inlineStr">
        <is>
          <t>ROWS:p15r42</t>
        </is>
      </c>
    </row>
    <row r="229">
      <c r="A229" s="16" t="inlineStr">
        <is>
          <t>A.S.E. DISTRIBUICAO LTDA.</t>
        </is>
      </c>
      <c r="B229" s="17" t="n">
        <v>301633.9</v>
      </c>
      <c r="C229" s="18" t="inlineStr">
        <is>
          <t>GRUPO 3E</t>
        </is>
      </c>
      <c r="D229" s="19" t="inlineStr">
        <is>
          <t>NEW</t>
        </is>
      </c>
      <c r="E229" s="20" t="inlineStr"/>
      <c r="F229" s="19" t="inlineStr"/>
      <c r="G229" s="20" t="inlineStr"/>
      <c r="H229" s="19" t="inlineStr"/>
      <c r="I229" s="21" t="inlineStr">
        <is>
          <t>NEGE ABRAHAO</t>
        </is>
      </c>
      <c r="J229" s="21" t="inlineStr">
        <is>
          <t>Administrador (RFB partner)</t>
        </is>
      </c>
      <c r="K229" s="21" t="inlineStr">
        <is>
          <t>(62) 3311-4130</t>
        </is>
      </c>
      <c r="L229" s="21" t="inlineStr"/>
      <c r="M229" s="21" t="inlineStr"/>
      <c r="N229" s="21" t="inlineStr"/>
      <c r="O229" s="21" t="inlineStr"/>
      <c r="P229" s="21" t="inlineStr"/>
      <c r="Q229" s="21" t="inlineStr"/>
      <c r="R229" s="21" t="inlineStr"/>
      <c r="S229" s="21" t="inlineStr"/>
      <c r="T229" s="21" t="inlineStr">
        <is>
          <t>RFB partner (QSA); no Apollo match</t>
        </is>
      </c>
      <c r="U229" s="22" t="n">
        <v>301633.9</v>
      </c>
      <c r="V229" s="35" t="inlineStr">
        <is>
          <t>A</t>
        </is>
      </c>
      <c r="W229" s="24">
        <f>IFERROR(VLOOKUP(V229,Assumptions!$A$7:$F$11,2,FALSE),0)</f>
        <v/>
      </c>
      <c r="X229" s="25">
        <f>IF(V229="A",MAX(1,IFERROR(VLOOKUP(V229,Assumptions!$A$7:$F$11,3,FALSE),3)+IFERROR(VLOOKUP(V229,Assumptions!$A$7:$F$11,4,FALSE),8)/2-MAX(0,IF(AO229="",0,YEAR(TODAY())-AO229)-IFERROR(VLOOKUP(V229,Assumptions!$A$7:$F$11,5,FALSE),1.5))),IFERROR(VLOOKUP(V229,Assumptions!$A$7:$F$11,5,FALSE),2.5)+IFERROR(VLOOKUP(V229,Assumptions!$A$7:$F$11,3,FALSE),3)+IFERROR(VLOOKUP(V229,Assumptions!$A$7:$F$11,4,FALSE),8)/2)</f>
        <v/>
      </c>
      <c r="Y229" s="22">
        <f>U229*W229/(1+Assumptions!$B$3)^X229</f>
        <v/>
      </c>
      <c r="Z229" s="26">
        <f>IF(U229=0,"",ROUND(Y229/U229*100,1))</f>
        <v/>
      </c>
      <c r="AA229" s="27">
        <f>Y229*Assumptions!$B$4</f>
        <v/>
      </c>
      <c r="AB229" s="26">
        <f>IF(U229=0,"",ROUND(AA229/U229*100,1))</f>
        <v/>
      </c>
      <c r="AC229" s="27">
        <f>Y229-AA229</f>
        <v/>
      </c>
      <c r="AD229" s="26">
        <f>IF(U229=0,"",ROUND((Y229-AA229)/U229*100,1))</f>
        <v/>
      </c>
      <c r="AE229" s="33" t="inlineStr">
        <is>
          <t>NO TOTALS — list prints none; check page</t>
        </is>
      </c>
      <c r="AF229" s="29" t="inlineStr">
        <is>
          <t>https://stenius.com.br/wp-content/uploads/2026/06/EDITAL-GRUPO-3E.pdf</t>
        </is>
      </c>
      <c r="AG229" s="28" t="inlineStr">
        <is>
          <t>p10 r15</t>
        </is>
      </c>
      <c r="AH229" s="28" t="inlineStr">
        <is>
          <t>p10: R$ 301.633,90</t>
        </is>
      </c>
      <c r="AI229" s="28" t="inlineStr">
        <is>
          <t>Debtor list (art. 51)</t>
        </is>
      </c>
      <c r="AJ229" s="28" t="inlineStr">
        <is>
          <t>2026-06-22</t>
        </is>
      </c>
      <c r="AK229" s="28" t="inlineStr">
        <is>
          <t>PLAN DOC FOUND</t>
        </is>
      </c>
      <c r="AL229" s="30" t="inlineStr">
        <is>
          <t>5341375-33.2026.8.09.0049</t>
        </is>
      </c>
      <c r="AM229" s="30" t="inlineStr">
        <is>
          <t>TJGO</t>
        </is>
      </c>
      <c r="AN229" s="30" t="inlineStr">
        <is>
          <t>ACTIVE</t>
        </is>
      </c>
      <c r="AO229" s="30" t="n">
        <v>2026</v>
      </c>
      <c r="AP229" s="30" t="inlineStr">
        <is>
          <t>plan/homologation document found</t>
        </is>
      </c>
      <c r="AQ229" s="30" t="inlineStr"/>
      <c r="AR229" s="30" t="inlineStr">
        <is>
          <t>printed on the list (read twice)</t>
        </is>
      </c>
      <c r="AS229" s="30" t="inlineStr">
        <is>
          <t>ANAPOLIS</t>
        </is>
      </c>
      <c r="AT229" s="30" t="inlineStr">
        <is>
          <t>GO</t>
        </is>
      </c>
      <c r="AU229" s="30" t="inlineStr">
        <is>
          <t>Preparação de documentos e serviços especializados de apoio administrativo não especificados anteriormente</t>
        </is>
      </c>
      <c r="AV229" s="30" t="inlineStr">
        <is>
          <t>MICRO EMPRESA</t>
        </is>
      </c>
      <c r="AW229" s="31" t="n">
        <v>1980000</v>
      </c>
      <c r="AX229" s="30" t="inlineStr">
        <is>
          <t>SMALL</t>
        </is>
      </c>
      <c r="AY229" s="30" t="inlineStr">
        <is>
          <t>01644931</t>
        </is>
      </c>
      <c r="AZ229" s="30" t="n">
        <v>1</v>
      </c>
      <c r="BA229" s="30" t="inlineStr">
        <is>
          <t>ROWS:p10r15 UNRECONCILED_SOURCE</t>
        </is>
      </c>
    </row>
    <row r="230">
      <c r="A230" s="16" t="inlineStr">
        <is>
          <t>STRATURA ASFALTOS LTDA.</t>
        </is>
      </c>
      <c r="B230" s="17" t="n">
        <v>2146226.53</v>
      </c>
      <c r="C230" s="18" t="inlineStr">
        <is>
          <t>CONSTRUTORA ANDRADE GUEDES LTDA</t>
        </is>
      </c>
      <c r="D230" s="19" t="inlineStr">
        <is>
          <t>NEW</t>
        </is>
      </c>
      <c r="E230" s="20" t="inlineStr"/>
      <c r="F230" s="19" t="inlineStr"/>
      <c r="G230" s="20" t="inlineStr"/>
      <c r="H230" s="19" t="inlineStr"/>
      <c r="I230" s="21" t="inlineStr">
        <is>
          <t>CARLOS ALBERTO DE AQUINO PINHEIRO JUNIOR</t>
        </is>
      </c>
      <c r="J230" s="21" t="inlineStr">
        <is>
          <t>Administrador (RFB partner)</t>
        </is>
      </c>
      <c r="K230" s="21" t="inlineStr">
        <is>
          <t>(11) 3513-4260</t>
        </is>
      </c>
      <c r="L230" s="21" t="inlineStr"/>
      <c r="M230" s="21" t="inlineStr"/>
      <c r="N230" s="21" t="inlineStr"/>
      <c r="O230" s="21" t="inlineStr"/>
      <c r="P230" s="21" t="inlineStr"/>
      <c r="Q230" s="21" t="inlineStr"/>
      <c r="R230" s="21" t="inlineStr"/>
      <c r="S230" s="21" t="inlineStr"/>
      <c r="T230" s="21" t="inlineStr">
        <is>
          <t>RFB partner (QSA); no Apollo match</t>
        </is>
      </c>
      <c r="U230" s="22" t="n">
        <v>2146226.53</v>
      </c>
      <c r="V230" s="38" t="inlineStr">
        <is>
          <t>C</t>
        </is>
      </c>
      <c r="W230" s="24">
        <f>IFERROR(VLOOKUP(V230,Assumptions!$A$7:$F$11,2,FALSE),0)</f>
        <v/>
      </c>
      <c r="X230" s="25">
        <f>IF(V230="A",MAX(1,IFERROR(VLOOKUP(V230,Assumptions!$A$7:$F$11,3,FALSE),3)+IFERROR(VLOOKUP(V230,Assumptions!$A$7:$F$11,4,FALSE),8)/2-MAX(0,IF(AO230="",0,YEAR(TODAY())-AO230)-IFERROR(VLOOKUP(V230,Assumptions!$A$7:$F$11,5,FALSE),1.5))),IFERROR(VLOOKUP(V230,Assumptions!$A$7:$F$11,5,FALSE),2.5)+IFERROR(VLOOKUP(V230,Assumptions!$A$7:$F$11,3,FALSE),3)+IFERROR(VLOOKUP(V230,Assumptions!$A$7:$F$11,4,FALSE),8)/2)</f>
        <v/>
      </c>
      <c r="Y230" s="22">
        <f>U230*W230/(1+Assumptions!$B$3)^X230</f>
        <v/>
      </c>
      <c r="Z230" s="26">
        <f>IF(U230=0,"",ROUND(Y230/U230*100,1))</f>
        <v/>
      </c>
      <c r="AA230" s="27">
        <f>Y230*Assumptions!$B$4</f>
        <v/>
      </c>
      <c r="AB230" s="26">
        <f>IF(U230=0,"",ROUND(AA230/U230*100,1))</f>
        <v/>
      </c>
      <c r="AC230" s="27">
        <f>Y230-AA230</f>
        <v/>
      </c>
      <c r="AD230" s="26">
        <f>IF(U230=0,"",ROUND((Y230-AA230)/U230*100,1))</f>
        <v/>
      </c>
      <c r="AE230" s="33" t="inlineStr">
        <is>
          <t>NO TOTALS — list prints none; check page</t>
        </is>
      </c>
      <c r="AF230" s="29" t="inlineStr">
        <is>
          <t>https://diligence.adm.br/wp-content/plugins/download-attachments/includes/download.php?id=4599</t>
        </is>
      </c>
      <c r="AG230" s="28" t="inlineStr">
        <is>
          <t>p10 r77</t>
        </is>
      </c>
      <c r="AH230" s="28" t="inlineStr">
        <is>
          <t>p10: R$ 2.146.226,53</t>
        </is>
      </c>
      <c r="AI230" s="28" t="inlineStr">
        <is>
          <t>AJ list (art. 7 §2)</t>
        </is>
      </c>
      <c r="AJ230" s="28" t="inlineStr">
        <is>
          <t>2024-06-25</t>
        </is>
      </c>
      <c r="AK230" s="28" t="inlineStr">
        <is>
          <t>NONE FOUND</t>
        </is>
      </c>
      <c r="AL230" s="30" t="inlineStr">
        <is>
          <t>0000880-57.2020.8.17.2001</t>
        </is>
      </c>
      <c r="AM230" s="30" t="inlineStr">
        <is>
          <t>TJPE</t>
        </is>
      </c>
      <c r="AN230" s="30" t="inlineStr">
        <is>
          <t>ACTIVE</t>
        </is>
      </c>
      <c r="AO230" s="30" t="n">
        <v>2020</v>
      </c>
      <c r="AP230" s="30" t="inlineStr">
        <is>
          <t>6y since filing, no plan document</t>
        </is>
      </c>
      <c r="AQ230" s="30" t="inlineStr">
        <is>
          <t>08.073.264/0001-87</t>
        </is>
      </c>
      <c r="AR230" s="30" t="inlineStr">
        <is>
          <t>printed on the list (read twice)</t>
        </is>
      </c>
      <c r="AS230" s="30" t="inlineStr">
        <is>
          <t>SAO PAULO</t>
        </is>
      </c>
      <c r="AT230" s="30" t="inlineStr">
        <is>
          <t>SP</t>
        </is>
      </c>
      <c r="AU230" s="30" t="inlineStr">
        <is>
          <t>Serviços combinados de escritório e apoio administrativo</t>
        </is>
      </c>
      <c r="AV230" s="30" t="inlineStr">
        <is>
          <t>DEMAIS</t>
        </is>
      </c>
      <c r="AW230" s="31" t="n">
        <v>217733330</v>
      </c>
      <c r="AX230" s="30" t="inlineStr">
        <is>
          <t>MID-MARKET</t>
        </is>
      </c>
      <c r="AY230" s="30" t="inlineStr">
        <is>
          <t>59128553</t>
        </is>
      </c>
      <c r="AZ230" s="30" t="n">
        <v>1</v>
      </c>
      <c r="BA230" s="30" t="inlineStr">
        <is>
          <t>ALT_VALUE:R$1.615.549,86 ALT_VALUE:R$530.676,67 ROWS:p10r77 UNRECONCILED_SOURCE VALUE_COL:2ª_Lista</t>
        </is>
      </c>
    </row>
    <row r="231">
      <c r="A231" s="16" t="inlineStr">
        <is>
          <t>ROMAR F MANN &amp; CIA. LTDA.</t>
        </is>
      </c>
      <c r="B231" s="17" t="n">
        <v>549424.8199999999</v>
      </c>
      <c r="C231" s="18" t="inlineStr">
        <is>
          <t>Grupo Rech</t>
        </is>
      </c>
      <c r="D231" s="19" t="inlineStr">
        <is>
          <t>NEW</t>
        </is>
      </c>
      <c r="E231" s="20" t="inlineStr"/>
      <c r="F231" s="19" t="inlineStr"/>
      <c r="G231" s="20" t="inlineStr"/>
      <c r="H231" s="19" t="inlineStr"/>
      <c r="I231" s="21" t="inlineStr">
        <is>
          <t>MARTA MANN BAIOTTO</t>
        </is>
      </c>
      <c r="J231" s="21" t="inlineStr">
        <is>
          <t>Sócio-Administrador (RFB partner)</t>
        </is>
      </c>
      <c r="K231" s="21" t="inlineStr">
        <is>
          <t>(55) 3539-4000</t>
        </is>
      </c>
      <c r="L231" s="21" t="inlineStr"/>
      <c r="M231" s="21" t="inlineStr"/>
      <c r="N231" s="21" t="inlineStr"/>
      <c r="O231" s="21" t="inlineStr"/>
      <c r="P231" s="21" t="inlineStr"/>
      <c r="Q231" s="21" t="inlineStr"/>
      <c r="R231" s="21" t="inlineStr"/>
      <c r="S231" s="21" t="inlineStr"/>
      <c r="T231" s="21" t="inlineStr">
        <is>
          <t>RFB partner (QSA); no Apollo match</t>
        </is>
      </c>
      <c r="U231" s="22" t="n">
        <v>549424.8199999999</v>
      </c>
      <c r="V231" s="23" t="inlineStr">
        <is>
          <t>B</t>
        </is>
      </c>
      <c r="W231" s="24">
        <f>IFERROR(VLOOKUP(V231,Assumptions!$A$7:$F$11,2,FALSE),0)</f>
        <v/>
      </c>
      <c r="X231" s="25">
        <f>IF(V231="A",MAX(1,IFERROR(VLOOKUP(V231,Assumptions!$A$7:$F$11,3,FALSE),3)+IFERROR(VLOOKUP(V231,Assumptions!$A$7:$F$11,4,FALSE),8)/2-MAX(0,IF(AO231="",0,YEAR(TODAY())-AO231)-IFERROR(VLOOKUP(V231,Assumptions!$A$7:$F$11,5,FALSE),1.5))),IFERROR(VLOOKUP(V231,Assumptions!$A$7:$F$11,5,FALSE),2.5)+IFERROR(VLOOKUP(V231,Assumptions!$A$7:$F$11,3,FALSE),3)+IFERROR(VLOOKUP(V231,Assumptions!$A$7:$F$11,4,FALSE),8)/2)</f>
        <v/>
      </c>
      <c r="Y231" s="22">
        <f>U231*W231/(1+Assumptions!$B$3)^X231</f>
        <v/>
      </c>
      <c r="Z231" s="26">
        <f>IF(U231=0,"",ROUND(Y231/U231*100,1))</f>
        <v/>
      </c>
      <c r="AA231" s="27">
        <f>Y231*Assumptions!$B$4</f>
        <v/>
      </c>
      <c r="AB231" s="26">
        <f>IF(U231=0,"",ROUND(AA231/U231*100,1))</f>
        <v/>
      </c>
      <c r="AC231" s="27">
        <f>Y231-AA231</f>
        <v/>
      </c>
      <c r="AD231" s="26">
        <f>IF(U231=0,"",ROUND((Y231-AA231)/U231*100,1))</f>
        <v/>
      </c>
      <c r="AE231" s="36" t="inlineStr">
        <is>
          <t>CHECK — source is not a statutory creditor list</t>
        </is>
      </c>
      <c r="AF231" s="29" t="inlineStr">
        <is>
          <t>https://credibilita.com.br/wp-content/uploads/2025/09/Relacao-Credores-29.04.2026.pdf</t>
        </is>
      </c>
      <c r="AG231" s="28" t="inlineStr">
        <is>
          <t>p2 r14</t>
        </is>
      </c>
      <c r="AH231" s="28" t="inlineStr">
        <is>
          <t>p2: R$ 549.424,82</t>
        </is>
      </c>
      <c r="AI231" s="28" t="inlineStr">
        <is>
          <t>Quorum list — NOT an art. 7/51 list</t>
        </is>
      </c>
      <c r="AJ231" s="28" t="inlineStr"/>
      <c r="AK231" s="28" t="inlineStr">
        <is>
          <t>NONE FOUND</t>
        </is>
      </c>
      <c r="AL231" s="30" t="inlineStr">
        <is>
          <t>5057720-48.2025.8.24.0023</t>
        </is>
      </c>
      <c r="AM231" s="30" t="inlineStr">
        <is>
          <t>TJSC</t>
        </is>
      </c>
      <c r="AN231" s="30" t="inlineStr"/>
      <c r="AO231" s="30" t="n">
        <v>2025</v>
      </c>
      <c r="AP231" s="30" t="inlineStr">
        <is>
          <t>live case, no plan document yet</t>
        </is>
      </c>
      <c r="AQ231" s="30" t="inlineStr"/>
      <c r="AR231" s="30" t="inlineStr">
        <is>
          <t>portal page title / URL — not printed on the list</t>
        </is>
      </c>
      <c r="AS231" s="30" t="inlineStr">
        <is>
          <t>INDEPENDENCIA</t>
        </is>
      </c>
      <c r="AT231" s="30" t="inlineStr">
        <is>
          <t>RS</t>
        </is>
      </c>
      <c r="AU231" s="30" t="inlineStr">
        <is>
          <t>Fabricação de máquinas e equipamentos para a agricultura e pecuária, peças e acessórios, exceto para irrigação</t>
        </is>
      </c>
      <c r="AV231" s="30" t="inlineStr">
        <is>
          <t>DEMAIS</t>
        </is>
      </c>
      <c r="AW231" s="31" t="n">
        <v>152516</v>
      </c>
      <c r="AX231" s="30" t="inlineStr">
        <is>
          <t>MID-MARKET</t>
        </is>
      </c>
      <c r="AY231" s="30" t="inlineStr">
        <is>
          <t>90316407</t>
        </is>
      </c>
      <c r="AZ231" s="30" t="n">
        <v>1</v>
      </c>
      <c r="BA231" s="30" t="inlineStr">
        <is>
          <t>ROWS:p2r14 UNRECONCILED_SOURCE VALUE_COL:Valor_Após_Analise CASE_NUMBER_CORRECTED</t>
        </is>
      </c>
    </row>
    <row r="232">
      <c r="A232" s="16" t="inlineStr">
        <is>
          <t>CONFECCOES TENDENZA LTDA</t>
        </is>
      </c>
      <c r="B232" s="17" t="n">
        <v>545994.16</v>
      </c>
      <c r="C232" s="18" t="inlineStr">
        <is>
          <t>GRUPO CATTAN</t>
        </is>
      </c>
      <c r="D232" s="19" t="inlineStr">
        <is>
          <t>NEW</t>
        </is>
      </c>
      <c r="E232" s="20" t="inlineStr"/>
      <c r="F232" s="19" t="inlineStr"/>
      <c r="G232" s="20" t="inlineStr"/>
      <c r="H232" s="19" t="inlineStr"/>
      <c r="I232" s="21" t="inlineStr">
        <is>
          <t>JULIANO ALVES FRANCO DE SOUZA</t>
        </is>
      </c>
      <c r="J232" s="21" t="inlineStr">
        <is>
          <t>Sócio-Administrador (RFB partner)</t>
        </is>
      </c>
      <c r="K232" s="21" t="inlineStr">
        <is>
          <t>(19) 3898-9266</t>
        </is>
      </c>
      <c r="L232" s="21" t="inlineStr"/>
      <c r="M232" s="21" t="inlineStr"/>
      <c r="N232" s="21" t="inlineStr"/>
      <c r="O232" s="21" t="inlineStr"/>
      <c r="P232" s="21" t="inlineStr"/>
      <c r="Q232" s="21" t="inlineStr"/>
      <c r="R232" s="21" t="inlineStr"/>
      <c r="S232" s="21" t="inlineStr"/>
      <c r="T232" s="21" t="inlineStr">
        <is>
          <t>RFB partner (QSA); no Apollo match</t>
        </is>
      </c>
      <c r="U232" s="22" t="n">
        <v>545994.16</v>
      </c>
      <c r="V232" s="23" t="inlineStr">
        <is>
          <t>B</t>
        </is>
      </c>
      <c r="W232" s="24">
        <f>IFERROR(VLOOKUP(V232,Assumptions!$A$7:$F$11,2,FALSE),0)</f>
        <v/>
      </c>
      <c r="X232" s="25">
        <f>IF(V232="A",MAX(1,IFERROR(VLOOKUP(V232,Assumptions!$A$7:$F$11,3,FALSE),3)+IFERROR(VLOOKUP(V232,Assumptions!$A$7:$F$11,4,FALSE),8)/2-MAX(0,IF(AO232="",0,YEAR(TODAY())-AO232)-IFERROR(VLOOKUP(V232,Assumptions!$A$7:$F$11,5,FALSE),1.5))),IFERROR(VLOOKUP(V232,Assumptions!$A$7:$F$11,5,FALSE),2.5)+IFERROR(VLOOKUP(V232,Assumptions!$A$7:$F$11,3,FALSE),3)+IFERROR(VLOOKUP(V232,Assumptions!$A$7:$F$11,4,FALSE),8)/2)</f>
        <v/>
      </c>
      <c r="Y232" s="22">
        <f>U232*W232/(1+Assumptions!$B$3)^X232</f>
        <v/>
      </c>
      <c r="Z232" s="26">
        <f>IF(U232=0,"",ROUND(Y232/U232*100,1))</f>
        <v/>
      </c>
      <c r="AA232" s="27">
        <f>Y232*Assumptions!$B$4</f>
        <v/>
      </c>
      <c r="AB232" s="26">
        <f>IF(U232=0,"",ROUND(AA232/U232*100,1))</f>
        <v/>
      </c>
      <c r="AC232" s="27">
        <f>Y232-AA232</f>
        <v/>
      </c>
      <c r="AD232" s="26">
        <f>IF(U232=0,"",ROUND((Y232-AA232)/U232*100,1))</f>
        <v/>
      </c>
      <c r="AE232" s="34" t="inlineStr">
        <is>
          <t>PARTIAL — class III reconciled, other classes not</t>
        </is>
      </c>
      <c r="AF232" s="29" t="inlineStr">
        <is>
          <t>https://lrflideres.com.br/wp-content/plugins/download-attachments/includes/download.php?id=4023</t>
        </is>
      </c>
      <c r="AG232" s="28" t="inlineStr">
        <is>
          <t>p4 r65; p7 r88; p9 r66</t>
        </is>
      </c>
      <c r="AH232" s="28" t="inlineStr">
        <is>
          <t>p4: R$ 28.110,21; p7: R$ 435.997,21; p9: R$ 81.886,74</t>
        </is>
      </c>
      <c r="AI232" s="28" t="inlineStr">
        <is>
          <t>Debtor list (art. 51)</t>
        </is>
      </c>
      <c r="AJ232" s="28" t="inlineStr"/>
      <c r="AK232" s="28" t="inlineStr">
        <is>
          <t>NONE FOUND</t>
        </is>
      </c>
      <c r="AL232" s="30" t="inlineStr">
        <is>
          <t>0002484-82.2022.8.17.2001</t>
        </is>
      </c>
      <c r="AM232" s="30" t="inlineStr">
        <is>
          <t>TJPE</t>
        </is>
      </c>
      <c r="AN232" s="30" t="inlineStr">
        <is>
          <t>ACTIVE</t>
        </is>
      </c>
      <c r="AO232" s="30" t="n">
        <v>2022</v>
      </c>
      <c r="AP232" s="30" t="inlineStr">
        <is>
          <t>live case, no plan document yet</t>
        </is>
      </c>
      <c r="AQ232" s="30" t="inlineStr"/>
      <c r="AR232" s="30" t="inlineStr">
        <is>
          <t>printed on the list (read twice)</t>
        </is>
      </c>
      <c r="AS232" s="30" t="inlineStr">
        <is>
          <t>LINDOIA</t>
        </is>
      </c>
      <c r="AT232" s="30" t="inlineStr">
        <is>
          <t>SP</t>
        </is>
      </c>
      <c r="AU232" s="30" t="inlineStr">
        <is>
          <t>Confecção de peças de vestuário, exceto roupas íntimas e as confeccionadas sob medida</t>
        </is>
      </c>
      <c r="AV232" s="30" t="inlineStr">
        <is>
          <t>DEMAIS</t>
        </is>
      </c>
      <c r="AW232" s="31" t="n">
        <v>500000</v>
      </c>
      <c r="AX232" s="30" t="inlineStr">
        <is>
          <t>MID-MARKET</t>
        </is>
      </c>
      <c r="AY232" s="30" t="inlineStr">
        <is>
          <t>08953848</t>
        </is>
      </c>
      <c r="AZ232" s="30" t="n">
        <v>3</v>
      </c>
      <c r="BA232" s="30" t="inlineStr">
        <is>
          <t>PARTIAL_DOC_CLASS_III_RECONCILED ROWS:p4r65,p7r88,p9r66</t>
        </is>
      </c>
    </row>
    <row r="233">
      <c r="A233" s="16" t="inlineStr">
        <is>
          <t>IFOOD BENEFICIOS E SERVICOS LTDA.</t>
        </is>
      </c>
      <c r="B233" s="17" t="n">
        <v>545456.1</v>
      </c>
      <c r="C233" s="18" t="inlineStr">
        <is>
          <t>VENEZA SERVIÇOS ADMINISTRATIVOS LTDA.</t>
        </is>
      </c>
      <c r="D233" s="19" t="inlineStr">
        <is>
          <t>NEW</t>
        </is>
      </c>
      <c r="E233" s="20" t="inlineStr"/>
      <c r="F233" s="19" t="inlineStr"/>
      <c r="G233" s="20" t="inlineStr"/>
      <c r="H233" s="19" t="inlineStr"/>
      <c r="I233" s="21" t="inlineStr">
        <is>
          <t>DIEGO CARNEIRO BARRETO</t>
        </is>
      </c>
      <c r="J233" s="21" t="inlineStr">
        <is>
          <t>Administrador (RFB partner)</t>
        </is>
      </c>
      <c r="K233" s="21" t="inlineStr">
        <is>
          <t>(11) 3634-3360</t>
        </is>
      </c>
      <c r="L233" s="21" t="inlineStr"/>
      <c r="M233" s="21" t="inlineStr"/>
      <c r="N233" s="21" t="inlineStr"/>
      <c r="O233" s="21" t="inlineStr"/>
      <c r="P233" s="21" t="inlineStr">
        <is>
          <t>FLAVIO DE FREITAS STECCA</t>
        </is>
      </c>
      <c r="Q233" s="21" t="inlineStr">
        <is>
          <t>Administrador (RFB partner)</t>
        </is>
      </c>
      <c r="R233" s="21" t="inlineStr"/>
      <c r="S233" s="21" t="inlineStr"/>
      <c r="T233" s="21" t="inlineStr">
        <is>
          <t>RFB partner (QSA); no Apollo match</t>
        </is>
      </c>
      <c r="U233" s="22" t="n">
        <v>545456.1</v>
      </c>
      <c r="V233" s="23" t="inlineStr">
        <is>
          <t>B</t>
        </is>
      </c>
      <c r="W233" s="24">
        <f>IFERROR(VLOOKUP(V233,Assumptions!$A$7:$F$11,2,FALSE),0)</f>
        <v/>
      </c>
      <c r="X233" s="25">
        <f>IF(V233="A",MAX(1,IFERROR(VLOOKUP(V233,Assumptions!$A$7:$F$11,3,FALSE),3)+IFERROR(VLOOKUP(V233,Assumptions!$A$7:$F$11,4,FALSE),8)/2-MAX(0,IF(AO233="",0,YEAR(TODAY())-AO233)-IFERROR(VLOOKUP(V233,Assumptions!$A$7:$F$11,5,FALSE),1.5))),IFERROR(VLOOKUP(V233,Assumptions!$A$7:$F$11,5,FALSE),2.5)+IFERROR(VLOOKUP(V233,Assumptions!$A$7:$F$11,3,FALSE),3)+IFERROR(VLOOKUP(V233,Assumptions!$A$7:$F$11,4,FALSE),8)/2)</f>
        <v/>
      </c>
      <c r="Y233" s="22">
        <f>U233*W233/(1+Assumptions!$B$3)^X233</f>
        <v/>
      </c>
      <c r="Z233" s="26">
        <f>IF(U233=0,"",ROUND(Y233/U233*100,1))</f>
        <v/>
      </c>
      <c r="AA233" s="27">
        <f>Y233*Assumptions!$B$4</f>
        <v/>
      </c>
      <c r="AB233" s="26">
        <f>IF(U233=0,"",ROUND(AA233/U233*100,1))</f>
        <v/>
      </c>
      <c r="AC233" s="27">
        <f>Y233-AA233</f>
        <v/>
      </c>
      <c r="AD233" s="26">
        <f>IF(U233=0,"",ROUND((Y233-AA233)/U233*100,1))</f>
        <v/>
      </c>
      <c r="AE233" s="28" t="inlineStr">
        <is>
          <t>OK — totals reconciled</t>
        </is>
      </c>
      <c r="AF233" s="29" t="inlineStr">
        <is>
          <t>https://bugarimecoelho.com.br/ws/media-library/b6b7ea42b9fa2afe30bc728fe00cd5c6/07---edital-do-processamento-da-recuperacao-judicial.pdf</t>
        </is>
      </c>
      <c r="AG233" s="28" t="inlineStr">
        <is>
          <t>p16 r9</t>
        </is>
      </c>
      <c r="AH233" s="28" t="inlineStr">
        <is>
          <t>p16: R$ 545.456,10</t>
        </is>
      </c>
      <c r="AI233" s="28" t="inlineStr">
        <is>
          <t>Unclassified list</t>
        </is>
      </c>
      <c r="AJ233" s="28" t="inlineStr">
        <is>
          <t>2026-07-09</t>
        </is>
      </c>
      <c r="AK233" s="28" t="inlineStr">
        <is>
          <t>NONE FOUND</t>
        </is>
      </c>
      <c r="AL233" s="30" t="inlineStr">
        <is>
          <t>3000117-40.2025.8.06.0512</t>
        </is>
      </c>
      <c r="AM233" s="30" t="inlineStr">
        <is>
          <t>TJCE</t>
        </is>
      </c>
      <c r="AN233" s="30" t="inlineStr">
        <is>
          <t>ACTIVE</t>
        </is>
      </c>
      <c r="AO233" s="30" t="n">
        <v>2025</v>
      </c>
      <c r="AP233" s="30" t="inlineStr">
        <is>
          <t>live case, no plan document yet</t>
        </is>
      </c>
      <c r="AQ233" s="30" t="inlineStr">
        <is>
          <t>11.399.787/0001-22</t>
        </is>
      </c>
      <c r="AR233" s="30" t="inlineStr">
        <is>
          <t>printed on the list (read twice)</t>
        </is>
      </c>
      <c r="AS233" s="30" t="inlineStr">
        <is>
          <t>OSASCO</t>
        </is>
      </c>
      <c r="AT233" s="30" t="inlineStr">
        <is>
          <t>SP</t>
        </is>
      </c>
      <c r="AU233" s="30" t="inlineStr">
        <is>
          <t>Emissão de vales-alimentação, vales-transporte e similares</t>
        </is>
      </c>
      <c r="AV233" s="30" t="inlineStr">
        <is>
          <t>DEMAIS</t>
        </is>
      </c>
      <c r="AW233" s="31" t="n">
        <v>470351000</v>
      </c>
      <c r="AX233" s="30" t="inlineStr">
        <is>
          <t>MID-MARKET</t>
        </is>
      </c>
      <c r="AY233" s="30" t="inlineStr">
        <is>
          <t>33157312</t>
        </is>
      </c>
      <c r="AZ233" s="30" t="n">
        <v>1</v>
      </c>
      <c r="BA233" s="30" t="inlineStr">
        <is>
          <t>ROWS:p16r9</t>
        </is>
      </c>
    </row>
    <row r="234">
      <c r="A234" s="16" t="inlineStr">
        <is>
          <t>CIA DO JEANS INDUSTRIA, COMERCIO E IMPORTACAO S/A</t>
        </is>
      </c>
      <c r="B234" s="17" t="n">
        <v>541970</v>
      </c>
      <c r="C234" s="18" t="inlineStr">
        <is>
          <t>GRUPO CATTAN</t>
        </is>
      </c>
      <c r="D234" s="19" t="inlineStr">
        <is>
          <t>NEW</t>
        </is>
      </c>
      <c r="E234" s="20" t="inlineStr"/>
      <c r="F234" s="19" t="inlineStr"/>
      <c r="G234" s="20" t="inlineStr"/>
      <c r="H234" s="19" t="inlineStr"/>
      <c r="I234" s="21" t="inlineStr">
        <is>
          <t>Clovis Sobrinho</t>
        </is>
      </c>
      <c r="J234" s="21" t="inlineStr">
        <is>
          <t>Manager of Sales</t>
        </is>
      </c>
      <c r="K234" s="21" t="inlineStr">
        <is>
          <t>(31) 3412-5001</t>
        </is>
      </c>
      <c r="L234" s="21" t="inlineStr"/>
      <c r="M234" s="21" t="inlineStr"/>
      <c r="N234" s="21" t="inlineStr"/>
      <c r="O234" s="21" t="inlineStr"/>
      <c r="P234" s="21" t="inlineStr">
        <is>
          <t>ELICASSIO MENDES RODRIGUES</t>
        </is>
      </c>
      <c r="Q234" s="21" t="inlineStr">
        <is>
          <t>Diretor (RFB partner)</t>
        </is>
      </c>
      <c r="R234" s="21" t="inlineStr"/>
      <c r="S234" s="21" t="inlineStr"/>
      <c r="T234" s="21" t="inlineStr">
        <is>
          <t>no work email found in Apollo</t>
        </is>
      </c>
      <c r="U234" s="22" t="n">
        <v>541970</v>
      </c>
      <c r="V234" s="23" t="inlineStr">
        <is>
          <t>B</t>
        </is>
      </c>
      <c r="W234" s="24">
        <f>IFERROR(VLOOKUP(V234,Assumptions!$A$7:$F$11,2,FALSE),0)</f>
        <v/>
      </c>
      <c r="X234" s="25">
        <f>IF(V234="A",MAX(1,IFERROR(VLOOKUP(V234,Assumptions!$A$7:$F$11,3,FALSE),3)+IFERROR(VLOOKUP(V234,Assumptions!$A$7:$F$11,4,FALSE),8)/2-MAX(0,IF(AO234="",0,YEAR(TODAY())-AO234)-IFERROR(VLOOKUP(V234,Assumptions!$A$7:$F$11,5,FALSE),1.5))),IFERROR(VLOOKUP(V234,Assumptions!$A$7:$F$11,5,FALSE),2.5)+IFERROR(VLOOKUP(V234,Assumptions!$A$7:$F$11,3,FALSE),3)+IFERROR(VLOOKUP(V234,Assumptions!$A$7:$F$11,4,FALSE),8)/2)</f>
        <v/>
      </c>
      <c r="Y234" s="22">
        <f>U234*W234/(1+Assumptions!$B$3)^X234</f>
        <v/>
      </c>
      <c r="Z234" s="26">
        <f>IF(U234=0,"",ROUND(Y234/U234*100,1))</f>
        <v/>
      </c>
      <c r="AA234" s="27">
        <f>Y234*Assumptions!$B$4</f>
        <v/>
      </c>
      <c r="AB234" s="26">
        <f>IF(U234=0,"",ROUND(AA234/U234*100,1))</f>
        <v/>
      </c>
      <c r="AC234" s="27">
        <f>Y234-AA234</f>
        <v/>
      </c>
      <c r="AD234" s="26">
        <f>IF(U234=0,"",ROUND((Y234-AA234)/U234*100,1))</f>
        <v/>
      </c>
      <c r="AE234" s="34" t="inlineStr">
        <is>
          <t>PARTIAL — class III reconciled, other classes not</t>
        </is>
      </c>
      <c r="AF234" s="29" t="inlineStr">
        <is>
          <t>https://lrflideres.com.br/wp-content/plugins/download-attachments/includes/download.php?id=4023</t>
        </is>
      </c>
      <c r="AG234" s="28" t="inlineStr">
        <is>
          <t>p4 r63</t>
        </is>
      </c>
      <c r="AH234" s="28" t="inlineStr">
        <is>
          <t>p4: R$ 541.970,00</t>
        </is>
      </c>
      <c r="AI234" s="28" t="inlineStr">
        <is>
          <t>Debtor list (art. 51)</t>
        </is>
      </c>
      <c r="AJ234" s="28" t="inlineStr"/>
      <c r="AK234" s="28" t="inlineStr">
        <is>
          <t>NONE FOUND</t>
        </is>
      </c>
      <c r="AL234" s="30" t="inlineStr">
        <is>
          <t>0002484-82.2022.8.17.2001</t>
        </is>
      </c>
      <c r="AM234" s="30" t="inlineStr">
        <is>
          <t>TJPE</t>
        </is>
      </c>
      <c r="AN234" s="30" t="inlineStr">
        <is>
          <t>ACTIVE</t>
        </is>
      </c>
      <c r="AO234" s="30" t="n">
        <v>2022</v>
      </c>
      <c r="AP234" s="30" t="inlineStr">
        <is>
          <t>live case, no plan document yet</t>
        </is>
      </c>
      <c r="AQ234" s="30" t="inlineStr"/>
      <c r="AR234" s="30" t="inlineStr">
        <is>
          <t>printed on the list (read twice)</t>
        </is>
      </c>
      <c r="AS234" s="30" t="inlineStr">
        <is>
          <t>COLATINA</t>
        </is>
      </c>
      <c r="AT234" s="30" t="inlineStr">
        <is>
          <t>ES</t>
        </is>
      </c>
      <c r="AU234" s="30" t="inlineStr">
        <is>
          <t>Confecção de peças de vestuário, exceto roupas íntimas e as confeccionadas sob medida</t>
        </is>
      </c>
      <c r="AV234" s="30" t="inlineStr">
        <is>
          <t>DEMAIS</t>
        </is>
      </c>
      <c r="AW234" s="31" t="n">
        <v>1880000</v>
      </c>
      <c r="AX234" s="30" t="inlineStr">
        <is>
          <t>MID-MARKET</t>
        </is>
      </c>
      <c r="AY234" s="30" t="inlineStr">
        <is>
          <t>12927088</t>
        </is>
      </c>
      <c r="AZ234" s="30" t="n">
        <v>1</v>
      </c>
      <c r="BA234" s="30" t="inlineStr">
        <is>
          <t>PARTIAL_DOC_CLASS_III_RECONCILED ROWS:p4r63</t>
        </is>
      </c>
    </row>
    <row r="235">
      <c r="A235" s="16" t="inlineStr">
        <is>
          <t>PORTOLOG TRANSPORTES LTDA</t>
        </is>
      </c>
      <c r="B235" s="17" t="n">
        <v>540028.76</v>
      </c>
      <c r="C235" s="18" t="inlineStr">
        <is>
          <t>Grupo Rech</t>
        </is>
      </c>
      <c r="D235" s="19" t="inlineStr">
        <is>
          <t>NEW</t>
        </is>
      </c>
      <c r="E235" s="20" t="inlineStr"/>
      <c r="F235" s="19" t="inlineStr"/>
      <c r="G235" s="20" t="inlineStr"/>
      <c r="H235" s="19" t="inlineStr"/>
      <c r="I235" s="21" t="inlineStr">
        <is>
          <t>Bruna Costa</t>
        </is>
      </c>
      <c r="J235" s="21" t="inlineStr">
        <is>
          <t>Administrative Manager (empresária / owner)</t>
        </is>
      </c>
      <c r="K235" s="21" t="inlineStr">
        <is>
          <t>(47) 3344-0990</t>
        </is>
      </c>
      <c r="L235" s="21" t="inlineStr"/>
      <c r="M235" s="21" t="inlineStr"/>
      <c r="N235" s="21" t="inlineStr">
        <is>
          <t>bruna@portolog.com.br</t>
        </is>
      </c>
      <c r="O235" s="21" t="inlineStr">
        <is>
          <t>costa@portolog.com.br</t>
        </is>
      </c>
      <c r="P235" s="21" t="inlineStr">
        <is>
          <t>Costa Portolog</t>
        </is>
      </c>
      <c r="Q235" s="21" t="inlineStr">
        <is>
          <t>Diretor Administrativo</t>
        </is>
      </c>
      <c r="R235" s="21" t="inlineStr"/>
      <c r="S235" s="21" t="inlineStr">
        <is>
          <t>costa@portolog.com.br</t>
        </is>
      </c>
      <c r="T235" s="21" t="inlineStr">
        <is>
          <t>email verified by Apollo</t>
        </is>
      </c>
      <c r="U235" s="22" t="n">
        <v>540028.76</v>
      </c>
      <c r="V235" s="23" t="inlineStr">
        <is>
          <t>B</t>
        </is>
      </c>
      <c r="W235" s="24">
        <f>IFERROR(VLOOKUP(V235,Assumptions!$A$7:$F$11,2,FALSE),0)</f>
        <v/>
      </c>
      <c r="X235" s="25">
        <f>IF(V235="A",MAX(1,IFERROR(VLOOKUP(V235,Assumptions!$A$7:$F$11,3,FALSE),3)+IFERROR(VLOOKUP(V235,Assumptions!$A$7:$F$11,4,FALSE),8)/2-MAX(0,IF(AO235="",0,YEAR(TODAY())-AO235)-IFERROR(VLOOKUP(V235,Assumptions!$A$7:$F$11,5,FALSE),1.5))),IFERROR(VLOOKUP(V235,Assumptions!$A$7:$F$11,5,FALSE),2.5)+IFERROR(VLOOKUP(V235,Assumptions!$A$7:$F$11,3,FALSE),3)+IFERROR(VLOOKUP(V235,Assumptions!$A$7:$F$11,4,FALSE),8)/2)</f>
        <v/>
      </c>
      <c r="Y235" s="22">
        <f>U235*W235/(1+Assumptions!$B$3)^X235</f>
        <v/>
      </c>
      <c r="Z235" s="26">
        <f>IF(U235=0,"",ROUND(Y235/U235*100,1))</f>
        <v/>
      </c>
      <c r="AA235" s="27">
        <f>Y235*Assumptions!$B$4</f>
        <v/>
      </c>
      <c r="AB235" s="26">
        <f>IF(U235=0,"",ROUND(AA235/U235*100,1))</f>
        <v/>
      </c>
      <c r="AC235" s="27">
        <f>Y235-AA235</f>
        <v/>
      </c>
      <c r="AD235" s="26">
        <f>IF(U235=0,"",ROUND((Y235-AA235)/U235*100,1))</f>
        <v/>
      </c>
      <c r="AE235" s="36" t="inlineStr">
        <is>
          <t>CHECK — source is not a statutory creditor list</t>
        </is>
      </c>
      <c r="AF235" s="29" t="inlineStr">
        <is>
          <t>https://credibilita.com.br/wp-content/uploads/2025/09/Relacao-Credores-29.04.2026.pdf</t>
        </is>
      </c>
      <c r="AG235" s="28" t="inlineStr">
        <is>
          <t>p2 r8</t>
        </is>
      </c>
      <c r="AH235" s="28" t="inlineStr">
        <is>
          <t>p2: R$ 540.028,76</t>
        </is>
      </c>
      <c r="AI235" s="28" t="inlineStr">
        <is>
          <t>Quorum list — NOT an art. 7/51 list</t>
        </is>
      </c>
      <c r="AJ235" s="28" t="inlineStr"/>
      <c r="AK235" s="28" t="inlineStr">
        <is>
          <t>NONE FOUND</t>
        </is>
      </c>
      <c r="AL235" s="30" t="inlineStr">
        <is>
          <t>5057720-48.2025.8.24.0023</t>
        </is>
      </c>
      <c r="AM235" s="30" t="inlineStr">
        <is>
          <t>TJSC</t>
        </is>
      </c>
      <c r="AN235" s="30" t="inlineStr"/>
      <c r="AO235" s="30" t="n">
        <v>2025</v>
      </c>
      <c r="AP235" s="30" t="inlineStr">
        <is>
          <t>live case, no plan document yet</t>
        </is>
      </c>
      <c r="AQ235" s="30" t="inlineStr"/>
      <c r="AR235" s="30" t="inlineStr">
        <is>
          <t>portal page title / URL — not printed on the list</t>
        </is>
      </c>
      <c r="AS235" s="30" t="inlineStr">
        <is>
          <t>ITAJAI</t>
        </is>
      </c>
      <c r="AT235" s="30" t="inlineStr">
        <is>
          <t>SC</t>
        </is>
      </c>
      <c r="AU235" s="30" t="inlineStr">
        <is>
          <t>Transporte rodoviário de carga, exceto produtos perigosos e mudanças, municipal.</t>
        </is>
      </c>
      <c r="AV235" s="30" t="inlineStr">
        <is>
          <t>DEMAIS</t>
        </is>
      </c>
      <c r="AW235" s="31" t="n">
        <v>300000</v>
      </c>
      <c r="AX235" s="30" t="inlineStr">
        <is>
          <t>MID-MARKET</t>
        </is>
      </c>
      <c r="AY235" s="30" t="inlineStr">
        <is>
          <t>07746756</t>
        </is>
      </c>
      <c r="AZ235" s="30" t="n">
        <v>1</v>
      </c>
      <c r="BA235" s="30" t="inlineStr">
        <is>
          <t>ROWS:p2r8 UNRECONCILED_SOURCE VALUE_COL:Valor_Após_Analise CASE_NUMBER_CORRECTED</t>
        </is>
      </c>
    </row>
    <row r="236">
      <c r="A236" s="16" t="inlineStr">
        <is>
          <t>REPOM INSTITUICAO DE PAGAMENTO HUSA S.A</t>
        </is>
      </c>
      <c r="B236" s="17" t="n">
        <v>1008821.27</v>
      </c>
      <c r="C236" s="37" t="inlineStr">
        <is>
          <t>(debtor not identified — see proof)</t>
        </is>
      </c>
      <c r="D236" s="19" t="inlineStr">
        <is>
          <t>NEW</t>
        </is>
      </c>
      <c r="E236" s="20" t="inlineStr"/>
      <c r="F236" s="19" t="inlineStr"/>
      <c r="G236" s="20" t="inlineStr"/>
      <c r="H236" s="19" t="inlineStr"/>
      <c r="I236" s="21" t="inlineStr">
        <is>
          <t>Guilherme Frasson</t>
        </is>
      </c>
      <c r="J236" s="21" t="inlineStr">
        <is>
          <t>Business Controller na Edenred Repom S.A.</t>
        </is>
      </c>
      <c r="K236" s="21" t="inlineStr">
        <is>
          <t>(11) 4191-1161</t>
        </is>
      </c>
      <c r="L236" s="21" t="inlineStr"/>
      <c r="M236" s="21" t="inlineStr"/>
      <c r="N236" s="21" t="inlineStr">
        <is>
          <t>guilherme.frasson@edenred.com</t>
        </is>
      </c>
      <c r="O236" s="21" t="inlineStr">
        <is>
          <t>vinicios.fernandes@edenred.com</t>
        </is>
      </c>
      <c r="P236" s="21" t="inlineStr">
        <is>
          <t>Vinicios Fernandes</t>
        </is>
      </c>
      <c r="Q236" s="21" t="inlineStr">
        <is>
          <t>Diretor de BU - Edenred Frete (Repom + Pagbem)</t>
        </is>
      </c>
      <c r="R236" s="21" t="inlineStr"/>
      <c r="S236" s="21" t="inlineStr">
        <is>
          <t>vinicios.fernandes@edenred.com</t>
        </is>
      </c>
      <c r="T236" s="21" t="inlineStr">
        <is>
          <t>email verified by Apollo</t>
        </is>
      </c>
      <c r="U236" s="22" t="n">
        <v>1008821.27</v>
      </c>
      <c r="V236" s="32" t="inlineStr">
        <is>
          <t>U</t>
        </is>
      </c>
      <c r="W236" s="24">
        <f>IFERROR(VLOOKUP(V236,Assumptions!$A$7:$F$11,2,FALSE),0)</f>
        <v/>
      </c>
      <c r="X236" s="25">
        <f>IF(V236="A",MAX(1,IFERROR(VLOOKUP(V236,Assumptions!$A$7:$F$11,3,FALSE),3)+IFERROR(VLOOKUP(V236,Assumptions!$A$7:$F$11,4,FALSE),8)/2-MAX(0,IF(AO236="",0,YEAR(TODAY())-AO236)-IFERROR(VLOOKUP(V236,Assumptions!$A$7:$F$11,5,FALSE),1.5))),IFERROR(VLOOKUP(V236,Assumptions!$A$7:$F$11,5,FALSE),2.5)+IFERROR(VLOOKUP(V236,Assumptions!$A$7:$F$11,3,FALSE),3)+IFERROR(VLOOKUP(V236,Assumptions!$A$7:$F$11,4,FALSE),8)/2)</f>
        <v/>
      </c>
      <c r="Y236" s="22">
        <f>U236*W236/(1+Assumptions!$B$3)^X236</f>
        <v/>
      </c>
      <c r="Z236" s="26">
        <f>IF(U236=0,"",ROUND(Y236/U236*100,1))</f>
        <v/>
      </c>
      <c r="AA236" s="27">
        <f>Y236*Assumptions!$B$4</f>
        <v/>
      </c>
      <c r="AB236" s="26">
        <f>IF(U236=0,"",ROUND(AA236/U236*100,1))</f>
        <v/>
      </c>
      <c r="AC236" s="27">
        <f>Y236-AA236</f>
        <v/>
      </c>
      <c r="AD236" s="26">
        <f>IF(U236=0,"",ROUND((Y236-AA236)/U236*100,1))</f>
        <v/>
      </c>
      <c r="AE236" s="28" t="inlineStr">
        <is>
          <t>OK — totals reconciled</t>
        </is>
      </c>
      <c r="AF236" s="29" t="inlineStr">
        <is>
          <t>https://ajruiz.com.br/sites/default/files/public/arquivos-processos/2023-11/4_relacao_de_credores_analitica_art._51_iii_da_lre.pdf</t>
        </is>
      </c>
      <c r="AG236" s="28" t="inlineStr">
        <is>
          <t>p3 r50</t>
        </is>
      </c>
      <c r="AH236" s="28" t="inlineStr">
        <is>
          <t>p3: R$ 1.008.821,27</t>
        </is>
      </c>
      <c r="AI236" s="28" t="inlineStr">
        <is>
          <t>Unclassified list</t>
        </is>
      </c>
      <c r="AJ236" s="28" t="inlineStr"/>
      <c r="AK236" s="28" t="inlineStr">
        <is>
          <t>NONE FOUND</t>
        </is>
      </c>
      <c r="AL236" s="30" t="inlineStr">
        <is>
          <t>(not printed)</t>
        </is>
      </c>
      <c r="AM236" s="30" t="inlineStr"/>
      <c r="AN236" s="30" t="inlineStr"/>
      <c r="AO236" s="30" t="inlineStr"/>
      <c r="AP236" s="30" t="inlineStr">
        <is>
          <t>RJ case number not identified on the document</t>
        </is>
      </c>
      <c r="AQ236" s="30" t="inlineStr"/>
      <c r="AR236" s="30" t="inlineStr">
        <is>
          <t>not identified</t>
        </is>
      </c>
      <c r="AS236" s="30" t="inlineStr">
        <is>
          <t>SAO PAULO</t>
        </is>
      </c>
      <c r="AT236" s="30" t="inlineStr">
        <is>
          <t>SP</t>
        </is>
      </c>
      <c r="AU236" s="30" t="inlineStr">
        <is>
          <t>Tratamento de dados, provedores de serviços de aplicação e serviços de hospedagem na internet</t>
        </is>
      </c>
      <c r="AV236" s="30" t="inlineStr">
        <is>
          <t>DEMAIS</t>
        </is>
      </c>
      <c r="AW236" s="31" t="n">
        <v>39852780</v>
      </c>
      <c r="AX236" s="30" t="inlineStr">
        <is>
          <t>MID-MARKET</t>
        </is>
      </c>
      <c r="AY236" s="30" t="inlineStr">
        <is>
          <t>65697260</t>
        </is>
      </c>
      <c r="AZ236" s="30" t="n">
        <v>1</v>
      </c>
      <c r="BA236" s="30" t="inlineStr">
        <is>
          <t>ROWS:p3r50 CASE_NUMBER_CORRECTED</t>
        </is>
      </c>
    </row>
    <row r="237">
      <c r="A237" s="16" t="inlineStr">
        <is>
          <t>GOODYEAR DO BRASIL PRODUTOS DE BORRACHA LTDA</t>
        </is>
      </c>
      <c r="B237" s="17" t="n">
        <v>1007717.64</v>
      </c>
      <c r="C237" s="37" t="inlineStr">
        <is>
          <t>(debtor not identified — see proof)</t>
        </is>
      </c>
      <c r="D237" s="19" t="inlineStr">
        <is>
          <t>NEW</t>
        </is>
      </c>
      <c r="E237" s="20" t="inlineStr"/>
      <c r="F237" s="19" t="inlineStr"/>
      <c r="G237" s="20" t="inlineStr"/>
      <c r="H237" s="19" t="inlineStr"/>
      <c r="I237" s="21" t="inlineStr">
        <is>
          <t>ALFREDO GAMBOA OLIVEROS</t>
        </is>
      </c>
      <c r="J237" s="21" t="inlineStr">
        <is>
          <t>Administrador (RFB partner)</t>
        </is>
      </c>
      <c r="K237" s="21" t="inlineStr">
        <is>
          <t>(11) 2818-4128</t>
        </is>
      </c>
      <c r="L237" s="21" t="inlineStr"/>
      <c r="M237" s="21" t="inlineStr"/>
      <c r="N237" s="21" t="inlineStr"/>
      <c r="O237" s="21" t="inlineStr"/>
      <c r="P237" s="21" t="inlineStr">
        <is>
          <t>ANTONIO DIMAS RONCOLATI</t>
        </is>
      </c>
      <c r="Q237" s="21" t="inlineStr">
        <is>
          <t>Administrador (RFB partner)</t>
        </is>
      </c>
      <c r="R237" s="21" t="inlineStr"/>
      <c r="S237" s="21" t="inlineStr"/>
      <c r="T237" s="21" t="inlineStr">
        <is>
          <t>RFB partner (QSA); no Apollo match</t>
        </is>
      </c>
      <c r="U237" s="22" t="n">
        <v>1007717.64</v>
      </c>
      <c r="V237" s="32" t="inlineStr">
        <is>
          <t>U</t>
        </is>
      </c>
      <c r="W237" s="24">
        <f>IFERROR(VLOOKUP(V237,Assumptions!$A$7:$F$11,2,FALSE),0)</f>
        <v/>
      </c>
      <c r="X237" s="25">
        <f>IF(V237="A",MAX(1,IFERROR(VLOOKUP(V237,Assumptions!$A$7:$F$11,3,FALSE),3)+IFERROR(VLOOKUP(V237,Assumptions!$A$7:$F$11,4,FALSE),8)/2-MAX(0,IF(AO237="",0,YEAR(TODAY())-AO237)-IFERROR(VLOOKUP(V237,Assumptions!$A$7:$F$11,5,FALSE),1.5))),IFERROR(VLOOKUP(V237,Assumptions!$A$7:$F$11,5,FALSE),2.5)+IFERROR(VLOOKUP(V237,Assumptions!$A$7:$F$11,3,FALSE),3)+IFERROR(VLOOKUP(V237,Assumptions!$A$7:$F$11,4,FALSE),8)/2)</f>
        <v/>
      </c>
      <c r="Y237" s="22">
        <f>U237*W237/(1+Assumptions!$B$3)^X237</f>
        <v/>
      </c>
      <c r="Z237" s="26">
        <f>IF(U237=0,"",ROUND(Y237/U237*100,1))</f>
        <v/>
      </c>
      <c r="AA237" s="27">
        <f>Y237*Assumptions!$B$4</f>
        <v/>
      </c>
      <c r="AB237" s="26">
        <f>IF(U237=0,"",ROUND(AA237/U237*100,1))</f>
        <v/>
      </c>
      <c r="AC237" s="27">
        <f>Y237-AA237</f>
        <v/>
      </c>
      <c r="AD237" s="26">
        <f>IF(U237=0,"",ROUND((Y237-AA237)/U237*100,1))</f>
        <v/>
      </c>
      <c r="AE237" s="28" t="inlineStr">
        <is>
          <t>OK — totals reconciled</t>
        </is>
      </c>
      <c r="AF237" s="29" t="inlineStr">
        <is>
          <t>https://ajruiz.com.br/sites/default/files/public/arquivos-processos/2023-11/4_relacao_de_credores_analitica_art._51_iii_da_lre.pdf</t>
        </is>
      </c>
      <c r="AG237" s="28" t="inlineStr">
        <is>
          <t>p3 r12</t>
        </is>
      </c>
      <c r="AH237" s="28" t="inlineStr">
        <is>
          <t>p3: R$ 1.007.717,64</t>
        </is>
      </c>
      <c r="AI237" s="28" t="inlineStr">
        <is>
          <t>Unclassified list</t>
        </is>
      </c>
      <c r="AJ237" s="28" t="inlineStr"/>
      <c r="AK237" s="28" t="inlineStr">
        <is>
          <t>NONE FOUND</t>
        </is>
      </c>
      <c r="AL237" s="30" t="inlineStr">
        <is>
          <t>(not printed)</t>
        </is>
      </c>
      <c r="AM237" s="30" t="inlineStr"/>
      <c r="AN237" s="30" t="inlineStr"/>
      <c r="AO237" s="30" t="inlineStr"/>
      <c r="AP237" s="30" t="inlineStr">
        <is>
          <t>RJ case number not identified on the document</t>
        </is>
      </c>
      <c r="AQ237" s="30" t="inlineStr"/>
      <c r="AR237" s="30" t="inlineStr">
        <is>
          <t>not identified</t>
        </is>
      </c>
      <c r="AS237" s="30" t="inlineStr">
        <is>
          <t>SANTA BARBARA D'OESTE</t>
        </is>
      </c>
      <c r="AT237" s="30" t="inlineStr">
        <is>
          <t>SP</t>
        </is>
      </c>
      <c r="AU237" s="30" t="inlineStr">
        <is>
          <t>Fabricação de pneumáticos e de câmaras-de-ar</t>
        </is>
      </c>
      <c r="AV237" s="30" t="inlineStr">
        <is>
          <t>DEMAIS</t>
        </is>
      </c>
      <c r="AW237" s="31" t="n">
        <v>1209001100</v>
      </c>
      <c r="AX237" s="30" t="inlineStr">
        <is>
          <t>LARGE CORP</t>
        </is>
      </c>
      <c r="AY237" s="30" t="inlineStr">
        <is>
          <t>60500246</t>
        </is>
      </c>
      <c r="AZ237" s="30" t="n">
        <v>1</v>
      </c>
      <c r="BA237" s="30" t="inlineStr">
        <is>
          <t>ROWS:p3r12 CASE_NUMBER_CORRECTED</t>
        </is>
      </c>
    </row>
    <row r="238">
      <c r="A238" s="16" t="inlineStr">
        <is>
          <t>MICROMAZZA INDUSTRIA DE VALVULAS LTDA</t>
        </is>
      </c>
      <c r="B238" s="17" t="n">
        <v>1006062.4</v>
      </c>
      <c r="C238" s="18" t="inlineStr">
        <is>
          <t>EGESA ENGENHARIA S/A (Consórcio ETDI)</t>
        </is>
      </c>
      <c r="D238" s="19" t="inlineStr">
        <is>
          <t>NEW</t>
        </is>
      </c>
      <c r="E238" s="20" t="inlineStr"/>
      <c r="F238" s="19" t="inlineStr"/>
      <c r="G238" s="20" t="inlineStr"/>
      <c r="H238" s="19" t="inlineStr"/>
      <c r="I238" s="21" t="inlineStr">
        <is>
          <t>Matheus Smith</t>
        </is>
      </c>
      <c r="J238" s="21" t="inlineStr">
        <is>
          <t>Especialista em Melhoria de Processos</t>
        </is>
      </c>
      <c r="K238" s="21" t="inlineStr">
        <is>
          <t>(54) 3447-2700</t>
        </is>
      </c>
      <c r="L238" s="21" t="inlineStr"/>
      <c r="M238" s="21" t="inlineStr"/>
      <c r="N238" s="21" t="inlineStr">
        <is>
          <t>matheus.smith@micromazza.com</t>
        </is>
      </c>
      <c r="O238" s="21" t="inlineStr">
        <is>
          <t>matheus.smith@micromazza.com</t>
        </is>
      </c>
      <c r="P238" s="21" t="inlineStr">
        <is>
          <t>Matheus Smith</t>
        </is>
      </c>
      <c r="Q238" s="21" t="inlineStr">
        <is>
          <t>Especialista em Melhoria de Processos</t>
        </is>
      </c>
      <c r="R238" s="21" t="inlineStr"/>
      <c r="S238" s="21" t="inlineStr">
        <is>
          <t>matheus.smith@micromazza.com</t>
        </is>
      </c>
      <c r="T238" s="21" t="inlineStr">
        <is>
          <t>email verified by Apollo</t>
        </is>
      </c>
      <c r="U238" s="22" t="n">
        <v>1006062.4</v>
      </c>
      <c r="V238" s="32" t="inlineStr">
        <is>
          <t>U</t>
        </is>
      </c>
      <c r="W238" s="24">
        <f>IFERROR(VLOOKUP(V238,Assumptions!$A$7:$F$11,2,FALSE),0)</f>
        <v/>
      </c>
      <c r="X238" s="25">
        <f>IF(V238="A",MAX(1,IFERROR(VLOOKUP(V238,Assumptions!$A$7:$F$11,3,FALSE),3)+IFERROR(VLOOKUP(V238,Assumptions!$A$7:$F$11,4,FALSE),8)/2-MAX(0,IF(AO238="",0,YEAR(TODAY())-AO238)-IFERROR(VLOOKUP(V238,Assumptions!$A$7:$F$11,5,FALSE),1.5))),IFERROR(VLOOKUP(V238,Assumptions!$A$7:$F$11,5,FALSE),2.5)+IFERROR(VLOOKUP(V238,Assumptions!$A$7:$F$11,3,FALSE),3)+IFERROR(VLOOKUP(V238,Assumptions!$A$7:$F$11,4,FALSE),8)/2)</f>
        <v/>
      </c>
      <c r="Y238" s="22">
        <f>U238*W238/(1+Assumptions!$B$3)^X238</f>
        <v/>
      </c>
      <c r="Z238" s="26">
        <f>IF(U238=0,"",ROUND(Y238/U238*100,1))</f>
        <v/>
      </c>
      <c r="AA238" s="27">
        <f>Y238*Assumptions!$B$4</f>
        <v/>
      </c>
      <c r="AB238" s="26">
        <f>IF(U238=0,"",ROUND(AA238/U238*100,1))</f>
        <v/>
      </c>
      <c r="AC238" s="27">
        <f>Y238-AA238</f>
        <v/>
      </c>
      <c r="AD238" s="26">
        <f>IF(U238=0,"",ROUND((Y238-AA238)/U238*100,1))</f>
        <v/>
      </c>
      <c r="AE238" s="28" t="inlineStr">
        <is>
          <t>OK — totals reconciled</t>
        </is>
      </c>
      <c r="AF238" s="29" t="inlineStr">
        <is>
          <t>https://scalzilliaj.com.br/sgc/download.php?file=files/processo_documento/processo_documento09514021082025_1_.pdf&amp;nome=04 - Relação de credores das Recuperandas</t>
        </is>
      </c>
      <c r="AG238" s="28" t="inlineStr">
        <is>
          <t>p69 r18</t>
        </is>
      </c>
      <c r="AH238" s="28" t="inlineStr">
        <is>
          <t>p69: R$ 1.006.062,40</t>
        </is>
      </c>
      <c r="AI238" s="28" t="inlineStr">
        <is>
          <t>Debtor list (art. 51)</t>
        </is>
      </c>
      <c r="AJ238" s="28" t="inlineStr"/>
      <c r="AK238" s="28" t="inlineStr">
        <is>
          <t>NONE FOUND</t>
        </is>
      </c>
      <c r="AL238" s="30" t="inlineStr">
        <is>
          <t>(not printed)</t>
        </is>
      </c>
      <c r="AM238" s="30" t="inlineStr"/>
      <c r="AN238" s="30" t="inlineStr"/>
      <c r="AO238" s="30" t="inlineStr"/>
      <c r="AP238" s="30" t="inlineStr">
        <is>
          <t>RJ case number not identified on the document</t>
        </is>
      </c>
      <c r="AQ238" s="30" t="inlineStr"/>
      <c r="AR238" s="30" t="inlineStr">
        <is>
          <t>portal page title / URL — not printed on the list</t>
        </is>
      </c>
      <c r="AS238" s="30" t="inlineStr">
        <is>
          <t>VILA FLORES</t>
        </is>
      </c>
      <c r="AT238" s="30" t="inlineStr">
        <is>
          <t>RS</t>
        </is>
      </c>
      <c r="AU238" s="30" t="inlineStr">
        <is>
          <t>Fabricação de válvulas, registros e dispositivos semelhantes, peças e acessórios</t>
        </is>
      </c>
      <c r="AV238" s="30" t="inlineStr">
        <is>
          <t>DEMAIS</t>
        </is>
      </c>
      <c r="AW238" s="31" t="n">
        <v>9000000</v>
      </c>
      <c r="AX238" s="30" t="inlineStr">
        <is>
          <t>MID-MARKET</t>
        </is>
      </c>
      <c r="AY238" s="30" t="inlineStr">
        <is>
          <t>72096100</t>
        </is>
      </c>
      <c r="AZ238" s="30" t="n">
        <v>1</v>
      </c>
      <c r="BA238" s="30" t="inlineStr">
        <is>
          <t>ROWS:p69r18 VALUE_COL:Valor_Atualizado CASE_NUMBER_CORRECTED</t>
        </is>
      </c>
    </row>
    <row r="239">
      <c r="A239" s="16" t="inlineStr">
        <is>
          <t>AGROINDUSTRIAL IRMAOS DALLA COSTA S.A</t>
        </is>
      </c>
      <c r="B239" s="17" t="n">
        <v>535652</v>
      </c>
      <c r="C239" s="18" t="inlineStr">
        <is>
          <t>Grupo Agromeal</t>
        </is>
      </c>
      <c r="D239" s="19" t="inlineStr">
        <is>
          <t>NEW</t>
        </is>
      </c>
      <c r="E239" s="20" t="inlineStr"/>
      <c r="F239" s="19" t="inlineStr"/>
      <c r="G239" s="20" t="inlineStr"/>
      <c r="H239" s="19" t="inlineStr"/>
      <c r="I239" s="21" t="inlineStr">
        <is>
          <t>IVO ANTONIO DALLA COSTA</t>
        </is>
      </c>
      <c r="J239" s="21" t="inlineStr">
        <is>
          <t>Diretor (RFB partner)</t>
        </is>
      </c>
      <c r="K239" s="21" t="inlineStr">
        <is>
          <t>(18) 3265-6500</t>
        </is>
      </c>
      <c r="L239" s="21" t="inlineStr">
        <is>
          <t>(18) 3265-9393</t>
        </is>
      </c>
      <c r="M239" s="21" t="inlineStr"/>
      <c r="N239" s="21" t="inlineStr"/>
      <c r="O239" s="21" t="inlineStr"/>
      <c r="P239" s="21" t="inlineStr">
        <is>
          <t>THIAGO DALLA COSTA</t>
        </is>
      </c>
      <c r="Q239" s="21" t="inlineStr">
        <is>
          <t>Diretor (RFB partner)</t>
        </is>
      </c>
      <c r="R239" s="21" t="inlineStr"/>
      <c r="S239" s="21" t="inlineStr"/>
      <c r="T239" s="21" t="inlineStr">
        <is>
          <t>RFB partner (QSA); no Apollo match</t>
        </is>
      </c>
      <c r="U239" s="22" t="n">
        <v>535652</v>
      </c>
      <c r="V239" s="23" t="inlineStr">
        <is>
          <t>B</t>
        </is>
      </c>
      <c r="W239" s="24">
        <f>IFERROR(VLOOKUP(V239,Assumptions!$A$7:$F$11,2,FALSE),0)</f>
        <v/>
      </c>
      <c r="X239" s="25">
        <f>IF(V239="A",MAX(1,IFERROR(VLOOKUP(V239,Assumptions!$A$7:$F$11,3,FALSE),3)+IFERROR(VLOOKUP(V239,Assumptions!$A$7:$F$11,4,FALSE),8)/2-MAX(0,IF(AO239="",0,YEAR(TODAY())-AO239)-IFERROR(VLOOKUP(V239,Assumptions!$A$7:$F$11,5,FALSE),1.5))),IFERROR(VLOOKUP(V239,Assumptions!$A$7:$F$11,5,FALSE),2.5)+IFERROR(VLOOKUP(V239,Assumptions!$A$7:$F$11,3,FALSE),3)+IFERROR(VLOOKUP(V239,Assumptions!$A$7:$F$11,4,FALSE),8)/2)</f>
        <v/>
      </c>
      <c r="Y239" s="22">
        <f>U239*W239/(1+Assumptions!$B$3)^X239</f>
        <v/>
      </c>
      <c r="Z239" s="26">
        <f>IF(U239=0,"",ROUND(Y239/U239*100,1))</f>
        <v/>
      </c>
      <c r="AA239" s="27">
        <f>Y239*Assumptions!$B$4</f>
        <v/>
      </c>
      <c r="AB239" s="26">
        <f>IF(U239=0,"",ROUND(AA239/U239*100,1))</f>
        <v/>
      </c>
      <c r="AC239" s="27">
        <f>Y239-AA239</f>
        <v/>
      </c>
      <c r="AD239" s="26">
        <f>IF(U239=0,"",ROUND((Y239-AA239)/U239*100,1))</f>
        <v/>
      </c>
      <c r="AE239" s="34" t="inlineStr">
        <is>
          <t>PARTIAL — class III reconciled, other classes not</t>
        </is>
      </c>
      <c r="AF239" s="29" t="inlineStr">
        <is>
          <t>https://marquesadmjudicial.com.br/sgc/download.php?file=files/processo_documento/processo_documento17040729052024_1_.pdf&amp;nome=Relação Nominal de Credores AJ-Sintética</t>
        </is>
      </c>
      <c r="AG239" s="28" t="inlineStr">
        <is>
          <t>p9 r4; p9 r5</t>
        </is>
      </c>
      <c r="AH239" s="28" t="inlineStr">
        <is>
          <t>p9: R$ 433.316,00; p9: R$ 102.336,00</t>
        </is>
      </c>
      <c r="AI239" s="28" t="inlineStr">
        <is>
          <t>AJ list (art. 7 §2)</t>
        </is>
      </c>
      <c r="AJ239" s="28" t="inlineStr">
        <is>
          <t>2024-05-27</t>
        </is>
      </c>
      <c r="AK239" s="28" t="inlineStr">
        <is>
          <t>NONE FOUND</t>
        </is>
      </c>
      <c r="AL239" s="30" t="inlineStr">
        <is>
          <t>0003971-03.2023.8.16.0119</t>
        </is>
      </c>
      <c r="AM239" s="30" t="inlineStr">
        <is>
          <t>TJPR</t>
        </is>
      </c>
      <c r="AN239" s="30" t="inlineStr">
        <is>
          <t>ACTIVE</t>
        </is>
      </c>
      <c r="AO239" s="30" t="n">
        <v>2023</v>
      </c>
      <c r="AP239" s="30" t="inlineStr">
        <is>
          <t>live case, no plan document yet</t>
        </is>
      </c>
      <c r="AQ239" s="30" t="inlineStr">
        <is>
          <t>11.624.776/0001-07</t>
        </is>
      </c>
      <c r="AR239" s="30" t="inlineStr">
        <is>
          <t>printed on the list (read twice)</t>
        </is>
      </c>
      <c r="AS239" s="30" t="inlineStr">
        <is>
          <t>RANCHARIA</t>
        </is>
      </c>
      <c r="AT239" s="30" t="inlineStr">
        <is>
          <t>SP</t>
        </is>
      </c>
      <c r="AU239" s="30" t="inlineStr">
        <is>
          <t>Abate de aves</t>
        </is>
      </c>
      <c r="AV239" s="30" t="inlineStr">
        <is>
          <t>DEMAIS</t>
        </is>
      </c>
      <c r="AW239" s="31" t="n">
        <v>82394570</v>
      </c>
      <c r="AX239" s="30" t="inlineStr">
        <is>
          <t>MID-MARKET</t>
        </is>
      </c>
      <c r="AY239" s="30" t="inlineStr">
        <is>
          <t>07851247</t>
        </is>
      </c>
      <c r="AZ239" s="30" t="n">
        <v>2</v>
      </c>
      <c r="BA239" s="30" t="inlineStr">
        <is>
          <t>PARTIAL_DOC_CLASS_III_RECONCILED ROWS:p9r4,p9r5</t>
        </is>
      </c>
    </row>
    <row r="240">
      <c r="A240" s="16" t="inlineStr">
        <is>
          <t>TRUST - IMPORTACAO E EXPORTACAO LTDA</t>
        </is>
      </c>
      <c r="B240" s="17" t="n">
        <v>533171.8100000001</v>
      </c>
      <c r="C240" s="18" t="inlineStr">
        <is>
          <t>Cerealista Safrasul Ltda</t>
        </is>
      </c>
      <c r="D240" s="19" t="inlineStr">
        <is>
          <t>NEW</t>
        </is>
      </c>
      <c r="E240" s="20" t="inlineStr"/>
      <c r="F240" s="19" t="inlineStr"/>
      <c r="G240" s="20" t="inlineStr"/>
      <c r="H240" s="19" t="inlineStr"/>
      <c r="I240" s="21" t="inlineStr">
        <is>
          <t>JULIANO D ALMEIDA VICTORINO</t>
        </is>
      </c>
      <c r="J240" s="21" t="inlineStr">
        <is>
          <t>Administrador (RFB partner)</t>
        </is>
      </c>
      <c r="K240" s="21" t="inlineStr">
        <is>
          <t>(47) 3405-8300</t>
        </is>
      </c>
      <c r="L240" s="21" t="inlineStr"/>
      <c r="M240" s="21" t="inlineStr"/>
      <c r="N240" s="21" t="inlineStr"/>
      <c r="O240" s="21" t="inlineStr"/>
      <c r="P240" s="21" t="inlineStr"/>
      <c r="Q240" s="21" t="inlineStr"/>
      <c r="R240" s="21" t="inlineStr"/>
      <c r="S240" s="21" t="inlineStr"/>
      <c r="T240" s="21" t="inlineStr">
        <is>
          <t>RFB partner (QSA); no Apollo match</t>
        </is>
      </c>
      <c r="U240" s="22" t="n">
        <v>533171.8100000001</v>
      </c>
      <c r="V240" s="23" t="inlineStr">
        <is>
          <t>B</t>
        </is>
      </c>
      <c r="W240" s="24">
        <f>IFERROR(VLOOKUP(V240,Assumptions!$A$7:$F$11,2,FALSE),0)</f>
        <v/>
      </c>
      <c r="X240" s="25">
        <f>IF(V240="A",MAX(1,IFERROR(VLOOKUP(V240,Assumptions!$A$7:$F$11,3,FALSE),3)+IFERROR(VLOOKUP(V240,Assumptions!$A$7:$F$11,4,FALSE),8)/2-MAX(0,IF(AO240="",0,YEAR(TODAY())-AO240)-IFERROR(VLOOKUP(V240,Assumptions!$A$7:$F$11,5,FALSE),1.5))),IFERROR(VLOOKUP(V240,Assumptions!$A$7:$F$11,5,FALSE),2.5)+IFERROR(VLOOKUP(V240,Assumptions!$A$7:$F$11,3,FALSE),3)+IFERROR(VLOOKUP(V240,Assumptions!$A$7:$F$11,4,FALSE),8)/2)</f>
        <v/>
      </c>
      <c r="Y240" s="22">
        <f>U240*W240/(1+Assumptions!$B$3)^X240</f>
        <v/>
      </c>
      <c r="Z240" s="26">
        <f>IF(U240=0,"",ROUND(Y240/U240*100,1))</f>
        <v/>
      </c>
      <c r="AA240" s="27">
        <f>Y240*Assumptions!$B$4</f>
        <v/>
      </c>
      <c r="AB240" s="26">
        <f>IF(U240=0,"",ROUND(AA240/U240*100,1))</f>
        <v/>
      </c>
      <c r="AC240" s="27">
        <f>Y240-AA240</f>
        <v/>
      </c>
      <c r="AD240" s="26">
        <f>IF(U240=0,"",ROUND((Y240-AA240)/U240*100,1))</f>
        <v/>
      </c>
      <c r="AE240" s="33" t="inlineStr">
        <is>
          <t>NO TOTALS — list prints none; check page</t>
        </is>
      </c>
      <c r="AF240" s="29" t="inlineStr">
        <is>
          <t>https://ajruiz.com.br/sites/default/files/public/arquivos-processos/2026-01/safrasul_relacao_de_credores_recuperanda.pdf</t>
        </is>
      </c>
      <c r="AG240" s="28" t="inlineStr">
        <is>
          <t>p8 r36</t>
        </is>
      </c>
      <c r="AH240" s="28" t="inlineStr">
        <is>
          <t>p8: R$ 533.171,81</t>
        </is>
      </c>
      <c r="AI240" s="28" t="inlineStr">
        <is>
          <t>AJ list (art. 7 §2)</t>
        </is>
      </c>
      <c r="AJ240" s="28" t="inlineStr">
        <is>
          <t>2026-01-14</t>
        </is>
      </c>
      <c r="AK240" s="28" t="inlineStr">
        <is>
          <t>NONE FOUND</t>
        </is>
      </c>
      <c r="AL240" s="30" t="inlineStr">
        <is>
          <t>4000167-23.2025.8.26.0373</t>
        </is>
      </c>
      <c r="AM240" s="30" t="inlineStr">
        <is>
          <t>TJSP</t>
        </is>
      </c>
      <c r="AN240" s="30" t="inlineStr">
        <is>
          <t>ACTIVE</t>
        </is>
      </c>
      <c r="AO240" s="30" t="n">
        <v>2025</v>
      </c>
      <c r="AP240" s="30" t="inlineStr">
        <is>
          <t>live case, no plan document yet</t>
        </is>
      </c>
      <c r="AQ240" s="30" t="inlineStr"/>
      <c r="AR240" s="30" t="inlineStr">
        <is>
          <t>printed on the list (read twice)</t>
        </is>
      </c>
      <c r="AS240" s="30" t="inlineStr">
        <is>
          <t>ITAJAI</t>
        </is>
      </c>
      <c r="AT240" s="30" t="inlineStr">
        <is>
          <t>SC</t>
        </is>
      </c>
      <c r="AU240" s="30" t="inlineStr">
        <is>
          <t>Comércio atacadista de mercadorias em geral, sem predominância de alimentos ou de insumos agropecuários</t>
        </is>
      </c>
      <c r="AV240" s="30" t="inlineStr">
        <is>
          <t>DEMAIS</t>
        </is>
      </c>
      <c r="AW240" s="31" t="n">
        <v>800000</v>
      </c>
      <c r="AX240" s="30" t="inlineStr">
        <is>
          <t>MID-MARKET</t>
        </is>
      </c>
      <c r="AY240" s="30" t="inlineStr">
        <is>
          <t>07426908</t>
        </is>
      </c>
      <c r="AZ240" s="30" t="n">
        <v>1</v>
      </c>
      <c r="BA240" s="30" t="inlineStr">
        <is>
          <t>ROWS:p8r36 UNRECONCILED_SOURCE</t>
        </is>
      </c>
    </row>
    <row r="241">
      <c r="A241" s="16" t="inlineStr">
        <is>
          <t>CALMAP INDUSTRIA DE CALCARIO LTDA</t>
        </is>
      </c>
      <c r="B241" s="17" t="n">
        <v>526042.9300000001</v>
      </c>
      <c r="C241" s="18" t="inlineStr">
        <is>
          <t>SOJAL COMERCIAL AGRICOLA LTDA e OUTROS</t>
        </is>
      </c>
      <c r="D241" s="19" t="inlineStr">
        <is>
          <t>NEW</t>
        </is>
      </c>
      <c r="E241" s="20" t="inlineStr"/>
      <c r="F241" s="19" t="inlineStr"/>
      <c r="G241" s="20" t="inlineStr"/>
      <c r="H241" s="19" t="inlineStr"/>
      <c r="I241" s="21" t="inlineStr">
        <is>
          <t>Eduardo Silva</t>
        </is>
      </c>
      <c r="J241" s="21" t="inlineStr">
        <is>
          <t>Administrative Supervisor</t>
        </is>
      </c>
      <c r="K241" s="21" t="inlineStr">
        <is>
          <t>(85) 3082-0505</t>
        </is>
      </c>
      <c r="L241" s="21" t="inlineStr"/>
      <c r="M241" s="21" t="inlineStr"/>
      <c r="N241" s="21" t="inlineStr">
        <is>
          <t>eduardo@calmap.com.br</t>
        </is>
      </c>
      <c r="O241" s="21" t="inlineStr">
        <is>
          <t>julio@calmap.com.br</t>
        </is>
      </c>
      <c r="P241" s="21" t="inlineStr">
        <is>
          <t>Julio Costa</t>
        </is>
      </c>
      <c r="Q241" s="21" t="inlineStr">
        <is>
          <t>Analista Financeiro ll</t>
        </is>
      </c>
      <c r="R241" s="21" t="inlineStr"/>
      <c r="S241" s="21" t="inlineStr">
        <is>
          <t>julio@calmap.com.br</t>
        </is>
      </c>
      <c r="T241" s="21" t="inlineStr">
        <is>
          <t>email verified by Apollo</t>
        </is>
      </c>
      <c r="U241" s="22" t="n">
        <v>526042.9300000001</v>
      </c>
      <c r="V241" s="23" t="inlineStr">
        <is>
          <t>B</t>
        </is>
      </c>
      <c r="W241" s="24">
        <f>IFERROR(VLOOKUP(V241,Assumptions!$A$7:$F$11,2,FALSE),0)</f>
        <v/>
      </c>
      <c r="X241" s="25">
        <f>IF(V241="A",MAX(1,IFERROR(VLOOKUP(V241,Assumptions!$A$7:$F$11,3,FALSE),3)+IFERROR(VLOOKUP(V241,Assumptions!$A$7:$F$11,4,FALSE),8)/2-MAX(0,IF(AO241="",0,YEAR(TODAY())-AO241)-IFERROR(VLOOKUP(V241,Assumptions!$A$7:$F$11,5,FALSE),1.5))),IFERROR(VLOOKUP(V241,Assumptions!$A$7:$F$11,5,FALSE),2.5)+IFERROR(VLOOKUP(V241,Assumptions!$A$7:$F$11,3,FALSE),3)+IFERROR(VLOOKUP(V241,Assumptions!$A$7:$F$11,4,FALSE),8)/2)</f>
        <v/>
      </c>
      <c r="Y241" s="22">
        <f>U241*W241/(1+Assumptions!$B$3)^X241</f>
        <v/>
      </c>
      <c r="Z241" s="26">
        <f>IF(U241=0,"",ROUND(Y241/U241*100,1))</f>
        <v/>
      </c>
      <c r="AA241" s="27">
        <f>Y241*Assumptions!$B$4</f>
        <v/>
      </c>
      <c r="AB241" s="26">
        <f>IF(U241=0,"",ROUND(AA241/U241*100,1))</f>
        <v/>
      </c>
      <c r="AC241" s="27">
        <f>Y241-AA241</f>
        <v/>
      </c>
      <c r="AD241" s="26">
        <f>IF(U241=0,"",ROUND((Y241-AA241)/U241*100,1))</f>
        <v/>
      </c>
      <c r="AE241" s="28" t="inlineStr">
        <is>
          <t>OK — totals reconciled</t>
        </is>
      </c>
      <c r="AF241" s="29" t="inlineStr">
        <is>
          <t>https://lrflideres.com.br/wp-content/plugins/download-attachments/includes/download.php?id=6879</t>
        </is>
      </c>
      <c r="AG241" s="28" t="inlineStr">
        <is>
          <t>p1 r8</t>
        </is>
      </c>
      <c r="AH241" s="28" t="inlineStr">
        <is>
          <t>p1: R$ 526.042,93</t>
        </is>
      </c>
      <c r="AI241" s="28" t="inlineStr">
        <is>
          <t>AJ list (art. 7 §2)</t>
        </is>
      </c>
      <c r="AJ241" s="28" t="inlineStr">
        <is>
          <t>2026-01-15</t>
        </is>
      </c>
      <c r="AK241" s="28" t="inlineStr">
        <is>
          <t>NONE FOUND</t>
        </is>
      </c>
      <c r="AL241" s="30" t="inlineStr">
        <is>
          <t>0804401-51.2025.8.14.0039</t>
        </is>
      </c>
      <c r="AM241" s="30" t="inlineStr">
        <is>
          <t>TJPA</t>
        </is>
      </c>
      <c r="AN241" s="30" t="inlineStr">
        <is>
          <t>ACTIVE</t>
        </is>
      </c>
      <c r="AO241" s="30" t="n">
        <v>2025</v>
      </c>
      <c r="AP241" s="30" t="inlineStr">
        <is>
          <t>live case, no plan document yet</t>
        </is>
      </c>
      <c r="AQ241" s="30" t="inlineStr">
        <is>
          <t>15.626.673/0003-90</t>
        </is>
      </c>
      <c r="AR241" s="30" t="inlineStr">
        <is>
          <t>printed on the list (read twice)</t>
        </is>
      </c>
      <c r="AS241" s="30" t="inlineStr">
        <is>
          <t>SAO GERALDO DO ARAGUAIA</t>
        </is>
      </c>
      <c r="AT241" s="30" t="inlineStr">
        <is>
          <t>PA</t>
        </is>
      </c>
      <c r="AU241" s="30" t="inlineStr">
        <is>
          <t>Extração de minerais para fabricação de adubos, fertilizantes e outros produtos químicos</t>
        </is>
      </c>
      <c r="AV241" s="30" t="inlineStr">
        <is>
          <t>DEMAIS</t>
        </is>
      </c>
      <c r="AW241" s="31" t="n">
        <v>3000000</v>
      </c>
      <c r="AX241" s="30" t="inlineStr">
        <is>
          <t>MID-MARKET</t>
        </is>
      </c>
      <c r="AY241" s="30" t="inlineStr">
        <is>
          <t>10962529</t>
        </is>
      </c>
      <c r="AZ241" s="30" t="n">
        <v>1</v>
      </c>
      <c r="BA241" s="30" t="inlineStr">
        <is>
          <t>ROWS:p1r8</t>
        </is>
      </c>
    </row>
    <row r="242">
      <c r="A242" s="16" t="inlineStr">
        <is>
          <t>CEREAIS FORMIGUENSE LTDA</t>
        </is>
      </c>
      <c r="B242" s="17" t="n">
        <v>525000</v>
      </c>
      <c r="C242" s="18" t="inlineStr">
        <is>
          <t>SUINOCULTURA KUNZLER</t>
        </is>
      </c>
      <c r="D242" s="19" t="inlineStr">
        <is>
          <t>NEW</t>
        </is>
      </c>
      <c r="E242" s="20" t="inlineStr"/>
      <c r="F242" s="19" t="inlineStr"/>
      <c r="G242" s="20" t="inlineStr"/>
      <c r="H242" s="19" t="inlineStr"/>
      <c r="I242" s="21" t="inlineStr">
        <is>
          <t>TIAGO DE MARTINI</t>
        </is>
      </c>
      <c r="J242" s="21" t="inlineStr">
        <is>
          <t>Sócio-Administrador (RFB partner)</t>
        </is>
      </c>
      <c r="K242" s="21" t="inlineStr">
        <is>
          <t>(54) 3341-2170</t>
        </is>
      </c>
      <c r="L242" s="21" t="inlineStr"/>
      <c r="M242" s="21" t="inlineStr"/>
      <c r="N242" s="21" t="inlineStr"/>
      <c r="O242" s="21" t="inlineStr"/>
      <c r="P242" s="21" t="inlineStr"/>
      <c r="Q242" s="21" t="inlineStr"/>
      <c r="R242" s="21" t="inlineStr"/>
      <c r="S242" s="21" t="inlineStr"/>
      <c r="T242" s="21" t="inlineStr">
        <is>
          <t>RFB partner (QSA); no Apollo match</t>
        </is>
      </c>
      <c r="U242" s="22" t="n">
        <v>525000</v>
      </c>
      <c r="V242" s="23" t="inlineStr">
        <is>
          <t>B</t>
        </is>
      </c>
      <c r="W242" s="24">
        <f>IFERROR(VLOOKUP(V242,Assumptions!$A$7:$F$11,2,FALSE),0)</f>
        <v/>
      </c>
      <c r="X242" s="25">
        <f>IF(V242="A",MAX(1,IFERROR(VLOOKUP(V242,Assumptions!$A$7:$F$11,3,FALSE),3)+IFERROR(VLOOKUP(V242,Assumptions!$A$7:$F$11,4,FALSE),8)/2-MAX(0,IF(AO242="",0,YEAR(TODAY())-AO242)-IFERROR(VLOOKUP(V242,Assumptions!$A$7:$F$11,5,FALSE),1.5))),IFERROR(VLOOKUP(V242,Assumptions!$A$7:$F$11,5,FALSE),2.5)+IFERROR(VLOOKUP(V242,Assumptions!$A$7:$F$11,3,FALSE),3)+IFERROR(VLOOKUP(V242,Assumptions!$A$7:$F$11,4,FALSE),8)/2)</f>
        <v/>
      </c>
      <c r="Y242" s="22">
        <f>U242*W242/(1+Assumptions!$B$3)^X242</f>
        <v/>
      </c>
      <c r="Z242" s="26">
        <f>IF(U242=0,"",ROUND(Y242/U242*100,1))</f>
        <v/>
      </c>
      <c r="AA242" s="27">
        <f>Y242*Assumptions!$B$4</f>
        <v/>
      </c>
      <c r="AB242" s="26">
        <f>IF(U242=0,"",ROUND(AA242/U242*100,1))</f>
        <v/>
      </c>
      <c r="AC242" s="27">
        <f>Y242-AA242</f>
        <v/>
      </c>
      <c r="AD242" s="26">
        <f>IF(U242=0,"",ROUND((Y242-AA242)/U242*100,1))</f>
        <v/>
      </c>
      <c r="AE242" s="33" t="inlineStr">
        <is>
          <t>NO TOTALS — list prints none; check page</t>
        </is>
      </c>
      <c r="AF242" s="29" t="inlineStr">
        <is>
          <t>https://rlg-aj.com.br/wp-content/uploads/2024/11/07.-Relação-de-credores.pdf</t>
        </is>
      </c>
      <c r="AG242" s="28" t="inlineStr">
        <is>
          <t>p1 r19</t>
        </is>
      </c>
      <c r="AH242" s="28" t="inlineStr">
        <is>
          <t>p1: R$ 525.000,00</t>
        </is>
      </c>
      <c r="AI242" s="28" t="inlineStr">
        <is>
          <t>Unclassified list</t>
        </is>
      </c>
      <c r="AJ242" s="28" t="inlineStr"/>
      <c r="AK242" s="28" t="inlineStr">
        <is>
          <t>NONE FOUND</t>
        </is>
      </c>
      <c r="AL242" s="30" t="inlineStr">
        <is>
          <t>5009149-92.2024.8.24.0019</t>
        </is>
      </c>
      <c r="AM242" s="30" t="inlineStr">
        <is>
          <t>TJSC</t>
        </is>
      </c>
      <c r="AN242" s="30" t="inlineStr">
        <is>
          <t>ACTIVE</t>
        </is>
      </c>
      <c r="AO242" s="30" t="n">
        <v>2024</v>
      </c>
      <c r="AP242" s="30" t="inlineStr">
        <is>
          <t>live case, no plan document yet</t>
        </is>
      </c>
      <c r="AQ242" s="30" t="inlineStr">
        <is>
          <t>55.365.447/0001-56</t>
        </is>
      </c>
      <c r="AR242" s="30" t="inlineStr">
        <is>
          <t>printed on the list (read twice)</t>
        </is>
      </c>
      <c r="AS242" s="30" t="inlineStr">
        <is>
          <t>GETULIO VARGAS</t>
        </is>
      </c>
      <c r="AT242" s="30" t="inlineStr">
        <is>
          <t>RS</t>
        </is>
      </c>
      <c r="AU242" s="30" t="inlineStr">
        <is>
          <t>Transporte rodoviário de carga, exceto produtos perigosos e mudanças, intermunicipal, interestadual e internacional</t>
        </is>
      </c>
      <c r="AV242" s="30" t="inlineStr">
        <is>
          <t>MICRO EMPRESA</t>
        </is>
      </c>
      <c r="AW242" s="31" t="n">
        <v>200000</v>
      </c>
      <c r="AX242" s="30" t="inlineStr">
        <is>
          <t>SMALL</t>
        </is>
      </c>
      <c r="AY242" s="30" t="inlineStr">
        <is>
          <t>10917212</t>
        </is>
      </c>
      <c r="AZ242" s="30" t="n">
        <v>1</v>
      </c>
      <c r="BA242" s="30" t="inlineStr">
        <is>
          <t>ROWS:p1r19 UNRECONCILED_SOURCE</t>
        </is>
      </c>
    </row>
    <row r="243">
      <c r="A243" s="16" t="inlineStr">
        <is>
          <t>AT PLAN ASSISTENCIA TECNICA PLANEJ E MONTAGENS LTDA</t>
        </is>
      </c>
      <c r="B243" s="17" t="n">
        <v>980241.47</v>
      </c>
      <c r="C243" s="18" t="inlineStr">
        <is>
          <t>EGESA ENGENHARIA S/A (Consórcio ETDI)</t>
        </is>
      </c>
      <c r="D243" s="19" t="inlineStr">
        <is>
          <t>NEW</t>
        </is>
      </c>
      <c r="E243" s="20" t="inlineStr"/>
      <c r="F243" s="19" t="inlineStr"/>
      <c r="G243" s="20" t="inlineStr"/>
      <c r="H243" s="19" t="inlineStr"/>
      <c r="I243" s="21" t="inlineStr">
        <is>
          <t>NEWTON AMARES BUENO</t>
        </is>
      </c>
      <c r="J243" s="21" t="inlineStr">
        <is>
          <t>Sócio-Administrador (RFB partner)</t>
        </is>
      </c>
      <c r="K243" s="21" t="inlineStr">
        <is>
          <t>(11) 3837-9673</t>
        </is>
      </c>
      <c r="L243" s="21" t="inlineStr"/>
      <c r="M243" s="21" t="inlineStr"/>
      <c r="N243" s="21" t="inlineStr"/>
      <c r="O243" s="21" t="inlineStr"/>
      <c r="P243" s="21" t="inlineStr"/>
      <c r="Q243" s="21" t="inlineStr"/>
      <c r="R243" s="21" t="inlineStr"/>
      <c r="S243" s="21" t="inlineStr"/>
      <c r="T243" s="21" t="inlineStr">
        <is>
          <t>RFB partner (QSA); no Apollo match</t>
        </is>
      </c>
      <c r="U243" s="22" t="n">
        <v>980241.47</v>
      </c>
      <c r="V243" s="32" t="inlineStr">
        <is>
          <t>U</t>
        </is>
      </c>
      <c r="W243" s="24">
        <f>IFERROR(VLOOKUP(V243,Assumptions!$A$7:$F$11,2,FALSE),0)</f>
        <v/>
      </c>
      <c r="X243" s="25">
        <f>IF(V243="A",MAX(1,IFERROR(VLOOKUP(V243,Assumptions!$A$7:$F$11,3,FALSE),3)+IFERROR(VLOOKUP(V243,Assumptions!$A$7:$F$11,4,FALSE),8)/2-MAX(0,IF(AO243="",0,YEAR(TODAY())-AO243)-IFERROR(VLOOKUP(V243,Assumptions!$A$7:$F$11,5,FALSE),1.5))),IFERROR(VLOOKUP(V243,Assumptions!$A$7:$F$11,5,FALSE),2.5)+IFERROR(VLOOKUP(V243,Assumptions!$A$7:$F$11,3,FALSE),3)+IFERROR(VLOOKUP(V243,Assumptions!$A$7:$F$11,4,FALSE),8)/2)</f>
        <v/>
      </c>
      <c r="Y243" s="22">
        <f>U243*W243/(1+Assumptions!$B$3)^X243</f>
        <v/>
      </c>
      <c r="Z243" s="26">
        <f>IF(U243=0,"",ROUND(Y243/U243*100,1))</f>
        <v/>
      </c>
      <c r="AA243" s="27">
        <f>Y243*Assumptions!$B$4</f>
        <v/>
      </c>
      <c r="AB243" s="26">
        <f>IF(U243=0,"",ROUND(AA243/U243*100,1))</f>
        <v/>
      </c>
      <c r="AC243" s="27">
        <f>Y243-AA243</f>
        <v/>
      </c>
      <c r="AD243" s="26">
        <f>IF(U243=0,"",ROUND((Y243-AA243)/U243*100,1))</f>
        <v/>
      </c>
      <c r="AE243" s="28" t="inlineStr">
        <is>
          <t>OK — totals reconciled</t>
        </is>
      </c>
      <c r="AF243" s="29" t="inlineStr">
        <is>
          <t>https://scalzilliaj.com.br/sgc/download.php?file=files/processo_documento/processo_documento09514021082025_1_.pdf&amp;nome=04 - Relação de credores das Recuperandas</t>
        </is>
      </c>
      <c r="AG243" s="28" t="inlineStr">
        <is>
          <t>p62 r13</t>
        </is>
      </c>
      <c r="AH243" s="28" t="inlineStr">
        <is>
          <t>p62: R$ 980.241,47</t>
        </is>
      </c>
      <c r="AI243" s="28" t="inlineStr">
        <is>
          <t>Debtor list (art. 51)</t>
        </is>
      </c>
      <c r="AJ243" s="28" t="inlineStr"/>
      <c r="AK243" s="28" t="inlineStr">
        <is>
          <t>NONE FOUND</t>
        </is>
      </c>
      <c r="AL243" s="30" t="inlineStr">
        <is>
          <t>(not printed)</t>
        </is>
      </c>
      <c r="AM243" s="30" t="inlineStr"/>
      <c r="AN243" s="30" t="inlineStr"/>
      <c r="AO243" s="30" t="inlineStr"/>
      <c r="AP243" s="30" t="inlineStr">
        <is>
          <t>RJ case number not identified on the document</t>
        </is>
      </c>
      <c r="AQ243" s="30" t="inlineStr"/>
      <c r="AR243" s="30" t="inlineStr">
        <is>
          <t>portal page title / URL — not printed on the list</t>
        </is>
      </c>
      <c r="AS243" s="30" t="inlineStr">
        <is>
          <t>SANTANA DE PARNAIBA</t>
        </is>
      </c>
      <c r="AT243" s="30" t="inlineStr">
        <is>
          <t>SP</t>
        </is>
      </c>
      <c r="AU243" s="30" t="inlineStr">
        <is>
          <t>Manutenção e reparação de máquinas e aparelhos de refrigeração e ventilação para uso industrial e comercial</t>
        </is>
      </c>
      <c r="AV243" s="30" t="inlineStr">
        <is>
          <t>DEMAIS</t>
        </is>
      </c>
      <c r="AW243" s="31" t="n">
        <v>250000</v>
      </c>
      <c r="AX243" s="30" t="inlineStr">
        <is>
          <t>MID-MARKET</t>
        </is>
      </c>
      <c r="AY243" s="30" t="inlineStr">
        <is>
          <t>58099458</t>
        </is>
      </c>
      <c r="AZ243" s="30" t="n">
        <v>1</v>
      </c>
      <c r="BA243" s="30" t="inlineStr">
        <is>
          <t>ROWS:p62r13 VALUE_COL:Valor_Atualizado CASE_NUMBER_CORRECTED</t>
        </is>
      </c>
    </row>
    <row r="244">
      <c r="A244" s="16" t="inlineStr">
        <is>
          <t>POLIMIX CONCRETO LTDA</t>
        </is>
      </c>
      <c r="B244" s="17" t="n">
        <v>518509.3</v>
      </c>
      <c r="C244" s="18" t="inlineStr">
        <is>
          <t>CENTURY CONSTRUÇÕES COMÉRCIO E SERVIÇOS LTDA.</t>
        </is>
      </c>
      <c r="D244" s="19" t="inlineStr">
        <is>
          <t>NEW</t>
        </is>
      </c>
      <c r="E244" s="20" t="inlineStr"/>
      <c r="F244" s="19" t="inlineStr"/>
      <c r="G244" s="20" t="inlineStr"/>
      <c r="H244" s="19" t="inlineStr"/>
      <c r="I244" s="21" t="inlineStr">
        <is>
          <t>ALCINDO ANTONIO CHRUSCIELSKI</t>
        </is>
      </c>
      <c r="J244" s="21" t="inlineStr">
        <is>
          <t>Administrador (RFB partner)</t>
        </is>
      </c>
      <c r="K244" s="21" t="inlineStr">
        <is>
          <t>(11) 4168-0300</t>
        </is>
      </c>
      <c r="L244" s="21" t="inlineStr"/>
      <c r="M244" s="21" t="inlineStr"/>
      <c r="N244" s="21" t="inlineStr"/>
      <c r="O244" s="21" t="inlineStr"/>
      <c r="P244" s="21" t="inlineStr">
        <is>
          <t>ANDERSON JOSE MESSIAS</t>
        </is>
      </c>
      <c r="Q244" s="21" t="inlineStr">
        <is>
          <t>Administrador (RFB partner)</t>
        </is>
      </c>
      <c r="R244" s="21" t="inlineStr"/>
      <c r="S244" s="21" t="inlineStr"/>
      <c r="T244" s="21" t="inlineStr">
        <is>
          <t>RFB partner (QSA); no Apollo match</t>
        </is>
      </c>
      <c r="U244" s="22" t="n">
        <v>518509.3</v>
      </c>
      <c r="V244" s="23" t="inlineStr">
        <is>
          <t>B</t>
        </is>
      </c>
      <c r="W244" s="24">
        <f>IFERROR(VLOOKUP(V244,Assumptions!$A$7:$F$11,2,FALSE),0)</f>
        <v/>
      </c>
      <c r="X244" s="25">
        <f>IF(V244="A",MAX(1,IFERROR(VLOOKUP(V244,Assumptions!$A$7:$F$11,3,FALSE),3)+IFERROR(VLOOKUP(V244,Assumptions!$A$7:$F$11,4,FALSE),8)/2-MAX(0,IF(AO244="",0,YEAR(TODAY())-AO244)-IFERROR(VLOOKUP(V244,Assumptions!$A$7:$F$11,5,FALSE),1.5))),IFERROR(VLOOKUP(V244,Assumptions!$A$7:$F$11,5,FALSE),2.5)+IFERROR(VLOOKUP(V244,Assumptions!$A$7:$F$11,3,FALSE),3)+IFERROR(VLOOKUP(V244,Assumptions!$A$7:$F$11,4,FALSE),8)/2)</f>
        <v/>
      </c>
      <c r="Y244" s="22">
        <f>U244*W244/(1+Assumptions!$B$3)^X244</f>
        <v/>
      </c>
      <c r="Z244" s="26">
        <f>IF(U244=0,"",ROUND(Y244/U244*100,1))</f>
        <v/>
      </c>
      <c r="AA244" s="27">
        <f>Y244*Assumptions!$B$4</f>
        <v/>
      </c>
      <c r="AB244" s="26">
        <f>IF(U244=0,"",ROUND(AA244/U244*100,1))</f>
        <v/>
      </c>
      <c r="AC244" s="27">
        <f>Y244-AA244</f>
        <v/>
      </c>
      <c r="AD244" s="26">
        <f>IF(U244=0,"",ROUND((Y244-AA244)/U244*100,1))</f>
        <v/>
      </c>
      <c r="AE244" s="33" t="inlineStr">
        <is>
          <t>NO TOTALS — list prints none; check page</t>
        </is>
      </c>
      <c r="AF244" s="29" t="inlineStr">
        <is>
          <t>https://ativosajce.com.br/admin/download.php?file=files/processo_documento/processo_documento16022716122025_1_.pdf&amp;nome=Relação de credores - art. 52, §1º da Lei 11.101/05 - 15/12/2025</t>
        </is>
      </c>
      <c r="AG244" s="28" t="inlineStr">
        <is>
          <t>p4 r6; p4 r7; p4 r8; p4 r9</t>
        </is>
      </c>
      <c r="AH244" s="28" t="inlineStr">
        <is>
          <t>p4: R$ 495.329,01; p4: R$ 21.359,40; p4: R$ 1.200,00; p4: R$ 620,89</t>
        </is>
      </c>
      <c r="AI244" s="28" t="inlineStr">
        <is>
          <t>Unclassified list</t>
        </is>
      </c>
      <c r="AJ244" s="28" t="inlineStr"/>
      <c r="AK244" s="28" t="inlineStr">
        <is>
          <t>NONE FOUND</t>
        </is>
      </c>
      <c r="AL244" s="30" t="inlineStr">
        <is>
          <t>4054599-35.2025.8.26.0100</t>
        </is>
      </c>
      <c r="AM244" s="30" t="inlineStr">
        <is>
          <t>TJSP</t>
        </is>
      </c>
      <c r="AN244" s="30" t="inlineStr">
        <is>
          <t>ACTIVE</t>
        </is>
      </c>
      <c r="AO244" s="30" t="n">
        <v>2025</v>
      </c>
      <c r="AP244" s="30" t="inlineStr">
        <is>
          <t>live case, no plan document yet</t>
        </is>
      </c>
      <c r="AQ244" s="30" t="inlineStr">
        <is>
          <t>03.299.563/0001-10</t>
        </is>
      </c>
      <c r="AR244" s="30" t="inlineStr">
        <is>
          <t>printed on the list (read twice)</t>
        </is>
      </c>
      <c r="AS244" s="30" t="inlineStr">
        <is>
          <t>SANTANA DE PARNAIBA</t>
        </is>
      </c>
      <c r="AT244" s="30" t="inlineStr">
        <is>
          <t>SP</t>
        </is>
      </c>
      <c r="AU244" s="30" t="inlineStr">
        <is>
          <t>Serviços combinados de escritório e apoio administrativo</t>
        </is>
      </c>
      <c r="AV244" s="30" t="inlineStr">
        <is>
          <t>DEMAIS</t>
        </is>
      </c>
      <c r="AW244" s="31" t="n">
        <v>1135600000</v>
      </c>
      <c r="AX244" s="30" t="inlineStr">
        <is>
          <t>LARGE CORP</t>
        </is>
      </c>
      <c r="AY244" s="30" t="inlineStr">
        <is>
          <t>29067113</t>
        </is>
      </c>
      <c r="AZ244" s="30" t="n">
        <v>4</v>
      </c>
      <c r="BA244" s="30" t="inlineStr">
        <is>
          <t>ROWS:p4r6,p4r7,p4r8,p4r9 UNRECONCILED_SOURCE</t>
        </is>
      </c>
    </row>
    <row r="245">
      <c r="A245" s="16" t="inlineStr">
        <is>
          <t>BELCAR CAMINHOES E MAQUINAS LTDA</t>
        </is>
      </c>
      <c r="B245" s="17" t="n">
        <v>277586.31</v>
      </c>
      <c r="C245" s="18" t="inlineStr">
        <is>
          <t>GRUPO 3E</t>
        </is>
      </c>
      <c r="D245" s="19" t="inlineStr">
        <is>
          <t>NEW</t>
        </is>
      </c>
      <c r="E245" s="20" t="inlineStr"/>
      <c r="F245" s="19" t="inlineStr"/>
      <c r="G245" s="20" t="inlineStr"/>
      <c r="H245" s="19" t="inlineStr"/>
      <c r="I245" s="21" t="inlineStr">
        <is>
          <t>Fabio Caminhoes</t>
        </is>
      </c>
      <c r="J245" s="21" t="inlineStr">
        <is>
          <t>Supervisor de Assistencia Tecnica</t>
        </is>
      </c>
      <c r="K245" s="21" t="inlineStr">
        <is>
          <t>(62) 3239-9600</t>
        </is>
      </c>
      <c r="L245" s="21" t="inlineStr"/>
      <c r="M245" s="21" t="inlineStr"/>
      <c r="N245" s="21" t="inlineStr"/>
      <c r="O245" s="21" t="inlineStr"/>
      <c r="P245" s="21" t="inlineStr">
        <is>
          <t>JOSE GEDDA NETO</t>
        </is>
      </c>
      <c r="Q245" s="21" t="inlineStr">
        <is>
          <t>Sócio-Administrador (RFB partner)</t>
        </is>
      </c>
      <c r="R245" s="21" t="inlineStr"/>
      <c r="S245" s="21" t="inlineStr"/>
      <c r="T245" s="21" t="inlineStr">
        <is>
          <t>no work email found in Apollo</t>
        </is>
      </c>
      <c r="U245" s="22" t="n">
        <v>277586.31</v>
      </c>
      <c r="V245" s="35" t="inlineStr">
        <is>
          <t>A</t>
        </is>
      </c>
      <c r="W245" s="24">
        <f>IFERROR(VLOOKUP(V245,Assumptions!$A$7:$F$11,2,FALSE),0)</f>
        <v/>
      </c>
      <c r="X245" s="25">
        <f>IF(V245="A",MAX(1,IFERROR(VLOOKUP(V245,Assumptions!$A$7:$F$11,3,FALSE),3)+IFERROR(VLOOKUP(V245,Assumptions!$A$7:$F$11,4,FALSE),8)/2-MAX(0,IF(AO245="",0,YEAR(TODAY())-AO245)-IFERROR(VLOOKUP(V245,Assumptions!$A$7:$F$11,5,FALSE),1.5))),IFERROR(VLOOKUP(V245,Assumptions!$A$7:$F$11,5,FALSE),2.5)+IFERROR(VLOOKUP(V245,Assumptions!$A$7:$F$11,3,FALSE),3)+IFERROR(VLOOKUP(V245,Assumptions!$A$7:$F$11,4,FALSE),8)/2)</f>
        <v/>
      </c>
      <c r="Y245" s="22">
        <f>U245*W245/(1+Assumptions!$B$3)^X245</f>
        <v/>
      </c>
      <c r="Z245" s="26">
        <f>IF(U245=0,"",ROUND(Y245/U245*100,1))</f>
        <v/>
      </c>
      <c r="AA245" s="27">
        <f>Y245*Assumptions!$B$4</f>
        <v/>
      </c>
      <c r="AB245" s="26">
        <f>IF(U245=0,"",ROUND(AA245/U245*100,1))</f>
        <v/>
      </c>
      <c r="AC245" s="27">
        <f>Y245-AA245</f>
        <v/>
      </c>
      <c r="AD245" s="26">
        <f>IF(U245=0,"",ROUND((Y245-AA245)/U245*100,1))</f>
        <v/>
      </c>
      <c r="AE245" s="33" t="inlineStr">
        <is>
          <t>NO TOTALS — list prints none; check page</t>
        </is>
      </c>
      <c r="AF245" s="29" t="inlineStr">
        <is>
          <t>https://stenius.com.br/wp-content/uploads/2026/06/EDITAL-GRUPO-3E.pdf</t>
        </is>
      </c>
      <c r="AG245" s="28" t="inlineStr">
        <is>
          <t>p10 r49</t>
        </is>
      </c>
      <c r="AH245" s="28" t="inlineStr">
        <is>
          <t>p10: R$ 277.586,31</t>
        </is>
      </c>
      <c r="AI245" s="28" t="inlineStr">
        <is>
          <t>Debtor list (art. 51)</t>
        </is>
      </c>
      <c r="AJ245" s="28" t="inlineStr">
        <is>
          <t>2026-06-22</t>
        </is>
      </c>
      <c r="AK245" s="28" t="inlineStr">
        <is>
          <t>PLAN DOC FOUND</t>
        </is>
      </c>
      <c r="AL245" s="30" t="inlineStr">
        <is>
          <t>5341375-33.2026.8.09.0049</t>
        </is>
      </c>
      <c r="AM245" s="30" t="inlineStr">
        <is>
          <t>TJGO</t>
        </is>
      </c>
      <c r="AN245" s="30" t="inlineStr">
        <is>
          <t>ACTIVE</t>
        </is>
      </c>
      <c r="AO245" s="30" t="n">
        <v>2026</v>
      </c>
      <c r="AP245" s="30" t="inlineStr">
        <is>
          <t>plan/homologation document found</t>
        </is>
      </c>
      <c r="AQ245" s="30" t="inlineStr"/>
      <c r="AR245" s="30" t="inlineStr">
        <is>
          <t>printed on the list (read twice)</t>
        </is>
      </c>
      <c r="AS245" s="30" t="inlineStr">
        <is>
          <t>GOIANIA</t>
        </is>
      </c>
      <c r="AT245" s="30" t="inlineStr">
        <is>
          <t>GO</t>
        </is>
      </c>
      <c r="AU245" s="30" t="inlineStr">
        <is>
          <t>Comércio por atacado de caminhões novos e usados</t>
        </is>
      </c>
      <c r="AV245" s="30" t="inlineStr">
        <is>
          <t>DEMAIS</t>
        </is>
      </c>
      <c r="AW245" s="31" t="n">
        <v>31000000</v>
      </c>
      <c r="AX245" s="30" t="inlineStr">
        <is>
          <t>MID-MARKET</t>
        </is>
      </c>
      <c r="AY245" s="30" t="inlineStr">
        <is>
          <t>02212918</t>
        </is>
      </c>
      <c r="AZ245" s="30" t="n">
        <v>1</v>
      </c>
      <c r="BA245" s="30" t="inlineStr">
        <is>
          <t>ROWS:p10r49 UNRECONCILED_SOURCE</t>
        </is>
      </c>
    </row>
    <row r="246">
      <c r="A246" s="16" t="inlineStr">
        <is>
          <t>EJF COBRANCAS LTDA</t>
        </is>
      </c>
      <c r="B246" s="17" t="n">
        <v>513802.19</v>
      </c>
      <c r="C246" s="18" t="inlineStr">
        <is>
          <t>Grupo Rech</t>
        </is>
      </c>
      <c r="D246" s="19" t="inlineStr">
        <is>
          <t>NEW</t>
        </is>
      </c>
      <c r="E246" s="20" t="inlineStr"/>
      <c r="F246" s="19" t="inlineStr"/>
      <c r="G246" s="20" t="inlineStr"/>
      <c r="H246" s="19" t="inlineStr"/>
      <c r="I246" s="21" t="inlineStr">
        <is>
          <t>EDUARDO JOSE FRANCA</t>
        </is>
      </c>
      <c r="J246" s="21" t="inlineStr">
        <is>
          <t>Sócio-Administrador (RFB partner)</t>
        </is>
      </c>
      <c r="K246" s="21" t="inlineStr">
        <is>
          <t>(47) 9152-1952</t>
        </is>
      </c>
      <c r="L246" s="21" t="inlineStr"/>
      <c r="M246" s="21" t="inlineStr"/>
      <c r="N246" s="21" t="inlineStr"/>
      <c r="O246" s="21" t="inlineStr"/>
      <c r="P246" s="21" t="inlineStr"/>
      <c r="Q246" s="21" t="inlineStr"/>
      <c r="R246" s="21" t="inlineStr"/>
      <c r="S246" s="21" t="inlineStr"/>
      <c r="T246" s="21" t="inlineStr">
        <is>
          <t>RFB partner (QSA); no Apollo match</t>
        </is>
      </c>
      <c r="U246" s="22" t="n">
        <v>513802.19</v>
      </c>
      <c r="V246" s="23" t="inlineStr">
        <is>
          <t>B</t>
        </is>
      </c>
      <c r="W246" s="24">
        <f>IFERROR(VLOOKUP(V246,Assumptions!$A$7:$F$11,2,FALSE),0)</f>
        <v/>
      </c>
      <c r="X246" s="25">
        <f>IF(V246="A",MAX(1,IFERROR(VLOOKUP(V246,Assumptions!$A$7:$F$11,3,FALSE),3)+IFERROR(VLOOKUP(V246,Assumptions!$A$7:$F$11,4,FALSE),8)/2-MAX(0,IF(AO246="",0,YEAR(TODAY())-AO246)-IFERROR(VLOOKUP(V246,Assumptions!$A$7:$F$11,5,FALSE),1.5))),IFERROR(VLOOKUP(V246,Assumptions!$A$7:$F$11,5,FALSE),2.5)+IFERROR(VLOOKUP(V246,Assumptions!$A$7:$F$11,3,FALSE),3)+IFERROR(VLOOKUP(V246,Assumptions!$A$7:$F$11,4,FALSE),8)/2)</f>
        <v/>
      </c>
      <c r="Y246" s="22">
        <f>U246*W246/(1+Assumptions!$B$3)^X246</f>
        <v/>
      </c>
      <c r="Z246" s="26">
        <f>IF(U246=0,"",ROUND(Y246/U246*100,1))</f>
        <v/>
      </c>
      <c r="AA246" s="27">
        <f>Y246*Assumptions!$B$4</f>
        <v/>
      </c>
      <c r="AB246" s="26">
        <f>IF(U246=0,"",ROUND(AA246/U246*100,1))</f>
        <v/>
      </c>
      <c r="AC246" s="27">
        <f>Y246-AA246</f>
        <v/>
      </c>
      <c r="AD246" s="26">
        <f>IF(U246=0,"",ROUND((Y246-AA246)/U246*100,1))</f>
        <v/>
      </c>
      <c r="AE246" s="36" t="inlineStr">
        <is>
          <t>CHECK — source is not a statutory creditor list</t>
        </is>
      </c>
      <c r="AF246" s="29" t="inlineStr">
        <is>
          <t>https://credibilita.com.br/wp-content/uploads/2025/09/Relacao-Credores-29.04.2026.pdf</t>
        </is>
      </c>
      <c r="AG246" s="28" t="inlineStr">
        <is>
          <t>p1 r21</t>
        </is>
      </c>
      <c r="AH246" s="28" t="inlineStr">
        <is>
          <t>p1: R$ 513.802,19</t>
        </is>
      </c>
      <c r="AI246" s="28" t="inlineStr">
        <is>
          <t>Quorum list — NOT an art. 7/51 list</t>
        </is>
      </c>
      <c r="AJ246" s="28" t="inlineStr"/>
      <c r="AK246" s="28" t="inlineStr">
        <is>
          <t>NONE FOUND</t>
        </is>
      </c>
      <c r="AL246" s="30" t="inlineStr">
        <is>
          <t>5057720-48.2025.8.24.0023</t>
        </is>
      </c>
      <c r="AM246" s="30" t="inlineStr">
        <is>
          <t>TJSC</t>
        </is>
      </c>
      <c r="AN246" s="30" t="inlineStr"/>
      <c r="AO246" s="30" t="n">
        <v>2025</v>
      </c>
      <c r="AP246" s="30" t="inlineStr">
        <is>
          <t>live case, no plan document yet</t>
        </is>
      </c>
      <c r="AQ246" s="30" t="inlineStr"/>
      <c r="AR246" s="30" t="inlineStr">
        <is>
          <t>portal page title / URL — not printed on the list</t>
        </is>
      </c>
      <c r="AS246" s="30" t="inlineStr">
        <is>
          <t>BLUMENAU</t>
        </is>
      </c>
      <c r="AT246" s="30" t="inlineStr">
        <is>
          <t>SC</t>
        </is>
      </c>
      <c r="AU246" s="30" t="inlineStr">
        <is>
          <t>Atividades de cobranças e informações cadastrais</t>
        </is>
      </c>
      <c r="AV246" s="30" t="inlineStr">
        <is>
          <t>MICRO EMPRESA</t>
        </is>
      </c>
      <c r="AW246" s="31" t="n">
        <v>5000</v>
      </c>
      <c r="AX246" s="30" t="inlineStr">
        <is>
          <t>SMALL</t>
        </is>
      </c>
      <c r="AY246" s="30" t="inlineStr">
        <is>
          <t>39362161</t>
        </is>
      </c>
      <c r="AZ246" s="30" t="n">
        <v>1</v>
      </c>
      <c r="BA246" s="30" t="inlineStr">
        <is>
          <t>ROWS:p1r21 UNRECONCILED_SOURCE VALUE_COL:Valor_Após_Analise CASE_NUMBER_CORRECTED</t>
        </is>
      </c>
    </row>
    <row r="247">
      <c r="A247" s="16" t="inlineStr">
        <is>
          <t>CONDOMINIO DO ASPEN PARK SHOPPING CENTER II</t>
        </is>
      </c>
      <c r="B247" s="17" t="n">
        <v>511325.79</v>
      </c>
      <c r="C247" s="18" t="inlineStr">
        <is>
          <t>GRUPO MARINGÁ PARK</t>
        </is>
      </c>
      <c r="D247" s="19" t="inlineStr">
        <is>
          <t>NEW</t>
        </is>
      </c>
      <c r="E247" s="20" t="inlineStr"/>
      <c r="F247" s="19" t="inlineStr"/>
      <c r="G247" s="20" t="inlineStr"/>
      <c r="H247" s="19" t="inlineStr"/>
      <c r="I247" s="21" t="inlineStr">
        <is>
          <t>Leandro Denardi</t>
        </is>
      </c>
      <c r="J247" s="21" t="inlineStr">
        <is>
          <t>Superintendent</t>
        </is>
      </c>
      <c r="K247" s="21" t="inlineStr">
        <is>
          <t>(44) 3366-2037</t>
        </is>
      </c>
      <c r="L247" s="21" t="inlineStr">
        <is>
          <t>(44) 9963-5729</t>
        </is>
      </c>
      <c r="M247" s="21" t="inlineStr"/>
      <c r="N247" s="21" t="inlineStr">
        <is>
          <t>leandro@maringapark.com.br</t>
        </is>
      </c>
      <c r="O247" s="21" t="inlineStr">
        <is>
          <t>rh@maringapark.com.br</t>
        </is>
      </c>
      <c r="P247" s="21" t="inlineStr">
        <is>
          <t>Fabio Bueno</t>
        </is>
      </c>
      <c r="Q247" s="21" t="inlineStr">
        <is>
          <t>Human Resources Manager</t>
        </is>
      </c>
      <c r="R247" s="21" t="inlineStr"/>
      <c r="S247" s="21" t="inlineStr">
        <is>
          <t>rh@maringapark.com.br</t>
        </is>
      </c>
      <c r="T247" s="21" t="inlineStr">
        <is>
          <t>email is pattern-guessed, not verified</t>
        </is>
      </c>
      <c r="U247" s="22" t="n">
        <v>511325.79</v>
      </c>
      <c r="V247" s="23" t="inlineStr">
        <is>
          <t>B</t>
        </is>
      </c>
      <c r="W247" s="24">
        <f>IFERROR(VLOOKUP(V247,Assumptions!$A$7:$F$11,2,FALSE),0)</f>
        <v/>
      </c>
      <c r="X247" s="25">
        <f>IF(V247="A",MAX(1,IFERROR(VLOOKUP(V247,Assumptions!$A$7:$F$11,3,FALSE),3)+IFERROR(VLOOKUP(V247,Assumptions!$A$7:$F$11,4,FALSE),8)/2-MAX(0,IF(AO247="",0,YEAR(TODAY())-AO247)-IFERROR(VLOOKUP(V247,Assumptions!$A$7:$F$11,5,FALSE),1.5))),IFERROR(VLOOKUP(V247,Assumptions!$A$7:$F$11,5,FALSE),2.5)+IFERROR(VLOOKUP(V247,Assumptions!$A$7:$F$11,3,FALSE),3)+IFERROR(VLOOKUP(V247,Assumptions!$A$7:$F$11,4,FALSE),8)/2)</f>
        <v/>
      </c>
      <c r="Y247" s="22">
        <f>U247*W247/(1+Assumptions!$B$3)^X247</f>
        <v/>
      </c>
      <c r="Z247" s="26">
        <f>IF(U247=0,"",ROUND(Y247/U247*100,1))</f>
        <v/>
      </c>
      <c r="AA247" s="27">
        <f>Y247*Assumptions!$B$4</f>
        <v/>
      </c>
      <c r="AB247" s="26">
        <f>IF(U247=0,"",ROUND(AA247/U247*100,1))</f>
        <v/>
      </c>
      <c r="AC247" s="27">
        <f>Y247-AA247</f>
        <v/>
      </c>
      <c r="AD247" s="26">
        <f>IF(U247=0,"",ROUND((Y247-AA247)/U247*100,1))</f>
        <v/>
      </c>
      <c r="AE247" s="28" t="inlineStr">
        <is>
          <t>OK — totals reconciled</t>
        </is>
      </c>
      <c r="AF247" s="29" t="inlineStr">
        <is>
          <t>https://marquesadmjudicial.com.br/sgc/download.php?file=files/processo_documento/processo_documento19270817122025_1_.pdf&amp;nome=Relação Nominal de Credores AJ</t>
        </is>
      </c>
      <c r="AG247" s="28" t="inlineStr">
        <is>
          <t>p4 r6</t>
        </is>
      </c>
      <c r="AH247" s="28" t="inlineStr">
        <is>
          <t>p4: R$ 511.325,79</t>
        </is>
      </c>
      <c r="AI247" s="28" t="inlineStr">
        <is>
          <t>AJ list (art. 7 §2)</t>
        </is>
      </c>
      <c r="AJ247" s="28" t="inlineStr">
        <is>
          <t>2025-12-17</t>
        </is>
      </c>
      <c r="AK247" s="28" t="inlineStr">
        <is>
          <t>NONE FOUND</t>
        </is>
      </c>
      <c r="AL247" s="30" t="inlineStr">
        <is>
          <t>0016033-22.2025.8.16.0017</t>
        </is>
      </c>
      <c r="AM247" s="30" t="inlineStr">
        <is>
          <t>TJPR</t>
        </is>
      </c>
      <c r="AN247" s="30" t="inlineStr">
        <is>
          <t>ACTIVE</t>
        </is>
      </c>
      <c r="AO247" s="30" t="n">
        <v>2025</v>
      </c>
      <c r="AP247" s="30" t="inlineStr">
        <is>
          <t>live case, no plan document yet</t>
        </is>
      </c>
      <c r="AQ247" s="30" t="inlineStr">
        <is>
          <t>00.073.485/0001-43</t>
        </is>
      </c>
      <c r="AR247" s="30" t="inlineStr">
        <is>
          <t>printed on the list (read twice)</t>
        </is>
      </c>
      <c r="AS247" s="30" t="inlineStr">
        <is>
          <t>MARINGA</t>
        </is>
      </c>
      <c r="AT247" s="30" t="inlineStr">
        <is>
          <t>PR</t>
        </is>
      </c>
      <c r="AU247" s="30" t="inlineStr">
        <is>
          <t>Condomínios prediais</t>
        </is>
      </c>
      <c r="AV247" s="30" t="inlineStr">
        <is>
          <t>DEMAIS</t>
        </is>
      </c>
      <c r="AW247" s="31" t="inlineStr"/>
      <c r="AX247" s="30" t="inlineStr">
        <is>
          <t>MID-MARKET</t>
        </is>
      </c>
      <c r="AY247" s="30" t="inlineStr">
        <is>
          <t>03070981</t>
        </is>
      </c>
      <c r="AZ247" s="30" t="n">
        <v>1</v>
      </c>
      <c r="BA247" s="30" t="inlineStr">
        <is>
          <t>ROWS:p4r6</t>
        </is>
      </c>
    </row>
    <row r="248">
      <c r="A248" s="16" t="inlineStr">
        <is>
          <t>CEREAL OURO SEMENTES LTDA</t>
        </is>
      </c>
      <c r="B248" s="17" t="n">
        <v>509576.07</v>
      </c>
      <c r="C248" s="37" t="inlineStr">
        <is>
          <t>(debtor not identified — see proof)</t>
        </is>
      </c>
      <c r="D248" s="19" t="inlineStr">
        <is>
          <t>NEW</t>
        </is>
      </c>
      <c r="E248" s="20" t="inlineStr"/>
      <c r="F248" s="19" t="inlineStr"/>
      <c r="G248" s="20" t="inlineStr"/>
      <c r="H248" s="19" t="inlineStr"/>
      <c r="I248" s="21" t="inlineStr">
        <is>
          <t>Gustavo Barbosa</t>
        </is>
      </c>
      <c r="J248" s="21" t="inlineStr">
        <is>
          <t>Gerente Produção Sementes Soja</t>
        </is>
      </c>
      <c r="K248" s="21" t="inlineStr">
        <is>
          <t>(64) 2101-6200</t>
        </is>
      </c>
      <c r="L248" s="21" t="inlineStr">
        <is>
          <t>(64) 3612-2009</t>
        </is>
      </c>
      <c r="M248" s="21" t="inlineStr"/>
      <c r="N248" s="21" t="inlineStr">
        <is>
          <t>gustavo.barbosa@cerealouro.com.br</t>
        </is>
      </c>
      <c r="O248" s="21" t="inlineStr"/>
      <c r="P248" s="21" t="inlineStr"/>
      <c r="Q248" s="21" t="inlineStr"/>
      <c r="R248" s="21" t="inlineStr"/>
      <c r="S248" s="21" t="inlineStr"/>
      <c r="T248" s="21" t="inlineStr">
        <is>
          <t>email verified by Apollo</t>
        </is>
      </c>
      <c r="U248" s="22" t="n">
        <v>509576.07</v>
      </c>
      <c r="V248" s="23" t="inlineStr">
        <is>
          <t>B</t>
        </is>
      </c>
      <c r="W248" s="24">
        <f>IFERROR(VLOOKUP(V248,Assumptions!$A$7:$F$11,2,FALSE),0)</f>
        <v/>
      </c>
      <c r="X248" s="25">
        <f>IF(V248="A",MAX(1,IFERROR(VLOOKUP(V248,Assumptions!$A$7:$F$11,3,FALSE),3)+IFERROR(VLOOKUP(V248,Assumptions!$A$7:$F$11,4,FALSE),8)/2-MAX(0,IF(AO248="",0,YEAR(TODAY())-AO248)-IFERROR(VLOOKUP(V248,Assumptions!$A$7:$F$11,5,FALSE),1.5))),IFERROR(VLOOKUP(V248,Assumptions!$A$7:$F$11,5,FALSE),2.5)+IFERROR(VLOOKUP(V248,Assumptions!$A$7:$F$11,3,FALSE),3)+IFERROR(VLOOKUP(V248,Assumptions!$A$7:$F$11,4,FALSE),8)/2)</f>
        <v/>
      </c>
      <c r="Y248" s="22">
        <f>U248*W248/(1+Assumptions!$B$3)^X248</f>
        <v/>
      </c>
      <c r="Z248" s="26">
        <f>IF(U248=0,"",ROUND(Y248/U248*100,1))</f>
        <v/>
      </c>
      <c r="AA248" s="27">
        <f>Y248*Assumptions!$B$4</f>
        <v/>
      </c>
      <c r="AB248" s="26">
        <f>IF(U248=0,"",ROUND(AA248/U248*100,1))</f>
        <v/>
      </c>
      <c r="AC248" s="27">
        <f>Y248-AA248</f>
        <v/>
      </c>
      <c r="AD248" s="26">
        <f>IF(U248=0,"",ROUND((Y248-AA248)/U248*100,1))</f>
        <v/>
      </c>
      <c r="AE248" s="33" t="inlineStr">
        <is>
          <t>NO TOTALS — list prints none; check page</t>
        </is>
      </c>
      <c r="AF248" s="29" t="inlineStr">
        <is>
          <t>https://scalzilliaj.com.br/sgc/download.php?file=files/processo_documento/processo_documento11421222052026_1_.pdf&amp;nome=08. Lista de credores do edital do art. 52, §1º da LREF</t>
        </is>
      </c>
      <c r="AG248" s="28" t="inlineStr">
        <is>
          <t>p4 r6</t>
        </is>
      </c>
      <c r="AH248" s="28" t="inlineStr">
        <is>
          <t>p4: R$ 509.576,07</t>
        </is>
      </c>
      <c r="AI248" s="28" t="inlineStr">
        <is>
          <t>Unclassified list</t>
        </is>
      </c>
      <c r="AJ248" s="28" t="inlineStr"/>
      <c r="AK248" s="28" t="inlineStr">
        <is>
          <t>NONE FOUND</t>
        </is>
      </c>
      <c r="AL248" s="30" t="inlineStr">
        <is>
          <t>5011369-81.2026.8.09.0093</t>
        </is>
      </c>
      <c r="AM248" s="30" t="inlineStr">
        <is>
          <t>TJGO</t>
        </is>
      </c>
      <c r="AN248" s="30" t="inlineStr">
        <is>
          <t>ACTIVE</t>
        </is>
      </c>
      <c r="AO248" s="30" t="n">
        <v>2026</v>
      </c>
      <c r="AP248" s="30" t="inlineStr">
        <is>
          <t>live case, no plan document yet</t>
        </is>
      </c>
      <c r="AQ248" s="30" t="inlineStr"/>
      <c r="AR248" s="30" t="inlineStr">
        <is>
          <t>not identified</t>
        </is>
      </c>
      <c r="AS248" s="30" t="inlineStr">
        <is>
          <t>RIO VERDE</t>
        </is>
      </c>
      <c r="AT248" s="30" t="inlineStr">
        <is>
          <t>GO</t>
        </is>
      </c>
      <c r="AU248" s="30" t="inlineStr">
        <is>
          <t>Produção de sementes certificadas, exceto de forrageiras para pasto</t>
        </is>
      </c>
      <c r="AV248" s="30" t="inlineStr">
        <is>
          <t>DEMAIS</t>
        </is>
      </c>
      <c r="AW248" s="31" t="n">
        <v>4172683</v>
      </c>
      <c r="AX248" s="30" t="inlineStr">
        <is>
          <t>MID-MARKET</t>
        </is>
      </c>
      <c r="AY248" s="30" t="inlineStr">
        <is>
          <t>04712017</t>
        </is>
      </c>
      <c r="AZ248" s="30" t="n">
        <v>1</v>
      </c>
      <c r="BA248" s="30" t="inlineStr">
        <is>
          <t>ROWS:p4r6 UNRECONCILED_SOURCE</t>
        </is>
      </c>
    </row>
    <row r="249">
      <c r="A249" s="16" t="inlineStr">
        <is>
          <t>MEDAL METALURGICA DALLA LANA LTDA</t>
        </is>
      </c>
      <c r="B249" s="17" t="n">
        <v>508918.34</v>
      </c>
      <c r="C249" s="18" t="inlineStr">
        <is>
          <t>Grupo Rech</t>
        </is>
      </c>
      <c r="D249" s="19" t="inlineStr">
        <is>
          <t>NEW</t>
        </is>
      </c>
      <c r="E249" s="20" t="inlineStr"/>
      <c r="F249" s="19" t="inlineStr"/>
      <c r="G249" s="20" t="inlineStr"/>
      <c r="H249" s="19" t="inlineStr"/>
      <c r="I249" s="21" t="inlineStr">
        <is>
          <t>ADEMIR LUIZ DALLA LANA</t>
        </is>
      </c>
      <c r="J249" s="21" t="inlineStr">
        <is>
          <t>Administrador (RFB partner)</t>
        </is>
      </c>
      <c r="K249" s="21" t="inlineStr">
        <is>
          <t>(49) 3523-4400</t>
        </is>
      </c>
      <c r="L249" s="21" t="inlineStr"/>
      <c r="M249" s="21" t="inlineStr"/>
      <c r="N249" s="21" t="inlineStr"/>
      <c r="O249" s="21" t="inlineStr"/>
      <c r="P249" s="21" t="inlineStr">
        <is>
          <t>ALTAIR DALLA LANA</t>
        </is>
      </c>
      <c r="Q249" s="21" t="inlineStr">
        <is>
          <t>Administrador (RFB partner)</t>
        </is>
      </c>
      <c r="R249" s="21" t="inlineStr"/>
      <c r="S249" s="21" t="inlineStr"/>
      <c r="T249" s="21" t="inlineStr">
        <is>
          <t>RFB partner (QSA); no Apollo match</t>
        </is>
      </c>
      <c r="U249" s="22" t="n">
        <v>508918.34</v>
      </c>
      <c r="V249" s="23" t="inlineStr">
        <is>
          <t>B</t>
        </is>
      </c>
      <c r="W249" s="24">
        <f>IFERROR(VLOOKUP(V249,Assumptions!$A$7:$F$11,2,FALSE),0)</f>
        <v/>
      </c>
      <c r="X249" s="25">
        <f>IF(V249="A",MAX(1,IFERROR(VLOOKUP(V249,Assumptions!$A$7:$F$11,3,FALSE),3)+IFERROR(VLOOKUP(V249,Assumptions!$A$7:$F$11,4,FALSE),8)/2-MAX(0,IF(AO249="",0,YEAR(TODAY())-AO249)-IFERROR(VLOOKUP(V249,Assumptions!$A$7:$F$11,5,FALSE),1.5))),IFERROR(VLOOKUP(V249,Assumptions!$A$7:$F$11,5,FALSE),2.5)+IFERROR(VLOOKUP(V249,Assumptions!$A$7:$F$11,3,FALSE),3)+IFERROR(VLOOKUP(V249,Assumptions!$A$7:$F$11,4,FALSE),8)/2)</f>
        <v/>
      </c>
      <c r="Y249" s="22">
        <f>U249*W249/(1+Assumptions!$B$3)^X249</f>
        <v/>
      </c>
      <c r="Z249" s="26">
        <f>IF(U249=0,"",ROUND(Y249/U249*100,1))</f>
        <v/>
      </c>
      <c r="AA249" s="27">
        <f>Y249*Assumptions!$B$4</f>
        <v/>
      </c>
      <c r="AB249" s="26">
        <f>IF(U249=0,"",ROUND(AA249/U249*100,1))</f>
        <v/>
      </c>
      <c r="AC249" s="27">
        <f>Y249-AA249</f>
        <v/>
      </c>
      <c r="AD249" s="26">
        <f>IF(U249=0,"",ROUND((Y249-AA249)/U249*100,1))</f>
        <v/>
      </c>
      <c r="AE249" s="36" t="inlineStr">
        <is>
          <t>CHECK — source is not a statutory creditor list</t>
        </is>
      </c>
      <c r="AF249" s="29" t="inlineStr">
        <is>
          <t>https://credibilita.com.br/wp-content/uploads/2025/09/Relacao-Credores-29.04.2026.pdf</t>
        </is>
      </c>
      <c r="AG249" s="28" t="inlineStr">
        <is>
          <t>p2 r4</t>
        </is>
      </c>
      <c r="AH249" s="28" t="inlineStr">
        <is>
          <t>p2: R$ 508.918,34</t>
        </is>
      </c>
      <c r="AI249" s="28" t="inlineStr">
        <is>
          <t>Quorum list — NOT an art. 7/51 list</t>
        </is>
      </c>
      <c r="AJ249" s="28" t="inlineStr"/>
      <c r="AK249" s="28" t="inlineStr">
        <is>
          <t>NONE FOUND</t>
        </is>
      </c>
      <c r="AL249" s="30" t="inlineStr">
        <is>
          <t>5057720-48.2025.8.24.0023</t>
        </is>
      </c>
      <c r="AM249" s="30" t="inlineStr">
        <is>
          <t>TJSC</t>
        </is>
      </c>
      <c r="AN249" s="30" t="inlineStr"/>
      <c r="AO249" s="30" t="n">
        <v>2025</v>
      </c>
      <c r="AP249" s="30" t="inlineStr">
        <is>
          <t>live case, no plan document yet</t>
        </is>
      </c>
      <c r="AQ249" s="30" t="inlineStr"/>
      <c r="AR249" s="30" t="inlineStr">
        <is>
          <t>portal page title / URL — not printed on the list</t>
        </is>
      </c>
      <c r="AS249" s="30" t="inlineStr">
        <is>
          <t>LUZERNA</t>
        </is>
      </c>
      <c r="AT249" s="30" t="inlineStr">
        <is>
          <t>SC</t>
        </is>
      </c>
      <c r="AU249" s="30" t="inlineStr">
        <is>
          <t>Fabricação de equipamentos hidráulicos e pneumáticos, peças e acessórios, exceto válvulas</t>
        </is>
      </c>
      <c r="AV249" s="30" t="inlineStr">
        <is>
          <t>DEMAIS</t>
        </is>
      </c>
      <c r="AW249" s="31" t="n">
        <v>5495931</v>
      </c>
      <c r="AX249" s="30" t="inlineStr">
        <is>
          <t>MID-MARKET</t>
        </is>
      </c>
      <c r="AY249" s="30" t="inlineStr">
        <is>
          <t>83610790</t>
        </is>
      </c>
      <c r="AZ249" s="30" t="n">
        <v>1</v>
      </c>
      <c r="BA249" s="30" t="inlineStr">
        <is>
          <t>ROWS:p2r4 UNRECONCILED_SOURCE VALUE_COL:Valor_Após_Analise CASE_NUMBER_CORRECTED</t>
        </is>
      </c>
    </row>
    <row r="250">
      <c r="A250" s="16" t="inlineStr">
        <is>
          <t>ALTA - AMERICA LATINA TECNOLOGIA AGRICOLA LTDA.</t>
        </is>
      </c>
      <c r="B250" s="17" t="n">
        <v>505000</v>
      </c>
      <c r="C250" s="18" t="inlineStr">
        <is>
          <t>ENIVALDO BARELLA TIRONI, MATEUS MANHANI BARELLA, LEILA REGINA MANHANI BARELLA, B&amp;F AGRO COMÉRCIO DE GRÃOS E INSUMOS AGRÍCOLAS LTDA, BARELLA &amp; FILHOS LTDA E M M LOCAÇÃO EIRELI</t>
        </is>
      </c>
      <c r="D250" s="19" t="inlineStr">
        <is>
          <t>NEW</t>
        </is>
      </c>
      <c r="E250" s="20" t="inlineStr"/>
      <c r="F250" s="19" t="inlineStr"/>
      <c r="G250" s="20" t="inlineStr"/>
      <c r="H250" s="19" t="inlineStr"/>
      <c r="I250" s="21" t="inlineStr">
        <is>
          <t>CESAR DE MEDEIROS NEVES</t>
        </is>
      </c>
      <c r="J250" s="21" t="inlineStr">
        <is>
          <t>Administrador (RFB partner)</t>
        </is>
      </c>
      <c r="K250" s="21" t="inlineStr">
        <is>
          <t>(41) 3071-9000</t>
        </is>
      </c>
      <c r="L250" s="21" t="inlineStr"/>
      <c r="M250" s="21" t="inlineStr"/>
      <c r="N250" s="21" t="inlineStr"/>
      <c r="O250" s="21" t="inlineStr"/>
      <c r="P250" s="21" t="inlineStr">
        <is>
          <t>DANIEL D ANDREA</t>
        </is>
      </c>
      <c r="Q250" s="21" t="inlineStr">
        <is>
          <t>Administrador (RFB partner)</t>
        </is>
      </c>
      <c r="R250" s="21" t="inlineStr"/>
      <c r="S250" s="21" t="inlineStr"/>
      <c r="T250" s="21" t="inlineStr">
        <is>
          <t>RFB partner (QSA); no Apollo match</t>
        </is>
      </c>
      <c r="U250" s="22" t="n">
        <v>505000</v>
      </c>
      <c r="V250" s="23" t="inlineStr">
        <is>
          <t>B</t>
        </is>
      </c>
      <c r="W250" s="24">
        <f>IFERROR(VLOOKUP(V250,Assumptions!$A$7:$F$11,2,FALSE),0)</f>
        <v/>
      </c>
      <c r="X250" s="25">
        <f>IF(V250="A",MAX(1,IFERROR(VLOOKUP(V250,Assumptions!$A$7:$F$11,3,FALSE),3)+IFERROR(VLOOKUP(V250,Assumptions!$A$7:$F$11,4,FALSE),8)/2-MAX(0,IF(AO250="",0,YEAR(TODAY())-AO250)-IFERROR(VLOOKUP(V250,Assumptions!$A$7:$F$11,5,FALSE),1.5))),IFERROR(VLOOKUP(V250,Assumptions!$A$7:$F$11,5,FALSE),2.5)+IFERROR(VLOOKUP(V250,Assumptions!$A$7:$F$11,3,FALSE),3)+IFERROR(VLOOKUP(V250,Assumptions!$A$7:$F$11,4,FALSE),8)/2)</f>
        <v/>
      </c>
      <c r="Y250" s="22">
        <f>U250*W250/(1+Assumptions!$B$3)^X250</f>
        <v/>
      </c>
      <c r="Z250" s="26">
        <f>IF(U250=0,"",ROUND(Y250/U250*100,1))</f>
        <v/>
      </c>
      <c r="AA250" s="27">
        <f>Y250*Assumptions!$B$4</f>
        <v/>
      </c>
      <c r="AB250" s="26">
        <f>IF(U250=0,"",ROUND(AA250/U250*100,1))</f>
        <v/>
      </c>
      <c r="AC250" s="27">
        <f>Y250-AA250</f>
        <v/>
      </c>
      <c r="AD250" s="26">
        <f>IF(U250=0,"",ROUND((Y250-AA250)/U250*100,1))</f>
        <v/>
      </c>
      <c r="AE250" s="33" t="inlineStr">
        <is>
          <t>NO TOTALS — list prints none; check page</t>
        </is>
      </c>
      <c r="AF250" s="29" t="inlineStr">
        <is>
          <t>https://scalzilliaj.com.br/sgc/download.php?file=files/processo_documento/processo_documento15542620022025_1_.pdf&amp;nome=11 - Relação de credores - art. 7º, §2º, da LREF</t>
        </is>
      </c>
      <c r="AG250" s="28" t="inlineStr">
        <is>
          <t>p1 r16</t>
        </is>
      </c>
      <c r="AH250" s="28" t="inlineStr">
        <is>
          <t>p1: R$ 505.000,00</t>
        </is>
      </c>
      <c r="AI250" s="28" t="inlineStr">
        <is>
          <t>AJ list (art. 7 §2)</t>
        </is>
      </c>
      <c r="AJ250" s="28" t="inlineStr">
        <is>
          <t>2025-02-19</t>
        </is>
      </c>
      <c r="AK250" s="28" t="inlineStr">
        <is>
          <t>NONE FOUND</t>
        </is>
      </c>
      <c r="AL250" s="30" t="inlineStr">
        <is>
          <t>0028131-73.2024.8.16.0017</t>
        </is>
      </c>
      <c r="AM250" s="30" t="inlineStr">
        <is>
          <t>TJPR</t>
        </is>
      </c>
      <c r="AN250" s="30" t="inlineStr">
        <is>
          <t>ACTIVE</t>
        </is>
      </c>
      <c r="AO250" s="30" t="n">
        <v>2024</v>
      </c>
      <c r="AP250" s="30" t="inlineStr">
        <is>
          <t>live case, no plan document yet</t>
        </is>
      </c>
      <c r="AQ250" s="30" t="inlineStr">
        <is>
          <t>23.706.398/0001-81</t>
        </is>
      </c>
      <c r="AR250" s="30" t="inlineStr">
        <is>
          <t>printed on the list (read twice)</t>
        </is>
      </c>
      <c r="AS250" s="30" t="inlineStr">
        <is>
          <t>CURITIBA</t>
        </is>
      </c>
      <c r="AT250" s="30" t="inlineStr">
        <is>
          <t>PR</t>
        </is>
      </c>
      <c r="AU250" s="30" t="inlineStr">
        <is>
          <t>Comércio atacadista de defensivos agrícolas, adubos, fertilizantes e corretivos do solo</t>
        </is>
      </c>
      <c r="AV250" s="30" t="inlineStr">
        <is>
          <t>DEMAIS</t>
        </is>
      </c>
      <c r="AW250" s="31" t="n">
        <v>120140760</v>
      </c>
      <c r="AX250" s="30" t="inlineStr">
        <is>
          <t>MID-MARKET</t>
        </is>
      </c>
      <c r="AY250" s="30" t="inlineStr">
        <is>
          <t>10409614</t>
        </is>
      </c>
      <c r="AZ250" s="30" t="n">
        <v>1</v>
      </c>
      <c r="BA250" s="30" t="inlineStr">
        <is>
          <t>ROWS:p1r16 UNRECONCILED_SOURCE</t>
        </is>
      </c>
    </row>
    <row r="251">
      <c r="A251" s="16" t="inlineStr">
        <is>
          <t>WORLD BLUE INDUSTRIA E COMERCIO DE CONFECCOES LTDA</t>
        </is>
      </c>
      <c r="B251" s="17" t="n">
        <v>504580.74</v>
      </c>
      <c r="C251" s="18" t="inlineStr">
        <is>
          <t>GRUPO CATTAN</t>
        </is>
      </c>
      <c r="D251" s="19" t="inlineStr">
        <is>
          <t>NEW</t>
        </is>
      </c>
      <c r="E251" s="20" t="inlineStr"/>
      <c r="F251" s="19" t="inlineStr"/>
      <c r="G251" s="20" t="inlineStr"/>
      <c r="H251" s="19" t="inlineStr"/>
      <c r="I251" s="21" t="inlineStr">
        <is>
          <t>DALVAN MIZAEL JUDAH DE OLIVEIRA</t>
        </is>
      </c>
      <c r="J251" s="21" t="inlineStr">
        <is>
          <t>Sócio-Administrador (RFB partner)</t>
        </is>
      </c>
      <c r="K251" s="21" t="inlineStr">
        <is>
          <t>000000000000</t>
        </is>
      </c>
      <c r="L251" s="21" t="inlineStr"/>
      <c r="M251" s="21" t="inlineStr"/>
      <c r="N251" s="21" t="inlineStr"/>
      <c r="O251" s="21" t="inlineStr"/>
      <c r="P251" s="21" t="inlineStr">
        <is>
          <t>RAUL DE OLIVEIRA</t>
        </is>
      </c>
      <c r="Q251" s="21" t="inlineStr">
        <is>
          <t>Sócio-Administrador (RFB partner)</t>
        </is>
      </c>
      <c r="R251" s="21" t="inlineStr"/>
      <c r="S251" s="21" t="inlineStr"/>
      <c r="T251" s="21" t="inlineStr">
        <is>
          <t>RFB partner (QSA); no Apollo match</t>
        </is>
      </c>
      <c r="U251" s="22" t="n">
        <v>504580.74</v>
      </c>
      <c r="V251" s="23" t="inlineStr">
        <is>
          <t>B</t>
        </is>
      </c>
      <c r="W251" s="24">
        <f>IFERROR(VLOOKUP(V251,Assumptions!$A$7:$F$11,2,FALSE),0)</f>
        <v/>
      </c>
      <c r="X251" s="25">
        <f>IF(V251="A",MAX(1,IFERROR(VLOOKUP(V251,Assumptions!$A$7:$F$11,3,FALSE),3)+IFERROR(VLOOKUP(V251,Assumptions!$A$7:$F$11,4,FALSE),8)/2-MAX(0,IF(AO251="",0,YEAR(TODAY())-AO251)-IFERROR(VLOOKUP(V251,Assumptions!$A$7:$F$11,5,FALSE),1.5))),IFERROR(VLOOKUP(V251,Assumptions!$A$7:$F$11,5,FALSE),2.5)+IFERROR(VLOOKUP(V251,Assumptions!$A$7:$F$11,3,FALSE),3)+IFERROR(VLOOKUP(V251,Assumptions!$A$7:$F$11,4,FALSE),8)/2)</f>
        <v/>
      </c>
      <c r="Y251" s="22">
        <f>U251*W251/(1+Assumptions!$B$3)^X251</f>
        <v/>
      </c>
      <c r="Z251" s="26">
        <f>IF(U251=0,"",ROUND(Y251/U251*100,1))</f>
        <v/>
      </c>
      <c r="AA251" s="27">
        <f>Y251*Assumptions!$B$4</f>
        <v/>
      </c>
      <c r="AB251" s="26">
        <f>IF(U251=0,"",ROUND(AA251/U251*100,1))</f>
        <v/>
      </c>
      <c r="AC251" s="27">
        <f>Y251-AA251</f>
        <v/>
      </c>
      <c r="AD251" s="26">
        <f>IF(U251=0,"",ROUND((Y251-AA251)/U251*100,1))</f>
        <v/>
      </c>
      <c r="AE251" s="34" t="inlineStr">
        <is>
          <t>PARTIAL — class III reconciled, other classes not</t>
        </is>
      </c>
      <c r="AF251" s="29" t="inlineStr">
        <is>
          <t>https://lrflideres.com.br/wp-content/plugins/download-attachments/includes/download.php?id=4023</t>
        </is>
      </c>
      <c r="AG251" s="28" t="inlineStr">
        <is>
          <t>p4 r97; p7 r129; p9 r95</t>
        </is>
      </c>
      <c r="AH251" s="28" t="inlineStr">
        <is>
          <t>p4: R$ 175.901,47; p7: R$ 252.684,23; p9: R$ 75.995,04</t>
        </is>
      </c>
      <c r="AI251" s="28" t="inlineStr">
        <is>
          <t>Debtor list (art. 51)</t>
        </is>
      </c>
      <c r="AJ251" s="28" t="inlineStr"/>
      <c r="AK251" s="28" t="inlineStr">
        <is>
          <t>NONE FOUND</t>
        </is>
      </c>
      <c r="AL251" s="30" t="inlineStr">
        <is>
          <t>0002484-82.2022.8.17.2001</t>
        </is>
      </c>
      <c r="AM251" s="30" t="inlineStr">
        <is>
          <t>TJPE</t>
        </is>
      </c>
      <c r="AN251" s="30" t="inlineStr">
        <is>
          <t>ACTIVE</t>
        </is>
      </c>
      <c r="AO251" s="30" t="n">
        <v>2022</v>
      </c>
      <c r="AP251" s="30" t="inlineStr">
        <is>
          <t>live case, no plan document yet</t>
        </is>
      </c>
      <c r="AQ251" s="30" t="inlineStr"/>
      <c r="AR251" s="30" t="inlineStr">
        <is>
          <t>printed on the list (read twice)</t>
        </is>
      </c>
      <c r="AS251" s="30" t="inlineStr">
        <is>
          <t>BRUSQUE</t>
        </is>
      </c>
      <c r="AT251" s="30" t="inlineStr">
        <is>
          <t>SC</t>
        </is>
      </c>
      <c r="AU251" s="30" t="inlineStr">
        <is>
          <t>Confecção de peças de vestuário, exceto roupas íntimas e as confeccionadas sob medida</t>
        </is>
      </c>
      <c r="AV251" s="30" t="inlineStr">
        <is>
          <t>DEMAIS</t>
        </is>
      </c>
      <c r="AW251" s="31" t="n">
        <v>400000</v>
      </c>
      <c r="AX251" s="30" t="inlineStr">
        <is>
          <t>MID-MARKET</t>
        </is>
      </c>
      <c r="AY251" s="30" t="inlineStr">
        <is>
          <t>01358125</t>
        </is>
      </c>
      <c r="AZ251" s="30" t="n">
        <v>3</v>
      </c>
      <c r="BA251" s="30" t="inlineStr">
        <is>
          <t>PARTIAL_DOC_CLASS_III_RECONCILED ROWS:p4r97,p7r129,p9r95</t>
        </is>
      </c>
    </row>
    <row r="252">
      <c r="A252" s="16" t="inlineStr">
        <is>
          <t>POLIMIX CONCRETO LTDA</t>
        </is>
      </c>
      <c r="B252" s="17" t="n">
        <v>502157.63</v>
      </c>
      <c r="C252" s="18" t="inlineStr">
        <is>
          <t>GRUPO IMOBI</t>
        </is>
      </c>
      <c r="D252" s="19" t="inlineStr">
        <is>
          <t>NEW</t>
        </is>
      </c>
      <c r="E252" s="20" t="inlineStr"/>
      <c r="F252" s="19" t="inlineStr"/>
      <c r="G252" s="20" t="inlineStr"/>
      <c r="H252" s="19" t="inlineStr"/>
      <c r="I252" s="21" t="inlineStr">
        <is>
          <t>ALCINDO ANTONIO CHRUSCIELSKI</t>
        </is>
      </c>
      <c r="J252" s="21" t="inlineStr">
        <is>
          <t>Administrador (RFB partner)</t>
        </is>
      </c>
      <c r="K252" s="21" t="inlineStr">
        <is>
          <t>(11) 4168-0300</t>
        </is>
      </c>
      <c r="L252" s="21" t="inlineStr"/>
      <c r="M252" s="21" t="inlineStr"/>
      <c r="N252" s="21" t="inlineStr"/>
      <c r="O252" s="21" t="inlineStr"/>
      <c r="P252" s="21" t="inlineStr">
        <is>
          <t>ANDERSON JOSE MESSIAS</t>
        </is>
      </c>
      <c r="Q252" s="21" t="inlineStr">
        <is>
          <t>Administrador (RFB partner)</t>
        </is>
      </c>
      <c r="R252" s="21" t="inlineStr"/>
      <c r="S252" s="21" t="inlineStr"/>
      <c r="T252" s="21" t="inlineStr">
        <is>
          <t>RFB partner (QSA); no Apollo match</t>
        </is>
      </c>
      <c r="U252" s="22" t="n">
        <v>502157.63</v>
      </c>
      <c r="V252" s="23" t="inlineStr">
        <is>
          <t>B</t>
        </is>
      </c>
      <c r="W252" s="24">
        <f>IFERROR(VLOOKUP(V252,Assumptions!$A$7:$F$11,2,FALSE),0)</f>
        <v/>
      </c>
      <c r="X252" s="25">
        <f>IF(V252="A",MAX(1,IFERROR(VLOOKUP(V252,Assumptions!$A$7:$F$11,3,FALSE),3)+IFERROR(VLOOKUP(V252,Assumptions!$A$7:$F$11,4,FALSE),8)/2-MAX(0,IF(AO252="",0,YEAR(TODAY())-AO252)-IFERROR(VLOOKUP(V252,Assumptions!$A$7:$F$11,5,FALSE),1.5))),IFERROR(VLOOKUP(V252,Assumptions!$A$7:$F$11,5,FALSE),2.5)+IFERROR(VLOOKUP(V252,Assumptions!$A$7:$F$11,3,FALSE),3)+IFERROR(VLOOKUP(V252,Assumptions!$A$7:$F$11,4,FALSE),8)/2)</f>
        <v/>
      </c>
      <c r="Y252" s="22">
        <f>U252*W252/(1+Assumptions!$B$3)^X252</f>
        <v/>
      </c>
      <c r="Z252" s="26">
        <f>IF(U252=0,"",ROUND(Y252/U252*100,1))</f>
        <v/>
      </c>
      <c r="AA252" s="27">
        <f>Y252*Assumptions!$B$4</f>
        <v/>
      </c>
      <c r="AB252" s="26">
        <f>IF(U252=0,"",ROUND(AA252/U252*100,1))</f>
        <v/>
      </c>
      <c r="AC252" s="27">
        <f>Y252-AA252</f>
        <v/>
      </c>
      <c r="AD252" s="26">
        <f>IF(U252=0,"",ROUND((Y252-AA252)/U252*100,1))</f>
        <v/>
      </c>
      <c r="AE252" s="28" t="inlineStr">
        <is>
          <t>OK — totals reconciled</t>
        </is>
      </c>
      <c r="AF252" s="29" t="inlineStr">
        <is>
          <t>https://lrflideres.com.br/wp-content/plugins/download-attachments/includes/download.php?id=6273</t>
        </is>
      </c>
      <c r="AG252" s="28" t="inlineStr">
        <is>
          <t>p6 r17; p6 r18</t>
        </is>
      </c>
      <c r="AH252" s="28" t="inlineStr">
        <is>
          <t>p6: R$ 36.287,92; p6: R$ 465.869,71</t>
        </is>
      </c>
      <c r="AI252" s="28" t="inlineStr">
        <is>
          <t>AJ list (art. 7 §2)</t>
        </is>
      </c>
      <c r="AJ252" s="28" t="inlineStr">
        <is>
          <t>2024-11-14</t>
        </is>
      </c>
      <c r="AK252" s="28" t="inlineStr">
        <is>
          <t>NONE FOUND</t>
        </is>
      </c>
      <c r="AL252" s="30" t="inlineStr">
        <is>
          <t>0074500-63.2024.8.17.2001</t>
        </is>
      </c>
      <c r="AM252" s="30" t="inlineStr">
        <is>
          <t>TJPE</t>
        </is>
      </c>
      <c r="AN252" s="30" t="inlineStr">
        <is>
          <t>ACTIVE</t>
        </is>
      </c>
      <c r="AO252" s="30" t="n">
        <v>2024</v>
      </c>
      <c r="AP252" s="30" t="inlineStr">
        <is>
          <t>live case, no plan document yet</t>
        </is>
      </c>
      <c r="AQ252" s="30" t="inlineStr">
        <is>
          <t>02.284.048/0001-02</t>
        </is>
      </c>
      <c r="AR252" s="30" t="inlineStr">
        <is>
          <t>printed on the list (read twice)</t>
        </is>
      </c>
      <c r="AS252" s="30" t="inlineStr">
        <is>
          <t>SANTANA DE PARNAIBA</t>
        </is>
      </c>
      <c r="AT252" s="30" t="inlineStr">
        <is>
          <t>SP</t>
        </is>
      </c>
      <c r="AU252" s="30" t="inlineStr">
        <is>
          <t>Serviços combinados de escritório e apoio administrativo</t>
        </is>
      </c>
      <c r="AV252" s="30" t="inlineStr">
        <is>
          <t>DEMAIS</t>
        </is>
      </c>
      <c r="AW252" s="31" t="n">
        <v>1135600000</v>
      </c>
      <c r="AX252" s="30" t="inlineStr">
        <is>
          <t>LARGE CORP</t>
        </is>
      </c>
      <c r="AY252" s="30" t="inlineStr">
        <is>
          <t>29067113</t>
        </is>
      </c>
      <c r="AZ252" s="30" t="n">
        <v>2</v>
      </c>
      <c r="BA252" s="30" t="inlineStr">
        <is>
          <t>ROWS:p6r17,p6r18</t>
        </is>
      </c>
    </row>
    <row r="253">
      <c r="A253" s="16" t="inlineStr">
        <is>
          <t>PHARLAB INDUSTRIA FARMACEUTICA S.A</t>
        </is>
      </c>
      <c r="B253" s="17" t="n">
        <v>501630.38</v>
      </c>
      <c r="C253" s="18" t="inlineStr">
        <is>
          <t>GRUPO DP4</t>
        </is>
      </c>
      <c r="D253" s="19" t="inlineStr">
        <is>
          <t>NEW</t>
        </is>
      </c>
      <c r="E253" s="20" t="inlineStr"/>
      <c r="F253" s="19" t="inlineStr"/>
      <c r="G253" s="20" t="inlineStr"/>
      <c r="H253" s="19" t="inlineStr"/>
      <c r="I253" s="21" t="inlineStr">
        <is>
          <t>Fernando Hauck</t>
        </is>
      </c>
      <c r="J253" s="21" t="inlineStr">
        <is>
          <t>CFO</t>
        </is>
      </c>
      <c r="K253" s="21" t="inlineStr">
        <is>
          <t>(37) 3261-9090</t>
        </is>
      </c>
      <c r="L253" s="21" t="inlineStr"/>
      <c r="M253" s="21" t="inlineStr"/>
      <c r="N253" s="21" t="inlineStr">
        <is>
          <t>fernando.hauck@pharlab.com.br</t>
        </is>
      </c>
      <c r="O253" s="21" t="inlineStr">
        <is>
          <t>suelen.santos@pharlab.com.br</t>
        </is>
      </c>
      <c r="P253" s="21" t="inlineStr">
        <is>
          <t>Suelen Santos</t>
        </is>
      </c>
      <c r="Q253" s="21" t="inlineStr">
        <is>
          <t>Controller Analyst</t>
        </is>
      </c>
      <c r="R253" s="21" t="inlineStr"/>
      <c r="S253" s="21" t="inlineStr">
        <is>
          <t>suelen.santos@pharlab.com.br</t>
        </is>
      </c>
      <c r="T253" s="21" t="inlineStr">
        <is>
          <t>email verified by Apollo</t>
        </is>
      </c>
      <c r="U253" s="22" t="n">
        <v>501630.38</v>
      </c>
      <c r="V253" s="23" t="inlineStr">
        <is>
          <t>B</t>
        </is>
      </c>
      <c r="W253" s="24">
        <f>IFERROR(VLOOKUP(V253,Assumptions!$A$7:$F$11,2,FALSE),0)</f>
        <v/>
      </c>
      <c r="X253" s="25">
        <f>IF(V253="A",MAX(1,IFERROR(VLOOKUP(V253,Assumptions!$A$7:$F$11,3,FALSE),3)+IFERROR(VLOOKUP(V253,Assumptions!$A$7:$F$11,4,FALSE),8)/2-MAX(0,IF(AO253="",0,YEAR(TODAY())-AO253)-IFERROR(VLOOKUP(V253,Assumptions!$A$7:$F$11,5,FALSE),1.5))),IFERROR(VLOOKUP(V253,Assumptions!$A$7:$F$11,5,FALSE),2.5)+IFERROR(VLOOKUP(V253,Assumptions!$A$7:$F$11,3,FALSE),3)+IFERROR(VLOOKUP(V253,Assumptions!$A$7:$F$11,4,FALSE),8)/2)</f>
        <v/>
      </c>
      <c r="Y253" s="22">
        <f>U253*W253/(1+Assumptions!$B$3)^X253</f>
        <v/>
      </c>
      <c r="Z253" s="26">
        <f>IF(U253=0,"",ROUND(Y253/U253*100,1))</f>
        <v/>
      </c>
      <c r="AA253" s="27">
        <f>Y253*Assumptions!$B$4</f>
        <v/>
      </c>
      <c r="AB253" s="26">
        <f>IF(U253=0,"",ROUND(AA253/U253*100,1))</f>
        <v/>
      </c>
      <c r="AC253" s="27">
        <f>Y253-AA253</f>
        <v/>
      </c>
      <c r="AD253" s="26">
        <f>IF(U253=0,"",ROUND((Y253-AA253)/U253*100,1))</f>
        <v/>
      </c>
      <c r="AE253" s="34" t="inlineStr">
        <is>
          <t>PARTIAL — class III reconciled, other classes not</t>
        </is>
      </c>
      <c r="AF253" s="29" t="inlineStr">
        <is>
          <t>https://marquesadmjudicial.com.br/sgc/download.php?file=files/processo_documento/processo_documento15293208032024_1_.pdf&amp;nome=Relação Nominal de Credores da AJ-Sintética</t>
        </is>
      </c>
      <c r="AG253" s="28" t="inlineStr">
        <is>
          <t>p30 r4</t>
        </is>
      </c>
      <c r="AH253" s="28" t="inlineStr">
        <is>
          <t>p30: R$ 501.630,38</t>
        </is>
      </c>
      <c r="AI253" s="28" t="inlineStr">
        <is>
          <t>AJ list (art. 7 §2)</t>
        </is>
      </c>
      <c r="AJ253" s="28" t="inlineStr">
        <is>
          <t>2023-03-02</t>
        </is>
      </c>
      <c r="AK253" s="28" t="inlineStr">
        <is>
          <t>NONE FOUND</t>
        </is>
      </c>
      <c r="AL253" s="30" t="inlineStr">
        <is>
          <t>0005010-98.2023.8.16.0001</t>
        </is>
      </c>
      <c r="AM253" s="30" t="inlineStr">
        <is>
          <t>TJPR</t>
        </is>
      </c>
      <c r="AN253" s="30" t="inlineStr">
        <is>
          <t>ACTIVE</t>
        </is>
      </c>
      <c r="AO253" s="30" t="n">
        <v>2023</v>
      </c>
      <c r="AP253" s="30" t="inlineStr">
        <is>
          <t>live case, no plan document yet</t>
        </is>
      </c>
      <c r="AQ253" s="30" t="inlineStr"/>
      <c r="AR253" s="30" t="inlineStr">
        <is>
          <t>printed on the list (read twice)</t>
        </is>
      </c>
      <c r="AS253" s="30" t="inlineStr">
        <is>
          <t>LAGOA DA PRATA</t>
        </is>
      </c>
      <c r="AT253" s="30" t="inlineStr">
        <is>
          <t>MG</t>
        </is>
      </c>
      <c r="AU253" s="30" t="inlineStr">
        <is>
          <t>Fabricação de medicamentos alopáticos para uso humano</t>
        </is>
      </c>
      <c r="AV253" s="30" t="inlineStr">
        <is>
          <t>DEMAIS</t>
        </is>
      </c>
      <c r="AW253" s="31" t="n">
        <v>528359330</v>
      </c>
      <c r="AX253" s="30" t="inlineStr">
        <is>
          <t>LARGE CORP</t>
        </is>
      </c>
      <c r="AY253" s="30" t="inlineStr">
        <is>
          <t>02501297</t>
        </is>
      </c>
      <c r="AZ253" s="30" t="n">
        <v>1</v>
      </c>
      <c r="BA253" s="30" t="inlineStr">
        <is>
          <t>PARTIAL_DOC_CLASS_III_RECONCILED ROWS:p30r4</t>
        </is>
      </c>
    </row>
    <row r="254">
      <c r="A254" s="16" t="inlineStr">
        <is>
          <t>ANJUU IMPORTACAO, EXPORTACAO E COMERCIO DE CONFECCOES LTDA</t>
        </is>
      </c>
      <c r="B254" s="17" t="n">
        <v>500703.44</v>
      </c>
      <c r="C254" s="18" t="inlineStr">
        <is>
          <t>GRUPO CATTAN</t>
        </is>
      </c>
      <c r="D254" s="19" t="inlineStr">
        <is>
          <t>NEW</t>
        </is>
      </c>
      <c r="E254" s="20" t="inlineStr"/>
      <c r="F254" s="19" t="inlineStr"/>
      <c r="G254" s="20" t="inlineStr"/>
      <c r="H254" s="19" t="inlineStr"/>
      <c r="I254" s="21" t="inlineStr">
        <is>
          <t>Claudio Ohashi</t>
        </is>
      </c>
      <c r="J254" s="21" t="inlineStr">
        <is>
          <t>Consultant</t>
        </is>
      </c>
      <c r="K254" s="21" t="inlineStr">
        <is>
          <t>(11) 2081-6261</t>
        </is>
      </c>
      <c r="L254" s="21" t="inlineStr"/>
      <c r="M254" s="21" t="inlineStr"/>
      <c r="N254" s="21" t="inlineStr">
        <is>
          <t>claudio@anjuu.com.br</t>
        </is>
      </c>
      <c r="O254" s="21" t="inlineStr"/>
      <c r="P254" s="21" t="inlineStr"/>
      <c r="Q254" s="21" t="inlineStr"/>
      <c r="R254" s="21" t="inlineStr"/>
      <c r="S254" s="21" t="inlineStr"/>
      <c r="T254" s="21" t="inlineStr">
        <is>
          <t>email verified by Apollo</t>
        </is>
      </c>
      <c r="U254" s="22" t="n">
        <v>500703.44</v>
      </c>
      <c r="V254" s="23" t="inlineStr">
        <is>
          <t>B</t>
        </is>
      </c>
      <c r="W254" s="24">
        <f>IFERROR(VLOOKUP(V254,Assumptions!$A$7:$F$11,2,FALSE),0)</f>
        <v/>
      </c>
      <c r="X254" s="25">
        <f>IF(V254="A",MAX(1,IFERROR(VLOOKUP(V254,Assumptions!$A$7:$F$11,3,FALSE),3)+IFERROR(VLOOKUP(V254,Assumptions!$A$7:$F$11,4,FALSE),8)/2-MAX(0,IF(AO254="",0,YEAR(TODAY())-AO254)-IFERROR(VLOOKUP(V254,Assumptions!$A$7:$F$11,5,FALSE),1.5))),IFERROR(VLOOKUP(V254,Assumptions!$A$7:$F$11,5,FALSE),2.5)+IFERROR(VLOOKUP(V254,Assumptions!$A$7:$F$11,3,FALSE),3)+IFERROR(VLOOKUP(V254,Assumptions!$A$7:$F$11,4,FALSE),8)/2)</f>
        <v/>
      </c>
      <c r="Y254" s="22">
        <f>U254*W254/(1+Assumptions!$B$3)^X254</f>
        <v/>
      </c>
      <c r="Z254" s="26">
        <f>IF(U254=0,"",ROUND(Y254/U254*100,1))</f>
        <v/>
      </c>
      <c r="AA254" s="27">
        <f>Y254*Assumptions!$B$4</f>
        <v/>
      </c>
      <c r="AB254" s="26">
        <f>IF(U254=0,"",ROUND(AA254/U254*100,1))</f>
        <v/>
      </c>
      <c r="AC254" s="27">
        <f>Y254-AA254</f>
        <v/>
      </c>
      <c r="AD254" s="26">
        <f>IF(U254=0,"",ROUND((Y254-AA254)/U254*100,1))</f>
        <v/>
      </c>
      <c r="AE254" s="34" t="inlineStr">
        <is>
          <t>PARTIAL — class III reconciled, other classes not</t>
        </is>
      </c>
      <c r="AF254" s="29" t="inlineStr">
        <is>
          <t>https://lrflideres.com.br/wp-content/plugins/download-attachments/includes/download.php?id=4023</t>
        </is>
      </c>
      <c r="AG254" s="28" t="inlineStr">
        <is>
          <t>p7 r74; p9 r57</t>
        </is>
      </c>
      <c r="AH254" s="28" t="inlineStr">
        <is>
          <t>p7: R$ 435.826,90; p9: R$ 64.876,54</t>
        </is>
      </c>
      <c r="AI254" s="28" t="inlineStr">
        <is>
          <t>Debtor list (art. 51)</t>
        </is>
      </c>
      <c r="AJ254" s="28" t="inlineStr"/>
      <c r="AK254" s="28" t="inlineStr">
        <is>
          <t>NONE FOUND</t>
        </is>
      </c>
      <c r="AL254" s="30" t="inlineStr">
        <is>
          <t>0002484-82.2022.8.17.2001</t>
        </is>
      </c>
      <c r="AM254" s="30" t="inlineStr">
        <is>
          <t>TJPE</t>
        </is>
      </c>
      <c r="AN254" s="30" t="inlineStr">
        <is>
          <t>ACTIVE</t>
        </is>
      </c>
      <c r="AO254" s="30" t="n">
        <v>2022</v>
      </c>
      <c r="AP254" s="30" t="inlineStr">
        <is>
          <t>live case, no plan document yet</t>
        </is>
      </c>
      <c r="AQ254" s="30" t="inlineStr"/>
      <c r="AR254" s="30" t="inlineStr">
        <is>
          <t>printed on the list (read twice)</t>
        </is>
      </c>
      <c r="AS254" s="30" t="inlineStr">
        <is>
          <t>ARAQUARI</t>
        </is>
      </c>
      <c r="AT254" s="30" t="inlineStr">
        <is>
          <t>SC</t>
        </is>
      </c>
      <c r="AU254" s="30" t="inlineStr">
        <is>
          <t>Comércio atacadista de artigos do vestuário e acessórios, exceto profissionais e de segurança</t>
        </is>
      </c>
      <c r="AV254" s="30" t="inlineStr">
        <is>
          <t>DEMAIS</t>
        </is>
      </c>
      <c r="AW254" s="31" t="n">
        <v>500000</v>
      </c>
      <c r="AX254" s="30" t="inlineStr">
        <is>
          <t>MID-MARKET</t>
        </is>
      </c>
      <c r="AY254" s="30" t="inlineStr">
        <is>
          <t>12554601</t>
        </is>
      </c>
      <c r="AZ254" s="30" t="n">
        <v>2</v>
      </c>
      <c r="BA254" s="30" t="inlineStr">
        <is>
          <t>PARTIAL_DOC_CLASS_III_RECONCILED ROWS:p7r74,p9r57</t>
        </is>
      </c>
    </row>
    <row r="255">
      <c r="A255" s="16" t="inlineStr">
        <is>
          <t>CRISTAL ALIMENTOS LTDA</t>
        </is>
      </c>
      <c r="B255" s="17" t="n">
        <v>268352.18</v>
      </c>
      <c r="C255" s="18" t="inlineStr">
        <is>
          <t>GRUPO 3E</t>
        </is>
      </c>
      <c r="D255" s="19" t="inlineStr">
        <is>
          <t>NEW</t>
        </is>
      </c>
      <c r="E255" s="20" t="inlineStr"/>
      <c r="F255" s="19" t="inlineStr"/>
      <c r="G255" s="20" t="inlineStr"/>
      <c r="H255" s="19" t="inlineStr"/>
      <c r="I255" s="21" t="inlineStr">
        <is>
          <t>Renato Almeida</t>
        </is>
      </c>
      <c r="J255" s="21" t="inlineStr">
        <is>
          <t>Controller</t>
        </is>
      </c>
      <c r="K255" s="21" t="inlineStr">
        <is>
          <t>(62) 3226-9064</t>
        </is>
      </c>
      <c r="L255" s="21" t="inlineStr">
        <is>
          <t>(62) 3226-9000</t>
        </is>
      </c>
      <c r="M255" s="21" t="inlineStr"/>
      <c r="N255" s="21" t="inlineStr"/>
      <c r="O255" s="21" t="inlineStr"/>
      <c r="P255" s="21" t="inlineStr">
        <is>
          <t>Keila Morais</t>
        </is>
      </c>
      <c r="Q255" s="21" t="inlineStr">
        <is>
          <t>Financial Analyst</t>
        </is>
      </c>
      <c r="R255" s="21" t="inlineStr"/>
      <c r="S255" s="21" t="inlineStr"/>
      <c r="T255" s="21" t="inlineStr">
        <is>
          <t>no work email found in Apollo</t>
        </is>
      </c>
      <c r="U255" s="22" t="n">
        <v>268352.18</v>
      </c>
      <c r="V255" s="35" t="inlineStr">
        <is>
          <t>A</t>
        </is>
      </c>
      <c r="W255" s="24">
        <f>IFERROR(VLOOKUP(V255,Assumptions!$A$7:$F$11,2,FALSE),0)</f>
        <v/>
      </c>
      <c r="X255" s="25">
        <f>IF(V255="A",MAX(1,IFERROR(VLOOKUP(V255,Assumptions!$A$7:$F$11,3,FALSE),3)+IFERROR(VLOOKUP(V255,Assumptions!$A$7:$F$11,4,FALSE),8)/2-MAX(0,IF(AO255="",0,YEAR(TODAY())-AO255)-IFERROR(VLOOKUP(V255,Assumptions!$A$7:$F$11,5,FALSE),1.5))),IFERROR(VLOOKUP(V255,Assumptions!$A$7:$F$11,5,FALSE),2.5)+IFERROR(VLOOKUP(V255,Assumptions!$A$7:$F$11,3,FALSE),3)+IFERROR(VLOOKUP(V255,Assumptions!$A$7:$F$11,4,FALSE),8)/2)</f>
        <v/>
      </c>
      <c r="Y255" s="22">
        <f>U255*W255/(1+Assumptions!$B$3)^X255</f>
        <v/>
      </c>
      <c r="Z255" s="26">
        <f>IF(U255=0,"",ROUND(Y255/U255*100,1))</f>
        <v/>
      </c>
      <c r="AA255" s="27">
        <f>Y255*Assumptions!$B$4</f>
        <v/>
      </c>
      <c r="AB255" s="26">
        <f>IF(U255=0,"",ROUND(AA255/U255*100,1))</f>
        <v/>
      </c>
      <c r="AC255" s="27">
        <f>Y255-AA255</f>
        <v/>
      </c>
      <c r="AD255" s="26">
        <f>IF(U255=0,"",ROUND((Y255-AA255)/U255*100,1))</f>
        <v/>
      </c>
      <c r="AE255" s="33" t="inlineStr">
        <is>
          <t>NO TOTALS — list prints none; check page</t>
        </is>
      </c>
      <c r="AF255" s="29" t="inlineStr">
        <is>
          <t>https://stenius.com.br/wp-content/uploads/2026/06/EDITAL-GRUPO-3E.pdf</t>
        </is>
      </c>
      <c r="AG255" s="28" t="inlineStr">
        <is>
          <t>p12 r19</t>
        </is>
      </c>
      <c r="AH255" s="28" t="inlineStr">
        <is>
          <t>p12: R$ 268.352,18</t>
        </is>
      </c>
      <c r="AI255" s="28" t="inlineStr">
        <is>
          <t>Debtor list (art. 51)</t>
        </is>
      </c>
      <c r="AJ255" s="28" t="inlineStr">
        <is>
          <t>2026-06-22</t>
        </is>
      </c>
      <c r="AK255" s="28" t="inlineStr">
        <is>
          <t>PLAN DOC FOUND</t>
        </is>
      </c>
      <c r="AL255" s="30" t="inlineStr">
        <is>
          <t>5341375-33.2026.8.09.0049</t>
        </is>
      </c>
      <c r="AM255" s="30" t="inlineStr">
        <is>
          <t>TJGO</t>
        </is>
      </c>
      <c r="AN255" s="30" t="inlineStr">
        <is>
          <t>ACTIVE</t>
        </is>
      </c>
      <c r="AO255" s="30" t="n">
        <v>2026</v>
      </c>
      <c r="AP255" s="30" t="inlineStr">
        <is>
          <t>plan/homologation document found</t>
        </is>
      </c>
      <c r="AQ255" s="30" t="inlineStr"/>
      <c r="AR255" s="30" t="inlineStr">
        <is>
          <t>printed on the list (read twice)</t>
        </is>
      </c>
      <c r="AS255" s="30" t="inlineStr">
        <is>
          <t>APARECIDA DE GOIANIA</t>
        </is>
      </c>
      <c r="AT255" s="30" t="inlineStr">
        <is>
          <t>GO</t>
        </is>
      </c>
      <c r="AU255" s="30" t="inlineStr">
        <is>
          <t>Beneficiamento de arroz</t>
        </is>
      </c>
      <c r="AV255" s="30" t="inlineStr">
        <is>
          <t>DEMAIS</t>
        </is>
      </c>
      <c r="AW255" s="31" t="n">
        <v>800000</v>
      </c>
      <c r="AX255" s="30" t="inlineStr">
        <is>
          <t>MID-MARKET</t>
        </is>
      </c>
      <c r="AY255" s="30" t="inlineStr">
        <is>
          <t>02709992</t>
        </is>
      </c>
      <c r="AZ255" s="30" t="n">
        <v>1</v>
      </c>
      <c r="BA255" s="30" t="inlineStr">
        <is>
          <t>ROWS:p12r19 UNRECONCILED_SOURCE</t>
        </is>
      </c>
    </row>
    <row r="256">
      <c r="A256" s="16" t="inlineStr">
        <is>
          <t>GIANNINI S/A EM RECUPERACAO JUDICIAL</t>
        </is>
      </c>
      <c r="B256" s="17" t="n">
        <v>498422</v>
      </c>
      <c r="C256" s="18" t="inlineStr">
        <is>
          <t>GRUPO RIVER MUSIC</t>
        </is>
      </c>
      <c r="D256" s="19" t="inlineStr">
        <is>
          <t>NEW</t>
        </is>
      </c>
      <c r="E256" s="20" t="inlineStr"/>
      <c r="F256" s="19" t="inlineStr"/>
      <c r="G256" s="20" t="inlineStr"/>
      <c r="H256" s="19" t="inlineStr"/>
      <c r="I256" s="21" t="inlineStr">
        <is>
          <t>ROBERTO COEN GIANNINI</t>
        </is>
      </c>
      <c r="J256" s="21" t="inlineStr">
        <is>
          <t>Presidente (RFB partner)</t>
        </is>
      </c>
      <c r="K256" s="21" t="inlineStr">
        <is>
          <t>000000000000</t>
        </is>
      </c>
      <c r="L256" s="21" t="inlineStr"/>
      <c r="M256" s="21" t="inlineStr"/>
      <c r="N256" s="21" t="inlineStr"/>
      <c r="O256" s="21" t="inlineStr"/>
      <c r="P256" s="21" t="inlineStr">
        <is>
          <t>FLAVIO COEN GIANNINI</t>
        </is>
      </c>
      <c r="Q256" s="21" t="inlineStr">
        <is>
          <t>Diretor (RFB partner)</t>
        </is>
      </c>
      <c r="R256" s="21" t="inlineStr"/>
      <c r="S256" s="21" t="inlineStr"/>
      <c r="T256" s="21" t="inlineStr">
        <is>
          <t>RFB partner (QSA); no Apollo match</t>
        </is>
      </c>
      <c r="U256" s="22" t="n">
        <v>498422</v>
      </c>
      <c r="V256" s="23" t="inlineStr">
        <is>
          <t>B</t>
        </is>
      </c>
      <c r="W256" s="24">
        <f>IFERROR(VLOOKUP(V256,Assumptions!$A$7:$F$11,2,FALSE),0)</f>
        <v/>
      </c>
      <c r="X256" s="25">
        <f>IF(V256="A",MAX(1,IFERROR(VLOOKUP(V256,Assumptions!$A$7:$F$11,3,FALSE),3)+IFERROR(VLOOKUP(V256,Assumptions!$A$7:$F$11,4,FALSE),8)/2-MAX(0,IF(AO256="",0,YEAR(TODAY())-AO256)-IFERROR(VLOOKUP(V256,Assumptions!$A$7:$F$11,5,FALSE),1.5))),IFERROR(VLOOKUP(V256,Assumptions!$A$7:$F$11,5,FALSE),2.5)+IFERROR(VLOOKUP(V256,Assumptions!$A$7:$F$11,3,FALSE),3)+IFERROR(VLOOKUP(V256,Assumptions!$A$7:$F$11,4,FALSE),8)/2)</f>
        <v/>
      </c>
      <c r="Y256" s="22">
        <f>U256*W256/(1+Assumptions!$B$3)^X256</f>
        <v/>
      </c>
      <c r="Z256" s="26">
        <f>IF(U256=0,"",ROUND(Y256/U256*100,1))</f>
        <v/>
      </c>
      <c r="AA256" s="27">
        <f>Y256*Assumptions!$B$4</f>
        <v/>
      </c>
      <c r="AB256" s="26">
        <f>IF(U256=0,"",ROUND(AA256/U256*100,1))</f>
        <v/>
      </c>
      <c r="AC256" s="27">
        <f>Y256-AA256</f>
        <v/>
      </c>
      <c r="AD256" s="26">
        <f>IF(U256=0,"",ROUND((Y256-AA256)/U256*100,1))</f>
        <v/>
      </c>
      <c r="AE256" s="33" t="inlineStr">
        <is>
          <t>NO TOTALS — list prints none; check page</t>
        </is>
      </c>
      <c r="AF256" s="29" t="inlineStr">
        <is>
          <t>https://ativosajce.com.br/admin/download.php?file=files/processo_documento/processo_documento18543908052025_1_.pdf&amp;nome=Relação de Credores - art. 52, §1º da Lei 11.101/05 - 27/01/2025</t>
        </is>
      </c>
      <c r="AG256" s="28" t="inlineStr">
        <is>
          <t>p3 r18</t>
        </is>
      </c>
      <c r="AH256" s="28" t="inlineStr">
        <is>
          <t>p3: R$ 498.422,00</t>
        </is>
      </c>
      <c r="AI256" s="28" t="inlineStr">
        <is>
          <t>Unclassified list</t>
        </is>
      </c>
      <c r="AJ256" s="28" t="inlineStr"/>
      <c r="AK256" s="28" t="inlineStr">
        <is>
          <t>NONE FOUND</t>
        </is>
      </c>
      <c r="AL256" s="30" t="inlineStr">
        <is>
          <t>1001174-80.2024.8.26.0359</t>
        </is>
      </c>
      <c r="AM256" s="30" t="inlineStr">
        <is>
          <t>TJSP</t>
        </is>
      </c>
      <c r="AN256" s="30" t="inlineStr">
        <is>
          <t>ACTIVE</t>
        </is>
      </c>
      <c r="AO256" s="30" t="n">
        <v>2024</v>
      </c>
      <c r="AP256" s="30" t="inlineStr">
        <is>
          <t>live case, no plan document yet</t>
        </is>
      </c>
      <c r="AQ256" s="30" t="inlineStr">
        <is>
          <t>14.469.612/0001-32</t>
        </is>
      </c>
      <c r="AR256" s="30" t="inlineStr">
        <is>
          <t>printed on the list (read twice)</t>
        </is>
      </c>
      <c r="AS256" s="30" t="inlineStr">
        <is>
          <t>SALTO</t>
        </is>
      </c>
      <c r="AT256" s="30" t="inlineStr">
        <is>
          <t>SP</t>
        </is>
      </c>
      <c r="AU256" s="30" t="inlineStr">
        <is>
          <t>Fabricação de instrumentos musicais, peças e acessórios</t>
        </is>
      </c>
      <c r="AV256" s="30" t="inlineStr">
        <is>
          <t>DEMAIS</t>
        </is>
      </c>
      <c r="AW256" s="31" t="inlineStr"/>
      <c r="AX256" s="30" t="inlineStr">
        <is>
          <t>MID-MARKET</t>
        </is>
      </c>
      <c r="AY256" s="30" t="inlineStr">
        <is>
          <t>61196119</t>
        </is>
      </c>
      <c r="AZ256" s="30" t="n">
        <v>1</v>
      </c>
      <c r="BA256" s="30" t="inlineStr">
        <is>
          <t>ROWS:p3r18 UNRECONCILED_SOURCE VALUE_COL:Valor_Do_Créidto</t>
        </is>
      </c>
    </row>
    <row r="257">
      <c r="A257" s="16" t="inlineStr">
        <is>
          <t>GUAIANAS - TRANSPORTES, MINERACAO, TRATAMENTO E REFINO DE OLEO LTDA</t>
        </is>
      </c>
      <c r="B257" s="17" t="n">
        <v>498000</v>
      </c>
      <c r="C257" s="18" t="inlineStr">
        <is>
          <t>Grupo Agromeal</t>
        </is>
      </c>
      <c r="D257" s="19" t="inlineStr">
        <is>
          <t>NEW</t>
        </is>
      </c>
      <c r="E257" s="20" t="inlineStr"/>
      <c r="F257" s="19" t="inlineStr"/>
      <c r="G257" s="20" t="inlineStr"/>
      <c r="H257" s="19" t="inlineStr"/>
      <c r="I257" s="21" t="inlineStr">
        <is>
          <t>MARIA LUCIA BRAMBILLA SAMBINI</t>
        </is>
      </c>
      <c r="J257" s="21" t="inlineStr">
        <is>
          <t>Administrador (RFB partner)</t>
        </is>
      </c>
      <c r="K257" s="21" t="inlineStr">
        <is>
          <t>(44) 3252-2688</t>
        </is>
      </c>
      <c r="L257" s="21" t="inlineStr"/>
      <c r="M257" s="21" t="inlineStr"/>
      <c r="N257" s="21" t="inlineStr"/>
      <c r="O257" s="21" t="inlineStr"/>
      <c r="P257" s="21" t="inlineStr"/>
      <c r="Q257" s="21" t="inlineStr"/>
      <c r="R257" s="21" t="inlineStr"/>
      <c r="S257" s="21" t="inlineStr"/>
      <c r="T257" s="21" t="inlineStr">
        <is>
          <t>RFB partner (QSA); no Apollo match</t>
        </is>
      </c>
      <c r="U257" s="22" t="n">
        <v>498000</v>
      </c>
      <c r="V257" s="23" t="inlineStr">
        <is>
          <t>B</t>
        </is>
      </c>
      <c r="W257" s="24">
        <f>IFERROR(VLOOKUP(V257,Assumptions!$A$7:$F$11,2,FALSE),0)</f>
        <v/>
      </c>
      <c r="X257" s="25">
        <f>IF(V257="A",MAX(1,IFERROR(VLOOKUP(V257,Assumptions!$A$7:$F$11,3,FALSE),3)+IFERROR(VLOOKUP(V257,Assumptions!$A$7:$F$11,4,FALSE),8)/2-MAX(0,IF(AO257="",0,YEAR(TODAY())-AO257)-IFERROR(VLOOKUP(V257,Assumptions!$A$7:$F$11,5,FALSE),1.5))),IFERROR(VLOOKUP(V257,Assumptions!$A$7:$F$11,5,FALSE),2.5)+IFERROR(VLOOKUP(V257,Assumptions!$A$7:$F$11,3,FALSE),3)+IFERROR(VLOOKUP(V257,Assumptions!$A$7:$F$11,4,FALSE),8)/2)</f>
        <v/>
      </c>
      <c r="Y257" s="22">
        <f>U257*W257/(1+Assumptions!$B$3)^X257</f>
        <v/>
      </c>
      <c r="Z257" s="26">
        <f>IF(U257=0,"",ROUND(Y257/U257*100,1))</f>
        <v/>
      </c>
      <c r="AA257" s="27">
        <f>Y257*Assumptions!$B$4</f>
        <v/>
      </c>
      <c r="AB257" s="26">
        <f>IF(U257=0,"",ROUND(AA257/U257*100,1))</f>
        <v/>
      </c>
      <c r="AC257" s="27">
        <f>Y257-AA257</f>
        <v/>
      </c>
      <c r="AD257" s="26">
        <f>IF(U257=0,"",ROUND((Y257-AA257)/U257*100,1))</f>
        <v/>
      </c>
      <c r="AE257" s="34" t="inlineStr">
        <is>
          <t>PARTIAL — class III reconciled, other classes not</t>
        </is>
      </c>
      <c r="AF257" s="29" t="inlineStr">
        <is>
          <t>https://marquesadmjudicial.com.br/sgc/download.php?file=files/processo_documento/processo_documento17040729052024_1_.pdf&amp;nome=Relação Nominal de Credores AJ-Sintética</t>
        </is>
      </c>
      <c r="AG257" s="28" t="inlineStr">
        <is>
          <t>p11 r15</t>
        </is>
      </c>
      <c r="AH257" s="28" t="inlineStr">
        <is>
          <t>p11: R$ 498.000,00</t>
        </is>
      </c>
      <c r="AI257" s="28" t="inlineStr">
        <is>
          <t>AJ list (art. 7 §2)</t>
        </is>
      </c>
      <c r="AJ257" s="28" t="inlineStr">
        <is>
          <t>2024-05-27</t>
        </is>
      </c>
      <c r="AK257" s="28" t="inlineStr">
        <is>
          <t>NONE FOUND</t>
        </is>
      </c>
      <c r="AL257" s="30" t="inlineStr">
        <is>
          <t>0003971-03.2023.8.16.0119</t>
        </is>
      </c>
      <c r="AM257" s="30" t="inlineStr">
        <is>
          <t>TJPR</t>
        </is>
      </c>
      <c r="AN257" s="30" t="inlineStr">
        <is>
          <t>ACTIVE</t>
        </is>
      </c>
      <c r="AO257" s="30" t="n">
        <v>2023</v>
      </c>
      <c r="AP257" s="30" t="inlineStr">
        <is>
          <t>live case, no plan document yet</t>
        </is>
      </c>
      <c r="AQ257" s="30" t="inlineStr">
        <is>
          <t>11.624.776/0001-07</t>
        </is>
      </c>
      <c r="AR257" s="30" t="inlineStr">
        <is>
          <t>printed on the list (read twice)</t>
        </is>
      </c>
      <c r="AS257" s="30" t="inlineStr">
        <is>
          <t>NOVA ESPERANCA</t>
        </is>
      </c>
      <c r="AT257" s="30" t="inlineStr">
        <is>
          <t>PR</t>
        </is>
      </c>
      <c r="AU257" s="30" t="inlineStr">
        <is>
          <t>Transporte rodoviário de carga, exceto produtos perigosos e mudanças, intermunicipal, interestadual e internacional</t>
        </is>
      </c>
      <c r="AV257" s="30" t="inlineStr">
        <is>
          <t>DEMAIS</t>
        </is>
      </c>
      <c r="AW257" s="31" t="n">
        <v>67000</v>
      </c>
      <c r="AX257" s="30" t="inlineStr">
        <is>
          <t>MID-MARKET</t>
        </is>
      </c>
      <c r="AY257" s="30" t="inlineStr">
        <is>
          <t>00327501</t>
        </is>
      </c>
      <c r="AZ257" s="30" t="n">
        <v>1</v>
      </c>
      <c r="BA257" s="30" t="inlineStr">
        <is>
          <t>PARTIAL_DOC_CLASS_III_RECONCILED ROWS:p11r15</t>
        </is>
      </c>
    </row>
    <row r="258">
      <c r="A258" s="16" t="inlineStr">
        <is>
          <t>HNK BR INDUSTRIA DE BEBIDAS LTDA.</t>
        </is>
      </c>
      <c r="B258" s="17" t="n">
        <v>263157.28</v>
      </c>
      <c r="C258" s="18" t="inlineStr">
        <is>
          <t>GRUPO 3E</t>
        </is>
      </c>
      <c r="D258" s="19" t="inlineStr">
        <is>
          <t>NEW</t>
        </is>
      </c>
      <c r="E258" s="20" t="inlineStr"/>
      <c r="F258" s="19" t="inlineStr"/>
      <c r="G258" s="20" t="inlineStr"/>
      <c r="H258" s="19" t="inlineStr"/>
      <c r="I258" s="21" t="inlineStr">
        <is>
          <t>Amanda Vieira</t>
        </is>
      </c>
      <c r="J258" s="21" t="inlineStr">
        <is>
          <t>Coordenador de Contas a Receber</t>
        </is>
      </c>
      <c r="K258" s="21" t="inlineStr">
        <is>
          <t>(11) 2118-9500</t>
        </is>
      </c>
      <c r="L258" s="21" t="inlineStr"/>
      <c r="M258" s="21" t="inlineStr"/>
      <c r="N258" s="21" t="inlineStr">
        <is>
          <t>amanda.vieira@heineken.com</t>
        </is>
      </c>
      <c r="O258" s="21" t="inlineStr">
        <is>
          <t>marcio.fernandes@heineken.com</t>
        </is>
      </c>
      <c r="P258" s="21" t="inlineStr">
        <is>
          <t>Marcio Fernandes</t>
        </is>
      </c>
      <c r="Q258" s="21" t="inlineStr">
        <is>
          <t>Finance Director</t>
        </is>
      </c>
      <c r="R258" s="21" t="inlineStr"/>
      <c r="S258" s="21" t="inlineStr">
        <is>
          <t>marcio.fernandes@heineken.com</t>
        </is>
      </c>
      <c r="T258" s="21" t="inlineStr">
        <is>
          <t>email is pattern-guessed, not verified</t>
        </is>
      </c>
      <c r="U258" s="22" t="n">
        <v>263157.28</v>
      </c>
      <c r="V258" s="35" t="inlineStr">
        <is>
          <t>A</t>
        </is>
      </c>
      <c r="W258" s="24">
        <f>IFERROR(VLOOKUP(V258,Assumptions!$A$7:$F$11,2,FALSE),0)</f>
        <v/>
      </c>
      <c r="X258" s="25">
        <f>IF(V258="A",MAX(1,IFERROR(VLOOKUP(V258,Assumptions!$A$7:$F$11,3,FALSE),3)+IFERROR(VLOOKUP(V258,Assumptions!$A$7:$F$11,4,FALSE),8)/2-MAX(0,IF(AO258="",0,YEAR(TODAY())-AO258)-IFERROR(VLOOKUP(V258,Assumptions!$A$7:$F$11,5,FALSE),1.5))),IFERROR(VLOOKUP(V258,Assumptions!$A$7:$F$11,5,FALSE),2.5)+IFERROR(VLOOKUP(V258,Assumptions!$A$7:$F$11,3,FALSE),3)+IFERROR(VLOOKUP(V258,Assumptions!$A$7:$F$11,4,FALSE),8)/2)</f>
        <v/>
      </c>
      <c r="Y258" s="22">
        <f>U258*W258/(1+Assumptions!$B$3)^X258</f>
        <v/>
      </c>
      <c r="Z258" s="26">
        <f>IF(U258=0,"",ROUND(Y258/U258*100,1))</f>
        <v/>
      </c>
      <c r="AA258" s="27">
        <f>Y258*Assumptions!$B$4</f>
        <v/>
      </c>
      <c r="AB258" s="26">
        <f>IF(U258=0,"",ROUND(AA258/U258*100,1))</f>
        <v/>
      </c>
      <c r="AC258" s="27">
        <f>Y258-AA258</f>
        <v/>
      </c>
      <c r="AD258" s="26">
        <f>IF(U258=0,"",ROUND((Y258-AA258)/U258*100,1))</f>
        <v/>
      </c>
      <c r="AE258" s="33" t="inlineStr">
        <is>
          <t>NO TOTALS — list prints none; check page</t>
        </is>
      </c>
      <c r="AF258" s="29" t="inlineStr">
        <is>
          <t>https://stenius.com.br/wp-content/uploads/2026/06/EDITAL-GRUPO-3E.pdf</t>
        </is>
      </c>
      <c r="AG258" s="28" t="inlineStr">
        <is>
          <t>p14 r35</t>
        </is>
      </c>
      <c r="AH258" s="28" t="inlineStr">
        <is>
          <t>p14: R$ 263.157,28</t>
        </is>
      </c>
      <c r="AI258" s="28" t="inlineStr">
        <is>
          <t>Debtor list (art. 51)</t>
        </is>
      </c>
      <c r="AJ258" s="28" t="inlineStr">
        <is>
          <t>2026-06-22</t>
        </is>
      </c>
      <c r="AK258" s="28" t="inlineStr">
        <is>
          <t>PLAN DOC FOUND</t>
        </is>
      </c>
      <c r="AL258" s="30" t="inlineStr">
        <is>
          <t>5341375-33.2026.8.09.0049</t>
        </is>
      </c>
      <c r="AM258" s="30" t="inlineStr">
        <is>
          <t>TJGO</t>
        </is>
      </c>
      <c r="AN258" s="30" t="inlineStr">
        <is>
          <t>ACTIVE</t>
        </is>
      </c>
      <c r="AO258" s="30" t="n">
        <v>2026</v>
      </c>
      <c r="AP258" s="30" t="inlineStr">
        <is>
          <t>plan/homologation document found</t>
        </is>
      </c>
      <c r="AQ258" s="30" t="inlineStr"/>
      <c r="AR258" s="30" t="inlineStr">
        <is>
          <t>printed on the list (read twice)</t>
        </is>
      </c>
      <c r="AS258" s="30" t="inlineStr">
        <is>
          <t>ITU</t>
        </is>
      </c>
      <c r="AT258" s="30" t="inlineStr">
        <is>
          <t>SP</t>
        </is>
      </c>
      <c r="AU258" s="30" t="inlineStr">
        <is>
          <t>Fabricação de cervejas e chopes</t>
        </is>
      </c>
      <c r="AV258" s="30" t="inlineStr">
        <is>
          <t>DEMAIS</t>
        </is>
      </c>
      <c r="AW258" s="31" t="n">
        <v>6017633000</v>
      </c>
      <c r="AX258" s="30" t="inlineStr">
        <is>
          <t>LARGE CORP</t>
        </is>
      </c>
      <c r="AY258" s="30" t="inlineStr">
        <is>
          <t>50221019</t>
        </is>
      </c>
      <c r="AZ258" s="30" t="n">
        <v>1</v>
      </c>
      <c r="BA258" s="30" t="inlineStr">
        <is>
          <t>ROWS:p14r35 UNRECONCILED_SOURCE</t>
        </is>
      </c>
    </row>
    <row r="259">
      <c r="A259" s="16" t="inlineStr">
        <is>
          <t>GREEN PLACE COMERCIO E DISTRIBUICAO LTDA</t>
        </is>
      </c>
      <c r="B259" s="17" t="n">
        <v>488225</v>
      </c>
      <c r="C259" s="37" t="inlineStr">
        <is>
          <t>(debtor not identified — see proof)</t>
        </is>
      </c>
      <c r="D259" s="19" t="inlineStr">
        <is>
          <t>NEW</t>
        </is>
      </c>
      <c r="E259" s="20" t="inlineStr"/>
      <c r="F259" s="19" t="inlineStr"/>
      <c r="G259" s="20" t="inlineStr"/>
      <c r="H259" s="19" t="inlineStr"/>
      <c r="I259" s="21" t="inlineStr">
        <is>
          <t>MARCELO PERES</t>
        </is>
      </c>
      <c r="J259" s="21" t="inlineStr">
        <is>
          <t>Administrador (RFB partner)</t>
        </is>
      </c>
      <c r="K259" s="21" t="inlineStr">
        <is>
          <t>(11) 2372-2376</t>
        </is>
      </c>
      <c r="L259" s="21" t="inlineStr"/>
      <c r="M259" s="21" t="inlineStr"/>
      <c r="N259" s="21" t="inlineStr"/>
      <c r="O259" s="21" t="inlineStr"/>
      <c r="P259" s="21" t="inlineStr"/>
      <c r="Q259" s="21" t="inlineStr"/>
      <c r="R259" s="21" t="inlineStr"/>
      <c r="S259" s="21" t="inlineStr"/>
      <c r="T259" s="21" t="inlineStr">
        <is>
          <t>RFB partner (QSA); no Apollo match</t>
        </is>
      </c>
      <c r="U259" s="22" t="n">
        <v>488225</v>
      </c>
      <c r="V259" s="23" t="inlineStr">
        <is>
          <t>B</t>
        </is>
      </c>
      <c r="W259" s="24">
        <f>IFERROR(VLOOKUP(V259,Assumptions!$A$7:$F$11,2,FALSE),0)</f>
        <v/>
      </c>
      <c r="X259" s="25">
        <f>IF(V259="A",MAX(1,IFERROR(VLOOKUP(V259,Assumptions!$A$7:$F$11,3,FALSE),3)+IFERROR(VLOOKUP(V259,Assumptions!$A$7:$F$11,4,FALSE),8)/2-MAX(0,IF(AO259="",0,YEAR(TODAY())-AO259)-IFERROR(VLOOKUP(V259,Assumptions!$A$7:$F$11,5,FALSE),1.5))),IFERROR(VLOOKUP(V259,Assumptions!$A$7:$F$11,5,FALSE),2.5)+IFERROR(VLOOKUP(V259,Assumptions!$A$7:$F$11,3,FALSE),3)+IFERROR(VLOOKUP(V259,Assumptions!$A$7:$F$11,4,FALSE),8)/2)</f>
        <v/>
      </c>
      <c r="Y259" s="22">
        <f>U259*W259/(1+Assumptions!$B$3)^X259</f>
        <v/>
      </c>
      <c r="Z259" s="26">
        <f>IF(U259=0,"",ROUND(Y259/U259*100,1))</f>
        <v/>
      </c>
      <c r="AA259" s="27">
        <f>Y259*Assumptions!$B$4</f>
        <v/>
      </c>
      <c r="AB259" s="26">
        <f>IF(U259=0,"",ROUND(AA259/U259*100,1))</f>
        <v/>
      </c>
      <c r="AC259" s="27">
        <f>Y259-AA259</f>
        <v/>
      </c>
      <c r="AD259" s="26">
        <f>IF(U259=0,"",ROUND((Y259-AA259)/U259*100,1))</f>
        <v/>
      </c>
      <c r="AE259" s="33" t="inlineStr">
        <is>
          <t>NO TOTALS — list prints none; check page</t>
        </is>
      </c>
      <c r="AF259" s="29" t="inlineStr">
        <is>
          <t>https://scalzilliaj.com.br/sgc/download.php?file=files/processo_documento/processo_documento11421222052026_1_.pdf&amp;nome=08. Lista de credores do edital do art. 52, §1º da LREF</t>
        </is>
      </c>
      <c r="AG259" s="28" t="inlineStr">
        <is>
          <t>p4 r7</t>
        </is>
      </c>
      <c r="AH259" s="28" t="inlineStr">
        <is>
          <t>p4: R$ 488.225,00</t>
        </is>
      </c>
      <c r="AI259" s="28" t="inlineStr">
        <is>
          <t>Unclassified list</t>
        </is>
      </c>
      <c r="AJ259" s="28" t="inlineStr"/>
      <c r="AK259" s="28" t="inlineStr">
        <is>
          <t>NONE FOUND</t>
        </is>
      </c>
      <c r="AL259" s="30" t="inlineStr">
        <is>
          <t>5011369-81.2026.8.09.0093</t>
        </is>
      </c>
      <c r="AM259" s="30" t="inlineStr">
        <is>
          <t>TJGO</t>
        </is>
      </c>
      <c r="AN259" s="30" t="inlineStr">
        <is>
          <t>ACTIVE</t>
        </is>
      </c>
      <c r="AO259" s="30" t="n">
        <v>2026</v>
      </c>
      <c r="AP259" s="30" t="inlineStr">
        <is>
          <t>live case, no plan document yet</t>
        </is>
      </c>
      <c r="AQ259" s="30" t="inlineStr"/>
      <c r="AR259" s="30" t="inlineStr">
        <is>
          <t>not identified</t>
        </is>
      </c>
      <c r="AS259" s="30" t="inlineStr">
        <is>
          <t>SAO PAULO</t>
        </is>
      </c>
      <c r="AT259" s="30" t="inlineStr">
        <is>
          <t>SP</t>
        </is>
      </c>
      <c r="AU259" s="30" t="inlineStr">
        <is>
          <t>Comércio atacadista de defensivos agrícolas, adubos, fertilizantes e corretivos do solo</t>
        </is>
      </c>
      <c r="AV259" s="30" t="inlineStr">
        <is>
          <t>DEMAIS</t>
        </is>
      </c>
      <c r="AW259" s="31" t="n">
        <v>500000</v>
      </c>
      <c r="AX259" s="30" t="inlineStr">
        <is>
          <t>MID-MARKET</t>
        </is>
      </c>
      <c r="AY259" s="30" t="inlineStr">
        <is>
          <t>26401815</t>
        </is>
      </c>
      <c r="AZ259" s="30" t="n">
        <v>1</v>
      </c>
      <c r="BA259" s="30" t="inlineStr">
        <is>
          <t>ROWS:p4r7 UNRECONCILED_SOURCE</t>
        </is>
      </c>
    </row>
    <row r="260">
      <c r="A260" s="16" t="inlineStr">
        <is>
          <t>GOIASMINAS INDUSTRIA DE LATICINIOS LTDA</t>
        </is>
      </c>
      <c r="B260" s="17" t="n">
        <v>261853.71</v>
      </c>
      <c r="C260" s="18" t="inlineStr">
        <is>
          <t>GRUPO 3E</t>
        </is>
      </c>
      <c r="D260" s="19" t="inlineStr">
        <is>
          <t>NEW</t>
        </is>
      </c>
      <c r="E260" s="20" t="inlineStr"/>
      <c r="F260" s="19" t="inlineStr"/>
      <c r="G260" s="20" t="inlineStr"/>
      <c r="H260" s="19" t="inlineStr"/>
      <c r="I260" s="21" t="inlineStr">
        <is>
          <t>Agnaldo Alves</t>
        </is>
      </c>
      <c r="J260" s="21" t="inlineStr">
        <is>
          <t>Gestor De Credito</t>
        </is>
      </c>
      <c r="K260" s="21" t="inlineStr">
        <is>
          <t>(64) 3447-7500</t>
        </is>
      </c>
      <c r="L260" s="21" t="inlineStr"/>
      <c r="M260" s="21" t="inlineStr"/>
      <c r="N260" s="21" t="inlineStr">
        <is>
          <t>agnaldo.alves@italac.com.br</t>
        </is>
      </c>
      <c r="O260" s="21" t="inlineStr"/>
      <c r="P260" s="21" t="inlineStr">
        <is>
          <t>Antonio Simeli</t>
        </is>
      </c>
      <c r="Q260" s="21" t="inlineStr">
        <is>
          <t>Coordenador de Contas a Receber</t>
        </is>
      </c>
      <c r="R260" s="21" t="inlineStr"/>
      <c r="S260" s="21" t="inlineStr"/>
      <c r="T260" s="21" t="inlineStr">
        <is>
          <t>email verified by Apollo</t>
        </is>
      </c>
      <c r="U260" s="22" t="n">
        <v>261853.71</v>
      </c>
      <c r="V260" s="35" t="inlineStr">
        <is>
          <t>A</t>
        </is>
      </c>
      <c r="W260" s="24">
        <f>IFERROR(VLOOKUP(V260,Assumptions!$A$7:$F$11,2,FALSE),0)</f>
        <v/>
      </c>
      <c r="X260" s="25">
        <f>IF(V260="A",MAX(1,IFERROR(VLOOKUP(V260,Assumptions!$A$7:$F$11,3,FALSE),3)+IFERROR(VLOOKUP(V260,Assumptions!$A$7:$F$11,4,FALSE),8)/2-MAX(0,IF(AO260="",0,YEAR(TODAY())-AO260)-IFERROR(VLOOKUP(V260,Assumptions!$A$7:$F$11,5,FALSE),1.5))),IFERROR(VLOOKUP(V260,Assumptions!$A$7:$F$11,5,FALSE),2.5)+IFERROR(VLOOKUP(V260,Assumptions!$A$7:$F$11,3,FALSE),3)+IFERROR(VLOOKUP(V260,Assumptions!$A$7:$F$11,4,FALSE),8)/2)</f>
        <v/>
      </c>
      <c r="Y260" s="22">
        <f>U260*W260/(1+Assumptions!$B$3)^X260</f>
        <v/>
      </c>
      <c r="Z260" s="26">
        <f>IF(U260=0,"",ROUND(Y260/U260*100,1))</f>
        <v/>
      </c>
      <c r="AA260" s="27">
        <f>Y260*Assumptions!$B$4</f>
        <v/>
      </c>
      <c r="AB260" s="26">
        <f>IF(U260=0,"",ROUND(AA260/U260*100,1))</f>
        <v/>
      </c>
      <c r="AC260" s="27">
        <f>Y260-AA260</f>
        <v/>
      </c>
      <c r="AD260" s="26">
        <f>IF(U260=0,"",ROUND((Y260-AA260)/U260*100,1))</f>
        <v/>
      </c>
      <c r="AE260" s="33" t="inlineStr">
        <is>
          <t>NO TOTALS — list prints none; check page</t>
        </is>
      </c>
      <c r="AF260" s="29" t="inlineStr">
        <is>
          <t>https://stenius.com.br/wp-content/uploads/2026/06/EDITAL-GRUPO-3E.pdf</t>
        </is>
      </c>
      <c r="AG260" s="28" t="inlineStr">
        <is>
          <t>p14 r60; p14 r61</t>
        </is>
      </c>
      <c r="AH260" s="28" t="inlineStr">
        <is>
          <t>p14: R$ 13.821,53; p14: R$ 248.032,18</t>
        </is>
      </c>
      <c r="AI260" s="28" t="inlineStr">
        <is>
          <t>Debtor list (art. 51)</t>
        </is>
      </c>
      <c r="AJ260" s="28" t="inlineStr">
        <is>
          <t>2026-06-22</t>
        </is>
      </c>
      <c r="AK260" s="28" t="inlineStr">
        <is>
          <t>PLAN DOC FOUND</t>
        </is>
      </c>
      <c r="AL260" s="30" t="inlineStr">
        <is>
          <t>5341375-33.2026.8.09.0049</t>
        </is>
      </c>
      <c r="AM260" s="30" t="inlineStr">
        <is>
          <t>TJGO</t>
        </is>
      </c>
      <c r="AN260" s="30" t="inlineStr">
        <is>
          <t>ACTIVE</t>
        </is>
      </c>
      <c r="AO260" s="30" t="n">
        <v>2026</v>
      </c>
      <c r="AP260" s="30" t="inlineStr">
        <is>
          <t>plan/homologation document found</t>
        </is>
      </c>
      <c r="AQ260" s="30" t="inlineStr"/>
      <c r="AR260" s="30" t="inlineStr">
        <is>
          <t>printed on the list (read twice)</t>
        </is>
      </c>
      <c r="AS260" s="30" t="inlineStr">
        <is>
          <t>CORUMBAIBA</t>
        </is>
      </c>
      <c r="AT260" s="30" t="inlineStr">
        <is>
          <t>GO</t>
        </is>
      </c>
      <c r="AU260" s="30" t="inlineStr">
        <is>
          <t>Fabricação de laticínios</t>
        </is>
      </c>
      <c r="AV260" s="30" t="inlineStr">
        <is>
          <t>DEMAIS</t>
        </is>
      </c>
      <c r="AW260" s="31" t="n">
        <v>500000000</v>
      </c>
      <c r="AX260" s="30" t="inlineStr">
        <is>
          <t>MID-MARKET</t>
        </is>
      </c>
      <c r="AY260" s="30" t="inlineStr">
        <is>
          <t>01257995</t>
        </is>
      </c>
      <c r="AZ260" s="30" t="n">
        <v>2</v>
      </c>
      <c r="BA260" s="30" t="inlineStr">
        <is>
          <t>ROWS:p14r60,p14r61 UNRECONCILED_SOURCE</t>
        </is>
      </c>
    </row>
    <row r="261">
      <c r="A261" s="16" t="inlineStr">
        <is>
          <t>OLINDA INDUSTRIA E COMERCIO DE COLCHOES LTDA</t>
        </is>
      </c>
      <c r="B261" s="17" t="n">
        <v>1902217.38</v>
      </c>
      <c r="C261" s="18" t="inlineStr">
        <is>
          <t>CREDIMÓVEIS NOVOLAR LTDA.</t>
        </is>
      </c>
      <c r="D261" s="19" t="inlineStr">
        <is>
          <t>NEW</t>
        </is>
      </c>
      <c r="E261" s="20" t="inlineStr"/>
      <c r="F261" s="19" t="inlineStr"/>
      <c r="G261" s="20" t="inlineStr"/>
      <c r="H261" s="19" t="inlineStr"/>
      <c r="I261" s="21" t="inlineStr">
        <is>
          <t>ALEXANDRE MACEDO DIAS</t>
        </is>
      </c>
      <c r="J261" s="21" t="inlineStr">
        <is>
          <t>Administrador (RFB partner)</t>
        </is>
      </c>
      <c r="K261" s="21" t="inlineStr">
        <is>
          <t>(81) 2128-5000</t>
        </is>
      </c>
      <c r="L261" s="21" t="inlineStr"/>
      <c r="M261" s="21" t="inlineStr"/>
      <c r="N261" s="21" t="inlineStr"/>
      <c r="O261" s="21" t="inlineStr"/>
      <c r="P261" s="21" t="inlineStr">
        <is>
          <t>ERNESTO DIAS NETO</t>
        </is>
      </c>
      <c r="Q261" s="21" t="inlineStr">
        <is>
          <t>Administrador (RFB partner)</t>
        </is>
      </c>
      <c r="R261" s="21" t="inlineStr"/>
      <c r="S261" s="21" t="inlineStr"/>
      <c r="T261" s="21" t="inlineStr">
        <is>
          <t>RFB partner (QSA); no Apollo match</t>
        </is>
      </c>
      <c r="U261" s="22" t="n">
        <v>1902217.38</v>
      </c>
      <c r="V261" s="38" t="inlineStr">
        <is>
          <t>C</t>
        </is>
      </c>
      <c r="W261" s="24">
        <f>IFERROR(VLOOKUP(V261,Assumptions!$A$7:$F$11,2,FALSE),0)</f>
        <v/>
      </c>
      <c r="X261" s="25">
        <f>IF(V261="A",MAX(1,IFERROR(VLOOKUP(V261,Assumptions!$A$7:$F$11,3,FALSE),3)+IFERROR(VLOOKUP(V261,Assumptions!$A$7:$F$11,4,FALSE),8)/2-MAX(0,IF(AO261="",0,YEAR(TODAY())-AO261)-IFERROR(VLOOKUP(V261,Assumptions!$A$7:$F$11,5,FALSE),1.5))),IFERROR(VLOOKUP(V261,Assumptions!$A$7:$F$11,5,FALSE),2.5)+IFERROR(VLOOKUP(V261,Assumptions!$A$7:$F$11,3,FALSE),3)+IFERROR(VLOOKUP(V261,Assumptions!$A$7:$F$11,4,FALSE),8)/2)</f>
        <v/>
      </c>
      <c r="Y261" s="22">
        <f>U261*W261/(1+Assumptions!$B$3)^X261</f>
        <v/>
      </c>
      <c r="Z261" s="26">
        <f>IF(U261=0,"",ROUND(Y261/U261*100,1))</f>
        <v/>
      </c>
      <c r="AA261" s="27">
        <f>Y261*Assumptions!$B$4</f>
        <v/>
      </c>
      <c r="AB261" s="26">
        <f>IF(U261=0,"",ROUND(AA261/U261*100,1))</f>
        <v/>
      </c>
      <c r="AC261" s="27">
        <f>Y261-AA261</f>
        <v/>
      </c>
      <c r="AD261" s="26">
        <f>IF(U261=0,"",ROUND((Y261-AA261)/U261*100,1))</f>
        <v/>
      </c>
      <c r="AE261" s="28" t="inlineStr">
        <is>
          <t>OK — totals reconciled</t>
        </is>
      </c>
      <c r="AF261" s="29" t="inlineStr">
        <is>
          <t>https://recuperacaojudicial.squarespace.com/s/RJ-Credimoveis-QGC-01082025.pdf</t>
        </is>
      </c>
      <c r="AG261" s="28" t="inlineStr">
        <is>
          <t>p16 r36</t>
        </is>
      </c>
      <c r="AH261" s="28" t="inlineStr">
        <is>
          <t>p16: R$ 1.902.217,38</t>
        </is>
      </c>
      <c r="AI261" s="28" t="inlineStr">
        <is>
          <t>QGC (art. 18)</t>
        </is>
      </c>
      <c r="AJ261" s="28" t="inlineStr">
        <is>
          <t>2026-01-28</t>
        </is>
      </c>
      <c r="AK261" s="28" t="inlineStr">
        <is>
          <t>NONE FOUND</t>
        </is>
      </c>
      <c r="AL261" s="30" t="inlineStr">
        <is>
          <t>0007565-40.2020.8.17.2370</t>
        </is>
      </c>
      <c r="AM261" s="30" t="inlineStr">
        <is>
          <t>TJPE</t>
        </is>
      </c>
      <c r="AN261" s="30" t="inlineStr">
        <is>
          <t>ACTIVE</t>
        </is>
      </c>
      <c r="AO261" s="30" t="n">
        <v>2020</v>
      </c>
      <c r="AP261" s="30" t="inlineStr">
        <is>
          <t>6y since filing, no plan document</t>
        </is>
      </c>
      <c r="AQ261" s="30" t="inlineStr">
        <is>
          <t>09.930.165/0001-37</t>
        </is>
      </c>
      <c r="AR261" s="30" t="inlineStr">
        <is>
          <t>printed on the list (read twice)</t>
        </is>
      </c>
      <c r="AS261" s="30" t="inlineStr">
        <is>
          <t>OLINDA</t>
        </is>
      </c>
      <c r="AT261" s="30" t="inlineStr">
        <is>
          <t>PE</t>
        </is>
      </c>
      <c r="AU261" s="30" t="inlineStr">
        <is>
          <t>Fabricação de colchões</t>
        </is>
      </c>
      <c r="AV261" s="30" t="inlineStr">
        <is>
          <t>DEMAIS</t>
        </is>
      </c>
      <c r="AW261" s="31" t="n">
        <v>2400000</v>
      </c>
      <c r="AX261" s="30" t="inlineStr">
        <is>
          <t>MID-MARKET</t>
        </is>
      </c>
      <c r="AY261" s="30" t="inlineStr">
        <is>
          <t>02748323</t>
        </is>
      </c>
      <c r="AZ261" s="30" t="n">
        <v>1</v>
      </c>
      <c r="BA261" s="30" t="inlineStr">
        <is>
          <t>ROWS:p16r36</t>
        </is>
      </c>
    </row>
    <row r="262">
      <c r="A262" s="16" t="inlineStr">
        <is>
          <t>PRIMA FOODS S.A.</t>
        </is>
      </c>
      <c r="B262" s="17" t="n">
        <v>260820.7</v>
      </c>
      <c r="C262" s="18" t="inlineStr">
        <is>
          <t>GRUPO 3E</t>
        </is>
      </c>
      <c r="D262" s="19" t="inlineStr">
        <is>
          <t>NEW</t>
        </is>
      </c>
      <c r="E262" s="20" t="inlineStr"/>
      <c r="F262" s="19" t="inlineStr"/>
      <c r="G262" s="20" t="inlineStr"/>
      <c r="H262" s="19" t="inlineStr"/>
      <c r="I262" s="21" t="inlineStr">
        <is>
          <t>Valdemar Polizeli</t>
        </is>
      </c>
      <c r="J262" s="21" t="inlineStr">
        <is>
          <t>Gerente de Contas a Pagar e Contas a Receber</t>
        </is>
      </c>
      <c r="K262" s="21" t="inlineStr">
        <is>
          <t>(34) 2108-2200</t>
        </is>
      </c>
      <c r="L262" s="21" t="inlineStr"/>
      <c r="M262" s="21" t="inlineStr"/>
      <c r="N262" s="21" t="inlineStr">
        <is>
          <t>valdemar.polizeli@primafoods.com.br</t>
        </is>
      </c>
      <c r="O262" s="21" t="inlineStr">
        <is>
          <t>neusa.antonio@primafoods.com.br</t>
        </is>
      </c>
      <c r="P262" s="21" t="inlineStr">
        <is>
          <t>Neusa Antonio</t>
        </is>
      </c>
      <c r="Q262" s="21" t="inlineStr">
        <is>
          <t>Supervisor de Contas a Receber</t>
        </is>
      </c>
      <c r="R262" s="21" t="inlineStr"/>
      <c r="S262" s="21" t="inlineStr">
        <is>
          <t>neusa.antonio@primafoods.com.br</t>
        </is>
      </c>
      <c r="T262" s="21" t="inlineStr">
        <is>
          <t>email verified by Apollo</t>
        </is>
      </c>
      <c r="U262" s="22" t="n">
        <v>260820.7</v>
      </c>
      <c r="V262" s="35" t="inlineStr">
        <is>
          <t>A</t>
        </is>
      </c>
      <c r="W262" s="24">
        <f>IFERROR(VLOOKUP(V262,Assumptions!$A$7:$F$11,2,FALSE),0)</f>
        <v/>
      </c>
      <c r="X262" s="25">
        <f>IF(V262="A",MAX(1,IFERROR(VLOOKUP(V262,Assumptions!$A$7:$F$11,3,FALSE),3)+IFERROR(VLOOKUP(V262,Assumptions!$A$7:$F$11,4,FALSE),8)/2-MAX(0,IF(AO262="",0,YEAR(TODAY())-AO262)-IFERROR(VLOOKUP(V262,Assumptions!$A$7:$F$11,5,FALSE),1.5))),IFERROR(VLOOKUP(V262,Assumptions!$A$7:$F$11,5,FALSE),2.5)+IFERROR(VLOOKUP(V262,Assumptions!$A$7:$F$11,3,FALSE),3)+IFERROR(VLOOKUP(V262,Assumptions!$A$7:$F$11,4,FALSE),8)/2)</f>
        <v/>
      </c>
      <c r="Y262" s="22">
        <f>U262*W262/(1+Assumptions!$B$3)^X262</f>
        <v/>
      </c>
      <c r="Z262" s="26">
        <f>IF(U262=0,"",ROUND(Y262/U262*100,1))</f>
        <v/>
      </c>
      <c r="AA262" s="27">
        <f>Y262*Assumptions!$B$4</f>
        <v/>
      </c>
      <c r="AB262" s="26">
        <f>IF(U262=0,"",ROUND(AA262/U262*100,1))</f>
        <v/>
      </c>
      <c r="AC262" s="27">
        <f>Y262-AA262</f>
        <v/>
      </c>
      <c r="AD262" s="26">
        <f>IF(U262=0,"",ROUND((Y262-AA262)/U262*100,1))</f>
        <v/>
      </c>
      <c r="AE262" s="33" t="inlineStr">
        <is>
          <t>NO TOTALS — list prints none; check page</t>
        </is>
      </c>
      <c r="AF262" s="29" t="inlineStr">
        <is>
          <t>https://stenius.com.br/wp-content/uploads/2026/06/EDITAL-GRUPO-3E.pdf</t>
        </is>
      </c>
      <c r="AG262" s="28" t="inlineStr">
        <is>
          <t>p15 r58</t>
        </is>
      </c>
      <c r="AH262" s="28" t="inlineStr">
        <is>
          <t>p15: R$ 260.820,70</t>
        </is>
      </c>
      <c r="AI262" s="28" t="inlineStr">
        <is>
          <t>Debtor list (art. 51)</t>
        </is>
      </c>
      <c r="AJ262" s="28" t="inlineStr">
        <is>
          <t>2026-06-22</t>
        </is>
      </c>
      <c r="AK262" s="28" t="inlineStr">
        <is>
          <t>PLAN DOC FOUND</t>
        </is>
      </c>
      <c r="AL262" s="30" t="inlineStr">
        <is>
          <t>5341375-33.2026.8.09.0049</t>
        </is>
      </c>
      <c r="AM262" s="30" t="inlineStr">
        <is>
          <t>TJGO</t>
        </is>
      </c>
      <c r="AN262" s="30" t="inlineStr">
        <is>
          <t>ACTIVE</t>
        </is>
      </c>
      <c r="AO262" s="30" t="n">
        <v>2026</v>
      </c>
      <c r="AP262" s="30" t="inlineStr">
        <is>
          <t>plan/homologation document found</t>
        </is>
      </c>
      <c r="AQ262" s="30" t="inlineStr"/>
      <c r="AR262" s="30" t="inlineStr">
        <is>
          <t>printed on the list (read twice)</t>
        </is>
      </c>
      <c r="AS262" s="30" t="inlineStr">
        <is>
          <t>ARAGUARI</t>
        </is>
      </c>
      <c r="AT262" s="30" t="inlineStr">
        <is>
          <t>MG</t>
        </is>
      </c>
      <c r="AU262" s="30" t="inlineStr">
        <is>
          <t>Frigorífico - abate de bovinos</t>
        </is>
      </c>
      <c r="AV262" s="30" t="inlineStr">
        <is>
          <t>DEMAIS</t>
        </is>
      </c>
      <c r="AW262" s="31" t="n">
        <v>67140000</v>
      </c>
      <c r="AX262" s="30" t="inlineStr">
        <is>
          <t>MID-MARKET</t>
        </is>
      </c>
      <c r="AY262" s="30" t="inlineStr">
        <is>
          <t>16820052</t>
        </is>
      </c>
      <c r="AZ262" s="30" t="n">
        <v>1</v>
      </c>
      <c r="BA262" s="30" t="inlineStr">
        <is>
          <t>ROWS:p15r58 UNRECONCILED_SOURCE</t>
        </is>
      </c>
    </row>
    <row r="263">
      <c r="A263" s="16" t="inlineStr">
        <is>
          <t>GOIAS DISTRIBUIDORA DE ALIMENTOS LTDA</t>
        </is>
      </c>
      <c r="B263" s="17" t="n">
        <v>260082.71</v>
      </c>
      <c r="C263" s="18" t="inlineStr">
        <is>
          <t>GRUPO 3E</t>
        </is>
      </c>
      <c r="D263" s="19" t="inlineStr">
        <is>
          <t>NEW</t>
        </is>
      </c>
      <c r="E263" s="20" t="inlineStr"/>
      <c r="F263" s="19" t="inlineStr"/>
      <c r="G263" s="20" t="inlineStr"/>
      <c r="H263" s="19" t="inlineStr"/>
      <c r="I263" s="21" t="inlineStr">
        <is>
          <t>Luiz Mendonca</t>
        </is>
      </c>
      <c r="J263" s="21" t="inlineStr">
        <is>
          <t>Controller Coordinator</t>
        </is>
      </c>
      <c r="K263" s="21" t="inlineStr">
        <is>
          <t>(69) 3293-0496</t>
        </is>
      </c>
      <c r="L263" s="21" t="inlineStr"/>
      <c r="M263" s="21" t="inlineStr"/>
      <c r="N263" s="21" t="inlineStr">
        <is>
          <t>luiz.mendonca@disdal.com.br</t>
        </is>
      </c>
      <c r="O263" s="21" t="inlineStr">
        <is>
          <t>hudson.guimaraes@disdal.com.br</t>
        </is>
      </c>
      <c r="P263" s="21" t="inlineStr">
        <is>
          <t>Hudson Guimaraes</t>
        </is>
      </c>
      <c r="Q263" s="21" t="inlineStr">
        <is>
          <t>Assistente Financeiro Pleno | Analista de Crédito</t>
        </is>
      </c>
      <c r="R263" s="21" t="inlineStr"/>
      <c r="S263" s="21" t="inlineStr">
        <is>
          <t>hudson.guimaraes@disdal.com.br</t>
        </is>
      </c>
      <c r="T263" s="21" t="inlineStr">
        <is>
          <t>email verified by Apollo</t>
        </is>
      </c>
      <c r="U263" s="22" t="n">
        <v>260082.71</v>
      </c>
      <c r="V263" s="35" t="inlineStr">
        <is>
          <t>A</t>
        </is>
      </c>
      <c r="W263" s="24">
        <f>IFERROR(VLOOKUP(V263,Assumptions!$A$7:$F$11,2,FALSE),0)</f>
        <v/>
      </c>
      <c r="X263" s="25">
        <f>IF(V263="A",MAX(1,IFERROR(VLOOKUP(V263,Assumptions!$A$7:$F$11,3,FALSE),3)+IFERROR(VLOOKUP(V263,Assumptions!$A$7:$F$11,4,FALSE),8)/2-MAX(0,IF(AO263="",0,YEAR(TODAY())-AO263)-IFERROR(VLOOKUP(V263,Assumptions!$A$7:$F$11,5,FALSE),1.5))),IFERROR(VLOOKUP(V263,Assumptions!$A$7:$F$11,5,FALSE),2.5)+IFERROR(VLOOKUP(V263,Assumptions!$A$7:$F$11,3,FALSE),3)+IFERROR(VLOOKUP(V263,Assumptions!$A$7:$F$11,4,FALSE),8)/2)</f>
        <v/>
      </c>
      <c r="Y263" s="22">
        <f>U263*W263/(1+Assumptions!$B$3)^X263</f>
        <v/>
      </c>
      <c r="Z263" s="26">
        <f>IF(U263=0,"",ROUND(Y263/U263*100,1))</f>
        <v/>
      </c>
      <c r="AA263" s="27">
        <f>Y263*Assumptions!$B$4</f>
        <v/>
      </c>
      <c r="AB263" s="26">
        <f>IF(U263=0,"",ROUND(AA263/U263*100,1))</f>
        <v/>
      </c>
      <c r="AC263" s="27">
        <f>Y263-AA263</f>
        <v/>
      </c>
      <c r="AD263" s="26">
        <f>IF(U263=0,"",ROUND((Y263-AA263)/U263*100,1))</f>
        <v/>
      </c>
      <c r="AE263" s="33" t="inlineStr">
        <is>
          <t>NO TOTALS — list prints none; check page</t>
        </is>
      </c>
      <c r="AF263" s="29" t="inlineStr">
        <is>
          <t>https://stenius.com.br/wp-content/uploads/2026/06/EDITAL-GRUPO-3E.pdf</t>
        </is>
      </c>
      <c r="AG263" s="28" t="inlineStr">
        <is>
          <t>p12 r41</t>
        </is>
      </c>
      <c r="AH263" s="28" t="inlineStr">
        <is>
          <t>p12: R$ 260.082,71</t>
        </is>
      </c>
      <c r="AI263" s="28" t="inlineStr">
        <is>
          <t>Debtor list (art. 51)</t>
        </is>
      </c>
      <c r="AJ263" s="28" t="inlineStr">
        <is>
          <t>2026-06-22</t>
        </is>
      </c>
      <c r="AK263" s="28" t="inlineStr">
        <is>
          <t>PLAN DOC FOUND</t>
        </is>
      </c>
      <c r="AL263" s="30" t="inlineStr">
        <is>
          <t>5341375-33.2026.8.09.0049</t>
        </is>
      </c>
      <c r="AM263" s="30" t="inlineStr">
        <is>
          <t>TJGO</t>
        </is>
      </c>
      <c r="AN263" s="30" t="inlineStr">
        <is>
          <t>ACTIVE</t>
        </is>
      </c>
      <c r="AO263" s="30" t="n">
        <v>2026</v>
      </c>
      <c r="AP263" s="30" t="inlineStr">
        <is>
          <t>plan/homologation document found</t>
        </is>
      </c>
      <c r="AQ263" s="30" t="inlineStr"/>
      <c r="AR263" s="30" t="inlineStr">
        <is>
          <t>printed on the list (read twice)</t>
        </is>
      </c>
      <c r="AS263" s="30" t="inlineStr">
        <is>
          <t>APARECIDA DE GOIANIA</t>
        </is>
      </c>
      <c r="AT263" s="30" t="inlineStr">
        <is>
          <t>GO</t>
        </is>
      </c>
      <c r="AU263" s="30" t="inlineStr">
        <is>
          <t>Comércio atacadista de mercadorias em geral, com predominância de produtos alimentícios</t>
        </is>
      </c>
      <c r="AV263" s="30" t="inlineStr">
        <is>
          <t>DEMAIS</t>
        </is>
      </c>
      <c r="AW263" s="31" t="n">
        <v>20649100</v>
      </c>
      <c r="AX263" s="30" t="inlineStr">
        <is>
          <t>MID-MARKET</t>
        </is>
      </c>
      <c r="AY263" s="30" t="inlineStr">
        <is>
          <t>20750654</t>
        </is>
      </c>
      <c r="AZ263" s="30" t="n">
        <v>1</v>
      </c>
      <c r="BA263" s="30" t="inlineStr">
        <is>
          <t>ROWS:p12r41 UNRECONCILED_SOURCE</t>
        </is>
      </c>
    </row>
    <row r="264">
      <c r="A264" s="16" t="inlineStr">
        <is>
          <t>FRANGOS PIONEIRO INDUSTRIA E COMERCIO DE ALIMENTOS LTDA</t>
        </is>
      </c>
      <c r="B264" s="17" t="n">
        <v>484066.19</v>
      </c>
      <c r="C264" s="18" t="inlineStr">
        <is>
          <t>Grupo Agromeal</t>
        </is>
      </c>
      <c r="D264" s="19" t="inlineStr">
        <is>
          <t>NEW</t>
        </is>
      </c>
      <c r="E264" s="20" t="inlineStr"/>
      <c r="F264" s="19" t="inlineStr"/>
      <c r="G264" s="20" t="inlineStr"/>
      <c r="H264" s="19" t="inlineStr"/>
      <c r="I264" s="21" t="inlineStr">
        <is>
          <t>Anderson Zazula</t>
        </is>
      </c>
      <c r="J264" s="21" t="inlineStr">
        <is>
          <t>Gerente Financeiro e Gestão de Resultados</t>
        </is>
      </c>
      <c r="K264" s="21" t="inlineStr">
        <is>
          <t>(43) 3559-8000</t>
        </is>
      </c>
      <c r="L264" s="21" t="inlineStr"/>
      <c r="M264" s="21" t="inlineStr"/>
      <c r="N264" s="21" t="inlineStr">
        <is>
          <t>anderson@grupopioneiro.com.br</t>
        </is>
      </c>
      <c r="O264" s="21" t="inlineStr">
        <is>
          <t>tarcizo@grupopioneiro.com.br</t>
        </is>
      </c>
      <c r="P264" s="21" t="inlineStr">
        <is>
          <t>Tarcizo Santos</t>
        </is>
      </c>
      <c r="Q264" s="21" t="inlineStr">
        <is>
          <t>Director</t>
        </is>
      </c>
      <c r="R264" s="21" t="inlineStr"/>
      <c r="S264" s="21" t="inlineStr">
        <is>
          <t>tarcizo@grupopioneiro.com.br</t>
        </is>
      </c>
      <c r="T264" s="21" t="inlineStr">
        <is>
          <t>email verified by Apollo</t>
        </is>
      </c>
      <c r="U264" s="22" t="n">
        <v>484066.19</v>
      </c>
      <c r="V264" s="23" t="inlineStr">
        <is>
          <t>B</t>
        </is>
      </c>
      <c r="W264" s="24">
        <f>IFERROR(VLOOKUP(V264,Assumptions!$A$7:$F$11,2,FALSE),0)</f>
        <v/>
      </c>
      <c r="X264" s="25">
        <f>IF(V264="A",MAX(1,IFERROR(VLOOKUP(V264,Assumptions!$A$7:$F$11,3,FALSE),3)+IFERROR(VLOOKUP(V264,Assumptions!$A$7:$F$11,4,FALSE),8)/2-MAX(0,IF(AO264="",0,YEAR(TODAY())-AO264)-IFERROR(VLOOKUP(V264,Assumptions!$A$7:$F$11,5,FALSE),1.5))),IFERROR(VLOOKUP(V264,Assumptions!$A$7:$F$11,5,FALSE),2.5)+IFERROR(VLOOKUP(V264,Assumptions!$A$7:$F$11,3,FALSE),3)+IFERROR(VLOOKUP(V264,Assumptions!$A$7:$F$11,4,FALSE),8)/2)</f>
        <v/>
      </c>
      <c r="Y264" s="22">
        <f>U264*W264/(1+Assumptions!$B$3)^X264</f>
        <v/>
      </c>
      <c r="Z264" s="26">
        <f>IF(U264=0,"",ROUND(Y264/U264*100,1))</f>
        <v/>
      </c>
      <c r="AA264" s="27">
        <f>Y264*Assumptions!$B$4</f>
        <v/>
      </c>
      <c r="AB264" s="26">
        <f>IF(U264=0,"",ROUND(AA264/U264*100,1))</f>
        <v/>
      </c>
      <c r="AC264" s="27">
        <f>Y264-AA264</f>
        <v/>
      </c>
      <c r="AD264" s="26">
        <f>IF(U264=0,"",ROUND((Y264-AA264)/U264*100,1))</f>
        <v/>
      </c>
      <c r="AE264" s="34" t="inlineStr">
        <is>
          <t>PARTIAL — class III reconciled, other classes not</t>
        </is>
      </c>
      <c r="AF264" s="29" t="inlineStr">
        <is>
          <t>https://marquesadmjudicial.com.br/sgc/download.php?file=files/processo_documento/processo_documento17040729052024_1_.pdf&amp;nome=Relação Nominal de Credores AJ-Sintética</t>
        </is>
      </c>
      <c r="AG264" s="28" t="inlineStr">
        <is>
          <t>p11 r6</t>
        </is>
      </c>
      <c r="AH264" s="28" t="inlineStr">
        <is>
          <t>p11: R$ 484.066,19</t>
        </is>
      </c>
      <c r="AI264" s="28" t="inlineStr">
        <is>
          <t>AJ list (art. 7 §2)</t>
        </is>
      </c>
      <c r="AJ264" s="28" t="inlineStr">
        <is>
          <t>2024-05-27</t>
        </is>
      </c>
      <c r="AK264" s="28" t="inlineStr">
        <is>
          <t>NONE FOUND</t>
        </is>
      </c>
      <c r="AL264" s="30" t="inlineStr">
        <is>
          <t>0003971-03.2023.8.16.0119</t>
        </is>
      </c>
      <c r="AM264" s="30" t="inlineStr">
        <is>
          <t>TJPR</t>
        </is>
      </c>
      <c r="AN264" s="30" t="inlineStr">
        <is>
          <t>ACTIVE</t>
        </is>
      </c>
      <c r="AO264" s="30" t="n">
        <v>2023</v>
      </c>
      <c r="AP264" s="30" t="inlineStr">
        <is>
          <t>live case, no plan document yet</t>
        </is>
      </c>
      <c r="AQ264" s="30" t="inlineStr">
        <is>
          <t>11.624.776/0001-07</t>
        </is>
      </c>
      <c r="AR264" s="30" t="inlineStr">
        <is>
          <t>printed on the list (read twice)</t>
        </is>
      </c>
      <c r="AS264" s="30" t="inlineStr">
        <is>
          <t>JOAQUIM TAVORA</t>
        </is>
      </c>
      <c r="AT264" s="30" t="inlineStr">
        <is>
          <t>PR</t>
        </is>
      </c>
      <c r="AU264" s="30" t="inlineStr">
        <is>
          <t>Fabricação de produtos de carne</t>
        </is>
      </c>
      <c r="AV264" s="30" t="inlineStr">
        <is>
          <t>DEMAIS</t>
        </is>
      </c>
      <c r="AW264" s="31" t="n">
        <v>236561500</v>
      </c>
      <c r="AX264" s="30" t="inlineStr">
        <is>
          <t>MID-MARKET</t>
        </is>
      </c>
      <c r="AY264" s="30" t="inlineStr">
        <is>
          <t>00974731</t>
        </is>
      </c>
      <c r="AZ264" s="30" t="n">
        <v>1</v>
      </c>
      <c r="BA264" s="30" t="inlineStr">
        <is>
          <t>PARTIAL_DOC_CLASS_III_RECONCILED ROWS:p11r6</t>
        </is>
      </c>
    </row>
    <row r="265">
      <c r="A265" s="16" t="inlineStr">
        <is>
          <t>MEGA PACK PLASTICOS S.A</t>
        </is>
      </c>
      <c r="B265" s="17" t="n">
        <v>484000</v>
      </c>
      <c r="C265" s="18" t="inlineStr">
        <is>
          <t>GRUPO IMPLASVERDE</t>
        </is>
      </c>
      <c r="D265" s="19" t="inlineStr">
        <is>
          <t>NEW</t>
        </is>
      </c>
      <c r="E265" s="20" t="inlineStr"/>
      <c r="F265" s="19" t="inlineStr"/>
      <c r="G265" s="20" t="inlineStr"/>
      <c r="H265" s="19" t="inlineStr"/>
      <c r="I265" s="21" t="inlineStr">
        <is>
          <t>KLEBER AVILA VIEIRA</t>
        </is>
      </c>
      <c r="J265" s="21" t="inlineStr">
        <is>
          <t>Presidente (RFB partner)</t>
        </is>
      </c>
      <c r="K265" s="21" t="inlineStr">
        <is>
          <t>(92) 3301-9001</t>
        </is>
      </c>
      <c r="L265" s="21" t="inlineStr">
        <is>
          <t>(19) 8107-5841</t>
        </is>
      </c>
      <c r="M265" s="21" t="inlineStr"/>
      <c r="N265" s="21" t="inlineStr"/>
      <c r="O265" s="21" t="inlineStr"/>
      <c r="P265" s="21" t="inlineStr"/>
      <c r="Q265" s="21" t="inlineStr"/>
      <c r="R265" s="21" t="inlineStr"/>
      <c r="S265" s="21" t="inlineStr"/>
      <c r="T265" s="21" t="inlineStr">
        <is>
          <t>RFB partner (QSA); no Apollo match</t>
        </is>
      </c>
      <c r="U265" s="22" t="n">
        <v>484000</v>
      </c>
      <c r="V265" s="23" t="inlineStr">
        <is>
          <t>B</t>
        </is>
      </c>
      <c r="W265" s="24">
        <f>IFERROR(VLOOKUP(V265,Assumptions!$A$7:$F$11,2,FALSE),0)</f>
        <v/>
      </c>
      <c r="X265" s="25">
        <f>IF(V265="A",MAX(1,IFERROR(VLOOKUP(V265,Assumptions!$A$7:$F$11,3,FALSE),3)+IFERROR(VLOOKUP(V265,Assumptions!$A$7:$F$11,4,FALSE),8)/2-MAX(0,IF(AO265="",0,YEAR(TODAY())-AO265)-IFERROR(VLOOKUP(V265,Assumptions!$A$7:$F$11,5,FALSE),1.5))),IFERROR(VLOOKUP(V265,Assumptions!$A$7:$F$11,5,FALSE),2.5)+IFERROR(VLOOKUP(V265,Assumptions!$A$7:$F$11,3,FALSE),3)+IFERROR(VLOOKUP(V265,Assumptions!$A$7:$F$11,4,FALSE),8)/2)</f>
        <v/>
      </c>
      <c r="Y265" s="22">
        <f>U265*W265/(1+Assumptions!$B$3)^X265</f>
        <v/>
      </c>
      <c r="Z265" s="26">
        <f>IF(U265=0,"",ROUND(Y265/U265*100,1))</f>
        <v/>
      </c>
      <c r="AA265" s="27">
        <f>Y265*Assumptions!$B$4</f>
        <v/>
      </c>
      <c r="AB265" s="26">
        <f>IF(U265=0,"",ROUND(AA265/U265*100,1))</f>
        <v/>
      </c>
      <c r="AC265" s="27">
        <f>Y265-AA265</f>
        <v/>
      </c>
      <c r="AD265" s="26">
        <f>IF(U265=0,"",ROUND((Y265-AA265)/U265*100,1))</f>
        <v/>
      </c>
      <c r="AE265" s="28" t="inlineStr">
        <is>
          <t>OK — totals reconciled</t>
        </is>
      </c>
      <c r="AF265" s="29" t="inlineStr">
        <is>
          <t>http://recuperacaojudicial.squarespace.com/s/LISTA-DE-CREDORES-CONSOLIDADA-ATE-04102024.pdf</t>
        </is>
      </c>
      <c r="AG265" s="28" t="inlineStr">
        <is>
          <t>p6 r14</t>
        </is>
      </c>
      <c r="AH265" s="28" t="inlineStr">
        <is>
          <t>p6: R$ 484.000,00</t>
        </is>
      </c>
      <c r="AI265" s="28" t="inlineStr">
        <is>
          <t>AJ list (art. 7 §2)</t>
        </is>
      </c>
      <c r="AJ265" s="28" t="inlineStr">
        <is>
          <t>2024-10-04</t>
        </is>
      </c>
      <c r="AK265" s="28" t="inlineStr">
        <is>
          <t>NONE FOUND</t>
        </is>
      </c>
      <c r="AL265" s="30" t="inlineStr">
        <is>
          <t>0800778-16.2023.8.20.5104</t>
        </is>
      </c>
      <c r="AM265" s="30" t="inlineStr">
        <is>
          <t>TJRN</t>
        </is>
      </c>
      <c r="AN265" s="30" t="inlineStr">
        <is>
          <t>ACTIVE</t>
        </is>
      </c>
      <c r="AO265" s="30" t="n">
        <v>2023</v>
      </c>
      <c r="AP265" s="30" t="inlineStr">
        <is>
          <t>live case, no plan document yet</t>
        </is>
      </c>
      <c r="AQ265" s="30" t="inlineStr"/>
      <c r="AR265" s="30" t="inlineStr">
        <is>
          <t>printed on the list (read twice)</t>
        </is>
      </c>
      <c r="AS265" s="30" t="inlineStr">
        <is>
          <t>MANAUS</t>
        </is>
      </c>
      <c r="AT265" s="30" t="inlineStr">
        <is>
          <t>AM</t>
        </is>
      </c>
      <c r="AU265" s="30" t="inlineStr">
        <is>
          <t>Fabricação de laminados planos e tubulares de material plástico</t>
        </is>
      </c>
      <c r="AV265" s="30" t="inlineStr">
        <is>
          <t>DEMAIS</t>
        </is>
      </c>
      <c r="AW265" s="31" t="n">
        <v>10000000</v>
      </c>
      <c r="AX265" s="30" t="inlineStr">
        <is>
          <t>MID-MARKET</t>
        </is>
      </c>
      <c r="AY265" s="30" t="inlineStr">
        <is>
          <t>19631376</t>
        </is>
      </c>
      <c r="AZ265" s="30" t="n">
        <v>1</v>
      </c>
      <c r="BA265" s="30" t="inlineStr">
        <is>
          <t>ROWS:p6r14 VALUE_COL:Valor_Do_Crédito</t>
        </is>
      </c>
    </row>
    <row r="266">
      <c r="A266" s="16" t="inlineStr">
        <is>
          <t>A3AGRO COMERCIAL AGRICOLA LTDA</t>
        </is>
      </c>
      <c r="B266" s="17" t="n">
        <v>480000</v>
      </c>
      <c r="C266" s="18" t="inlineStr">
        <is>
          <t>ENIVALDO BARELLA TIRONI, MATEUS MANHANI BARELLA, LEILA REGINA MANHANI BARELLA, B&amp;F AGRO COMÉRCIO DE GRÃOS E INSUMOS AGRÍCOLAS LTDA, BARELLA &amp; FILHOS LTDA E M M LOCAÇÃO EIRELI</t>
        </is>
      </c>
      <c r="D266" s="19" t="inlineStr">
        <is>
          <t>NEW</t>
        </is>
      </c>
      <c r="E266" s="20" t="inlineStr"/>
      <c r="F266" s="19" t="inlineStr"/>
      <c r="G266" s="20" t="inlineStr"/>
      <c r="H266" s="19" t="inlineStr"/>
      <c r="I266" s="21" t="inlineStr">
        <is>
          <t>Tiago Miranda</t>
        </is>
      </c>
      <c r="J266" s="21" t="inlineStr">
        <is>
          <t>Administrator</t>
        </is>
      </c>
      <c r="K266" s="21" t="inlineStr">
        <is>
          <t>(99) 9642-0648</t>
        </is>
      </c>
      <c r="L266" s="21" t="inlineStr"/>
      <c r="M266" s="21" t="inlineStr"/>
      <c r="N266" s="21" t="inlineStr"/>
      <c r="O266" s="21" t="inlineStr"/>
      <c r="P266" s="21" t="inlineStr"/>
      <c r="Q266" s="21" t="inlineStr"/>
      <c r="R266" s="21" t="inlineStr"/>
      <c r="S266" s="21" t="inlineStr"/>
      <c r="T266" s="21" t="inlineStr">
        <is>
          <t>no work email found in Apollo</t>
        </is>
      </c>
      <c r="U266" s="22" t="n">
        <v>480000</v>
      </c>
      <c r="V266" s="23" t="inlineStr">
        <is>
          <t>B</t>
        </is>
      </c>
      <c r="W266" s="24">
        <f>IFERROR(VLOOKUP(V266,Assumptions!$A$7:$F$11,2,FALSE),0)</f>
        <v/>
      </c>
      <c r="X266" s="25">
        <f>IF(V266="A",MAX(1,IFERROR(VLOOKUP(V266,Assumptions!$A$7:$F$11,3,FALSE),3)+IFERROR(VLOOKUP(V266,Assumptions!$A$7:$F$11,4,FALSE),8)/2-MAX(0,IF(AO266="",0,YEAR(TODAY())-AO266)-IFERROR(VLOOKUP(V266,Assumptions!$A$7:$F$11,5,FALSE),1.5))),IFERROR(VLOOKUP(V266,Assumptions!$A$7:$F$11,5,FALSE),2.5)+IFERROR(VLOOKUP(V266,Assumptions!$A$7:$F$11,3,FALSE),3)+IFERROR(VLOOKUP(V266,Assumptions!$A$7:$F$11,4,FALSE),8)/2)</f>
        <v/>
      </c>
      <c r="Y266" s="22">
        <f>U266*W266/(1+Assumptions!$B$3)^X266</f>
        <v/>
      </c>
      <c r="Z266" s="26">
        <f>IF(U266=0,"",ROUND(Y266/U266*100,1))</f>
        <v/>
      </c>
      <c r="AA266" s="27">
        <f>Y266*Assumptions!$B$4</f>
        <v/>
      </c>
      <c r="AB266" s="26">
        <f>IF(U266=0,"",ROUND(AA266/U266*100,1))</f>
        <v/>
      </c>
      <c r="AC266" s="27">
        <f>Y266-AA266</f>
        <v/>
      </c>
      <c r="AD266" s="26">
        <f>IF(U266=0,"",ROUND((Y266-AA266)/U266*100,1))</f>
        <v/>
      </c>
      <c r="AE266" s="33" t="inlineStr">
        <is>
          <t>NO TOTALS — list prints none; check page</t>
        </is>
      </c>
      <c r="AF266" s="29" t="inlineStr">
        <is>
          <t>https://scalzilliaj.com.br/sgc/download.php?file=files/processo_documento/processo_documento15542620022025_1_.pdf&amp;nome=11 - Relação de credores - art. 7º, §2º, da LREF</t>
        </is>
      </c>
      <c r="AG266" s="28" t="inlineStr">
        <is>
          <t>p1 r6</t>
        </is>
      </c>
      <c r="AH266" s="28" t="inlineStr">
        <is>
          <t>p1: R$ 480.000,00</t>
        </is>
      </c>
      <c r="AI266" s="28" t="inlineStr">
        <is>
          <t>AJ list (art. 7 §2)</t>
        </is>
      </c>
      <c r="AJ266" s="28" t="inlineStr">
        <is>
          <t>2025-02-19</t>
        </is>
      </c>
      <c r="AK266" s="28" t="inlineStr">
        <is>
          <t>NONE FOUND</t>
        </is>
      </c>
      <c r="AL266" s="30" t="inlineStr">
        <is>
          <t>0028131-73.2024.8.16.0017</t>
        </is>
      </c>
      <c r="AM266" s="30" t="inlineStr">
        <is>
          <t>TJPR</t>
        </is>
      </c>
      <c r="AN266" s="30" t="inlineStr">
        <is>
          <t>ACTIVE</t>
        </is>
      </c>
      <c r="AO266" s="30" t="n">
        <v>2024</v>
      </c>
      <c r="AP266" s="30" t="inlineStr">
        <is>
          <t>live case, no plan document yet</t>
        </is>
      </c>
      <c r="AQ266" s="30" t="inlineStr">
        <is>
          <t>23.706.398/0001-81</t>
        </is>
      </c>
      <c r="AR266" s="30" t="inlineStr">
        <is>
          <t>printed on the list (read twice)</t>
        </is>
      </c>
      <c r="AS266" s="30" t="inlineStr">
        <is>
          <t>LUIS EDUARDO MAGALHAES</t>
        </is>
      </c>
      <c r="AT266" s="30" t="inlineStr">
        <is>
          <t>BA</t>
        </is>
      </c>
      <c r="AU266" s="30" t="inlineStr">
        <is>
          <t>Comércio atacadista de máquinas, aparelhos e equipamentos para uso agropecuário; partes e peças</t>
        </is>
      </c>
      <c r="AV266" s="30" t="inlineStr">
        <is>
          <t>DEMAIS</t>
        </is>
      </c>
      <c r="AW266" s="31" t="n">
        <v>50000</v>
      </c>
      <c r="AX266" s="30" t="inlineStr">
        <is>
          <t>MID-MARKET</t>
        </is>
      </c>
      <c r="AY266" s="30" t="inlineStr">
        <is>
          <t>30494410</t>
        </is>
      </c>
      <c r="AZ266" s="30" t="n">
        <v>1</v>
      </c>
      <c r="BA266" s="30" t="inlineStr">
        <is>
          <t>ROWS:p1r6 UNRECONCILED_SOURCE</t>
        </is>
      </c>
    </row>
    <row r="267">
      <c r="A267" s="16" t="inlineStr">
        <is>
          <t>MICROVET-MICROBIOLOGIA VETERINARIA ESPECIAL LTDA</t>
        </is>
      </c>
      <c r="B267" s="17" t="n">
        <v>475385.92</v>
      </c>
      <c r="C267" s="18" t="inlineStr">
        <is>
          <t>SUINOCULTURA KUNZLER</t>
        </is>
      </c>
      <c r="D267" s="19" t="inlineStr">
        <is>
          <t>NEW</t>
        </is>
      </c>
      <c r="E267" s="20" t="inlineStr"/>
      <c r="F267" s="19" t="inlineStr"/>
      <c r="G267" s="20" t="inlineStr"/>
      <c r="H267" s="19" t="inlineStr"/>
      <c r="I267" s="21" t="inlineStr">
        <is>
          <t>JOSE LUCIO DOS SANTOS</t>
        </is>
      </c>
      <c r="J267" s="21" t="inlineStr">
        <is>
          <t>Administrador (RFB partner)</t>
        </is>
      </c>
      <c r="K267" s="21" t="inlineStr">
        <is>
          <t>(31) 3891-2551</t>
        </is>
      </c>
      <c r="L267" s="21" t="inlineStr"/>
      <c r="M267" s="21" t="inlineStr"/>
      <c r="N267" s="21" t="inlineStr"/>
      <c r="O267" s="21" t="inlineStr"/>
      <c r="P267" s="21" t="inlineStr"/>
      <c r="Q267" s="21" t="inlineStr"/>
      <c r="R267" s="21" t="inlineStr"/>
      <c r="S267" s="21" t="inlineStr"/>
      <c r="T267" s="21" t="inlineStr">
        <is>
          <t>RFB partner (QSA); no Apollo match</t>
        </is>
      </c>
      <c r="U267" s="22" t="n">
        <v>475385.92</v>
      </c>
      <c r="V267" s="23" t="inlineStr">
        <is>
          <t>B</t>
        </is>
      </c>
      <c r="W267" s="24">
        <f>IFERROR(VLOOKUP(V267,Assumptions!$A$7:$F$11,2,FALSE),0)</f>
        <v/>
      </c>
      <c r="X267" s="25">
        <f>IF(V267="A",MAX(1,IFERROR(VLOOKUP(V267,Assumptions!$A$7:$F$11,3,FALSE),3)+IFERROR(VLOOKUP(V267,Assumptions!$A$7:$F$11,4,FALSE),8)/2-MAX(0,IF(AO267="",0,YEAR(TODAY())-AO267)-IFERROR(VLOOKUP(V267,Assumptions!$A$7:$F$11,5,FALSE),1.5))),IFERROR(VLOOKUP(V267,Assumptions!$A$7:$F$11,5,FALSE),2.5)+IFERROR(VLOOKUP(V267,Assumptions!$A$7:$F$11,3,FALSE),3)+IFERROR(VLOOKUP(V267,Assumptions!$A$7:$F$11,4,FALSE),8)/2)</f>
        <v/>
      </c>
      <c r="Y267" s="22">
        <f>U267*W267/(1+Assumptions!$B$3)^X267</f>
        <v/>
      </c>
      <c r="Z267" s="26">
        <f>IF(U267=0,"",ROUND(Y267/U267*100,1))</f>
        <v/>
      </c>
      <c r="AA267" s="27">
        <f>Y267*Assumptions!$B$4</f>
        <v/>
      </c>
      <c r="AB267" s="26">
        <f>IF(U267=0,"",ROUND(AA267/U267*100,1))</f>
        <v/>
      </c>
      <c r="AC267" s="27">
        <f>Y267-AA267</f>
        <v/>
      </c>
      <c r="AD267" s="26">
        <f>IF(U267=0,"",ROUND((Y267-AA267)/U267*100,1))</f>
        <v/>
      </c>
      <c r="AE267" s="33" t="inlineStr">
        <is>
          <t>NO TOTALS — list prints none; check page</t>
        </is>
      </c>
      <c r="AF267" s="29" t="inlineStr">
        <is>
          <t>https://rlg-aj.com.br/wp-content/uploads/2024/11/07.-Relação-de-credores.pdf</t>
        </is>
      </c>
      <c r="AG267" s="28" t="inlineStr">
        <is>
          <t>p1 r29</t>
        </is>
      </c>
      <c r="AH267" s="28" t="inlineStr">
        <is>
          <t>p1: R$ 475.385,92</t>
        </is>
      </c>
      <c r="AI267" s="28" t="inlineStr">
        <is>
          <t>Unclassified list</t>
        </is>
      </c>
      <c r="AJ267" s="28" t="inlineStr"/>
      <c r="AK267" s="28" t="inlineStr">
        <is>
          <t>NONE FOUND</t>
        </is>
      </c>
      <c r="AL267" s="30" t="inlineStr">
        <is>
          <t>5009149-92.2024.8.24.0019</t>
        </is>
      </c>
      <c r="AM267" s="30" t="inlineStr">
        <is>
          <t>TJSC</t>
        </is>
      </c>
      <c r="AN267" s="30" t="inlineStr">
        <is>
          <t>ACTIVE</t>
        </is>
      </c>
      <c r="AO267" s="30" t="n">
        <v>2024</v>
      </c>
      <c r="AP267" s="30" t="inlineStr">
        <is>
          <t>live case, no plan document yet</t>
        </is>
      </c>
      <c r="AQ267" s="30" t="inlineStr">
        <is>
          <t>55.365.447/0001-56</t>
        </is>
      </c>
      <c r="AR267" s="30" t="inlineStr">
        <is>
          <t>printed on the list (read twice)</t>
        </is>
      </c>
      <c r="AS267" s="30" t="inlineStr">
        <is>
          <t>VICOSA</t>
        </is>
      </c>
      <c r="AT267" s="30" t="inlineStr">
        <is>
          <t>MG</t>
        </is>
      </c>
      <c r="AU267" s="30" t="inlineStr">
        <is>
          <t>Fabricação de medicamentos para uso veterinário</t>
        </is>
      </c>
      <c r="AV267" s="30" t="inlineStr">
        <is>
          <t>DEMAIS</t>
        </is>
      </c>
      <c r="AW267" s="31" t="n">
        <v>1000000</v>
      </c>
      <c r="AX267" s="30" t="inlineStr">
        <is>
          <t>MID-MARKET</t>
        </is>
      </c>
      <c r="AY267" s="30" t="inlineStr">
        <is>
          <t>26233064</t>
        </is>
      </c>
      <c r="AZ267" s="30" t="n">
        <v>1</v>
      </c>
      <c r="BA267" s="30" t="inlineStr">
        <is>
          <t>ROWS:p1r29 UNRECONCILED_SOURCE</t>
        </is>
      </c>
    </row>
    <row r="268">
      <c r="A268" s="16" t="inlineStr">
        <is>
          <t>LIBER EMPREENDIMENTOS IMOBILIARIOS LTDA</t>
        </is>
      </c>
      <c r="B268" s="17" t="n">
        <v>470000</v>
      </c>
      <c r="C268" s="18" t="inlineStr">
        <is>
          <t>GRUPO ADLIM</t>
        </is>
      </c>
      <c r="D268" s="19" t="inlineStr">
        <is>
          <t>NEW</t>
        </is>
      </c>
      <c r="E268" s="20" t="inlineStr"/>
      <c r="F268" s="19" t="inlineStr"/>
      <c r="G268" s="20" t="inlineStr"/>
      <c r="H268" s="19" t="inlineStr"/>
      <c r="I268" s="21" t="inlineStr">
        <is>
          <t>NILZA DINIZ SOUSA</t>
        </is>
      </c>
      <c r="J268" s="21" t="inlineStr">
        <is>
          <t>Sócio-Administrador (RFB partner)</t>
        </is>
      </c>
      <c r="K268" s="21" t="inlineStr">
        <is>
          <t>(81) 3252-6115</t>
        </is>
      </c>
      <c r="L268" s="21" t="inlineStr"/>
      <c r="M268" s="21" t="inlineStr"/>
      <c r="N268" s="21" t="inlineStr"/>
      <c r="O268" s="21" t="inlineStr"/>
      <c r="P268" s="21" t="inlineStr"/>
      <c r="Q268" s="21" t="inlineStr"/>
      <c r="R268" s="21" t="inlineStr"/>
      <c r="S268" s="21" t="inlineStr"/>
      <c r="T268" s="21" t="inlineStr">
        <is>
          <t>RFB partner (QSA); no Apollo match</t>
        </is>
      </c>
      <c r="U268" s="22" t="n">
        <v>470000</v>
      </c>
      <c r="V268" s="23" t="inlineStr">
        <is>
          <t>B</t>
        </is>
      </c>
      <c r="W268" s="24">
        <f>IFERROR(VLOOKUP(V268,Assumptions!$A$7:$F$11,2,FALSE),0)</f>
        <v/>
      </c>
      <c r="X268" s="25">
        <f>IF(V268="A",MAX(1,IFERROR(VLOOKUP(V268,Assumptions!$A$7:$F$11,3,FALSE),3)+IFERROR(VLOOKUP(V268,Assumptions!$A$7:$F$11,4,FALSE),8)/2-MAX(0,IF(AO268="",0,YEAR(TODAY())-AO268)-IFERROR(VLOOKUP(V268,Assumptions!$A$7:$F$11,5,FALSE),1.5))),IFERROR(VLOOKUP(V268,Assumptions!$A$7:$F$11,5,FALSE),2.5)+IFERROR(VLOOKUP(V268,Assumptions!$A$7:$F$11,3,FALSE),3)+IFERROR(VLOOKUP(V268,Assumptions!$A$7:$F$11,4,FALSE),8)/2)</f>
        <v/>
      </c>
      <c r="Y268" s="22">
        <f>U268*W268/(1+Assumptions!$B$3)^X268</f>
        <v/>
      </c>
      <c r="Z268" s="26">
        <f>IF(U268=0,"",ROUND(Y268/U268*100,1))</f>
        <v/>
      </c>
      <c r="AA268" s="27">
        <f>Y268*Assumptions!$B$4</f>
        <v/>
      </c>
      <c r="AB268" s="26">
        <f>IF(U268=0,"",ROUND(AA268/U268*100,1))</f>
        <v/>
      </c>
      <c r="AC268" s="27">
        <f>Y268-AA268</f>
        <v/>
      </c>
      <c r="AD268" s="26">
        <f>IF(U268=0,"",ROUND((Y268-AA268)/U268*100,1))</f>
        <v/>
      </c>
      <c r="AE268" s="34" t="inlineStr">
        <is>
          <t>PARTIAL — class III reconciled, other classes not</t>
        </is>
      </c>
      <c r="AF268" s="29" t="inlineStr">
        <is>
          <t>https://lrflideres.com.br/wp-content/plugins/download-attachments/includes/download.php?id=6051</t>
        </is>
      </c>
      <c r="AG268" s="28" t="inlineStr">
        <is>
          <t>p67 r22</t>
        </is>
      </c>
      <c r="AH268" s="28" t="inlineStr">
        <is>
          <t>p67: R$ 470000,00</t>
        </is>
      </c>
      <c r="AI268" s="28" t="inlineStr">
        <is>
          <t>AJ list (art. 7 §2)</t>
        </is>
      </c>
      <c r="AJ268" s="28" t="inlineStr">
        <is>
          <t>2024-08-12</t>
        </is>
      </c>
      <c r="AK268" s="28" t="inlineStr">
        <is>
          <t>NONE FOUND</t>
        </is>
      </c>
      <c r="AL268" s="30" t="inlineStr">
        <is>
          <t>0019761-43.2024.8.17.2001</t>
        </is>
      </c>
      <c r="AM268" s="30" t="inlineStr">
        <is>
          <t>TJPE</t>
        </is>
      </c>
      <c r="AN268" s="30" t="inlineStr">
        <is>
          <t>ACTIVE</t>
        </is>
      </c>
      <c r="AO268" s="30" t="n">
        <v>2024</v>
      </c>
      <c r="AP268" s="30" t="inlineStr">
        <is>
          <t>live case, no plan document yet</t>
        </is>
      </c>
      <c r="AQ268" s="30" t="inlineStr"/>
      <c r="AR268" s="30" t="inlineStr">
        <is>
          <t>printed on the list (read twice)</t>
        </is>
      </c>
      <c r="AS268" s="30" t="inlineStr">
        <is>
          <t>RECIFE</t>
        </is>
      </c>
      <c r="AT268" s="30" t="inlineStr">
        <is>
          <t>PE</t>
        </is>
      </c>
      <c r="AU268" s="30" t="inlineStr">
        <is>
          <t>Compra e venda de imóveis próprios</t>
        </is>
      </c>
      <c r="AV268" s="30" t="inlineStr">
        <is>
          <t>DEMAIS</t>
        </is>
      </c>
      <c r="AW268" s="31" t="n">
        <v>2600000</v>
      </c>
      <c r="AX268" s="30" t="inlineStr">
        <is>
          <t>MID-MARKET</t>
        </is>
      </c>
      <c r="AY268" s="30" t="inlineStr">
        <is>
          <t>11841434</t>
        </is>
      </c>
      <c r="AZ268" s="30" t="n">
        <v>1</v>
      </c>
      <c r="BA268" s="30" t="inlineStr">
        <is>
          <t>PARTIAL_DOC_CLASS_III_RECONCILED ROWS:p67r22</t>
        </is>
      </c>
    </row>
    <row r="269">
      <c r="A269" s="16" t="inlineStr">
        <is>
          <t>AGROFOODS BRASIL ALIMENTO S/A</t>
        </is>
      </c>
      <c r="B269" s="17" t="n">
        <v>469262.66</v>
      </c>
      <c r="C269" s="37" t="inlineStr">
        <is>
          <t>(debtor not identified — see proof)</t>
        </is>
      </c>
      <c r="D269" s="19" t="inlineStr">
        <is>
          <t>NEW</t>
        </is>
      </c>
      <c r="E269" s="20" t="inlineStr"/>
      <c r="F269" s="19" t="inlineStr"/>
      <c r="G269" s="20" t="inlineStr"/>
      <c r="H269" s="19" t="inlineStr"/>
      <c r="I269" s="21" t="inlineStr">
        <is>
          <t>Juliano Pucci</t>
        </is>
      </c>
      <c r="J269" s="21" t="inlineStr">
        <is>
          <t>Gerente Industrial na Agrofoods Brasil Alimento S/A</t>
        </is>
      </c>
      <c r="K269" s="21" t="inlineStr">
        <is>
          <t>(16) 3820-9004</t>
        </is>
      </c>
      <c r="L269" s="21" t="inlineStr"/>
      <c r="M269" s="21" t="inlineStr"/>
      <c r="N269" s="21" t="inlineStr">
        <is>
          <t>juliano.pucci@agrofoods.ind.br</t>
        </is>
      </c>
      <c r="O269" s="21" t="inlineStr"/>
      <c r="P269" s="21" t="inlineStr">
        <is>
          <t>ANDREA FERREIRA ABDUL MASSIH</t>
        </is>
      </c>
      <c r="Q269" s="21" t="inlineStr">
        <is>
          <t>Diretor (RFB partner)</t>
        </is>
      </c>
      <c r="R269" s="21" t="inlineStr"/>
      <c r="S269" s="21" t="inlineStr"/>
      <c r="T269" s="21" t="inlineStr">
        <is>
          <t>email verified by Apollo</t>
        </is>
      </c>
      <c r="U269" s="22" t="n">
        <v>469262.66</v>
      </c>
      <c r="V269" s="23" t="inlineStr">
        <is>
          <t>B</t>
        </is>
      </c>
      <c r="W269" s="24">
        <f>IFERROR(VLOOKUP(V269,Assumptions!$A$7:$F$11,2,FALSE),0)</f>
        <v/>
      </c>
      <c r="X269" s="25">
        <f>IF(V269="A",MAX(1,IFERROR(VLOOKUP(V269,Assumptions!$A$7:$F$11,3,FALSE),3)+IFERROR(VLOOKUP(V269,Assumptions!$A$7:$F$11,4,FALSE),8)/2-MAX(0,IF(AO269="",0,YEAR(TODAY())-AO269)-IFERROR(VLOOKUP(V269,Assumptions!$A$7:$F$11,5,FALSE),1.5))),IFERROR(VLOOKUP(V269,Assumptions!$A$7:$F$11,5,FALSE),2.5)+IFERROR(VLOOKUP(V269,Assumptions!$A$7:$F$11,3,FALSE),3)+IFERROR(VLOOKUP(V269,Assumptions!$A$7:$F$11,4,FALSE),8)/2)</f>
        <v/>
      </c>
      <c r="Y269" s="22">
        <f>U269*W269/(1+Assumptions!$B$3)^X269</f>
        <v/>
      </c>
      <c r="Z269" s="26">
        <f>IF(U269=0,"",ROUND(Y269/U269*100,1))</f>
        <v/>
      </c>
      <c r="AA269" s="27">
        <f>Y269*Assumptions!$B$4</f>
        <v/>
      </c>
      <c r="AB269" s="26">
        <f>IF(U269=0,"",ROUND(AA269/U269*100,1))</f>
        <v/>
      </c>
      <c r="AC269" s="27">
        <f>Y269-AA269</f>
        <v/>
      </c>
      <c r="AD269" s="26">
        <f>IF(U269=0,"",ROUND((Y269-AA269)/U269*100,1))</f>
        <v/>
      </c>
      <c r="AE269" s="28" t="inlineStr">
        <is>
          <t>OK — totals reconciled</t>
        </is>
      </c>
      <c r="AF269" s="29" t="inlineStr">
        <is>
          <t>https://ajruiz.com.br/sites/default/files/public/arquivos-processos/2024-04/relacao_de_credores_recuperanda_1.pdf</t>
        </is>
      </c>
      <c r="AG269" s="28" t="inlineStr">
        <is>
          <t>p2 r4; p2 r5; p2 r6</t>
        </is>
      </c>
      <c r="AH269" s="28" t="inlineStr">
        <is>
          <t>p2: R$ 231.398,66; p2: R$ 117.480,00; p2: R$ 120.384,00</t>
        </is>
      </c>
      <c r="AI269" s="28" t="inlineStr">
        <is>
          <t>QGC (art. 18)</t>
        </is>
      </c>
      <c r="AJ269" s="28" t="inlineStr">
        <is>
          <t>2024-01-31</t>
        </is>
      </c>
      <c r="AK269" s="28" t="inlineStr">
        <is>
          <t>NONE FOUND</t>
        </is>
      </c>
      <c r="AL269" s="30" t="inlineStr">
        <is>
          <t>1022634-27.2024.8.26.0100</t>
        </is>
      </c>
      <c r="AM269" s="30" t="inlineStr">
        <is>
          <t>TJSP</t>
        </is>
      </c>
      <c r="AN269" s="30" t="inlineStr"/>
      <c r="AO269" s="30" t="n">
        <v>2024</v>
      </c>
      <c r="AP269" s="30" t="inlineStr">
        <is>
          <t>live case, no plan document yet</t>
        </is>
      </c>
      <c r="AQ269" s="30" t="inlineStr"/>
      <c r="AR269" s="30" t="inlineStr">
        <is>
          <t>not identified</t>
        </is>
      </c>
      <c r="AS269" s="30" t="inlineStr">
        <is>
          <t>ORLANDIA</t>
        </is>
      </c>
      <c r="AT269" s="30" t="inlineStr">
        <is>
          <t>SP</t>
        </is>
      </c>
      <c r="AU269" s="30" t="inlineStr">
        <is>
          <t>Fabricação de óleos vegetais em bruto, exceto óleo de milho</t>
        </is>
      </c>
      <c r="AV269" s="30" t="inlineStr">
        <is>
          <t>DEMAIS</t>
        </is>
      </c>
      <c r="AW269" s="31" t="n">
        <v>5000000</v>
      </c>
      <c r="AX269" s="30" t="inlineStr">
        <is>
          <t>MID-MARKET</t>
        </is>
      </c>
      <c r="AY269" s="30" t="inlineStr">
        <is>
          <t>38081947</t>
        </is>
      </c>
      <c r="AZ269" s="30" t="n">
        <v>3</v>
      </c>
      <c r="BA269" s="30" t="inlineStr">
        <is>
          <t>ROWS:p2r4,p2r5,p2r6 VALUE_COL:Valor_Atualizado_Do_Débito CASE_NUMBER_CORRECTED</t>
        </is>
      </c>
    </row>
    <row r="270">
      <c r="A270" s="16" t="inlineStr">
        <is>
          <t>CROPFERT INDUSTRIA DE FERTILIZANTES E AGROQUIMICOS LTDA</t>
        </is>
      </c>
      <c r="B270" s="17" t="n">
        <v>467392</v>
      </c>
      <c r="C270" s="18" t="inlineStr">
        <is>
          <t>SOJAL COMERCIAL AGRICOLA LTDA e OUTROS</t>
        </is>
      </c>
      <c r="D270" s="19" t="inlineStr">
        <is>
          <t>NEW</t>
        </is>
      </c>
      <c r="E270" s="20" t="inlineStr"/>
      <c r="F270" s="19" t="inlineStr"/>
      <c r="G270" s="20" t="inlineStr"/>
      <c r="H270" s="19" t="inlineStr"/>
      <c r="I270" s="21" t="inlineStr">
        <is>
          <t>ANDERSON JOSE FAUSTINO</t>
        </is>
      </c>
      <c r="J270" s="21" t="inlineStr">
        <is>
          <t>Administrador (RFB partner)</t>
        </is>
      </c>
      <c r="K270" s="21" t="inlineStr">
        <is>
          <t>(43) 3162-2700</t>
        </is>
      </c>
      <c r="L270" s="21" t="inlineStr"/>
      <c r="M270" s="21" t="inlineStr"/>
      <c r="N270" s="21" t="inlineStr"/>
      <c r="O270" s="21" t="inlineStr"/>
      <c r="P270" s="21" t="inlineStr">
        <is>
          <t>RODERLEY CLEMENTE DA SILVA</t>
        </is>
      </c>
      <c r="Q270" s="21" t="inlineStr">
        <is>
          <t>Administrador (RFB partner)</t>
        </is>
      </c>
      <c r="R270" s="21" t="inlineStr"/>
      <c r="S270" s="21" t="inlineStr"/>
      <c r="T270" s="21" t="inlineStr">
        <is>
          <t>RFB partner (QSA); no Apollo match</t>
        </is>
      </c>
      <c r="U270" s="22" t="n">
        <v>467392</v>
      </c>
      <c r="V270" s="23" t="inlineStr">
        <is>
          <t>B</t>
        </is>
      </c>
      <c r="W270" s="24">
        <f>IFERROR(VLOOKUP(V270,Assumptions!$A$7:$F$11,2,FALSE),0)</f>
        <v/>
      </c>
      <c r="X270" s="25">
        <f>IF(V270="A",MAX(1,IFERROR(VLOOKUP(V270,Assumptions!$A$7:$F$11,3,FALSE),3)+IFERROR(VLOOKUP(V270,Assumptions!$A$7:$F$11,4,FALSE),8)/2-MAX(0,IF(AO270="",0,YEAR(TODAY())-AO270)-IFERROR(VLOOKUP(V270,Assumptions!$A$7:$F$11,5,FALSE),1.5))),IFERROR(VLOOKUP(V270,Assumptions!$A$7:$F$11,5,FALSE),2.5)+IFERROR(VLOOKUP(V270,Assumptions!$A$7:$F$11,3,FALSE),3)+IFERROR(VLOOKUP(V270,Assumptions!$A$7:$F$11,4,FALSE),8)/2)</f>
        <v/>
      </c>
      <c r="Y270" s="22">
        <f>U270*W270/(1+Assumptions!$B$3)^X270</f>
        <v/>
      </c>
      <c r="Z270" s="26">
        <f>IF(U270=0,"",ROUND(Y270/U270*100,1))</f>
        <v/>
      </c>
      <c r="AA270" s="27">
        <f>Y270*Assumptions!$B$4</f>
        <v/>
      </c>
      <c r="AB270" s="26">
        <f>IF(U270=0,"",ROUND(AA270/U270*100,1))</f>
        <v/>
      </c>
      <c r="AC270" s="27">
        <f>Y270-AA270</f>
        <v/>
      </c>
      <c r="AD270" s="26">
        <f>IF(U270=0,"",ROUND((Y270-AA270)/U270*100,1))</f>
        <v/>
      </c>
      <c r="AE270" s="28" t="inlineStr">
        <is>
          <t>OK — totals reconciled</t>
        </is>
      </c>
      <c r="AF270" s="29" t="inlineStr">
        <is>
          <t>https://lrflideres.com.br/wp-content/plugins/download-attachments/includes/download.php?id=6879</t>
        </is>
      </c>
      <c r="AG270" s="28" t="inlineStr">
        <is>
          <t>p1 r12</t>
        </is>
      </c>
      <c r="AH270" s="28" t="inlineStr">
        <is>
          <t>p1: R$ 467.392,00</t>
        </is>
      </c>
      <c r="AI270" s="28" t="inlineStr">
        <is>
          <t>AJ list (art. 7 §2)</t>
        </is>
      </c>
      <c r="AJ270" s="28" t="inlineStr">
        <is>
          <t>2026-01-15</t>
        </is>
      </c>
      <c r="AK270" s="28" t="inlineStr">
        <is>
          <t>NONE FOUND</t>
        </is>
      </c>
      <c r="AL270" s="30" t="inlineStr">
        <is>
          <t>0804401-51.2025.8.14.0039</t>
        </is>
      </c>
      <c r="AM270" s="30" t="inlineStr">
        <is>
          <t>TJPA</t>
        </is>
      </c>
      <c r="AN270" s="30" t="inlineStr">
        <is>
          <t>ACTIVE</t>
        </is>
      </c>
      <c r="AO270" s="30" t="n">
        <v>2025</v>
      </c>
      <c r="AP270" s="30" t="inlineStr">
        <is>
          <t>live case, no plan document yet</t>
        </is>
      </c>
      <c r="AQ270" s="30" t="inlineStr">
        <is>
          <t>15.626.673/0003-90</t>
        </is>
      </c>
      <c r="AR270" s="30" t="inlineStr">
        <is>
          <t>printed on the list (read twice)</t>
        </is>
      </c>
      <c r="AS270" s="30" t="inlineStr">
        <is>
          <t>JANDAIA DO SUL</t>
        </is>
      </c>
      <c r="AT270" s="30" t="inlineStr">
        <is>
          <t>PR</t>
        </is>
      </c>
      <c r="AU270" s="30" t="inlineStr">
        <is>
          <t>Fabricação de defensivos agrícolas</t>
        </is>
      </c>
      <c r="AV270" s="30" t="inlineStr">
        <is>
          <t>DEMAIS</t>
        </is>
      </c>
      <c r="AW270" s="31" t="n">
        <v>6000000</v>
      </c>
      <c r="AX270" s="30" t="inlineStr">
        <is>
          <t>MID-MARKET</t>
        </is>
      </c>
      <c r="AY270" s="30" t="inlineStr">
        <is>
          <t>18373437</t>
        </is>
      </c>
      <c r="AZ270" s="30" t="n">
        <v>1</v>
      </c>
      <c r="BA270" s="30" t="inlineStr">
        <is>
          <t>ROWS:p1r12</t>
        </is>
      </c>
    </row>
    <row r="271">
      <c r="A271" s="16" t="inlineStr">
        <is>
          <t>ALTOMAX COMERCIO DE MEIAS E COBERTORES, IMPORTACAO E EXPORTACAO LTDA</t>
        </is>
      </c>
      <c r="B271" s="17" t="n">
        <v>460120.8</v>
      </c>
      <c r="C271" s="18" t="inlineStr">
        <is>
          <t>GRUPO CATTAN</t>
        </is>
      </c>
      <c r="D271" s="19" t="inlineStr">
        <is>
          <t>NEW</t>
        </is>
      </c>
      <c r="E271" s="20" t="inlineStr"/>
      <c r="F271" s="19" t="inlineStr"/>
      <c r="G271" s="20" t="inlineStr"/>
      <c r="H271" s="19" t="inlineStr"/>
      <c r="I271" s="21" t="inlineStr">
        <is>
          <t>ANDRE EGIDIO FARIAS PARIZE</t>
        </is>
      </c>
      <c r="J271" s="21" t="inlineStr">
        <is>
          <t>Administrador (RFB partner)</t>
        </is>
      </c>
      <c r="K271" s="21" t="inlineStr">
        <is>
          <t>(45) 3574-5322</t>
        </is>
      </c>
      <c r="L271" s="21" t="inlineStr"/>
      <c r="M271" s="21" t="inlineStr"/>
      <c r="N271" s="21" t="inlineStr"/>
      <c r="O271" s="21" t="inlineStr"/>
      <c r="P271" s="21" t="inlineStr"/>
      <c r="Q271" s="21" t="inlineStr"/>
      <c r="R271" s="21" t="inlineStr"/>
      <c r="S271" s="21" t="inlineStr"/>
      <c r="T271" s="21" t="inlineStr">
        <is>
          <t>RFB partner (QSA); no Apollo match</t>
        </is>
      </c>
      <c r="U271" s="22" t="n">
        <v>460120.8</v>
      </c>
      <c r="V271" s="23" t="inlineStr">
        <is>
          <t>B</t>
        </is>
      </c>
      <c r="W271" s="24">
        <f>IFERROR(VLOOKUP(V271,Assumptions!$A$7:$F$11,2,FALSE),0)</f>
        <v/>
      </c>
      <c r="X271" s="25">
        <f>IF(V271="A",MAX(1,IFERROR(VLOOKUP(V271,Assumptions!$A$7:$F$11,3,FALSE),3)+IFERROR(VLOOKUP(V271,Assumptions!$A$7:$F$11,4,FALSE),8)/2-MAX(0,IF(AO271="",0,YEAR(TODAY())-AO271)-IFERROR(VLOOKUP(V271,Assumptions!$A$7:$F$11,5,FALSE),1.5))),IFERROR(VLOOKUP(V271,Assumptions!$A$7:$F$11,5,FALSE),2.5)+IFERROR(VLOOKUP(V271,Assumptions!$A$7:$F$11,3,FALSE),3)+IFERROR(VLOOKUP(V271,Assumptions!$A$7:$F$11,4,FALSE),8)/2)</f>
        <v/>
      </c>
      <c r="Y271" s="22">
        <f>U271*W271/(1+Assumptions!$B$3)^X271</f>
        <v/>
      </c>
      <c r="Z271" s="26">
        <f>IF(U271=0,"",ROUND(Y271/U271*100,1))</f>
        <v/>
      </c>
      <c r="AA271" s="27">
        <f>Y271*Assumptions!$B$4</f>
        <v/>
      </c>
      <c r="AB271" s="26">
        <f>IF(U271=0,"",ROUND(AA271/U271*100,1))</f>
        <v/>
      </c>
      <c r="AC271" s="27">
        <f>Y271-AA271</f>
        <v/>
      </c>
      <c r="AD271" s="26">
        <f>IF(U271=0,"",ROUND((Y271-AA271)/U271*100,1))</f>
        <v/>
      </c>
      <c r="AE271" s="34" t="inlineStr">
        <is>
          <t>PARTIAL — class III reconciled, other classes not</t>
        </is>
      </c>
      <c r="AF271" s="29" t="inlineStr">
        <is>
          <t>https://lrflideres.com.br/wp-content/plugins/download-attachments/includes/download.php?id=4023</t>
        </is>
      </c>
      <c r="AG271" s="28" t="inlineStr">
        <is>
          <t>p4 r53; p7 r73; p9 r56</t>
        </is>
      </c>
      <c r="AH271" s="28" t="inlineStr">
        <is>
          <t>p4: R$ 35.372,00; p7: R$ 344.791,28; p9: R$ 79.957,52</t>
        </is>
      </c>
      <c r="AI271" s="28" t="inlineStr">
        <is>
          <t>Debtor list (art. 51)</t>
        </is>
      </c>
      <c r="AJ271" s="28" t="inlineStr"/>
      <c r="AK271" s="28" t="inlineStr">
        <is>
          <t>NONE FOUND</t>
        </is>
      </c>
      <c r="AL271" s="30" t="inlineStr">
        <is>
          <t>0002484-82.2022.8.17.2001</t>
        </is>
      </c>
      <c r="AM271" s="30" t="inlineStr">
        <is>
          <t>TJPE</t>
        </is>
      </c>
      <c r="AN271" s="30" t="inlineStr">
        <is>
          <t>ACTIVE</t>
        </is>
      </c>
      <c r="AO271" s="30" t="n">
        <v>2022</v>
      </c>
      <c r="AP271" s="30" t="inlineStr">
        <is>
          <t>live case, no plan document yet</t>
        </is>
      </c>
      <c r="AQ271" s="30" t="inlineStr"/>
      <c r="AR271" s="30" t="inlineStr">
        <is>
          <t>printed on the list (read twice)</t>
        </is>
      </c>
      <c r="AS271" s="30" t="inlineStr">
        <is>
          <t>FOZ DO IGUACU</t>
        </is>
      </c>
      <c r="AT271" s="30" t="inlineStr">
        <is>
          <t>PR</t>
        </is>
      </c>
      <c r="AU271" s="30" t="inlineStr">
        <is>
          <t>Comércio atacadista de artigos de cama, mesa e banho</t>
        </is>
      </c>
      <c r="AV271" s="30" t="inlineStr">
        <is>
          <t>DEMAIS</t>
        </is>
      </c>
      <c r="AW271" s="31" t="n">
        <v>5179647</v>
      </c>
      <c r="AX271" s="30" t="inlineStr">
        <is>
          <t>MID-MARKET</t>
        </is>
      </c>
      <c r="AY271" s="30" t="inlineStr">
        <is>
          <t>08307549</t>
        </is>
      </c>
      <c r="AZ271" s="30" t="n">
        <v>3</v>
      </c>
      <c r="BA271" s="30" t="inlineStr">
        <is>
          <t>PARTIAL_DOC_CLASS_III_RECONCILED ROWS:p4r53,p7r73,p9r56</t>
        </is>
      </c>
    </row>
    <row r="272">
      <c r="A272" s="16" t="inlineStr">
        <is>
          <t>DE HEUS INDUSTRIA E COMERCIO DE NUTRICAO ANIMAL LTDA</t>
        </is>
      </c>
      <c r="B272" s="17" t="n">
        <v>246779.9</v>
      </c>
      <c r="C272" s="18" t="inlineStr">
        <is>
          <t>GRUPO 3E</t>
        </is>
      </c>
      <c r="D272" s="19" t="inlineStr">
        <is>
          <t>NEW</t>
        </is>
      </c>
      <c r="E272" s="20" t="inlineStr"/>
      <c r="F272" s="19" t="inlineStr"/>
      <c r="G272" s="20" t="inlineStr"/>
      <c r="H272" s="19" t="inlineStr"/>
      <c r="I272" s="21" t="inlineStr">
        <is>
          <t>Thiago Ferreira</t>
        </is>
      </c>
      <c r="J272" s="21" t="inlineStr">
        <is>
          <t>Finance &amp; IT Director</t>
        </is>
      </c>
      <c r="K272" s="21" t="inlineStr">
        <is>
          <t>(19) 3046-7109</t>
        </is>
      </c>
      <c r="L272" s="21" t="inlineStr">
        <is>
          <t>(19) 3046-7108</t>
        </is>
      </c>
      <c r="M272" s="21" t="inlineStr"/>
      <c r="N272" s="21" t="inlineStr">
        <is>
          <t>tferreira@deheus.com</t>
        </is>
      </c>
      <c r="O272" s="21" t="inlineStr">
        <is>
          <t>sandrarusene@deheus.com.br</t>
        </is>
      </c>
      <c r="P272" s="21" t="inlineStr">
        <is>
          <t>Sandra Rusene</t>
        </is>
      </c>
      <c r="Q272" s="21" t="inlineStr">
        <is>
          <t>Analista de Crédito e Cobrança III</t>
        </is>
      </c>
      <c r="R272" s="21" t="inlineStr"/>
      <c r="S272" s="21" t="inlineStr">
        <is>
          <t>sandrarusene@deheus.com.br</t>
        </is>
      </c>
      <c r="T272" s="21" t="inlineStr">
        <is>
          <t>email verified by Apollo</t>
        </is>
      </c>
      <c r="U272" s="22" t="n">
        <v>246779.9</v>
      </c>
      <c r="V272" s="35" t="inlineStr">
        <is>
          <t>A</t>
        </is>
      </c>
      <c r="W272" s="24">
        <f>IFERROR(VLOOKUP(V272,Assumptions!$A$7:$F$11,2,FALSE),0)</f>
        <v/>
      </c>
      <c r="X272" s="25">
        <f>IF(V272="A",MAX(1,IFERROR(VLOOKUP(V272,Assumptions!$A$7:$F$11,3,FALSE),3)+IFERROR(VLOOKUP(V272,Assumptions!$A$7:$F$11,4,FALSE),8)/2-MAX(0,IF(AO272="",0,YEAR(TODAY())-AO272)-IFERROR(VLOOKUP(V272,Assumptions!$A$7:$F$11,5,FALSE),1.5))),IFERROR(VLOOKUP(V272,Assumptions!$A$7:$F$11,5,FALSE),2.5)+IFERROR(VLOOKUP(V272,Assumptions!$A$7:$F$11,3,FALSE),3)+IFERROR(VLOOKUP(V272,Assumptions!$A$7:$F$11,4,FALSE),8)/2)</f>
        <v/>
      </c>
      <c r="Y272" s="22">
        <f>U272*W272/(1+Assumptions!$B$3)^X272</f>
        <v/>
      </c>
      <c r="Z272" s="26">
        <f>IF(U272=0,"",ROUND(Y272/U272*100,1))</f>
        <v/>
      </c>
      <c r="AA272" s="27">
        <f>Y272*Assumptions!$B$4</f>
        <v/>
      </c>
      <c r="AB272" s="26">
        <f>IF(U272=0,"",ROUND(AA272/U272*100,1))</f>
        <v/>
      </c>
      <c r="AC272" s="27">
        <f>Y272-AA272</f>
        <v/>
      </c>
      <c r="AD272" s="26">
        <f>IF(U272=0,"",ROUND((Y272-AA272)/U272*100,1))</f>
        <v/>
      </c>
      <c r="AE272" s="33" t="inlineStr">
        <is>
          <t>NO TOTALS — list prints none; check page</t>
        </is>
      </c>
      <c r="AF272" s="29" t="inlineStr">
        <is>
          <t>https://stenius.com.br/wp-content/uploads/2026/06/EDITAL-GRUPO-3E.pdf</t>
        </is>
      </c>
      <c r="AG272" s="28" t="inlineStr">
        <is>
          <t>p12 r28</t>
        </is>
      </c>
      <c r="AH272" s="28" t="inlineStr">
        <is>
          <t>p12: R$ 246.779,90</t>
        </is>
      </c>
      <c r="AI272" s="28" t="inlineStr">
        <is>
          <t>Debtor list (art. 51)</t>
        </is>
      </c>
      <c r="AJ272" s="28" t="inlineStr">
        <is>
          <t>2026-06-22</t>
        </is>
      </c>
      <c r="AK272" s="28" t="inlineStr">
        <is>
          <t>PLAN DOC FOUND</t>
        </is>
      </c>
      <c r="AL272" s="30" t="inlineStr">
        <is>
          <t>5341375-33.2026.8.09.0049</t>
        </is>
      </c>
      <c r="AM272" s="30" t="inlineStr">
        <is>
          <t>TJGO</t>
        </is>
      </c>
      <c r="AN272" s="30" t="inlineStr">
        <is>
          <t>ACTIVE</t>
        </is>
      </c>
      <c r="AO272" s="30" t="n">
        <v>2026</v>
      </c>
      <c r="AP272" s="30" t="inlineStr">
        <is>
          <t>plan/homologation document found</t>
        </is>
      </c>
      <c r="AQ272" s="30" t="inlineStr"/>
      <c r="AR272" s="30" t="inlineStr">
        <is>
          <t>printed on the list (read twice)</t>
        </is>
      </c>
      <c r="AS272" s="30" t="inlineStr">
        <is>
          <t>RIO CLARO</t>
        </is>
      </c>
      <c r="AT272" s="30" t="inlineStr">
        <is>
          <t>SP</t>
        </is>
      </c>
      <c r="AU272" s="30" t="inlineStr">
        <is>
          <t>Fabricação de alimentos para animais</t>
        </is>
      </c>
      <c r="AV272" s="30" t="inlineStr">
        <is>
          <t>DEMAIS</t>
        </is>
      </c>
      <c r="AW272" s="31" t="n">
        <v>201045090</v>
      </c>
      <c r="AX272" s="30" t="inlineStr">
        <is>
          <t>MID-MARKET</t>
        </is>
      </c>
      <c r="AY272" s="30" t="inlineStr">
        <is>
          <t>02513991</t>
        </is>
      </c>
      <c r="AZ272" s="30" t="n">
        <v>1</v>
      </c>
      <c r="BA272" s="30" t="inlineStr">
        <is>
          <t>ROWS:p12r28 UNRECONCILED_SOURCE</t>
        </is>
      </c>
    </row>
    <row r="273">
      <c r="A273" s="16" t="inlineStr">
        <is>
          <t>LIFECOR COMERCIO DE PRODUTOS HOSPITALARES LTDA</t>
        </is>
      </c>
      <c r="B273" s="17" t="n">
        <v>459688.97</v>
      </c>
      <c r="C273" s="18" t="inlineStr">
        <is>
          <t>ASSOCIAÇÃO DE CARIDADE SANTA CASA DO RIO GRANDE</t>
        </is>
      </c>
      <c r="D273" s="19" t="inlineStr">
        <is>
          <t>NEW</t>
        </is>
      </c>
      <c r="E273" s="20" t="inlineStr"/>
      <c r="F273" s="19" t="inlineStr"/>
      <c r="G273" s="20" t="inlineStr"/>
      <c r="H273" s="19" t="inlineStr"/>
      <c r="I273" s="21" t="inlineStr">
        <is>
          <t>ELEONARDA TEREZINHA DOS SANTOS SAMPAIO</t>
        </is>
      </c>
      <c r="J273" s="21" t="inlineStr">
        <is>
          <t>Sócio-Administrador (RFB partner)</t>
        </is>
      </c>
      <c r="K273" s="21" t="inlineStr">
        <is>
          <t>(51) 3219-4026</t>
        </is>
      </c>
      <c r="L273" s="21" t="inlineStr"/>
      <c r="M273" s="21" t="inlineStr"/>
      <c r="N273" s="21" t="inlineStr"/>
      <c r="O273" s="21" t="inlineStr"/>
      <c r="P273" s="21" t="inlineStr">
        <is>
          <t>MARCO LANIUS RAUBER</t>
        </is>
      </c>
      <c r="Q273" s="21" t="inlineStr">
        <is>
          <t>Sócio-Administrador (RFB partner)</t>
        </is>
      </c>
      <c r="R273" s="21" t="inlineStr"/>
      <c r="S273" s="21" t="inlineStr"/>
      <c r="T273" s="21" t="inlineStr">
        <is>
          <t>RFB partner (QSA); no Apollo match</t>
        </is>
      </c>
      <c r="U273" s="22" t="n">
        <v>459688.97</v>
      </c>
      <c r="V273" s="23" t="inlineStr">
        <is>
          <t>B</t>
        </is>
      </c>
      <c r="W273" s="24">
        <f>IFERROR(VLOOKUP(V273,Assumptions!$A$7:$F$11,2,FALSE),0)</f>
        <v/>
      </c>
      <c r="X273" s="25">
        <f>IF(V273="A",MAX(1,IFERROR(VLOOKUP(V273,Assumptions!$A$7:$F$11,3,FALSE),3)+IFERROR(VLOOKUP(V273,Assumptions!$A$7:$F$11,4,FALSE),8)/2-MAX(0,IF(AO273="",0,YEAR(TODAY())-AO273)-IFERROR(VLOOKUP(V273,Assumptions!$A$7:$F$11,5,FALSE),1.5))),IFERROR(VLOOKUP(V273,Assumptions!$A$7:$F$11,5,FALSE),2.5)+IFERROR(VLOOKUP(V273,Assumptions!$A$7:$F$11,3,FALSE),3)+IFERROR(VLOOKUP(V273,Assumptions!$A$7:$F$11,4,FALSE),8)/2)</f>
        <v/>
      </c>
      <c r="Y273" s="22">
        <f>U273*W273/(1+Assumptions!$B$3)^X273</f>
        <v/>
      </c>
      <c r="Z273" s="26">
        <f>IF(U273=0,"",ROUND(Y273/U273*100,1))</f>
        <v/>
      </c>
      <c r="AA273" s="27">
        <f>Y273*Assumptions!$B$4</f>
        <v/>
      </c>
      <c r="AB273" s="26">
        <f>IF(U273=0,"",ROUND(AA273/U273*100,1))</f>
        <v/>
      </c>
      <c r="AC273" s="27">
        <f>Y273-AA273</f>
        <v/>
      </c>
      <c r="AD273" s="26">
        <f>IF(U273=0,"",ROUND((Y273-AA273)/U273*100,1))</f>
        <v/>
      </c>
      <c r="AE273" s="33" t="inlineStr">
        <is>
          <t>NO TOTALS — list prints none; check page</t>
        </is>
      </c>
      <c r="AF273" s="29" t="inlineStr">
        <is>
          <t>https://scalzilliaj.com.br/sgc/download.php?file=files/processo_documento/processo_documento09120721032023_1_.pdf&amp;nome=15 - Edital do art. 7º, §2º e 53 da Lei 11.101/2005 (segunda lista de credores e recebimento do plano))</t>
        </is>
      </c>
      <c r="AG273" s="28" t="inlineStr">
        <is>
          <t>p28 r29</t>
        </is>
      </c>
      <c r="AH273" s="28" t="inlineStr">
        <is>
          <t>p28: R$ 459.688,97</t>
        </is>
      </c>
      <c r="AI273" s="28" t="inlineStr">
        <is>
          <t>AJ list (art. 7 §2)</t>
        </is>
      </c>
      <c r="AJ273" s="28" t="inlineStr">
        <is>
          <t>2023-03-21</t>
        </is>
      </c>
      <c r="AK273" s="28" t="inlineStr">
        <is>
          <t>NONE FOUND</t>
        </is>
      </c>
      <c r="AL273" s="30" t="inlineStr">
        <is>
          <t>5012306-16.2022.8.21.0023</t>
        </is>
      </c>
      <c r="AM273" s="30" t="inlineStr">
        <is>
          <t>TJRS</t>
        </is>
      </c>
      <c r="AN273" s="30" t="inlineStr">
        <is>
          <t>ACTIVE</t>
        </is>
      </c>
      <c r="AO273" s="30" t="n">
        <v>2022</v>
      </c>
      <c r="AP273" s="30" t="inlineStr">
        <is>
          <t>live case, no plan document yet</t>
        </is>
      </c>
      <c r="AQ273" s="30" t="inlineStr"/>
      <c r="AR273" s="30" t="inlineStr">
        <is>
          <t>printed on the list (read twice)</t>
        </is>
      </c>
      <c r="AS273" s="30" t="inlineStr">
        <is>
          <t>PORTO ALEGRE</t>
        </is>
      </c>
      <c r="AT273" s="30" t="inlineStr">
        <is>
          <t>RS</t>
        </is>
      </c>
      <c r="AU273" s="30" t="inlineStr">
        <is>
          <t>Comércio atacadista de instrumentos e materiais para uso médico, cirúrgico, hospitalar e de laboratórios</t>
        </is>
      </c>
      <c r="AV273" s="30" t="inlineStr">
        <is>
          <t>DEMAIS</t>
        </is>
      </c>
      <c r="AW273" s="31" t="inlineStr"/>
      <c r="AX273" s="30" t="inlineStr">
        <is>
          <t>MID-MARKET</t>
        </is>
      </c>
      <c r="AY273" s="30" t="inlineStr">
        <is>
          <t>07108742</t>
        </is>
      </c>
      <c r="AZ273" s="30" t="n">
        <v>1</v>
      </c>
      <c r="BA273" s="30" t="inlineStr">
        <is>
          <t>ROWS:p28r29 UNRECONCILED_SOURCE</t>
        </is>
      </c>
    </row>
    <row r="274">
      <c r="A274" s="16" t="inlineStr">
        <is>
          <t>MASUT COMBUSTIVEIS LTDA</t>
        </is>
      </c>
      <c r="B274" s="17" t="n">
        <v>245850</v>
      </c>
      <c r="C274" s="18" t="inlineStr">
        <is>
          <t>GRUPO 3E</t>
        </is>
      </c>
      <c r="D274" s="19" t="inlineStr">
        <is>
          <t>NEW</t>
        </is>
      </c>
      <c r="E274" s="20" t="inlineStr"/>
      <c r="F274" s="19" t="inlineStr"/>
      <c r="G274" s="20" t="inlineStr"/>
      <c r="H274" s="19" t="inlineStr"/>
      <c r="I274" s="21" t="inlineStr">
        <is>
          <t>Giuliana Tronconi</t>
        </is>
      </c>
      <c r="J274" s="21" t="inlineStr">
        <is>
          <t>Assessora Financeira</t>
        </is>
      </c>
      <c r="K274" s="21" t="inlineStr">
        <is>
          <t>(62) 3321-9100</t>
        </is>
      </c>
      <c r="L274" s="21" t="inlineStr"/>
      <c r="M274" s="21" t="inlineStr"/>
      <c r="N274" s="21" t="inlineStr"/>
      <c r="O274" s="21" t="inlineStr">
        <is>
          <t>ruiter@masut.com.br</t>
        </is>
      </c>
      <c r="P274" s="21" t="inlineStr">
        <is>
          <t>Ruiter Araujo</t>
        </is>
      </c>
      <c r="Q274" s="21" t="inlineStr">
        <is>
          <t>Commercial Manager</t>
        </is>
      </c>
      <c r="R274" s="21" t="inlineStr"/>
      <c r="S274" s="21" t="inlineStr">
        <is>
          <t>ruiter@masut.com.br</t>
        </is>
      </c>
      <c r="T274" s="21" t="inlineStr">
        <is>
          <t>no work email found in Apollo</t>
        </is>
      </c>
      <c r="U274" s="22" t="n">
        <v>245850</v>
      </c>
      <c r="V274" s="35" t="inlineStr">
        <is>
          <t>A</t>
        </is>
      </c>
      <c r="W274" s="24">
        <f>IFERROR(VLOOKUP(V274,Assumptions!$A$7:$F$11,2,FALSE),0)</f>
        <v/>
      </c>
      <c r="X274" s="25">
        <f>IF(V274="A",MAX(1,IFERROR(VLOOKUP(V274,Assumptions!$A$7:$F$11,3,FALSE),3)+IFERROR(VLOOKUP(V274,Assumptions!$A$7:$F$11,4,FALSE),8)/2-MAX(0,IF(AO274="",0,YEAR(TODAY())-AO274)-IFERROR(VLOOKUP(V274,Assumptions!$A$7:$F$11,5,FALSE),1.5))),IFERROR(VLOOKUP(V274,Assumptions!$A$7:$F$11,5,FALSE),2.5)+IFERROR(VLOOKUP(V274,Assumptions!$A$7:$F$11,3,FALSE),3)+IFERROR(VLOOKUP(V274,Assumptions!$A$7:$F$11,4,FALSE),8)/2)</f>
        <v/>
      </c>
      <c r="Y274" s="22">
        <f>U274*W274/(1+Assumptions!$B$3)^X274</f>
        <v/>
      </c>
      <c r="Z274" s="26">
        <f>IF(U274=0,"",ROUND(Y274/U274*100,1))</f>
        <v/>
      </c>
      <c r="AA274" s="27">
        <f>Y274*Assumptions!$B$4</f>
        <v/>
      </c>
      <c r="AB274" s="26">
        <f>IF(U274=0,"",ROUND(AA274/U274*100,1))</f>
        <v/>
      </c>
      <c r="AC274" s="27">
        <f>Y274-AA274</f>
        <v/>
      </c>
      <c r="AD274" s="26">
        <f>IF(U274=0,"",ROUND((Y274-AA274)/U274*100,1))</f>
        <v/>
      </c>
      <c r="AE274" s="33" t="inlineStr">
        <is>
          <t>NO TOTALS — list prints none; check page</t>
        </is>
      </c>
      <c r="AF274" s="29" t="inlineStr">
        <is>
          <t>https://stenius.com.br/wp-content/uploads/2026/06/EDITAL-GRUPO-3E.pdf</t>
        </is>
      </c>
      <c r="AG274" s="28" t="inlineStr">
        <is>
          <t>p15 r57</t>
        </is>
      </c>
      <c r="AH274" s="28" t="inlineStr">
        <is>
          <t>p15: R$ 245.850,00</t>
        </is>
      </c>
      <c r="AI274" s="28" t="inlineStr">
        <is>
          <t>Debtor list (art. 51)</t>
        </is>
      </c>
      <c r="AJ274" s="28" t="inlineStr">
        <is>
          <t>2026-06-22</t>
        </is>
      </c>
      <c r="AK274" s="28" t="inlineStr">
        <is>
          <t>PLAN DOC FOUND</t>
        </is>
      </c>
      <c r="AL274" s="30" t="inlineStr">
        <is>
          <t>5341375-33.2026.8.09.0049</t>
        </is>
      </c>
      <c r="AM274" s="30" t="inlineStr">
        <is>
          <t>TJGO</t>
        </is>
      </c>
      <c r="AN274" s="30" t="inlineStr">
        <is>
          <t>ACTIVE</t>
        </is>
      </c>
      <c r="AO274" s="30" t="n">
        <v>2026</v>
      </c>
      <c r="AP274" s="30" t="inlineStr">
        <is>
          <t>plan/homologation document found</t>
        </is>
      </c>
      <c r="AQ274" s="30" t="inlineStr"/>
      <c r="AR274" s="30" t="inlineStr">
        <is>
          <t>printed on the list (read twice)</t>
        </is>
      </c>
      <c r="AS274" s="30" t="inlineStr">
        <is>
          <t>SENADOR CANEDO</t>
        </is>
      </c>
      <c r="AT274" s="30" t="inlineStr">
        <is>
          <t>GO</t>
        </is>
      </c>
      <c r="AU274" s="30" t="inlineStr">
        <is>
          <t>Comércio atacadista de combustíveis realizado por transportador retalhista (T.R.R.)</t>
        </is>
      </c>
      <c r="AV274" s="30" t="inlineStr">
        <is>
          <t>DEMAIS</t>
        </is>
      </c>
      <c r="AW274" s="31" t="n">
        <v>7200000</v>
      </c>
      <c r="AX274" s="30" t="inlineStr">
        <is>
          <t>MID-MARKET</t>
        </is>
      </c>
      <c r="AY274" s="30" t="inlineStr">
        <is>
          <t>37350519</t>
        </is>
      </c>
      <c r="AZ274" s="30" t="n">
        <v>1</v>
      </c>
      <c r="BA274" s="30" t="inlineStr">
        <is>
          <t>ROWS:p15r57 UNRECONCILED_SOURCE</t>
        </is>
      </c>
    </row>
    <row r="275">
      <c r="A275" s="16" t="inlineStr">
        <is>
          <t>CROMEX S/A</t>
        </is>
      </c>
      <c r="B275" s="17" t="n">
        <v>453843</v>
      </c>
      <c r="C275" s="37" t="inlineStr">
        <is>
          <t>(debtor not identified — see proof)</t>
        </is>
      </c>
      <c r="D275" s="19" t="inlineStr">
        <is>
          <t>NEW</t>
        </is>
      </c>
      <c r="E275" s="20" t="inlineStr"/>
      <c r="F275" s="19" t="inlineStr"/>
      <c r="G275" s="20" t="inlineStr"/>
      <c r="H275" s="19" t="inlineStr"/>
      <c r="I275" s="21" t="inlineStr">
        <is>
          <t>Luiz Silva</t>
        </is>
      </c>
      <c r="J275" s="21" t="inlineStr">
        <is>
          <t>Financial Controller</t>
        </is>
      </c>
      <c r="K275" s="21" t="inlineStr">
        <is>
          <t>(11) 2131-5408</t>
        </is>
      </c>
      <c r="L275" s="21" t="inlineStr"/>
      <c r="M275" s="21" t="inlineStr"/>
      <c r="N275" s="21" t="inlineStr">
        <is>
          <t>luizc.silva@cromex.com.br</t>
        </is>
      </c>
      <c r="O275" s="21" t="inlineStr"/>
      <c r="P275" s="21" t="inlineStr"/>
      <c r="Q275" s="21" t="inlineStr"/>
      <c r="R275" s="21" t="inlineStr"/>
      <c r="S275" s="21" t="inlineStr"/>
      <c r="T275" s="21" t="inlineStr">
        <is>
          <t>email verified by Apollo</t>
        </is>
      </c>
      <c r="U275" s="22" t="n">
        <v>453843</v>
      </c>
      <c r="V275" s="23" t="inlineStr">
        <is>
          <t>B</t>
        </is>
      </c>
      <c r="W275" s="24">
        <f>IFERROR(VLOOKUP(V275,Assumptions!$A$7:$F$11,2,FALSE),0)</f>
        <v/>
      </c>
      <c r="X275" s="25">
        <f>IF(V275="A",MAX(1,IFERROR(VLOOKUP(V275,Assumptions!$A$7:$F$11,3,FALSE),3)+IFERROR(VLOOKUP(V275,Assumptions!$A$7:$F$11,4,FALSE),8)/2-MAX(0,IF(AO275="",0,YEAR(TODAY())-AO275)-IFERROR(VLOOKUP(V275,Assumptions!$A$7:$F$11,5,FALSE),1.5))),IFERROR(VLOOKUP(V275,Assumptions!$A$7:$F$11,5,FALSE),2.5)+IFERROR(VLOOKUP(V275,Assumptions!$A$7:$F$11,3,FALSE),3)+IFERROR(VLOOKUP(V275,Assumptions!$A$7:$F$11,4,FALSE),8)/2)</f>
        <v/>
      </c>
      <c r="Y275" s="22">
        <f>U275*W275/(1+Assumptions!$B$3)^X275</f>
        <v/>
      </c>
      <c r="Z275" s="26">
        <f>IF(U275=0,"",ROUND(Y275/U275*100,1))</f>
        <v/>
      </c>
      <c r="AA275" s="27">
        <f>Y275*Assumptions!$B$4</f>
        <v/>
      </c>
      <c r="AB275" s="26">
        <f>IF(U275=0,"",ROUND(AA275/U275*100,1))</f>
        <v/>
      </c>
      <c r="AC275" s="27">
        <f>Y275-AA275</f>
        <v/>
      </c>
      <c r="AD275" s="26">
        <f>IF(U275=0,"",ROUND((Y275-AA275)/U275*100,1))</f>
        <v/>
      </c>
      <c r="AE275" s="28" t="inlineStr">
        <is>
          <t>OK — totals reconciled</t>
        </is>
      </c>
      <c r="AF275" s="29" t="inlineStr">
        <is>
          <t>https://ajruiz.com.br/sites/default/files/public/arquivos-processos/2024-04/relacao_de_credores_recuperanda_1.pdf</t>
        </is>
      </c>
      <c r="AG275" s="28" t="inlineStr">
        <is>
          <t>p5 r11; p5 r12; p6 r1; p6 r2</t>
        </is>
      </c>
      <c r="AH275" s="28" t="inlineStr">
        <is>
          <t>p5: R$ 20.448,00; p5: R$ 29.215,00; p6: R$ 176.260,00; p6: R$ 227.920,00</t>
        </is>
      </c>
      <c r="AI275" s="28" t="inlineStr">
        <is>
          <t>QGC (art. 18)</t>
        </is>
      </c>
      <c r="AJ275" s="28" t="inlineStr">
        <is>
          <t>2024-01-31</t>
        </is>
      </c>
      <c r="AK275" s="28" t="inlineStr">
        <is>
          <t>NONE FOUND</t>
        </is>
      </c>
      <c r="AL275" s="30" t="inlineStr">
        <is>
          <t>1022634-27.2024.8.26.0100</t>
        </is>
      </c>
      <c r="AM275" s="30" t="inlineStr">
        <is>
          <t>TJSP</t>
        </is>
      </c>
      <c r="AN275" s="30" t="inlineStr"/>
      <c r="AO275" s="30" t="n">
        <v>2024</v>
      </c>
      <c r="AP275" s="30" t="inlineStr">
        <is>
          <t>live case, no plan document yet</t>
        </is>
      </c>
      <c r="AQ275" s="30" t="inlineStr"/>
      <c r="AR275" s="30" t="inlineStr">
        <is>
          <t>not identified</t>
        </is>
      </c>
      <c r="AS275" s="30" t="inlineStr">
        <is>
          <t>SAO PAULO</t>
        </is>
      </c>
      <c r="AT275" s="30" t="inlineStr">
        <is>
          <t>SP</t>
        </is>
      </c>
      <c r="AU275" s="30" t="inlineStr">
        <is>
          <t>Fabricação de artefatos de material plástico para usos industriais</t>
        </is>
      </c>
      <c r="AV275" s="30" t="inlineStr">
        <is>
          <t>DEMAIS</t>
        </is>
      </c>
      <c r="AW275" s="31" t="n">
        <v>134136296</v>
      </c>
      <c r="AX275" s="30" t="inlineStr">
        <is>
          <t>MID-MARKET</t>
        </is>
      </c>
      <c r="AY275" s="30" t="inlineStr">
        <is>
          <t>02271463</t>
        </is>
      </c>
      <c r="AZ275" s="30" t="n">
        <v>4</v>
      </c>
      <c r="BA275" s="30" t="inlineStr">
        <is>
          <t>ROWS:p5r11,p5r12,p6r1,p6r2 CASE_NUMBER_CORRECTED</t>
        </is>
      </c>
    </row>
    <row r="276">
      <c r="A276" s="16" t="inlineStr">
        <is>
          <t>TRANSNETO TRANSPORTE LTDA</t>
        </is>
      </c>
      <c r="B276" s="17" t="n">
        <v>452000.03</v>
      </c>
      <c r="C276" s="18" t="inlineStr">
        <is>
          <t>Grupo Agromeal</t>
        </is>
      </c>
      <c r="D276" s="19" t="inlineStr">
        <is>
          <t>NEW</t>
        </is>
      </c>
      <c r="E276" s="20" t="inlineStr"/>
      <c r="F276" s="19" t="inlineStr"/>
      <c r="G276" s="20" t="inlineStr"/>
      <c r="H276" s="19" t="inlineStr"/>
      <c r="I276" s="21" t="inlineStr">
        <is>
          <t>DELVINO SAMBINI NETO</t>
        </is>
      </c>
      <c r="J276" s="21" t="inlineStr">
        <is>
          <t>Administrador (RFB partner)</t>
        </is>
      </c>
      <c r="K276" s="21" t="inlineStr">
        <is>
          <t>(44) 9141-6545</t>
        </is>
      </c>
      <c r="L276" s="21" t="inlineStr"/>
      <c r="M276" s="21" t="inlineStr"/>
      <c r="N276" s="21" t="inlineStr"/>
      <c r="O276" s="21" t="inlineStr"/>
      <c r="P276" s="21" t="inlineStr"/>
      <c r="Q276" s="21" t="inlineStr"/>
      <c r="R276" s="21" t="inlineStr"/>
      <c r="S276" s="21" t="inlineStr"/>
      <c r="T276" s="21" t="inlineStr">
        <is>
          <t>RFB partner (QSA); no Apollo match</t>
        </is>
      </c>
      <c r="U276" s="22" t="n">
        <v>452000.03</v>
      </c>
      <c r="V276" s="23" t="inlineStr">
        <is>
          <t>B</t>
        </is>
      </c>
      <c r="W276" s="24">
        <f>IFERROR(VLOOKUP(V276,Assumptions!$A$7:$F$11,2,FALSE),0)</f>
        <v/>
      </c>
      <c r="X276" s="25">
        <f>IF(V276="A",MAX(1,IFERROR(VLOOKUP(V276,Assumptions!$A$7:$F$11,3,FALSE),3)+IFERROR(VLOOKUP(V276,Assumptions!$A$7:$F$11,4,FALSE),8)/2-MAX(0,IF(AO276="",0,YEAR(TODAY())-AO276)-IFERROR(VLOOKUP(V276,Assumptions!$A$7:$F$11,5,FALSE),1.5))),IFERROR(VLOOKUP(V276,Assumptions!$A$7:$F$11,5,FALSE),2.5)+IFERROR(VLOOKUP(V276,Assumptions!$A$7:$F$11,3,FALSE),3)+IFERROR(VLOOKUP(V276,Assumptions!$A$7:$F$11,4,FALSE),8)/2)</f>
        <v/>
      </c>
      <c r="Y276" s="22">
        <f>U276*W276/(1+Assumptions!$B$3)^X276</f>
        <v/>
      </c>
      <c r="Z276" s="26">
        <f>IF(U276=0,"",ROUND(Y276/U276*100,1))</f>
        <v/>
      </c>
      <c r="AA276" s="27">
        <f>Y276*Assumptions!$B$4</f>
        <v/>
      </c>
      <c r="AB276" s="26">
        <f>IF(U276=0,"",ROUND(AA276/U276*100,1))</f>
        <v/>
      </c>
      <c r="AC276" s="27">
        <f>Y276-AA276</f>
        <v/>
      </c>
      <c r="AD276" s="26">
        <f>IF(U276=0,"",ROUND((Y276-AA276)/U276*100,1))</f>
        <v/>
      </c>
      <c r="AE276" s="34" t="inlineStr">
        <is>
          <t>PARTIAL — class III reconciled, other classes not</t>
        </is>
      </c>
      <c r="AF276" s="29" t="inlineStr">
        <is>
          <t>https://marquesadmjudicial.com.br/sgc/download.php?file=files/processo_documento/processo_documento17040729052024_1_.pdf&amp;nome=Relação Nominal de Credores AJ-Sintética</t>
        </is>
      </c>
      <c r="AG276" s="28" t="inlineStr">
        <is>
          <t>p13 r9</t>
        </is>
      </c>
      <c r="AH276" s="28" t="inlineStr">
        <is>
          <t>p13: R$ 452.000,03</t>
        </is>
      </c>
      <c r="AI276" s="28" t="inlineStr">
        <is>
          <t>AJ list (art. 7 §2)</t>
        </is>
      </c>
      <c r="AJ276" s="28" t="inlineStr">
        <is>
          <t>2024-05-27</t>
        </is>
      </c>
      <c r="AK276" s="28" t="inlineStr">
        <is>
          <t>NONE FOUND</t>
        </is>
      </c>
      <c r="AL276" s="30" t="inlineStr">
        <is>
          <t>0003971-03.2023.8.16.0119</t>
        </is>
      </c>
      <c r="AM276" s="30" t="inlineStr">
        <is>
          <t>TJPR</t>
        </is>
      </c>
      <c r="AN276" s="30" t="inlineStr">
        <is>
          <t>ACTIVE</t>
        </is>
      </c>
      <c r="AO276" s="30" t="n">
        <v>2023</v>
      </c>
      <c r="AP276" s="30" t="inlineStr">
        <is>
          <t>live case, no plan document yet</t>
        </is>
      </c>
      <c r="AQ276" s="30" t="inlineStr">
        <is>
          <t>11.624.776/0001-07</t>
        </is>
      </c>
      <c r="AR276" s="30" t="inlineStr">
        <is>
          <t>printed on the list (read twice)</t>
        </is>
      </c>
      <c r="AS276" s="30" t="inlineStr">
        <is>
          <t>MARINGA</t>
        </is>
      </c>
      <c r="AT276" s="30" t="inlineStr">
        <is>
          <t>PR</t>
        </is>
      </c>
      <c r="AU276" s="30" t="inlineStr">
        <is>
          <t>Transporte rodoviário de carga, exceto produtos perigosos e mudanças, intermunicipal, interestadual e internacional</t>
        </is>
      </c>
      <c r="AV276" s="30" t="inlineStr">
        <is>
          <t>DEMAIS</t>
        </is>
      </c>
      <c r="AW276" s="31" t="n">
        <v>110000</v>
      </c>
      <c r="AX276" s="30" t="inlineStr">
        <is>
          <t>MID-MARKET</t>
        </is>
      </c>
      <c r="AY276" s="30" t="inlineStr">
        <is>
          <t>18548852</t>
        </is>
      </c>
      <c r="AZ276" s="30" t="n">
        <v>1</v>
      </c>
      <c r="BA276" s="30" t="inlineStr">
        <is>
          <t>PARTIAL_DOC_CLASS_III_RECONCILED ROWS:p13r9</t>
        </is>
      </c>
    </row>
    <row r="277">
      <c r="A277" s="16" t="inlineStr">
        <is>
          <t>PRIORI SEMENTES E DEFENSIVOS AGRICOLAS LTDA</t>
        </is>
      </c>
      <c r="B277" s="17" t="n">
        <v>449000</v>
      </c>
      <c r="C277" s="37" t="inlineStr">
        <is>
          <t>(debtor not identified — see proof)</t>
        </is>
      </c>
      <c r="D277" s="19" t="inlineStr">
        <is>
          <t>NEW</t>
        </is>
      </c>
      <c r="E277" s="20" t="inlineStr"/>
      <c r="F277" s="19" t="inlineStr"/>
      <c r="G277" s="20" t="inlineStr"/>
      <c r="H277" s="19" t="inlineStr"/>
      <c r="I277" s="21" t="inlineStr">
        <is>
          <t>Paulo Priori</t>
        </is>
      </c>
      <c r="J277" s="21" t="inlineStr">
        <is>
          <t>Diretor Administrativo</t>
        </is>
      </c>
      <c r="K277" s="21" t="inlineStr">
        <is>
          <t>(64) 3636-2641</t>
        </is>
      </c>
      <c r="L277" s="21" t="inlineStr">
        <is>
          <t>(64) 3636-2638</t>
        </is>
      </c>
      <c r="M277" s="21" t="inlineStr"/>
      <c r="N277" s="21" t="inlineStr">
        <is>
          <t>paulo@priorisementes.com.br</t>
        </is>
      </c>
      <c r="O277" s="21" t="inlineStr">
        <is>
          <t>thiago.costa@priorisementes.com.br</t>
        </is>
      </c>
      <c r="P277" s="21" t="inlineStr">
        <is>
          <t>Thiago Costa</t>
        </is>
      </c>
      <c r="Q277" s="21" t="inlineStr">
        <is>
          <t>Commercial Manager</t>
        </is>
      </c>
      <c r="R277" s="21" t="inlineStr"/>
      <c r="S277" s="21" t="inlineStr">
        <is>
          <t>thiago.costa@priorisementes.com.br</t>
        </is>
      </c>
      <c r="T277" s="21" t="inlineStr">
        <is>
          <t>email is pattern-guessed, not verified</t>
        </is>
      </c>
      <c r="U277" s="22" t="n">
        <v>449000</v>
      </c>
      <c r="V277" s="23" t="inlineStr">
        <is>
          <t>B</t>
        </is>
      </c>
      <c r="W277" s="24">
        <f>IFERROR(VLOOKUP(V277,Assumptions!$A$7:$F$11,2,FALSE),0)</f>
        <v/>
      </c>
      <c r="X277" s="25">
        <f>IF(V277="A",MAX(1,IFERROR(VLOOKUP(V277,Assumptions!$A$7:$F$11,3,FALSE),3)+IFERROR(VLOOKUP(V277,Assumptions!$A$7:$F$11,4,FALSE),8)/2-MAX(0,IF(AO277="",0,YEAR(TODAY())-AO277)-IFERROR(VLOOKUP(V277,Assumptions!$A$7:$F$11,5,FALSE),1.5))),IFERROR(VLOOKUP(V277,Assumptions!$A$7:$F$11,5,FALSE),2.5)+IFERROR(VLOOKUP(V277,Assumptions!$A$7:$F$11,3,FALSE),3)+IFERROR(VLOOKUP(V277,Assumptions!$A$7:$F$11,4,FALSE),8)/2)</f>
        <v/>
      </c>
      <c r="Y277" s="22">
        <f>U277*W277/(1+Assumptions!$B$3)^X277</f>
        <v/>
      </c>
      <c r="Z277" s="26">
        <f>IF(U277=0,"",ROUND(Y277/U277*100,1))</f>
        <v/>
      </c>
      <c r="AA277" s="27">
        <f>Y277*Assumptions!$B$4</f>
        <v/>
      </c>
      <c r="AB277" s="26">
        <f>IF(U277=0,"",ROUND(AA277/U277*100,1))</f>
        <v/>
      </c>
      <c r="AC277" s="27">
        <f>Y277-AA277</f>
        <v/>
      </c>
      <c r="AD277" s="26">
        <f>IF(U277=0,"",ROUND((Y277-AA277)/U277*100,1))</f>
        <v/>
      </c>
      <c r="AE277" s="33" t="inlineStr">
        <is>
          <t>NO TOTALS — list prints none; check page</t>
        </is>
      </c>
      <c r="AF277" s="29" t="inlineStr">
        <is>
          <t>https://scalzilliaj.com.br/sgc/download.php?file=files/processo_documento/processo_documento11421222052026_1_.pdf&amp;nome=08. Lista de credores do edital do art. 52, §1º da LREF</t>
        </is>
      </c>
      <c r="AG277" s="28" t="inlineStr">
        <is>
          <t>p2 r3</t>
        </is>
      </c>
      <c r="AH277" s="28" t="inlineStr">
        <is>
          <t>p2: R$ 449.000,00</t>
        </is>
      </c>
      <c r="AI277" s="28" t="inlineStr">
        <is>
          <t>Unclassified list</t>
        </is>
      </c>
      <c r="AJ277" s="28" t="inlineStr"/>
      <c r="AK277" s="28" t="inlineStr">
        <is>
          <t>NONE FOUND</t>
        </is>
      </c>
      <c r="AL277" s="30" t="inlineStr">
        <is>
          <t>5011369-81.2026.8.09.0093</t>
        </is>
      </c>
      <c r="AM277" s="30" t="inlineStr">
        <is>
          <t>TJGO</t>
        </is>
      </c>
      <c r="AN277" s="30" t="inlineStr">
        <is>
          <t>ACTIVE</t>
        </is>
      </c>
      <c r="AO277" s="30" t="n">
        <v>2026</v>
      </c>
      <c r="AP277" s="30" t="inlineStr">
        <is>
          <t>live case, no plan document yet</t>
        </is>
      </c>
      <c r="AQ277" s="30" t="inlineStr"/>
      <c r="AR277" s="30" t="inlineStr">
        <is>
          <t>not identified</t>
        </is>
      </c>
      <c r="AS277" s="30" t="inlineStr">
        <is>
          <t>JATAI</t>
        </is>
      </c>
      <c r="AT277" s="30" t="inlineStr">
        <is>
          <t>GO</t>
        </is>
      </c>
      <c r="AU277" s="30" t="inlineStr">
        <is>
          <t>Armazéns gerais - emissão de warrant</t>
        </is>
      </c>
      <c r="AV277" s="30" t="inlineStr">
        <is>
          <t>DEMAIS</t>
        </is>
      </c>
      <c r="AW277" s="31" t="n">
        <v>5838672</v>
      </c>
      <c r="AX277" s="30" t="inlineStr">
        <is>
          <t>MID-MARKET</t>
        </is>
      </c>
      <c r="AY277" s="30" t="inlineStr">
        <is>
          <t>12067326</t>
        </is>
      </c>
      <c r="AZ277" s="30" t="n">
        <v>1</v>
      </c>
      <c r="BA277" s="30" t="inlineStr">
        <is>
          <t>ROWS:p2r3 UNRECONCILED_SOURCE</t>
        </is>
      </c>
    </row>
    <row r="278">
      <c r="A278" s="16" t="inlineStr">
        <is>
          <t>CARGILL NOVOS HORIZONTES LTDA</t>
        </is>
      </c>
      <c r="B278" s="17" t="n">
        <v>239695</v>
      </c>
      <c r="C278" s="18" t="inlineStr">
        <is>
          <t>GRUPO 3E</t>
        </is>
      </c>
      <c r="D278" s="19" t="inlineStr">
        <is>
          <t>NEW</t>
        </is>
      </c>
      <c r="E278" s="20" t="inlineStr"/>
      <c r="F278" s="19" t="inlineStr"/>
      <c r="G278" s="20" t="inlineStr"/>
      <c r="H278" s="19" t="inlineStr"/>
      <c r="I278" s="21" t="inlineStr">
        <is>
          <t>Carlos Souza</t>
        </is>
      </c>
      <c r="J278" s="21" t="inlineStr">
        <is>
          <t>Analista de Cobrança Senior</t>
        </is>
      </c>
      <c r="K278" s="21" t="inlineStr">
        <is>
          <t>(11) 5099-3311</t>
        </is>
      </c>
      <c r="L278" s="21" t="inlineStr"/>
      <c r="M278" s="21" t="inlineStr"/>
      <c r="N278" s="21" t="inlineStr">
        <is>
          <t>c_souza@cargill.com</t>
        </is>
      </c>
      <c r="O278" s="21" t="inlineStr">
        <is>
          <t>renato_magalhaes@cargill.com</t>
        </is>
      </c>
      <c r="P278" s="21" t="inlineStr">
        <is>
          <t>Renato Magalhaes</t>
        </is>
      </c>
      <c r="Q278" s="21" t="inlineStr">
        <is>
          <t>Analista de Faturamento e Contas a Receber PL</t>
        </is>
      </c>
      <c r="R278" s="21" t="inlineStr"/>
      <c r="S278" s="21" t="inlineStr">
        <is>
          <t>renato_magalhaes@cargill.com</t>
        </is>
      </c>
      <c r="T278" s="21" t="inlineStr">
        <is>
          <t>email verified by Apollo</t>
        </is>
      </c>
      <c r="U278" s="22" t="n">
        <v>239695</v>
      </c>
      <c r="V278" s="35" t="inlineStr">
        <is>
          <t>A</t>
        </is>
      </c>
      <c r="W278" s="24">
        <f>IFERROR(VLOOKUP(V278,Assumptions!$A$7:$F$11,2,FALSE),0)</f>
        <v/>
      </c>
      <c r="X278" s="25">
        <f>IF(V278="A",MAX(1,IFERROR(VLOOKUP(V278,Assumptions!$A$7:$F$11,3,FALSE),3)+IFERROR(VLOOKUP(V278,Assumptions!$A$7:$F$11,4,FALSE),8)/2-MAX(0,IF(AO278="",0,YEAR(TODAY())-AO278)-IFERROR(VLOOKUP(V278,Assumptions!$A$7:$F$11,5,FALSE),1.5))),IFERROR(VLOOKUP(V278,Assumptions!$A$7:$F$11,5,FALSE),2.5)+IFERROR(VLOOKUP(V278,Assumptions!$A$7:$F$11,3,FALSE),3)+IFERROR(VLOOKUP(V278,Assumptions!$A$7:$F$11,4,FALSE),8)/2)</f>
        <v/>
      </c>
      <c r="Y278" s="22">
        <f>U278*W278/(1+Assumptions!$B$3)^X278</f>
        <v/>
      </c>
      <c r="Z278" s="26">
        <f>IF(U278=0,"",ROUND(Y278/U278*100,1))</f>
        <v/>
      </c>
      <c r="AA278" s="27">
        <f>Y278*Assumptions!$B$4</f>
        <v/>
      </c>
      <c r="AB278" s="26">
        <f>IF(U278=0,"",ROUND(AA278/U278*100,1))</f>
        <v/>
      </c>
      <c r="AC278" s="27">
        <f>Y278-AA278</f>
        <v/>
      </c>
      <c r="AD278" s="26">
        <f>IF(U278=0,"",ROUND((Y278-AA278)/U278*100,1))</f>
        <v/>
      </c>
      <c r="AE278" s="33" t="inlineStr">
        <is>
          <t>NO TOTALS — list prints none; check page</t>
        </is>
      </c>
      <c r="AF278" s="29" t="inlineStr">
        <is>
          <t>https://stenius.com.br/wp-content/uploads/2026/06/EDITAL-GRUPO-3E.pdf</t>
        </is>
      </c>
      <c r="AG278" s="28" t="inlineStr">
        <is>
          <t>p11 r34</t>
        </is>
      </c>
      <c r="AH278" s="28" t="inlineStr">
        <is>
          <t>p11: R$ 239.695,00</t>
        </is>
      </c>
      <c r="AI278" s="28" t="inlineStr">
        <is>
          <t>Debtor list (art. 51)</t>
        </is>
      </c>
      <c r="AJ278" s="28" t="inlineStr">
        <is>
          <t>2026-06-22</t>
        </is>
      </c>
      <c r="AK278" s="28" t="inlineStr">
        <is>
          <t>PLAN DOC FOUND</t>
        </is>
      </c>
      <c r="AL278" s="30" t="inlineStr">
        <is>
          <t>5341375-33.2026.8.09.0049</t>
        </is>
      </c>
      <c r="AM278" s="30" t="inlineStr">
        <is>
          <t>TJGO</t>
        </is>
      </c>
      <c r="AN278" s="30" t="inlineStr">
        <is>
          <t>ACTIVE</t>
        </is>
      </c>
      <c r="AO278" s="30" t="n">
        <v>2026</v>
      </c>
      <c r="AP278" s="30" t="inlineStr">
        <is>
          <t>plan/homologation document found</t>
        </is>
      </c>
      <c r="AQ278" s="30" t="inlineStr"/>
      <c r="AR278" s="30" t="inlineStr">
        <is>
          <t>printed on the list (read twice)</t>
        </is>
      </c>
      <c r="AS278" s="30" t="inlineStr">
        <is>
          <t>SAO PAULO</t>
        </is>
      </c>
      <c r="AT278" s="30" t="inlineStr">
        <is>
          <t>SP</t>
        </is>
      </c>
      <c r="AU278" s="30" t="inlineStr">
        <is>
          <t>Fabricação de óleos vegetais em bruto, exceto óleo de milho</t>
        </is>
      </c>
      <c r="AV278" s="30" t="inlineStr">
        <is>
          <t>DEMAIS</t>
        </is>
      </c>
      <c r="AW278" s="31" t="n">
        <v>2016252500</v>
      </c>
      <c r="AX278" s="30" t="inlineStr">
        <is>
          <t>LARGE CORP</t>
        </is>
      </c>
      <c r="AY278" s="30" t="inlineStr">
        <is>
          <t>50290329</t>
        </is>
      </c>
      <c r="AZ278" s="30" t="n">
        <v>1</v>
      </c>
      <c r="BA278" s="30" t="inlineStr">
        <is>
          <t>ROWS:p11r34 UNRECONCILED_SOURCE</t>
        </is>
      </c>
    </row>
    <row r="279">
      <c r="A279" s="16" t="inlineStr">
        <is>
          <t>SIEMENS HEALTHCARE DIAGNOSTICOS LTDA.</t>
        </is>
      </c>
      <c r="B279" s="17" t="n">
        <v>438000</v>
      </c>
      <c r="C279" s="18" t="inlineStr">
        <is>
          <t>ASSOCIAÇÃO DE CARIDADE SANTA CASA DO RIO GRANDE</t>
        </is>
      </c>
      <c r="D279" s="19" t="inlineStr">
        <is>
          <t>NEW</t>
        </is>
      </c>
      <c r="E279" s="20" t="inlineStr"/>
      <c r="F279" s="19" t="inlineStr"/>
      <c r="G279" s="20" t="inlineStr"/>
      <c r="H279" s="19" t="inlineStr"/>
      <c r="I279" s="21" t="inlineStr">
        <is>
          <t>ADRIANA SILVA DA COSTA</t>
        </is>
      </c>
      <c r="J279" s="21" t="inlineStr">
        <is>
          <t>Administrador (RFB partner)</t>
        </is>
      </c>
      <c r="K279" s="21" t="inlineStr">
        <is>
          <t>(11) 4585-7350</t>
        </is>
      </c>
      <c r="L279" s="21" t="inlineStr"/>
      <c r="M279" s="21" t="inlineStr"/>
      <c r="N279" s="21" t="inlineStr"/>
      <c r="O279" s="21" t="inlineStr"/>
      <c r="P279" s="21" t="inlineStr">
        <is>
          <t>CARLOS ALBERTO DI LORENZO</t>
        </is>
      </c>
      <c r="Q279" s="21" t="inlineStr">
        <is>
          <t>Administrador (RFB partner)</t>
        </is>
      </c>
      <c r="R279" s="21" t="inlineStr"/>
      <c r="S279" s="21" t="inlineStr"/>
      <c r="T279" s="21" t="inlineStr">
        <is>
          <t>RFB partner (QSA); no Apollo match</t>
        </is>
      </c>
      <c r="U279" s="22" t="n">
        <v>438000</v>
      </c>
      <c r="V279" s="23" t="inlineStr">
        <is>
          <t>B</t>
        </is>
      </c>
      <c r="W279" s="24">
        <f>IFERROR(VLOOKUP(V279,Assumptions!$A$7:$F$11,2,FALSE),0)</f>
        <v/>
      </c>
      <c r="X279" s="25">
        <f>IF(V279="A",MAX(1,IFERROR(VLOOKUP(V279,Assumptions!$A$7:$F$11,3,FALSE),3)+IFERROR(VLOOKUP(V279,Assumptions!$A$7:$F$11,4,FALSE),8)/2-MAX(0,IF(AO279="",0,YEAR(TODAY())-AO279)-IFERROR(VLOOKUP(V279,Assumptions!$A$7:$F$11,5,FALSE),1.5))),IFERROR(VLOOKUP(V279,Assumptions!$A$7:$F$11,5,FALSE),2.5)+IFERROR(VLOOKUP(V279,Assumptions!$A$7:$F$11,3,FALSE),3)+IFERROR(VLOOKUP(V279,Assumptions!$A$7:$F$11,4,FALSE),8)/2)</f>
        <v/>
      </c>
      <c r="Y279" s="22">
        <f>U279*W279/(1+Assumptions!$B$3)^X279</f>
        <v/>
      </c>
      <c r="Z279" s="26">
        <f>IF(U279=0,"",ROUND(Y279/U279*100,1))</f>
        <v/>
      </c>
      <c r="AA279" s="27">
        <f>Y279*Assumptions!$B$4</f>
        <v/>
      </c>
      <c r="AB279" s="26">
        <f>IF(U279=0,"",ROUND(AA279/U279*100,1))</f>
        <v/>
      </c>
      <c r="AC279" s="27">
        <f>Y279-AA279</f>
        <v/>
      </c>
      <c r="AD279" s="26">
        <f>IF(U279=0,"",ROUND((Y279-AA279)/U279*100,1))</f>
        <v/>
      </c>
      <c r="AE279" s="33" t="inlineStr">
        <is>
          <t>NO TOTALS — list prints none; check page</t>
        </is>
      </c>
      <c r="AF279" s="29" t="inlineStr">
        <is>
          <t>https://scalzilliaj.com.br/sgc/download.php?file=files/processo_documento/processo_documento09120721032023_1_.pdf&amp;nome=15 - Edital do art. 7º, §2º e 53 da Lei 11.101/2005 (segunda lista de credores e recebimento do plano))</t>
        </is>
      </c>
      <c r="AG279" s="28" t="inlineStr">
        <is>
          <t>p29 r50</t>
        </is>
      </c>
      <c r="AH279" s="28" t="inlineStr">
        <is>
          <t>p29: R$ 438.000,00</t>
        </is>
      </c>
      <c r="AI279" s="28" t="inlineStr">
        <is>
          <t>AJ list (art. 7 §2)</t>
        </is>
      </c>
      <c r="AJ279" s="28" t="inlineStr">
        <is>
          <t>2023-03-21</t>
        </is>
      </c>
      <c r="AK279" s="28" t="inlineStr">
        <is>
          <t>NONE FOUND</t>
        </is>
      </c>
      <c r="AL279" s="30" t="inlineStr">
        <is>
          <t>5012306-16.2022.8.21.0023</t>
        </is>
      </c>
      <c r="AM279" s="30" t="inlineStr">
        <is>
          <t>TJRS</t>
        </is>
      </c>
      <c r="AN279" s="30" t="inlineStr">
        <is>
          <t>ACTIVE</t>
        </is>
      </c>
      <c r="AO279" s="30" t="n">
        <v>2022</v>
      </c>
      <c r="AP279" s="30" t="inlineStr">
        <is>
          <t>live case, no plan document yet</t>
        </is>
      </c>
      <c r="AQ279" s="30" t="inlineStr"/>
      <c r="AR279" s="30" t="inlineStr">
        <is>
          <t>printed on the list (read twice)</t>
        </is>
      </c>
      <c r="AS279" s="30" t="inlineStr">
        <is>
          <t>SAO PAULO</t>
        </is>
      </c>
      <c r="AT279" s="30" t="inlineStr">
        <is>
          <t>SP</t>
        </is>
      </c>
      <c r="AU279" s="30" t="inlineStr">
        <is>
          <t>Comércio atacadista de instrumentos e materiais para uso médico, cirúrgico, hospitalar e de laboratórios</t>
        </is>
      </c>
      <c r="AV279" s="30" t="inlineStr">
        <is>
          <t>DEMAIS</t>
        </is>
      </c>
      <c r="AW279" s="31" t="n">
        <v>309332500</v>
      </c>
      <c r="AX279" s="30" t="inlineStr">
        <is>
          <t>MID-MARKET</t>
        </is>
      </c>
      <c r="AY279" s="30" t="inlineStr">
        <is>
          <t>01449930</t>
        </is>
      </c>
      <c r="AZ279" s="30" t="n">
        <v>1</v>
      </c>
      <c r="BA279" s="30" t="inlineStr">
        <is>
          <t>ROWS:p29r50 UNRECONCILED_SOURCE</t>
        </is>
      </c>
    </row>
    <row r="280">
      <c r="A280" s="16" t="inlineStr">
        <is>
          <t>MAID OLEOS E GORDURAS LTDA</t>
        </is>
      </c>
      <c r="B280" s="17" t="n">
        <v>434952</v>
      </c>
      <c r="C280" s="18" t="inlineStr">
        <is>
          <t>Grupo Agromeal</t>
        </is>
      </c>
      <c r="D280" s="19" t="inlineStr">
        <is>
          <t>NEW</t>
        </is>
      </c>
      <c r="E280" s="20" t="inlineStr"/>
      <c r="F280" s="19" t="inlineStr"/>
      <c r="G280" s="20" t="inlineStr"/>
      <c r="H280" s="19" t="inlineStr"/>
      <c r="I280" s="21" t="inlineStr">
        <is>
          <t>IDENILDE CASTURINA LEAL</t>
        </is>
      </c>
      <c r="J280" s="21" t="inlineStr">
        <is>
          <t>Sócio-Administrador (RFB partner)</t>
        </is>
      </c>
      <c r="K280" s="21" t="inlineStr">
        <is>
          <t>(44) 9868-0056</t>
        </is>
      </c>
      <c r="L280" s="21" t="inlineStr">
        <is>
          <t>(44) 9868-0013</t>
        </is>
      </c>
      <c r="M280" s="21" t="inlineStr"/>
      <c r="N280" s="21" t="inlineStr"/>
      <c r="O280" s="21" t="inlineStr"/>
      <c r="P280" s="21" t="inlineStr"/>
      <c r="Q280" s="21" t="inlineStr"/>
      <c r="R280" s="21" t="inlineStr"/>
      <c r="S280" s="21" t="inlineStr"/>
      <c r="T280" s="21" t="inlineStr">
        <is>
          <t>RFB partner (QSA); no Apollo match</t>
        </is>
      </c>
      <c r="U280" s="22" t="n">
        <v>434952</v>
      </c>
      <c r="V280" s="23" t="inlineStr">
        <is>
          <t>B</t>
        </is>
      </c>
      <c r="W280" s="24">
        <f>IFERROR(VLOOKUP(V280,Assumptions!$A$7:$F$11,2,FALSE),0)</f>
        <v/>
      </c>
      <c r="X280" s="25">
        <f>IF(V280="A",MAX(1,IFERROR(VLOOKUP(V280,Assumptions!$A$7:$F$11,3,FALSE),3)+IFERROR(VLOOKUP(V280,Assumptions!$A$7:$F$11,4,FALSE),8)/2-MAX(0,IF(AO280="",0,YEAR(TODAY())-AO280)-IFERROR(VLOOKUP(V280,Assumptions!$A$7:$F$11,5,FALSE),1.5))),IFERROR(VLOOKUP(V280,Assumptions!$A$7:$F$11,5,FALSE),2.5)+IFERROR(VLOOKUP(V280,Assumptions!$A$7:$F$11,3,FALSE),3)+IFERROR(VLOOKUP(V280,Assumptions!$A$7:$F$11,4,FALSE),8)/2)</f>
        <v/>
      </c>
      <c r="Y280" s="22">
        <f>U280*W280/(1+Assumptions!$B$3)^X280</f>
        <v/>
      </c>
      <c r="Z280" s="26">
        <f>IF(U280=0,"",ROUND(Y280/U280*100,1))</f>
        <v/>
      </c>
      <c r="AA280" s="27">
        <f>Y280*Assumptions!$B$4</f>
        <v/>
      </c>
      <c r="AB280" s="26">
        <f>IF(U280=0,"",ROUND(AA280/U280*100,1))</f>
        <v/>
      </c>
      <c r="AC280" s="27">
        <f>Y280-AA280</f>
        <v/>
      </c>
      <c r="AD280" s="26">
        <f>IF(U280=0,"",ROUND((Y280-AA280)/U280*100,1))</f>
        <v/>
      </c>
      <c r="AE280" s="34" t="inlineStr">
        <is>
          <t>PARTIAL — class III reconciled, other classes not</t>
        </is>
      </c>
      <c r="AF280" s="29" t="inlineStr">
        <is>
          <t>https://marquesadmjudicial.com.br/sgc/download.php?file=files/processo_documento/processo_documento17040729052024_1_.pdf&amp;nome=Relação Nominal de Credores AJ-Sintética</t>
        </is>
      </c>
      <c r="AG280" s="28" t="inlineStr">
        <is>
          <t>p12 r7</t>
        </is>
      </c>
      <c r="AH280" s="28" t="inlineStr">
        <is>
          <t>p12: R$ 434.952,00</t>
        </is>
      </c>
      <c r="AI280" s="28" t="inlineStr">
        <is>
          <t>AJ list (art. 7 §2)</t>
        </is>
      </c>
      <c r="AJ280" s="28" t="inlineStr">
        <is>
          <t>2024-05-27</t>
        </is>
      </c>
      <c r="AK280" s="28" t="inlineStr">
        <is>
          <t>NONE FOUND</t>
        </is>
      </c>
      <c r="AL280" s="30" t="inlineStr">
        <is>
          <t>0003971-03.2023.8.16.0119</t>
        </is>
      </c>
      <c r="AM280" s="30" t="inlineStr">
        <is>
          <t>TJPR</t>
        </is>
      </c>
      <c r="AN280" s="30" t="inlineStr">
        <is>
          <t>ACTIVE</t>
        </is>
      </c>
      <c r="AO280" s="30" t="n">
        <v>2023</v>
      </c>
      <c r="AP280" s="30" t="inlineStr">
        <is>
          <t>live case, no plan document yet</t>
        </is>
      </c>
      <c r="AQ280" s="30" t="inlineStr">
        <is>
          <t>11.624.776/0001-07</t>
        </is>
      </c>
      <c r="AR280" s="30" t="inlineStr">
        <is>
          <t>printed on the list (read twice)</t>
        </is>
      </c>
      <c r="AS280" s="30" t="inlineStr">
        <is>
          <t>PARANACITY</t>
        </is>
      </c>
      <c r="AT280" s="30" t="inlineStr">
        <is>
          <t>PR</t>
        </is>
      </c>
      <c r="AU280" s="30" t="inlineStr">
        <is>
          <t>Fabricação de produtos diversos não especificados anteriormente</t>
        </is>
      </c>
      <c r="AV280" s="30" t="inlineStr">
        <is>
          <t>DEMAIS</t>
        </is>
      </c>
      <c r="AW280" s="31" t="n">
        <v>680688</v>
      </c>
      <c r="AX280" s="30" t="inlineStr">
        <is>
          <t>MID-MARKET</t>
        </is>
      </c>
      <c r="AY280" s="30" t="inlineStr">
        <is>
          <t>17205148</t>
        </is>
      </c>
      <c r="AZ280" s="30" t="n">
        <v>1</v>
      </c>
      <c r="BA280" s="30" t="inlineStr">
        <is>
          <t>PARTIAL_DOC_CLASS_III_RECONCILED ROWS:p12r7</t>
        </is>
      </c>
    </row>
    <row r="281">
      <c r="A281" s="16" t="inlineStr">
        <is>
          <t>TRACBEL SA</t>
        </is>
      </c>
      <c r="B281" s="17" t="n">
        <v>786462.95</v>
      </c>
      <c r="C281" s="18" t="inlineStr">
        <is>
          <t>EGESA ENGENHARIA S/A (Consórcio ETDI)</t>
        </is>
      </c>
      <c r="D281" s="19" t="inlineStr">
        <is>
          <t>NEW</t>
        </is>
      </c>
      <c r="E281" s="20" t="inlineStr"/>
      <c r="F281" s="19" t="inlineStr"/>
      <c r="G281" s="20" t="inlineStr"/>
      <c r="H281" s="19" t="inlineStr"/>
      <c r="I281" s="21" t="inlineStr">
        <is>
          <t>Camila Silva</t>
        </is>
      </c>
      <c r="J281" s="21" t="inlineStr">
        <is>
          <t>Diretora Adm Financeiro</t>
        </is>
      </c>
      <c r="K281" s="21" t="inlineStr">
        <is>
          <t>(31) 2104-1800</t>
        </is>
      </c>
      <c r="L281" s="21" t="inlineStr"/>
      <c r="M281" s="21" t="inlineStr"/>
      <c r="N281" s="21" t="inlineStr">
        <is>
          <t>camila.silva@tracbel.com.br</t>
        </is>
      </c>
      <c r="O281" s="21" t="inlineStr">
        <is>
          <t>rafaela.assuncao@itaetemaquinas.com.br</t>
        </is>
      </c>
      <c r="P281" s="21" t="inlineStr">
        <is>
          <t>Rafaela Assuncao</t>
        </is>
      </c>
      <c r="Q281" s="21" t="inlineStr">
        <is>
          <t>Coordenadora de Contas a Receber</t>
        </is>
      </c>
      <c r="R281" s="21" t="inlineStr"/>
      <c r="S281" s="21" t="inlineStr">
        <is>
          <t>rafaela.assuncao@itaetemaquinas.com.br</t>
        </is>
      </c>
      <c r="T281" s="21" t="inlineStr">
        <is>
          <t>email verified by Apollo</t>
        </is>
      </c>
      <c r="U281" s="22" t="n">
        <v>786462.95</v>
      </c>
      <c r="V281" s="32" t="inlineStr">
        <is>
          <t>U</t>
        </is>
      </c>
      <c r="W281" s="24">
        <f>IFERROR(VLOOKUP(V281,Assumptions!$A$7:$F$11,2,FALSE),0)</f>
        <v/>
      </c>
      <c r="X281" s="25">
        <f>IF(V281="A",MAX(1,IFERROR(VLOOKUP(V281,Assumptions!$A$7:$F$11,3,FALSE),3)+IFERROR(VLOOKUP(V281,Assumptions!$A$7:$F$11,4,FALSE),8)/2-MAX(0,IF(AO281="",0,YEAR(TODAY())-AO281)-IFERROR(VLOOKUP(V281,Assumptions!$A$7:$F$11,5,FALSE),1.5))),IFERROR(VLOOKUP(V281,Assumptions!$A$7:$F$11,5,FALSE),2.5)+IFERROR(VLOOKUP(V281,Assumptions!$A$7:$F$11,3,FALSE),3)+IFERROR(VLOOKUP(V281,Assumptions!$A$7:$F$11,4,FALSE),8)/2)</f>
        <v/>
      </c>
      <c r="Y281" s="22">
        <f>U281*W281/(1+Assumptions!$B$3)^X281</f>
        <v/>
      </c>
      <c r="Z281" s="26">
        <f>IF(U281=0,"",ROUND(Y281/U281*100,1))</f>
        <v/>
      </c>
      <c r="AA281" s="27">
        <f>Y281*Assumptions!$B$4</f>
        <v/>
      </c>
      <c r="AB281" s="26">
        <f>IF(U281=0,"",ROUND(AA281/U281*100,1))</f>
        <v/>
      </c>
      <c r="AC281" s="27">
        <f>Y281-AA281</f>
        <v/>
      </c>
      <c r="AD281" s="26">
        <f>IF(U281=0,"",ROUND((Y281-AA281)/U281*100,1))</f>
        <v/>
      </c>
      <c r="AE281" s="28" t="inlineStr">
        <is>
          <t>OK — totals reconciled</t>
        </is>
      </c>
      <c r="AF281" s="29" t="inlineStr">
        <is>
          <t>https://scalzilliaj.com.br/sgc/download.php?file=files/processo_documento/processo_documento09514021082025_1_.pdf&amp;nome=04 - Relação de credores das Recuperandas</t>
        </is>
      </c>
      <c r="AG281" s="28" t="inlineStr">
        <is>
          <t>p74 r10</t>
        </is>
      </c>
      <c r="AH281" s="28" t="inlineStr">
        <is>
          <t>p74: R$ 786.462,95</t>
        </is>
      </c>
      <c r="AI281" s="28" t="inlineStr">
        <is>
          <t>Debtor list (art. 51)</t>
        </is>
      </c>
      <c r="AJ281" s="28" t="inlineStr"/>
      <c r="AK281" s="28" t="inlineStr">
        <is>
          <t>NONE FOUND</t>
        </is>
      </c>
      <c r="AL281" s="30" t="inlineStr">
        <is>
          <t>(not printed)</t>
        </is>
      </c>
      <c r="AM281" s="30" t="inlineStr"/>
      <c r="AN281" s="30" t="inlineStr"/>
      <c r="AO281" s="30" t="inlineStr"/>
      <c r="AP281" s="30" t="inlineStr">
        <is>
          <t>RJ case number not identified on the document</t>
        </is>
      </c>
      <c r="AQ281" s="30" t="inlineStr"/>
      <c r="AR281" s="30" t="inlineStr">
        <is>
          <t>portal page title / URL — not printed on the list</t>
        </is>
      </c>
      <c r="AS281" s="30" t="inlineStr">
        <is>
          <t>CONTAGEM</t>
        </is>
      </c>
      <c r="AT281" s="30" t="inlineStr">
        <is>
          <t>MG</t>
        </is>
      </c>
      <c r="AU281" s="30" t="inlineStr">
        <is>
          <t>Comércio atacadista de máquinas, equipamentos para terraplenagem, mineração e construção; partes e peças</t>
        </is>
      </c>
      <c r="AV281" s="30" t="inlineStr">
        <is>
          <t>DEMAIS</t>
        </is>
      </c>
      <c r="AW281" s="31" t="n">
        <v>136265060</v>
      </c>
      <c r="AX281" s="30" t="inlineStr">
        <is>
          <t>MID-MARKET</t>
        </is>
      </c>
      <c r="AY281" s="30" t="inlineStr">
        <is>
          <t>17312448</t>
        </is>
      </c>
      <c r="AZ281" s="30" t="n">
        <v>1</v>
      </c>
      <c r="BA281" s="30" t="inlineStr">
        <is>
          <t>ROWS:p74r10 VALUE_COL:Valor_Atualizado CASE_NUMBER_CORRECTED</t>
        </is>
      </c>
    </row>
    <row r="282">
      <c r="A282" s="16" t="inlineStr">
        <is>
          <t>COOPERATIVA REGIONAL AGROPECUARIA DE CAMPOS NOVOS - COPERCAMPOS</t>
        </is>
      </c>
      <c r="B282" s="17" t="n">
        <v>418883.74</v>
      </c>
      <c r="C282" s="18" t="inlineStr">
        <is>
          <t>SUINOCULTURA KUNZLER</t>
        </is>
      </c>
      <c r="D282" s="19" t="inlineStr">
        <is>
          <t>NEW</t>
        </is>
      </c>
      <c r="E282" s="20" t="inlineStr"/>
      <c r="F282" s="19" t="inlineStr"/>
      <c r="G282" s="20" t="inlineStr"/>
      <c r="H282" s="19" t="inlineStr"/>
      <c r="I282" s="21" t="inlineStr">
        <is>
          <t>Julio Wickert</t>
        </is>
      </c>
      <c r="J282" s="21" t="inlineStr">
        <is>
          <t>Executive Director</t>
        </is>
      </c>
      <c r="K282" s="21" t="inlineStr">
        <is>
          <t>(49) 3541-6000</t>
        </is>
      </c>
      <c r="L282" s="21" t="inlineStr">
        <is>
          <t>(49) 3541-6033</t>
        </is>
      </c>
      <c r="M282" s="21" t="inlineStr"/>
      <c r="N282" s="21" t="inlineStr">
        <is>
          <t>julio.wickert@copercampos.com.br</t>
        </is>
      </c>
      <c r="O282" s="21" t="inlineStr"/>
      <c r="P282" s="21" t="inlineStr">
        <is>
          <t>Laerte Junior</t>
        </is>
      </c>
      <c r="Q282" s="21" t="inlineStr">
        <is>
          <t>Diretor Insumos / Dpto Técnico</t>
        </is>
      </c>
      <c r="R282" s="21" t="inlineStr"/>
      <c r="S282" s="21" t="inlineStr"/>
      <c r="T282" s="21" t="inlineStr">
        <is>
          <t>email verified by Apollo</t>
        </is>
      </c>
      <c r="U282" s="22" t="n">
        <v>418883.74</v>
      </c>
      <c r="V282" s="23" t="inlineStr">
        <is>
          <t>B</t>
        </is>
      </c>
      <c r="W282" s="24">
        <f>IFERROR(VLOOKUP(V282,Assumptions!$A$7:$F$11,2,FALSE),0)</f>
        <v/>
      </c>
      <c r="X282" s="25">
        <f>IF(V282="A",MAX(1,IFERROR(VLOOKUP(V282,Assumptions!$A$7:$F$11,3,FALSE),3)+IFERROR(VLOOKUP(V282,Assumptions!$A$7:$F$11,4,FALSE),8)/2-MAX(0,IF(AO282="",0,YEAR(TODAY())-AO282)-IFERROR(VLOOKUP(V282,Assumptions!$A$7:$F$11,5,FALSE),1.5))),IFERROR(VLOOKUP(V282,Assumptions!$A$7:$F$11,5,FALSE),2.5)+IFERROR(VLOOKUP(V282,Assumptions!$A$7:$F$11,3,FALSE),3)+IFERROR(VLOOKUP(V282,Assumptions!$A$7:$F$11,4,FALSE),8)/2)</f>
        <v/>
      </c>
      <c r="Y282" s="22">
        <f>U282*W282/(1+Assumptions!$B$3)^X282</f>
        <v/>
      </c>
      <c r="Z282" s="26">
        <f>IF(U282=0,"",ROUND(Y282/U282*100,1))</f>
        <v/>
      </c>
      <c r="AA282" s="27">
        <f>Y282*Assumptions!$B$4</f>
        <v/>
      </c>
      <c r="AB282" s="26">
        <f>IF(U282=0,"",ROUND(AA282/U282*100,1))</f>
        <v/>
      </c>
      <c r="AC282" s="27">
        <f>Y282-AA282</f>
        <v/>
      </c>
      <c r="AD282" s="26">
        <f>IF(U282=0,"",ROUND((Y282-AA282)/U282*100,1))</f>
        <v/>
      </c>
      <c r="AE282" s="33" t="inlineStr">
        <is>
          <t>NO TOTALS — list prints none; check page</t>
        </is>
      </c>
      <c r="AF282" s="29" t="inlineStr">
        <is>
          <t>https://rlg-aj.com.br/wp-content/uploads/2024/11/07.-Relação-de-credores.pdf</t>
        </is>
      </c>
      <c r="AG282" s="28" t="inlineStr">
        <is>
          <t>p1 r25</t>
        </is>
      </c>
      <c r="AH282" s="28" t="inlineStr">
        <is>
          <t>p1: R$ 418.883,74</t>
        </is>
      </c>
      <c r="AI282" s="28" t="inlineStr">
        <is>
          <t>Unclassified list</t>
        </is>
      </c>
      <c r="AJ282" s="28" t="inlineStr"/>
      <c r="AK282" s="28" t="inlineStr">
        <is>
          <t>NONE FOUND</t>
        </is>
      </c>
      <c r="AL282" s="30" t="inlineStr">
        <is>
          <t>5009149-92.2024.8.24.0019</t>
        </is>
      </c>
      <c r="AM282" s="30" t="inlineStr">
        <is>
          <t>TJSC</t>
        </is>
      </c>
      <c r="AN282" s="30" t="inlineStr">
        <is>
          <t>ACTIVE</t>
        </is>
      </c>
      <c r="AO282" s="30" t="n">
        <v>2024</v>
      </c>
      <c r="AP282" s="30" t="inlineStr">
        <is>
          <t>live case, no plan document yet</t>
        </is>
      </c>
      <c r="AQ282" s="30" t="inlineStr">
        <is>
          <t>55.365.447/0001-56</t>
        </is>
      </c>
      <c r="AR282" s="30" t="inlineStr">
        <is>
          <t>printed on the list (read twice)</t>
        </is>
      </c>
      <c r="AS282" s="30" t="inlineStr">
        <is>
          <t>CAMPOS NOVOS</t>
        </is>
      </c>
      <c r="AT282" s="30" t="inlineStr">
        <is>
          <t>SC</t>
        </is>
      </c>
      <c r="AU282" s="30" t="inlineStr">
        <is>
          <t>Representantes comerciais e agentes do comércio de matérias-primas agrícolas e animais vivos</t>
        </is>
      </c>
      <c r="AV282" s="30" t="inlineStr">
        <is>
          <t>DEMAIS</t>
        </is>
      </c>
      <c r="AW282" s="31" t="inlineStr"/>
      <c r="AX282" s="30" t="inlineStr">
        <is>
          <t>MID-MARKET</t>
        </is>
      </c>
      <c r="AY282" s="30" t="inlineStr">
        <is>
          <t>83158824</t>
        </is>
      </c>
      <c r="AZ282" s="30" t="n">
        <v>1</v>
      </c>
      <c r="BA282" s="30" t="inlineStr">
        <is>
          <t>ROWS:p1r25 UNRECONCILED_SOURCE</t>
        </is>
      </c>
    </row>
    <row r="283">
      <c r="A283" s="16" t="inlineStr">
        <is>
          <t>BRASMO INDUSTRIA E COMERCIO LTDA</t>
        </is>
      </c>
      <c r="B283" s="17" t="n">
        <v>416585.1</v>
      </c>
      <c r="C283" s="18" t="inlineStr">
        <is>
          <t>AZEPLAST INDÚSTRIA E COMÉRCIO LTDA</t>
        </is>
      </c>
      <c r="D283" s="19" t="inlineStr">
        <is>
          <t>NEW</t>
        </is>
      </c>
      <c r="E283" s="20" t="inlineStr"/>
      <c r="F283" s="19" t="inlineStr"/>
      <c r="G283" s="20" t="inlineStr"/>
      <c r="H283" s="19" t="inlineStr"/>
      <c r="I283" s="21" t="inlineStr">
        <is>
          <t>MARCIO THOMAZ</t>
        </is>
      </c>
      <c r="J283" s="21" t="inlineStr">
        <is>
          <t>Sócio-Administrador (RFB partner)</t>
        </is>
      </c>
      <c r="K283" s="21" t="inlineStr">
        <is>
          <t>(49) 3322-3628</t>
        </is>
      </c>
      <c r="L283" s="21" t="inlineStr"/>
      <c r="M283" s="21" t="inlineStr"/>
      <c r="N283" s="21" t="inlineStr"/>
      <c r="O283" s="21" t="inlineStr"/>
      <c r="P283" s="21" t="inlineStr"/>
      <c r="Q283" s="21" t="inlineStr"/>
      <c r="R283" s="21" t="inlineStr"/>
      <c r="S283" s="21" t="inlineStr"/>
      <c r="T283" s="21" t="inlineStr">
        <is>
          <t>RFB partner (QSA); no Apollo match</t>
        </is>
      </c>
      <c r="U283" s="22" t="n">
        <v>416585.1</v>
      </c>
      <c r="V283" s="23" t="inlineStr">
        <is>
          <t>B</t>
        </is>
      </c>
      <c r="W283" s="24">
        <f>IFERROR(VLOOKUP(V283,Assumptions!$A$7:$F$11,2,FALSE),0)</f>
        <v/>
      </c>
      <c r="X283" s="25">
        <f>IF(V283="A",MAX(1,IFERROR(VLOOKUP(V283,Assumptions!$A$7:$F$11,3,FALSE),3)+IFERROR(VLOOKUP(V283,Assumptions!$A$7:$F$11,4,FALSE),8)/2-MAX(0,IF(AO283="",0,YEAR(TODAY())-AO283)-IFERROR(VLOOKUP(V283,Assumptions!$A$7:$F$11,5,FALSE),1.5))),IFERROR(VLOOKUP(V283,Assumptions!$A$7:$F$11,5,FALSE),2.5)+IFERROR(VLOOKUP(V283,Assumptions!$A$7:$F$11,3,FALSE),3)+IFERROR(VLOOKUP(V283,Assumptions!$A$7:$F$11,4,FALSE),8)/2)</f>
        <v/>
      </c>
      <c r="Y283" s="22">
        <f>U283*W283/(1+Assumptions!$B$3)^X283</f>
        <v/>
      </c>
      <c r="Z283" s="26">
        <f>IF(U283=0,"",ROUND(Y283/U283*100,1))</f>
        <v/>
      </c>
      <c r="AA283" s="27">
        <f>Y283*Assumptions!$B$4</f>
        <v/>
      </c>
      <c r="AB283" s="26">
        <f>IF(U283=0,"",ROUND(AA283/U283*100,1))</f>
        <v/>
      </c>
      <c r="AC283" s="27">
        <f>Y283-AA283</f>
        <v/>
      </c>
      <c r="AD283" s="26">
        <f>IF(U283=0,"",ROUND((Y283-AA283)/U283*100,1))</f>
        <v/>
      </c>
      <c r="AE283" s="34" t="inlineStr">
        <is>
          <t>PARTIAL — class III reconciled, other classes not</t>
        </is>
      </c>
      <c r="AF283" s="29" t="inlineStr">
        <is>
          <t>https://ajruiz.com.br/sites/default/files/public/arquivos-processos/2026-08/qgc_azeplast_julho_2026.pdf</t>
        </is>
      </c>
      <c r="AG283" s="28" t="inlineStr">
        <is>
          <t>p1 r9</t>
        </is>
      </c>
      <c r="AH283" s="28" t="inlineStr">
        <is>
          <t>p1: R$ 416.585,10</t>
        </is>
      </c>
      <c r="AI283" s="28" t="inlineStr">
        <is>
          <t>QGC (art. 18)</t>
        </is>
      </c>
      <c r="AJ283" s="28" t="inlineStr"/>
      <c r="AK283" s="28" t="inlineStr">
        <is>
          <t>NONE FOUND</t>
        </is>
      </c>
      <c r="AL283" s="30" t="inlineStr">
        <is>
          <t>5008793-34.2023.8.24.0019</t>
        </is>
      </c>
      <c r="AM283" s="30" t="inlineStr">
        <is>
          <t>TJSC</t>
        </is>
      </c>
      <c r="AN283" s="30" t="inlineStr">
        <is>
          <t>ACTIVE</t>
        </is>
      </c>
      <c r="AO283" s="30" t="n">
        <v>2023</v>
      </c>
      <c r="AP283" s="30" t="inlineStr">
        <is>
          <t>live case, no plan document yet</t>
        </is>
      </c>
      <c r="AQ283" s="30" t="inlineStr">
        <is>
          <t>05.378.317/0001-80</t>
        </is>
      </c>
      <c r="AR283" s="30" t="inlineStr">
        <is>
          <t>printed on the list (read twice)</t>
        </is>
      </c>
      <c r="AS283" s="30" t="inlineStr">
        <is>
          <t>CHAPECO</t>
        </is>
      </c>
      <c r="AT283" s="30" t="inlineStr">
        <is>
          <t>SC</t>
        </is>
      </c>
      <c r="AU283" s="30" t="inlineStr">
        <is>
          <t>Fabricação de equipamentos e acessórios para segurança pessoal e profissional</t>
        </is>
      </c>
      <c r="AV283" s="30" t="inlineStr">
        <is>
          <t>DEMAIS</t>
        </is>
      </c>
      <c r="AW283" s="31" t="n">
        <v>1200000</v>
      </c>
      <c r="AX283" s="30" t="inlineStr">
        <is>
          <t>MID-MARKET</t>
        </is>
      </c>
      <c r="AY283" s="30" t="inlineStr">
        <is>
          <t>00714387</t>
        </is>
      </c>
      <c r="AZ283" s="30" t="n">
        <v>1</v>
      </c>
      <c r="BA283" s="30" t="inlineStr">
        <is>
          <t>PARTIAL_DOC_CLASS_III_RECONCILED ROWS:p1r9</t>
        </is>
      </c>
    </row>
    <row r="284">
      <c r="A284" s="16" t="inlineStr">
        <is>
          <t>EBEG EMBALAGENS E DESCARTAVEIS LTDA</t>
        </is>
      </c>
      <c r="B284" s="17" t="n">
        <v>222911.78</v>
      </c>
      <c r="C284" s="18" t="inlineStr">
        <is>
          <t>GRUPO 3E</t>
        </is>
      </c>
      <c r="D284" s="19" t="inlineStr">
        <is>
          <t>NEW</t>
        </is>
      </c>
      <c r="E284" s="20" t="inlineStr"/>
      <c r="F284" s="19" t="inlineStr"/>
      <c r="G284" s="20" t="inlineStr"/>
      <c r="H284" s="19" t="inlineStr"/>
      <c r="I284" s="21" t="inlineStr">
        <is>
          <t>Rodrigo Pinto</t>
        </is>
      </c>
      <c r="J284" s="21" t="inlineStr">
        <is>
          <t>Systems Coordinator</t>
        </is>
      </c>
      <c r="K284" s="21" t="inlineStr">
        <is>
          <t>(16) 3512-3000</t>
        </is>
      </c>
      <c r="L284" s="21" t="inlineStr"/>
      <c r="M284" s="21" t="inlineStr"/>
      <c r="N284" s="21" t="inlineStr"/>
      <c r="O284" s="21" t="inlineStr">
        <is>
          <t>welker.amaral@ebeg.com.br</t>
        </is>
      </c>
      <c r="P284" s="21" t="inlineStr">
        <is>
          <t>Welker Amaral</t>
        </is>
      </c>
      <c r="Q284" s="21" t="inlineStr">
        <is>
          <t>Logistics Coordinator</t>
        </is>
      </c>
      <c r="R284" s="21" t="inlineStr"/>
      <c r="S284" s="21" t="inlineStr">
        <is>
          <t>welker.amaral@ebeg.com.br</t>
        </is>
      </c>
      <c r="T284" s="21" t="inlineStr">
        <is>
          <t>no work email found in Apollo</t>
        </is>
      </c>
      <c r="U284" s="22" t="n">
        <v>222911.78</v>
      </c>
      <c r="V284" s="35" t="inlineStr">
        <is>
          <t>A</t>
        </is>
      </c>
      <c r="W284" s="24">
        <f>IFERROR(VLOOKUP(V284,Assumptions!$A$7:$F$11,2,FALSE),0)</f>
        <v/>
      </c>
      <c r="X284" s="25">
        <f>IF(V284="A",MAX(1,IFERROR(VLOOKUP(V284,Assumptions!$A$7:$F$11,3,FALSE),3)+IFERROR(VLOOKUP(V284,Assumptions!$A$7:$F$11,4,FALSE),8)/2-MAX(0,IF(AO284="",0,YEAR(TODAY())-AO284)-IFERROR(VLOOKUP(V284,Assumptions!$A$7:$F$11,5,FALSE),1.5))),IFERROR(VLOOKUP(V284,Assumptions!$A$7:$F$11,5,FALSE),2.5)+IFERROR(VLOOKUP(V284,Assumptions!$A$7:$F$11,3,FALSE),3)+IFERROR(VLOOKUP(V284,Assumptions!$A$7:$F$11,4,FALSE),8)/2)</f>
        <v/>
      </c>
      <c r="Y284" s="22">
        <f>U284*W284/(1+Assumptions!$B$3)^X284</f>
        <v/>
      </c>
      <c r="Z284" s="26">
        <f>IF(U284=0,"",ROUND(Y284/U284*100,1))</f>
        <v/>
      </c>
      <c r="AA284" s="27">
        <f>Y284*Assumptions!$B$4</f>
        <v/>
      </c>
      <c r="AB284" s="26">
        <f>IF(U284=0,"",ROUND(AA284/U284*100,1))</f>
        <v/>
      </c>
      <c r="AC284" s="27">
        <f>Y284-AA284</f>
        <v/>
      </c>
      <c r="AD284" s="26">
        <f>IF(U284=0,"",ROUND((Y284-AA284)/U284*100,1))</f>
        <v/>
      </c>
      <c r="AE284" s="33" t="inlineStr">
        <is>
          <t>NO TOTALS — list prints none; check page</t>
        </is>
      </c>
      <c r="AF284" s="29" t="inlineStr">
        <is>
          <t>https://stenius.com.br/wp-content/uploads/2026/06/EDITAL-GRUPO-3E.pdf</t>
        </is>
      </c>
      <c r="AG284" s="28" t="inlineStr">
        <is>
          <t>p12 r58</t>
        </is>
      </c>
      <c r="AH284" s="28" t="inlineStr">
        <is>
          <t>p12: R$ 222.911,78</t>
        </is>
      </c>
      <c r="AI284" s="28" t="inlineStr">
        <is>
          <t>Debtor list (art. 51)</t>
        </is>
      </c>
      <c r="AJ284" s="28" t="inlineStr">
        <is>
          <t>2026-06-22</t>
        </is>
      </c>
      <c r="AK284" s="28" t="inlineStr">
        <is>
          <t>PLAN DOC FOUND</t>
        </is>
      </c>
      <c r="AL284" s="30" t="inlineStr">
        <is>
          <t>5341375-33.2026.8.09.0049</t>
        </is>
      </c>
      <c r="AM284" s="30" t="inlineStr">
        <is>
          <t>TJGO</t>
        </is>
      </c>
      <c r="AN284" s="30" t="inlineStr">
        <is>
          <t>ACTIVE</t>
        </is>
      </c>
      <c r="AO284" s="30" t="n">
        <v>2026</v>
      </c>
      <c r="AP284" s="30" t="inlineStr">
        <is>
          <t>plan/homologation document found</t>
        </is>
      </c>
      <c r="AQ284" s="30" t="inlineStr"/>
      <c r="AR284" s="30" t="inlineStr">
        <is>
          <t>printed on the list (read twice)</t>
        </is>
      </c>
      <c r="AS284" s="30" t="inlineStr">
        <is>
          <t>RIBEIRAO PRETO</t>
        </is>
      </c>
      <c r="AT284" s="30" t="inlineStr">
        <is>
          <t>SP</t>
        </is>
      </c>
      <c r="AU284" s="30" t="inlineStr">
        <is>
          <t>Fabricação de embalagens de papel</t>
        </is>
      </c>
      <c r="AV284" s="30" t="inlineStr">
        <is>
          <t>DEMAIS</t>
        </is>
      </c>
      <c r="AW284" s="31" t="n">
        <v>40000000</v>
      </c>
      <c r="AX284" s="30" t="inlineStr">
        <is>
          <t>MID-MARKET</t>
        </is>
      </c>
      <c r="AY284" s="30" t="inlineStr">
        <is>
          <t>03498812</t>
        </is>
      </c>
      <c r="AZ284" s="30" t="n">
        <v>1</v>
      </c>
      <c r="BA284" s="30" t="inlineStr">
        <is>
          <t>ROWS:p12r58 UNRECONCILED_SOURCE</t>
        </is>
      </c>
    </row>
    <row r="285">
      <c r="A285" s="16" t="inlineStr">
        <is>
          <t>CERAMICA SERRA AZUL LTDA</t>
        </is>
      </c>
      <c r="B285" s="17" t="n">
        <v>414186.52</v>
      </c>
      <c r="C285" s="18" t="inlineStr">
        <is>
          <t>Grupo Pisebem</t>
        </is>
      </c>
      <c r="D285" s="19" t="inlineStr">
        <is>
          <t>NEW</t>
        </is>
      </c>
      <c r="E285" s="20" t="inlineStr"/>
      <c r="F285" s="19" t="inlineStr"/>
      <c r="G285" s="20" t="inlineStr"/>
      <c r="H285" s="19" t="inlineStr"/>
      <c r="I285" s="21" t="inlineStr">
        <is>
          <t>EDUARDO FIOR</t>
        </is>
      </c>
      <c r="J285" s="21" t="inlineStr">
        <is>
          <t>Administrador (RFB partner)</t>
        </is>
      </c>
      <c r="K285" s="21" t="inlineStr">
        <is>
          <t>(79) 3213-1483</t>
        </is>
      </c>
      <c r="L285" s="21" t="inlineStr"/>
      <c r="M285" s="21" t="inlineStr"/>
      <c r="N285" s="21" t="inlineStr"/>
      <c r="O285" s="21" t="inlineStr"/>
      <c r="P285" s="21" t="inlineStr">
        <is>
          <t>ITAMAR ARRAIS FIOR</t>
        </is>
      </c>
      <c r="Q285" s="21" t="inlineStr">
        <is>
          <t>Administrador (RFB partner)</t>
        </is>
      </c>
      <c r="R285" s="21" t="inlineStr"/>
      <c r="S285" s="21" t="inlineStr"/>
      <c r="T285" s="21" t="inlineStr">
        <is>
          <t>RFB partner (QSA); no Apollo match</t>
        </is>
      </c>
      <c r="U285" s="22" t="n">
        <v>414186.52</v>
      </c>
      <c r="V285" s="23" t="inlineStr">
        <is>
          <t>B</t>
        </is>
      </c>
      <c r="W285" s="24">
        <f>IFERROR(VLOOKUP(V285,Assumptions!$A$7:$F$11,2,FALSE),0)</f>
        <v/>
      </c>
      <c r="X285" s="25">
        <f>IF(V285="A",MAX(1,IFERROR(VLOOKUP(V285,Assumptions!$A$7:$F$11,3,FALSE),3)+IFERROR(VLOOKUP(V285,Assumptions!$A$7:$F$11,4,FALSE),8)/2-MAX(0,IF(AO285="",0,YEAR(TODAY())-AO285)-IFERROR(VLOOKUP(V285,Assumptions!$A$7:$F$11,5,FALSE),1.5))),IFERROR(VLOOKUP(V285,Assumptions!$A$7:$F$11,5,FALSE),2.5)+IFERROR(VLOOKUP(V285,Assumptions!$A$7:$F$11,3,FALSE),3)+IFERROR(VLOOKUP(V285,Assumptions!$A$7:$F$11,4,FALSE),8)/2)</f>
        <v/>
      </c>
      <c r="Y285" s="22">
        <f>U285*W285/(1+Assumptions!$B$3)^X285</f>
        <v/>
      </c>
      <c r="Z285" s="26">
        <f>IF(U285=0,"",ROUND(Y285/U285*100,1))</f>
        <v/>
      </c>
      <c r="AA285" s="27">
        <f>Y285*Assumptions!$B$4</f>
        <v/>
      </c>
      <c r="AB285" s="26">
        <f>IF(U285=0,"",ROUND(AA285/U285*100,1))</f>
        <v/>
      </c>
      <c r="AC285" s="27">
        <f>Y285-AA285</f>
        <v/>
      </c>
      <c r="AD285" s="26">
        <f>IF(U285=0,"",ROUND((Y285-AA285)/U285*100,1))</f>
        <v/>
      </c>
      <c r="AE285" s="33" t="inlineStr">
        <is>
          <t>NO TOTALS — list prints none; check page</t>
        </is>
      </c>
      <c r="AF285" s="29" t="inlineStr">
        <is>
          <t>https://recuperacaojudicial.squarespace.com/s/EDITAL-COM-A-2-LISTA-DE-CREDORES-E-INFORMANDO-A-APRESENTACO-DO-PRJ_1532.pdf</t>
        </is>
      </c>
      <c r="AG285" s="28" t="inlineStr">
        <is>
          <t>p2 r7</t>
        </is>
      </c>
      <c r="AH285" s="28" t="inlineStr">
        <is>
          <t>p2: R$ 414.186,52</t>
        </is>
      </c>
      <c r="AI285" s="28" t="inlineStr">
        <is>
          <t>AJ list (art. 7 §2)</t>
        </is>
      </c>
      <c r="AJ285" s="28" t="inlineStr"/>
      <c r="AK285" s="28" t="inlineStr">
        <is>
          <t>NONE FOUND</t>
        </is>
      </c>
      <c r="AL285" s="30" t="inlineStr">
        <is>
          <t>0700707-87.2025.8.02.0043</t>
        </is>
      </c>
      <c r="AM285" s="30" t="inlineStr">
        <is>
          <t>TJAL</t>
        </is>
      </c>
      <c r="AN285" s="30" t="inlineStr">
        <is>
          <t>ACTIVE</t>
        </is>
      </c>
      <c r="AO285" s="30" t="n">
        <v>2025</v>
      </c>
      <c r="AP285" s="30" t="inlineStr">
        <is>
          <t>live case, no plan document yet</t>
        </is>
      </c>
      <c r="AQ285" s="30" t="inlineStr"/>
      <c r="AR285" s="30" t="inlineStr">
        <is>
          <t>portal page title / URL — not printed on the list</t>
        </is>
      </c>
      <c r="AS285" s="30" t="inlineStr">
        <is>
          <t>NOSSA SENHORA DO SOCORRO</t>
        </is>
      </c>
      <c r="AT285" s="30" t="inlineStr">
        <is>
          <t>SE</t>
        </is>
      </c>
      <c r="AU285" s="30" t="inlineStr">
        <is>
          <t>Fabricação de azulejos e pisos</t>
        </is>
      </c>
      <c r="AV285" s="30" t="inlineStr">
        <is>
          <t>DEMAIS</t>
        </is>
      </c>
      <c r="AW285" s="31" t="n">
        <v>292482750</v>
      </c>
      <c r="AX285" s="30" t="inlineStr">
        <is>
          <t>MID-MARKET</t>
        </is>
      </c>
      <c r="AY285" s="30" t="inlineStr">
        <is>
          <t>07378783</t>
        </is>
      </c>
      <c r="AZ285" s="30" t="n">
        <v>1</v>
      </c>
      <c r="BA285" s="30" t="inlineStr">
        <is>
          <t>ROWS:p2r7 UNRECONCILED_SOURCE CASE_NUMBER_CORRECTED</t>
        </is>
      </c>
    </row>
    <row r="286">
      <c r="A286" s="16" t="inlineStr">
        <is>
          <t>OLFAR S/A - ALIMENTO E ENERGIA</t>
        </is>
      </c>
      <c r="B286" s="17" t="n">
        <v>414186.16</v>
      </c>
      <c r="C286" s="18" t="inlineStr">
        <is>
          <t>SUINOCULTURA KUNZLER</t>
        </is>
      </c>
      <c r="D286" s="19" t="inlineStr">
        <is>
          <t>NEW</t>
        </is>
      </c>
      <c r="E286" s="20" t="inlineStr"/>
      <c r="F286" s="19" t="inlineStr"/>
      <c r="G286" s="20" t="inlineStr"/>
      <c r="H286" s="19" t="inlineStr"/>
      <c r="I286" s="21" t="inlineStr">
        <is>
          <t>JOSE CARLOS WESCHENFELDER</t>
        </is>
      </c>
      <c r="J286" s="21" t="inlineStr">
        <is>
          <t>Presidente (RFB partner)</t>
        </is>
      </c>
      <c r="K286" s="21" t="inlineStr">
        <is>
          <t>(54) 2106-2600</t>
        </is>
      </c>
      <c r="L286" s="21" t="inlineStr"/>
      <c r="M286" s="21" t="inlineStr"/>
      <c r="N286" s="21" t="inlineStr"/>
      <c r="O286" s="21" t="inlineStr"/>
      <c r="P286" s="21" t="inlineStr">
        <is>
          <t>GUILHERME WESCHENFELDER</t>
        </is>
      </c>
      <c r="Q286" s="21" t="inlineStr">
        <is>
          <t>Diretor (RFB partner)</t>
        </is>
      </c>
      <c r="R286" s="21" t="inlineStr"/>
      <c r="S286" s="21" t="inlineStr"/>
      <c r="T286" s="21" t="inlineStr">
        <is>
          <t>RFB partner (QSA); no Apollo match</t>
        </is>
      </c>
      <c r="U286" s="22" t="n">
        <v>414186.16</v>
      </c>
      <c r="V286" s="23" t="inlineStr">
        <is>
          <t>B</t>
        </is>
      </c>
      <c r="W286" s="24">
        <f>IFERROR(VLOOKUP(V286,Assumptions!$A$7:$F$11,2,FALSE),0)</f>
        <v/>
      </c>
      <c r="X286" s="25">
        <f>IF(V286="A",MAX(1,IFERROR(VLOOKUP(V286,Assumptions!$A$7:$F$11,3,FALSE),3)+IFERROR(VLOOKUP(V286,Assumptions!$A$7:$F$11,4,FALSE),8)/2-MAX(0,IF(AO286="",0,YEAR(TODAY())-AO286)-IFERROR(VLOOKUP(V286,Assumptions!$A$7:$F$11,5,FALSE),1.5))),IFERROR(VLOOKUP(V286,Assumptions!$A$7:$F$11,5,FALSE),2.5)+IFERROR(VLOOKUP(V286,Assumptions!$A$7:$F$11,3,FALSE),3)+IFERROR(VLOOKUP(V286,Assumptions!$A$7:$F$11,4,FALSE),8)/2)</f>
        <v/>
      </c>
      <c r="Y286" s="22">
        <f>U286*W286/(1+Assumptions!$B$3)^X286</f>
        <v/>
      </c>
      <c r="Z286" s="26">
        <f>IF(U286=0,"",ROUND(Y286/U286*100,1))</f>
        <v/>
      </c>
      <c r="AA286" s="27">
        <f>Y286*Assumptions!$B$4</f>
        <v/>
      </c>
      <c r="AB286" s="26">
        <f>IF(U286=0,"",ROUND(AA286/U286*100,1))</f>
        <v/>
      </c>
      <c r="AC286" s="27">
        <f>Y286-AA286</f>
        <v/>
      </c>
      <c r="AD286" s="26">
        <f>IF(U286=0,"",ROUND((Y286-AA286)/U286*100,1))</f>
        <v/>
      </c>
      <c r="AE286" s="33" t="inlineStr">
        <is>
          <t>NO TOTALS — list prints none; check page</t>
        </is>
      </c>
      <c r="AF286" s="29" t="inlineStr">
        <is>
          <t>https://rlg-aj.com.br/wp-content/uploads/2024/11/07.-Relação-de-credores.pdf</t>
        </is>
      </c>
      <c r="AG286" s="28" t="inlineStr">
        <is>
          <t>p1 r27</t>
        </is>
      </c>
      <c r="AH286" s="28" t="inlineStr">
        <is>
          <t>p1: R$ 414.186,16</t>
        </is>
      </c>
      <c r="AI286" s="28" t="inlineStr">
        <is>
          <t>Unclassified list</t>
        </is>
      </c>
      <c r="AJ286" s="28" t="inlineStr"/>
      <c r="AK286" s="28" t="inlineStr">
        <is>
          <t>NONE FOUND</t>
        </is>
      </c>
      <c r="AL286" s="30" t="inlineStr">
        <is>
          <t>5009149-92.2024.8.24.0019</t>
        </is>
      </c>
      <c r="AM286" s="30" t="inlineStr">
        <is>
          <t>TJSC</t>
        </is>
      </c>
      <c r="AN286" s="30" t="inlineStr">
        <is>
          <t>ACTIVE</t>
        </is>
      </c>
      <c r="AO286" s="30" t="n">
        <v>2024</v>
      </c>
      <c r="AP286" s="30" t="inlineStr">
        <is>
          <t>live case, no plan document yet</t>
        </is>
      </c>
      <c r="AQ286" s="30" t="inlineStr">
        <is>
          <t>55.365.447/0001-56</t>
        </is>
      </c>
      <c r="AR286" s="30" t="inlineStr">
        <is>
          <t>printed on the list (read twice)</t>
        </is>
      </c>
      <c r="AS286" s="30" t="inlineStr">
        <is>
          <t>ERECHIM</t>
        </is>
      </c>
      <c r="AT286" s="30" t="inlineStr">
        <is>
          <t>RS</t>
        </is>
      </c>
      <c r="AU286" s="30" t="inlineStr">
        <is>
          <t>Moagem e fabricação de produtos de origem vegetal não especificados anteriormente</t>
        </is>
      </c>
      <c r="AV286" s="30" t="inlineStr">
        <is>
          <t>DEMAIS</t>
        </is>
      </c>
      <c r="AW286" s="31" t="n">
        <v>943470000</v>
      </c>
      <c r="AX286" s="30" t="inlineStr">
        <is>
          <t>MID-MARKET</t>
        </is>
      </c>
      <c r="AY286" s="30" t="inlineStr">
        <is>
          <t>91830836</t>
        </is>
      </c>
      <c r="AZ286" s="30" t="n">
        <v>1</v>
      </c>
      <c r="BA286" s="30" t="inlineStr">
        <is>
          <t>ROWS:p1r27 UNRECONCILED_SOURCE</t>
        </is>
      </c>
    </row>
    <row r="287">
      <c r="A287" s="16" t="inlineStr">
        <is>
          <t>ALCATEC PRODUTOS SINTETICOS LTDA</t>
        </is>
      </c>
      <c r="B287" s="17" t="n">
        <v>410794</v>
      </c>
      <c r="C287" s="18" t="inlineStr">
        <is>
          <t>TOP TEXTIL EMBALAGENS LTDA</t>
        </is>
      </c>
      <c r="D287" s="19" t="inlineStr">
        <is>
          <t>NEW</t>
        </is>
      </c>
      <c r="E287" s="20" t="inlineStr"/>
      <c r="F287" s="19" t="inlineStr"/>
      <c r="G287" s="20" t="inlineStr"/>
      <c r="H287" s="19" t="inlineStr"/>
      <c r="I287" s="21" t="inlineStr">
        <is>
          <t>INACIO PROCOPIO NETO</t>
        </is>
      </c>
      <c r="J287" s="21" t="inlineStr">
        <is>
          <t>Sócio-Administrador (RFB partner)</t>
        </is>
      </c>
      <c r="K287" s="21" t="inlineStr">
        <is>
          <t>(41) 3374-1046</t>
        </is>
      </c>
      <c r="L287" s="21" t="inlineStr">
        <is>
          <t>(75) 3238-9091</t>
        </is>
      </c>
      <c r="M287" s="21" t="inlineStr"/>
      <c r="N287" s="21" t="inlineStr"/>
      <c r="O287" s="21" t="inlineStr"/>
      <c r="P287" s="21" t="inlineStr">
        <is>
          <t>LIANA CRISTINA PROCOPIO</t>
        </is>
      </c>
      <c r="Q287" s="21" t="inlineStr">
        <is>
          <t>Sócio-Administrador (RFB partner)</t>
        </is>
      </c>
      <c r="R287" s="21" t="inlineStr"/>
      <c r="S287" s="21" t="inlineStr"/>
      <c r="T287" s="21" t="inlineStr">
        <is>
          <t>RFB partner (QSA); no Apollo match</t>
        </is>
      </c>
      <c r="U287" s="22" t="n">
        <v>410794</v>
      </c>
      <c r="V287" s="23" t="inlineStr">
        <is>
          <t>B</t>
        </is>
      </c>
      <c r="W287" s="24">
        <f>IFERROR(VLOOKUP(V287,Assumptions!$A$7:$F$11,2,FALSE),0)</f>
        <v/>
      </c>
      <c r="X287" s="25">
        <f>IF(V287="A",MAX(1,IFERROR(VLOOKUP(V287,Assumptions!$A$7:$F$11,3,FALSE),3)+IFERROR(VLOOKUP(V287,Assumptions!$A$7:$F$11,4,FALSE),8)/2-MAX(0,IF(AO287="",0,YEAR(TODAY())-AO287)-IFERROR(VLOOKUP(V287,Assumptions!$A$7:$F$11,5,FALSE),1.5))),IFERROR(VLOOKUP(V287,Assumptions!$A$7:$F$11,5,FALSE),2.5)+IFERROR(VLOOKUP(V287,Assumptions!$A$7:$F$11,3,FALSE),3)+IFERROR(VLOOKUP(V287,Assumptions!$A$7:$F$11,4,FALSE),8)/2)</f>
        <v/>
      </c>
      <c r="Y287" s="22">
        <f>U287*W287/(1+Assumptions!$B$3)^X287</f>
        <v/>
      </c>
      <c r="Z287" s="26">
        <f>IF(U287=0,"",ROUND(Y287/U287*100,1))</f>
        <v/>
      </c>
      <c r="AA287" s="27">
        <f>Y287*Assumptions!$B$4</f>
        <v/>
      </c>
      <c r="AB287" s="26">
        <f>IF(U287=0,"",ROUND(AA287/U287*100,1))</f>
        <v/>
      </c>
      <c r="AC287" s="27">
        <f>Y287-AA287</f>
        <v/>
      </c>
      <c r="AD287" s="26">
        <f>IF(U287=0,"",ROUND((Y287-AA287)/U287*100,1))</f>
        <v/>
      </c>
      <c r="AE287" s="33" t="inlineStr">
        <is>
          <t>NO TOTALS — list prints none; check page</t>
        </is>
      </c>
      <c r="AF287" s="29" t="inlineStr">
        <is>
          <t>https://cataliseaj.com.br/sgc/download.php?file=files/processo_documento/processo_documento15092204102024_1_.pdf&amp;nome=02. RELAÇÃO DE CREDORES</t>
        </is>
      </c>
      <c r="AG287" s="28" t="inlineStr">
        <is>
          <t>p2 r8</t>
        </is>
      </c>
      <c r="AH287" s="28" t="inlineStr">
        <is>
          <t>p2: R$ 410.794,00</t>
        </is>
      </c>
      <c r="AI287" s="28" t="inlineStr">
        <is>
          <t>Debtor list (art. 51)</t>
        </is>
      </c>
      <c r="AJ287" s="28" t="inlineStr"/>
      <c r="AK287" s="28" t="inlineStr">
        <is>
          <t>NONE FOUND</t>
        </is>
      </c>
      <c r="AL287" s="30" t="inlineStr">
        <is>
          <t>5011460-87.2023.8.24.0020</t>
        </is>
      </c>
      <c r="AM287" s="30" t="inlineStr">
        <is>
          <t>TJSC</t>
        </is>
      </c>
      <c r="AN287" s="30" t="inlineStr">
        <is>
          <t>ACTIVE</t>
        </is>
      </c>
      <c r="AO287" s="30" t="n">
        <v>2023</v>
      </c>
      <c r="AP287" s="30" t="inlineStr">
        <is>
          <t>live case, no plan document yet</t>
        </is>
      </c>
      <c r="AQ287" s="30" t="inlineStr">
        <is>
          <t>26.588.741/0001-29</t>
        </is>
      </c>
      <c r="AR287" s="30" t="inlineStr">
        <is>
          <t>printed on the list (read twice)</t>
        </is>
      </c>
      <c r="AS287" s="30" t="inlineStr">
        <is>
          <t>TERRA NOVA</t>
        </is>
      </c>
      <c r="AT287" s="30" t="inlineStr">
        <is>
          <t>BA</t>
        </is>
      </c>
      <c r="AU287" s="30" t="inlineStr">
        <is>
          <t>Tecelagem de fios de fibras artificiais e sintéticas</t>
        </is>
      </c>
      <c r="AV287" s="30" t="inlineStr">
        <is>
          <t>DEMAIS</t>
        </is>
      </c>
      <c r="AW287" s="31" t="n">
        <v>2554265</v>
      </c>
      <c r="AX287" s="30" t="inlineStr">
        <is>
          <t>MID-MARKET</t>
        </is>
      </c>
      <c r="AY287" s="30" t="inlineStr">
        <is>
          <t>05236060</t>
        </is>
      </c>
      <c r="AZ287" s="30" t="n">
        <v>1</v>
      </c>
      <c r="BA287" s="30" t="inlineStr">
        <is>
          <t>ROWS:p2r8 UNRECONCILED_SOURCE</t>
        </is>
      </c>
    </row>
    <row r="288">
      <c r="A288" s="16" t="inlineStr">
        <is>
          <t>GRUPO MULTILASER S.A.</t>
        </is>
      </c>
      <c r="B288" s="17" t="n">
        <v>1603580.85</v>
      </c>
      <c r="C288" s="18" t="inlineStr">
        <is>
          <t>CREDIMÓVEIS NOVOLAR LTDA.</t>
        </is>
      </c>
      <c r="D288" s="19" t="inlineStr">
        <is>
          <t>NEW</t>
        </is>
      </c>
      <c r="E288" s="20" t="inlineStr"/>
      <c r="F288" s="19" t="inlineStr"/>
      <c r="G288" s="20" t="inlineStr"/>
      <c r="H288" s="19" t="inlineStr"/>
      <c r="I288" s="21" t="inlineStr">
        <is>
          <t>Claudia Vicente</t>
        </is>
      </c>
      <c r="J288" s="21" t="inlineStr">
        <is>
          <t>Gerente de Crédito e Cobrança</t>
        </is>
      </c>
      <c r="K288" s="21" t="inlineStr">
        <is>
          <t>(11) 3616-8600</t>
        </is>
      </c>
      <c r="L288" s="21" t="inlineStr"/>
      <c r="M288" s="21" t="inlineStr"/>
      <c r="N288" s="21" t="inlineStr">
        <is>
          <t>claudia.fernandes@grupomultilaser.com.br</t>
        </is>
      </c>
      <c r="O288" s="21" t="inlineStr">
        <is>
          <t>ana.amaral@grupomultilaser.com.br</t>
        </is>
      </c>
      <c r="P288" s="21" t="inlineStr">
        <is>
          <t>Ana Amaral</t>
        </is>
      </c>
      <c r="Q288" s="21" t="inlineStr">
        <is>
          <t>Coordenador de Contas a Receber</t>
        </is>
      </c>
      <c r="R288" s="21" t="inlineStr"/>
      <c r="S288" s="21" t="inlineStr">
        <is>
          <t>ana.amaral@grupomultilaser.com.br</t>
        </is>
      </c>
      <c r="T288" s="21" t="inlineStr">
        <is>
          <t>email verified by Apollo</t>
        </is>
      </c>
      <c r="U288" s="22" t="n">
        <v>1603580.85</v>
      </c>
      <c r="V288" s="38" t="inlineStr">
        <is>
          <t>C</t>
        </is>
      </c>
      <c r="W288" s="24">
        <f>IFERROR(VLOOKUP(V288,Assumptions!$A$7:$F$11,2,FALSE),0)</f>
        <v/>
      </c>
      <c r="X288" s="25">
        <f>IF(V288="A",MAX(1,IFERROR(VLOOKUP(V288,Assumptions!$A$7:$F$11,3,FALSE),3)+IFERROR(VLOOKUP(V288,Assumptions!$A$7:$F$11,4,FALSE),8)/2-MAX(0,IF(AO288="",0,YEAR(TODAY())-AO288)-IFERROR(VLOOKUP(V288,Assumptions!$A$7:$F$11,5,FALSE),1.5))),IFERROR(VLOOKUP(V288,Assumptions!$A$7:$F$11,5,FALSE),2.5)+IFERROR(VLOOKUP(V288,Assumptions!$A$7:$F$11,3,FALSE),3)+IFERROR(VLOOKUP(V288,Assumptions!$A$7:$F$11,4,FALSE),8)/2)</f>
        <v/>
      </c>
      <c r="Y288" s="22">
        <f>U288*W288/(1+Assumptions!$B$3)^X288</f>
        <v/>
      </c>
      <c r="Z288" s="26">
        <f>IF(U288=0,"",ROUND(Y288/U288*100,1))</f>
        <v/>
      </c>
      <c r="AA288" s="27">
        <f>Y288*Assumptions!$B$4</f>
        <v/>
      </c>
      <c r="AB288" s="26">
        <f>IF(U288=0,"",ROUND(AA288/U288*100,1))</f>
        <v/>
      </c>
      <c r="AC288" s="27">
        <f>Y288-AA288</f>
        <v/>
      </c>
      <c r="AD288" s="26">
        <f>IF(U288=0,"",ROUND((Y288-AA288)/U288*100,1))</f>
        <v/>
      </c>
      <c r="AE288" s="28" t="inlineStr">
        <is>
          <t>OK — totals reconciled</t>
        </is>
      </c>
      <c r="AF288" s="29" t="inlineStr">
        <is>
          <t>https://recuperacaojudicial.squarespace.com/s/RJ-Credimoveis-QGC-01082025.pdf</t>
        </is>
      </c>
      <c r="AG288" s="28" t="inlineStr">
        <is>
          <t>p16 r28</t>
        </is>
      </c>
      <c r="AH288" s="28" t="inlineStr">
        <is>
          <t>p16: R$ 1.603.580,85</t>
        </is>
      </c>
      <c r="AI288" s="28" t="inlineStr">
        <is>
          <t>QGC (art. 18)</t>
        </is>
      </c>
      <c r="AJ288" s="28" t="inlineStr">
        <is>
          <t>2026-01-28</t>
        </is>
      </c>
      <c r="AK288" s="28" t="inlineStr">
        <is>
          <t>NONE FOUND</t>
        </is>
      </c>
      <c r="AL288" s="30" t="inlineStr">
        <is>
          <t>0007565-40.2020.8.17.2370</t>
        </is>
      </c>
      <c r="AM288" s="30" t="inlineStr">
        <is>
          <t>TJPE</t>
        </is>
      </c>
      <c r="AN288" s="30" t="inlineStr">
        <is>
          <t>ACTIVE</t>
        </is>
      </c>
      <c r="AO288" s="30" t="n">
        <v>2020</v>
      </c>
      <c r="AP288" s="30" t="inlineStr">
        <is>
          <t>6y since filing, no plan document</t>
        </is>
      </c>
      <c r="AQ288" s="30" t="inlineStr">
        <is>
          <t>09.930.165/0001-37</t>
        </is>
      </c>
      <c r="AR288" s="30" t="inlineStr">
        <is>
          <t>printed on the list (read twice)</t>
        </is>
      </c>
      <c r="AS288" s="30" t="inlineStr">
        <is>
          <t>SAO PAULO</t>
        </is>
      </c>
      <c r="AT288" s="30" t="inlineStr">
        <is>
          <t>SP</t>
        </is>
      </c>
      <c r="AU288" s="30" t="inlineStr">
        <is>
          <t>Fabricação de periféricos para equipamentos de informática</t>
        </is>
      </c>
      <c r="AV288" s="30" t="inlineStr">
        <is>
          <t>DEMAIS</t>
        </is>
      </c>
      <c r="AW288" s="31" t="n">
        <v>1713377700</v>
      </c>
      <c r="AX288" s="30" t="inlineStr">
        <is>
          <t>LARGE CORP</t>
        </is>
      </c>
      <c r="AY288" s="30" t="inlineStr">
        <is>
          <t>59717553</t>
        </is>
      </c>
      <c r="AZ288" s="30" t="n">
        <v>1</v>
      </c>
      <c r="BA288" s="30" t="inlineStr">
        <is>
          <t>ROWS:p16r28</t>
        </is>
      </c>
    </row>
    <row r="289">
      <c r="A289" s="16" t="inlineStr">
        <is>
          <t>STRATURA ASFALTOS LTDA.</t>
        </is>
      </c>
      <c r="B289" s="17" t="n">
        <v>408408.17</v>
      </c>
      <c r="C289" s="18" t="inlineStr">
        <is>
          <t>CARAVAGGIO CONSTRUTORA LTDA</t>
        </is>
      </c>
      <c r="D289" s="19" t="inlineStr">
        <is>
          <t>NEW</t>
        </is>
      </c>
      <c r="E289" s="20" t="inlineStr"/>
      <c r="F289" s="19" t="inlineStr"/>
      <c r="G289" s="20" t="inlineStr"/>
      <c r="H289" s="19" t="inlineStr"/>
      <c r="I289" s="21" t="inlineStr">
        <is>
          <t>CARLOS ALBERTO DE AQUINO PINHEIRO JUNIOR</t>
        </is>
      </c>
      <c r="J289" s="21" t="inlineStr">
        <is>
          <t>Administrador (RFB partner)</t>
        </is>
      </c>
      <c r="K289" s="21" t="inlineStr">
        <is>
          <t>(11) 3513-4260</t>
        </is>
      </c>
      <c r="L289" s="21" t="inlineStr"/>
      <c r="M289" s="21" t="inlineStr"/>
      <c r="N289" s="21" t="inlineStr"/>
      <c r="O289" s="21" t="inlineStr"/>
      <c r="P289" s="21" t="inlineStr"/>
      <c r="Q289" s="21" t="inlineStr"/>
      <c r="R289" s="21" t="inlineStr"/>
      <c r="S289" s="21" t="inlineStr"/>
      <c r="T289" s="21" t="inlineStr">
        <is>
          <t>RFB partner (QSA); no Apollo match</t>
        </is>
      </c>
      <c r="U289" s="22" t="n">
        <v>408408.17</v>
      </c>
      <c r="V289" s="23" t="inlineStr">
        <is>
          <t>B</t>
        </is>
      </c>
      <c r="W289" s="24">
        <f>IFERROR(VLOOKUP(V289,Assumptions!$A$7:$F$11,2,FALSE),0)</f>
        <v/>
      </c>
      <c r="X289" s="25">
        <f>IF(V289="A",MAX(1,IFERROR(VLOOKUP(V289,Assumptions!$A$7:$F$11,3,FALSE),3)+IFERROR(VLOOKUP(V289,Assumptions!$A$7:$F$11,4,FALSE),8)/2-MAX(0,IF(AO289="",0,YEAR(TODAY())-AO289)-IFERROR(VLOOKUP(V289,Assumptions!$A$7:$F$11,5,FALSE),1.5))),IFERROR(VLOOKUP(V289,Assumptions!$A$7:$F$11,5,FALSE),2.5)+IFERROR(VLOOKUP(V289,Assumptions!$A$7:$F$11,3,FALSE),3)+IFERROR(VLOOKUP(V289,Assumptions!$A$7:$F$11,4,FALSE),8)/2)</f>
        <v/>
      </c>
      <c r="Y289" s="22">
        <f>U289*W289/(1+Assumptions!$B$3)^X289</f>
        <v/>
      </c>
      <c r="Z289" s="26">
        <f>IF(U289=0,"",ROUND(Y289/U289*100,1))</f>
        <v/>
      </c>
      <c r="AA289" s="27">
        <f>Y289*Assumptions!$B$4</f>
        <v/>
      </c>
      <c r="AB289" s="26">
        <f>IF(U289=0,"",ROUND(AA289/U289*100,1))</f>
        <v/>
      </c>
      <c r="AC289" s="27">
        <f>Y289-AA289</f>
        <v/>
      </c>
      <c r="AD289" s="26">
        <f>IF(U289=0,"",ROUND((Y289-AA289)/U289*100,1))</f>
        <v/>
      </c>
      <c r="AE289" s="33" t="inlineStr">
        <is>
          <t>NO TOTALS — list prints none; check page</t>
        </is>
      </c>
      <c r="AF289" s="29" t="inlineStr">
        <is>
          <t>https://marquesadmjudicial.com.br/sgc/download.php?file=files/processo_documento/processo_documento16562707032024_1_.pdf&amp;nome=2º Edital-Relação de Credores do art. 7, §2 da LREF e do Plano de Recuperação Judicial</t>
        </is>
      </c>
      <c r="AG289" s="28" t="inlineStr">
        <is>
          <t>p1 r26</t>
        </is>
      </c>
      <c r="AH289" s="28" t="inlineStr">
        <is>
          <t>p1: R$ 408.408,17</t>
        </is>
      </c>
      <c r="AI289" s="28" t="inlineStr">
        <is>
          <t>AJ list (art. 7 §2)</t>
        </is>
      </c>
      <c r="AJ289" s="28" t="inlineStr">
        <is>
          <t>2022-11-17</t>
        </is>
      </c>
      <c r="AK289" s="28" t="inlineStr">
        <is>
          <t>NONE FOUND</t>
        </is>
      </c>
      <c r="AL289" s="30" t="inlineStr">
        <is>
          <t>0037411-27.2022.8.16.0021</t>
        </is>
      </c>
      <c r="AM289" s="30" t="inlineStr">
        <is>
          <t>TJPR</t>
        </is>
      </c>
      <c r="AN289" s="30" t="inlineStr">
        <is>
          <t>ACTIVE</t>
        </is>
      </c>
      <c r="AO289" s="30" t="n">
        <v>2022</v>
      </c>
      <c r="AP289" s="30" t="inlineStr">
        <is>
          <t>live case, no plan document yet</t>
        </is>
      </c>
      <c r="AQ289" s="30" t="inlineStr">
        <is>
          <t>04.929.130/0001-64</t>
        </is>
      </c>
      <c r="AR289" s="30" t="inlineStr">
        <is>
          <t>printed on the list (read twice)</t>
        </is>
      </c>
      <c r="AS289" s="30" t="inlineStr">
        <is>
          <t>SAO PAULO</t>
        </is>
      </c>
      <c r="AT289" s="30" t="inlineStr">
        <is>
          <t>SP</t>
        </is>
      </c>
      <c r="AU289" s="30" t="inlineStr">
        <is>
          <t>Serviços combinados de escritório e apoio administrativo</t>
        </is>
      </c>
      <c r="AV289" s="30" t="inlineStr">
        <is>
          <t>DEMAIS</t>
        </is>
      </c>
      <c r="AW289" s="31" t="n">
        <v>217733330</v>
      </c>
      <c r="AX289" s="30" t="inlineStr">
        <is>
          <t>MID-MARKET</t>
        </is>
      </c>
      <c r="AY289" s="30" t="inlineStr">
        <is>
          <t>59128553</t>
        </is>
      </c>
      <c r="AZ289" s="30" t="n">
        <v>1</v>
      </c>
      <c r="BA289" s="30" t="inlineStr">
        <is>
          <t>ROWS:p1r26 UNRECONCILED_SOURCE</t>
        </is>
      </c>
    </row>
    <row r="290">
      <c r="A290" s="16" t="inlineStr">
        <is>
          <t>ROLAND BRASIL IMPORTACAO, EXPORTACAO, COMERCIO, REPRESENTACAO E SERVICOS LTDA.</t>
        </is>
      </c>
      <c r="B290" s="17" t="n">
        <v>407763.63</v>
      </c>
      <c r="C290" s="18" t="inlineStr">
        <is>
          <t>GRUPO RIVER MUSIC</t>
        </is>
      </c>
      <c r="D290" s="19" t="inlineStr">
        <is>
          <t>NEW</t>
        </is>
      </c>
      <c r="E290" s="20" t="inlineStr"/>
      <c r="F290" s="19" t="inlineStr"/>
      <c r="G290" s="20" t="inlineStr"/>
      <c r="H290" s="19" t="inlineStr"/>
      <c r="I290" s="21" t="inlineStr">
        <is>
          <t>Deise Yamanaka</t>
        </is>
      </c>
      <c r="J290" s="21" t="inlineStr">
        <is>
          <t>Finance Director Latam</t>
        </is>
      </c>
      <c r="K290" s="21" t="inlineStr">
        <is>
          <t>(11) 3087-7700</t>
        </is>
      </c>
      <c r="L290" s="21" t="inlineStr"/>
      <c r="M290" s="21" t="inlineStr"/>
      <c r="N290" s="21" t="inlineStr">
        <is>
          <t>deise.yamanaka@roland.com</t>
        </is>
      </c>
      <c r="O290" s="21" t="inlineStr"/>
      <c r="P290" s="21" t="inlineStr"/>
      <c r="Q290" s="21" t="inlineStr"/>
      <c r="R290" s="21" t="inlineStr"/>
      <c r="S290" s="21" t="inlineStr"/>
      <c r="T290" s="21" t="inlineStr">
        <is>
          <t>email verified by Apollo</t>
        </is>
      </c>
      <c r="U290" s="22" t="n">
        <v>407763.63</v>
      </c>
      <c r="V290" s="23" t="inlineStr">
        <is>
          <t>B</t>
        </is>
      </c>
      <c r="W290" s="24">
        <f>IFERROR(VLOOKUP(V290,Assumptions!$A$7:$F$11,2,FALSE),0)</f>
        <v/>
      </c>
      <c r="X290" s="25">
        <f>IF(V290="A",MAX(1,IFERROR(VLOOKUP(V290,Assumptions!$A$7:$F$11,3,FALSE),3)+IFERROR(VLOOKUP(V290,Assumptions!$A$7:$F$11,4,FALSE),8)/2-MAX(0,IF(AO290="",0,YEAR(TODAY())-AO290)-IFERROR(VLOOKUP(V290,Assumptions!$A$7:$F$11,5,FALSE),1.5))),IFERROR(VLOOKUP(V290,Assumptions!$A$7:$F$11,5,FALSE),2.5)+IFERROR(VLOOKUP(V290,Assumptions!$A$7:$F$11,3,FALSE),3)+IFERROR(VLOOKUP(V290,Assumptions!$A$7:$F$11,4,FALSE),8)/2)</f>
        <v/>
      </c>
      <c r="Y290" s="22">
        <f>U290*W290/(1+Assumptions!$B$3)^X290</f>
        <v/>
      </c>
      <c r="Z290" s="26">
        <f>IF(U290=0,"",ROUND(Y290/U290*100,1))</f>
        <v/>
      </c>
      <c r="AA290" s="27">
        <f>Y290*Assumptions!$B$4</f>
        <v/>
      </c>
      <c r="AB290" s="26">
        <f>IF(U290=0,"",ROUND(AA290/U290*100,1))</f>
        <v/>
      </c>
      <c r="AC290" s="27">
        <f>Y290-AA290</f>
        <v/>
      </c>
      <c r="AD290" s="26">
        <f>IF(U290=0,"",ROUND((Y290-AA290)/U290*100,1))</f>
        <v/>
      </c>
      <c r="AE290" s="33" t="inlineStr">
        <is>
          <t>NO TOTALS — list prints none; check page</t>
        </is>
      </c>
      <c r="AF290" s="29" t="inlineStr">
        <is>
          <t>https://ativosajce.com.br/admin/download.php?file=files/processo_documento/processo_documento18543908052025_1_.pdf&amp;nome=Relação de Credores - art. 52, §1º da Lei 11.101/05 - 27/01/2025</t>
        </is>
      </c>
      <c r="AG290" s="28" t="inlineStr">
        <is>
          <t>p3 r11</t>
        </is>
      </c>
      <c r="AH290" s="28" t="inlineStr">
        <is>
          <t>p3: R$ 407.763,63</t>
        </is>
      </c>
      <c r="AI290" s="28" t="inlineStr">
        <is>
          <t>Unclassified list</t>
        </is>
      </c>
      <c r="AJ290" s="28" t="inlineStr"/>
      <c r="AK290" s="28" t="inlineStr">
        <is>
          <t>NONE FOUND</t>
        </is>
      </c>
      <c r="AL290" s="30" t="inlineStr">
        <is>
          <t>1001174-80.2024.8.26.0359</t>
        </is>
      </c>
      <c r="AM290" s="30" t="inlineStr">
        <is>
          <t>TJSP</t>
        </is>
      </c>
      <c r="AN290" s="30" t="inlineStr">
        <is>
          <t>ACTIVE</t>
        </is>
      </c>
      <c r="AO290" s="30" t="n">
        <v>2024</v>
      </c>
      <c r="AP290" s="30" t="inlineStr">
        <is>
          <t>live case, no plan document yet</t>
        </is>
      </c>
      <c r="AQ290" s="30" t="inlineStr">
        <is>
          <t>14.469.612/0001-32</t>
        </is>
      </c>
      <c r="AR290" s="30" t="inlineStr">
        <is>
          <t>printed on the list (read twice)</t>
        </is>
      </c>
      <c r="AS290" s="30" t="inlineStr">
        <is>
          <t>SAO PAULO</t>
        </is>
      </c>
      <c r="AT290" s="30" t="inlineStr">
        <is>
          <t>SP</t>
        </is>
      </c>
      <c r="AU290" s="30" t="inlineStr">
        <is>
          <t>Comércio atacadista de outros equipamentos e artigos de uso pessoal e doméstico não especificados anteriormente</t>
        </is>
      </c>
      <c r="AV290" s="30" t="inlineStr">
        <is>
          <t>DEMAIS</t>
        </is>
      </c>
      <c r="AW290" s="31" t="n">
        <v>34518540</v>
      </c>
      <c r="AX290" s="30" t="inlineStr">
        <is>
          <t>MID-MARKET</t>
        </is>
      </c>
      <c r="AY290" s="30" t="inlineStr">
        <is>
          <t>67070268</t>
        </is>
      </c>
      <c r="AZ290" s="30" t="n">
        <v>1</v>
      </c>
      <c r="BA290" s="30" t="inlineStr">
        <is>
          <t>ROWS:p3r11 UNRECONCILED_SOURCE VALUE_COL:Valor_Do_Créidto</t>
        </is>
      </c>
    </row>
    <row r="291">
      <c r="A291" s="16" t="inlineStr">
        <is>
          <t>CCP - INDUSTRIA E COMERCIO DE COMPOSTOS DE PVC LTDA</t>
        </is>
      </c>
      <c r="B291" s="17" t="n">
        <v>407429.66</v>
      </c>
      <c r="C291" s="37" t="inlineStr">
        <is>
          <t>(debtor not identified — see proof)</t>
        </is>
      </c>
      <c r="D291" s="19" t="inlineStr">
        <is>
          <t>NEW</t>
        </is>
      </c>
      <c r="E291" s="20" t="inlineStr"/>
      <c r="F291" s="19" t="inlineStr"/>
      <c r="G291" s="20" t="inlineStr"/>
      <c r="H291" s="19" t="inlineStr"/>
      <c r="I291" s="21" t="inlineStr">
        <is>
          <t>Fernando Rescarolli</t>
        </is>
      </c>
      <c r="J291" s="21" t="inlineStr">
        <is>
          <t>Controller na Ccp</t>
        </is>
      </c>
      <c r="K291" s="21" t="inlineStr">
        <is>
          <t>(47) 3447-4800</t>
        </is>
      </c>
      <c r="L291" s="21" t="inlineStr"/>
      <c r="M291" s="21" t="inlineStr"/>
      <c r="N291" s="21" t="inlineStr">
        <is>
          <t>fernando.rescarolli@ccp.ind.br</t>
        </is>
      </c>
      <c r="O291" s="21" t="inlineStr">
        <is>
          <t>contasapagar@ccp.ind.br</t>
        </is>
      </c>
      <c r="P291" s="21" t="inlineStr">
        <is>
          <t>Greice Lorencetti</t>
        </is>
      </c>
      <c r="Q291" s="21" t="inlineStr">
        <is>
          <t>Financial Analyst</t>
        </is>
      </c>
      <c r="R291" s="21" t="inlineStr"/>
      <c r="S291" s="21" t="inlineStr">
        <is>
          <t>contasapagar@ccp.ind.br</t>
        </is>
      </c>
      <c r="T291" s="21" t="inlineStr">
        <is>
          <t>email verified by Apollo</t>
        </is>
      </c>
      <c r="U291" s="22" t="n">
        <v>407429.66</v>
      </c>
      <c r="V291" s="23" t="inlineStr">
        <is>
          <t>B</t>
        </is>
      </c>
      <c r="W291" s="24">
        <f>IFERROR(VLOOKUP(V291,Assumptions!$A$7:$F$11,2,FALSE),0)</f>
        <v/>
      </c>
      <c r="X291" s="25">
        <f>IF(V291="A",MAX(1,IFERROR(VLOOKUP(V291,Assumptions!$A$7:$F$11,3,FALSE),3)+IFERROR(VLOOKUP(V291,Assumptions!$A$7:$F$11,4,FALSE),8)/2-MAX(0,IF(AO291="",0,YEAR(TODAY())-AO291)-IFERROR(VLOOKUP(V291,Assumptions!$A$7:$F$11,5,FALSE),1.5))),IFERROR(VLOOKUP(V291,Assumptions!$A$7:$F$11,5,FALSE),2.5)+IFERROR(VLOOKUP(V291,Assumptions!$A$7:$F$11,3,FALSE),3)+IFERROR(VLOOKUP(V291,Assumptions!$A$7:$F$11,4,FALSE),8)/2)</f>
        <v/>
      </c>
      <c r="Y291" s="22">
        <f>U291*W291/(1+Assumptions!$B$3)^X291</f>
        <v/>
      </c>
      <c r="Z291" s="26">
        <f>IF(U291=0,"",ROUND(Y291/U291*100,1))</f>
        <v/>
      </c>
      <c r="AA291" s="27">
        <f>Y291*Assumptions!$B$4</f>
        <v/>
      </c>
      <c r="AB291" s="26">
        <f>IF(U291=0,"",ROUND(AA291/U291*100,1))</f>
        <v/>
      </c>
      <c r="AC291" s="27">
        <f>Y291-AA291</f>
        <v/>
      </c>
      <c r="AD291" s="26">
        <f>IF(U291=0,"",ROUND((Y291-AA291)/U291*100,1))</f>
        <v/>
      </c>
      <c r="AE291" s="28" t="inlineStr">
        <is>
          <t>OK — totals reconciled</t>
        </is>
      </c>
      <c r="AF291" s="29" t="inlineStr">
        <is>
          <t>https://ajruiz.com.br/sites/default/files/public/arquivos-processos/2024-04/relacao_de_credores_recuperanda_1.pdf</t>
        </is>
      </c>
      <c r="AG291" s="28" t="inlineStr">
        <is>
          <t>p4 r6; p4 r7; p4 r8; p4 r9</t>
        </is>
      </c>
      <c r="AH291" s="28" t="inlineStr">
        <is>
          <t>p4: R$ 151.777,50; p4: R$ 7.227,50; p4: R$ 166.232,50; p4: R$ 82.192,16</t>
        </is>
      </c>
      <c r="AI291" s="28" t="inlineStr">
        <is>
          <t>QGC (art. 18)</t>
        </is>
      </c>
      <c r="AJ291" s="28" t="inlineStr">
        <is>
          <t>2024-01-31</t>
        </is>
      </c>
      <c r="AK291" s="28" t="inlineStr">
        <is>
          <t>NONE FOUND</t>
        </is>
      </c>
      <c r="AL291" s="30" t="inlineStr">
        <is>
          <t>1022634-27.2024.8.26.0100</t>
        </is>
      </c>
      <c r="AM291" s="30" t="inlineStr">
        <is>
          <t>TJSP</t>
        </is>
      </c>
      <c r="AN291" s="30" t="inlineStr"/>
      <c r="AO291" s="30" t="n">
        <v>2024</v>
      </c>
      <c r="AP291" s="30" t="inlineStr">
        <is>
          <t>live case, no plan document yet</t>
        </is>
      </c>
      <c r="AQ291" s="30" t="inlineStr"/>
      <c r="AR291" s="30" t="inlineStr">
        <is>
          <t>not identified</t>
        </is>
      </c>
      <c r="AS291" s="30" t="inlineStr">
        <is>
          <t>ARAQUARI</t>
        </is>
      </c>
      <c r="AT291" s="30" t="inlineStr">
        <is>
          <t>SC</t>
        </is>
      </c>
      <c r="AU291" s="30" t="inlineStr">
        <is>
          <t>Fabricação de resinas termoplásticas</t>
        </is>
      </c>
      <c r="AV291" s="30" t="inlineStr">
        <is>
          <t>DEMAIS</t>
        </is>
      </c>
      <c r="AW291" s="31" t="n">
        <v>5000000</v>
      </c>
      <c r="AX291" s="30" t="inlineStr">
        <is>
          <t>MID-MARKET</t>
        </is>
      </c>
      <c r="AY291" s="30" t="inlineStr">
        <is>
          <t>08048078</t>
        </is>
      </c>
      <c r="AZ291" s="30" t="n">
        <v>4</v>
      </c>
      <c r="BA291" s="30" t="inlineStr">
        <is>
          <t>ROWS:p4r6,p4r7,p4r8,p4r9 CASE_NUMBER_CORRECTED</t>
        </is>
      </c>
    </row>
    <row r="292">
      <c r="A292" s="16" t="inlineStr">
        <is>
          <t>COMARY INDUSTRIA DE BEBIDAS LTDA</t>
        </is>
      </c>
      <c r="B292" s="17" t="n">
        <v>407241.98</v>
      </c>
      <c r="C292" s="18" t="inlineStr">
        <is>
          <t>Grupo Arruda (ARRUDA &amp; MELO REPRESENTACAO DE ALIMENTOS E BEBIDAS LTDA, ARRUDA &amp; MELO COMERCIO E DISTRIBUICAO DE ALIMENTOS E BEBIDAS LTDA, ARRUDA &amp; MELO COMERCIO E DISTRIBUICAO DE ALIMENTOS E BEBIDAS DA BAHIA LTDA)</t>
        </is>
      </c>
      <c r="D292" s="19" t="inlineStr">
        <is>
          <t>NEW</t>
        </is>
      </c>
      <c r="E292" s="20" t="inlineStr"/>
      <c r="F292" s="19" t="inlineStr"/>
      <c r="G292" s="20" t="inlineStr"/>
      <c r="H292" s="19" t="inlineStr"/>
      <c r="I292" s="21" t="inlineStr">
        <is>
          <t>Rildo Mota</t>
        </is>
      </c>
      <c r="J292" s="21" t="inlineStr">
        <is>
          <t>Comary Indústria de Bebidas</t>
        </is>
      </c>
      <c r="K292" s="21" t="inlineStr">
        <is>
          <t>(21) 2152-4014</t>
        </is>
      </c>
      <c r="L292" s="21" t="inlineStr">
        <is>
          <t>(21) 2152-4000</t>
        </is>
      </c>
      <c r="M292" s="21" t="inlineStr"/>
      <c r="N292" s="21" t="inlineStr">
        <is>
          <t>rildo.mota@comary.com.br</t>
        </is>
      </c>
      <c r="O292" s="21" t="inlineStr"/>
      <c r="P292" s="21" t="inlineStr"/>
      <c r="Q292" s="21" t="inlineStr"/>
      <c r="R292" s="21" t="inlineStr"/>
      <c r="S292" s="21" t="inlineStr"/>
      <c r="T292" s="21" t="inlineStr">
        <is>
          <t>email is pattern-guessed, not verified</t>
        </is>
      </c>
      <c r="U292" s="22" t="n">
        <v>407241.98</v>
      </c>
      <c r="V292" s="23" t="inlineStr">
        <is>
          <t>B</t>
        </is>
      </c>
      <c r="W292" s="24">
        <f>IFERROR(VLOOKUP(V292,Assumptions!$A$7:$F$11,2,FALSE),0)</f>
        <v/>
      </c>
      <c r="X292" s="25">
        <f>IF(V292="A",MAX(1,IFERROR(VLOOKUP(V292,Assumptions!$A$7:$F$11,3,FALSE),3)+IFERROR(VLOOKUP(V292,Assumptions!$A$7:$F$11,4,FALSE),8)/2-MAX(0,IF(AO292="",0,YEAR(TODAY())-AO292)-IFERROR(VLOOKUP(V292,Assumptions!$A$7:$F$11,5,FALSE),1.5))),IFERROR(VLOOKUP(V292,Assumptions!$A$7:$F$11,5,FALSE),2.5)+IFERROR(VLOOKUP(V292,Assumptions!$A$7:$F$11,3,FALSE),3)+IFERROR(VLOOKUP(V292,Assumptions!$A$7:$F$11,4,FALSE),8)/2)</f>
        <v/>
      </c>
      <c r="Y292" s="22">
        <f>U292*W292/(1+Assumptions!$B$3)^X292</f>
        <v/>
      </c>
      <c r="Z292" s="26">
        <f>IF(U292=0,"",ROUND(Y292/U292*100,1))</f>
        <v/>
      </c>
      <c r="AA292" s="27">
        <f>Y292*Assumptions!$B$4</f>
        <v/>
      </c>
      <c r="AB292" s="26">
        <f>IF(U292=0,"",ROUND(AA292/U292*100,1))</f>
        <v/>
      </c>
      <c r="AC292" s="27">
        <f>Y292-AA292</f>
        <v/>
      </c>
      <c r="AD292" s="26">
        <f>IF(U292=0,"",ROUND((Y292-AA292)/U292*100,1))</f>
        <v/>
      </c>
      <c r="AE292" s="28" t="inlineStr">
        <is>
          <t>OK — totals reconciled</t>
        </is>
      </c>
      <c r="AF292" s="29" t="inlineStr">
        <is>
          <t>https://diligence.adm.br/wp-content/uploads/2025/06/Edital-1a-Lista-de-Credores.pdf</t>
        </is>
      </c>
      <c r="AG292" s="28" t="inlineStr">
        <is>
          <t>p5 r69</t>
        </is>
      </c>
      <c r="AH292" s="28" t="inlineStr">
        <is>
          <t>p5: R$ 407.241,98</t>
        </is>
      </c>
      <c r="AI292" s="28" t="inlineStr">
        <is>
          <t>Debtor list (art. 51)</t>
        </is>
      </c>
      <c r="AJ292" s="28" t="inlineStr">
        <is>
          <t>2025-06-10</t>
        </is>
      </c>
      <c r="AK292" s="28" t="inlineStr">
        <is>
          <t>NONE FOUND</t>
        </is>
      </c>
      <c r="AL292" s="30" t="inlineStr">
        <is>
          <t>0008526-45.2025.8.17.2001</t>
        </is>
      </c>
      <c r="AM292" s="30" t="inlineStr">
        <is>
          <t>TJPE</t>
        </is>
      </c>
      <c r="AN292" s="30" t="inlineStr">
        <is>
          <t>ACTIVE</t>
        </is>
      </c>
      <c r="AO292" s="30" t="n">
        <v>2025</v>
      </c>
      <c r="AP292" s="30" t="inlineStr">
        <is>
          <t>live case, no plan document yet</t>
        </is>
      </c>
      <c r="AQ292" s="30" t="inlineStr"/>
      <c r="AR292" s="30" t="inlineStr">
        <is>
          <t>printed on the list (read twice)</t>
        </is>
      </c>
      <c r="AS292" s="30" t="inlineStr">
        <is>
          <t>TERESOPOLIS</t>
        </is>
      </c>
      <c r="AT292" s="30" t="inlineStr">
        <is>
          <t>RJ</t>
        </is>
      </c>
      <c r="AU292" s="30" t="inlineStr">
        <is>
          <t>Fabricação de vinho</t>
        </is>
      </c>
      <c r="AV292" s="30" t="inlineStr">
        <is>
          <t>DEMAIS</t>
        </is>
      </c>
      <c r="AW292" s="31" t="n">
        <v>111122260</v>
      </c>
      <c r="AX292" s="30" t="inlineStr">
        <is>
          <t>MID-MARKET</t>
        </is>
      </c>
      <c r="AY292" s="30" t="inlineStr">
        <is>
          <t>29588019</t>
        </is>
      </c>
      <c r="AZ292" s="30" t="n">
        <v>1</v>
      </c>
      <c r="BA292" s="30" t="inlineStr">
        <is>
          <t>ROWS:p5r69</t>
        </is>
      </c>
    </row>
    <row r="293">
      <c r="A293" s="16" t="inlineStr">
        <is>
          <t>APC DO BRASIL LTDA.</t>
        </is>
      </c>
      <c r="B293" s="17" t="n">
        <v>218400</v>
      </c>
      <c r="C293" s="18" t="inlineStr">
        <is>
          <t>GRUPO 3E</t>
        </is>
      </c>
      <c r="D293" s="19" t="inlineStr">
        <is>
          <t>NEW</t>
        </is>
      </c>
      <c r="E293" s="20" t="inlineStr"/>
      <c r="F293" s="19" t="inlineStr"/>
      <c r="G293" s="20" t="inlineStr"/>
      <c r="H293" s="19" t="inlineStr"/>
      <c r="I293" s="21" t="inlineStr">
        <is>
          <t>Danielly Barbosa</t>
        </is>
      </c>
      <c r="J293" s="21" t="inlineStr">
        <is>
          <t>Técnico de Segurança do Trabalho APC do Brasil</t>
        </is>
      </c>
      <c r="K293" s="21" t="inlineStr">
        <is>
          <t>(49) 3331-3882</t>
        </is>
      </c>
      <c r="L293" s="21" t="inlineStr"/>
      <c r="M293" s="21" t="inlineStr"/>
      <c r="N293" s="21" t="inlineStr">
        <is>
          <t>danielly.barbosa@apcproteins.com</t>
        </is>
      </c>
      <c r="O293" s="21" t="inlineStr"/>
      <c r="P293" s="21" t="inlineStr">
        <is>
          <t>ALVARO LAYDNER DE OLIVEIRA</t>
        </is>
      </c>
      <c r="Q293" s="21" t="inlineStr">
        <is>
          <t>Administrador (RFB partner)</t>
        </is>
      </c>
      <c r="R293" s="21" t="inlineStr"/>
      <c r="S293" s="21" t="inlineStr"/>
      <c r="T293" s="21" t="inlineStr">
        <is>
          <t>email is pattern-guessed, not verified</t>
        </is>
      </c>
      <c r="U293" s="22" t="n">
        <v>218400</v>
      </c>
      <c r="V293" s="35" t="inlineStr">
        <is>
          <t>A</t>
        </is>
      </c>
      <c r="W293" s="24">
        <f>IFERROR(VLOOKUP(V293,Assumptions!$A$7:$F$11,2,FALSE),0)</f>
        <v/>
      </c>
      <c r="X293" s="25">
        <f>IF(V293="A",MAX(1,IFERROR(VLOOKUP(V293,Assumptions!$A$7:$F$11,3,FALSE),3)+IFERROR(VLOOKUP(V293,Assumptions!$A$7:$F$11,4,FALSE),8)/2-MAX(0,IF(AO293="",0,YEAR(TODAY())-AO293)-IFERROR(VLOOKUP(V293,Assumptions!$A$7:$F$11,5,FALSE),1.5))),IFERROR(VLOOKUP(V293,Assumptions!$A$7:$F$11,5,FALSE),2.5)+IFERROR(VLOOKUP(V293,Assumptions!$A$7:$F$11,3,FALSE),3)+IFERROR(VLOOKUP(V293,Assumptions!$A$7:$F$11,4,FALSE),8)/2)</f>
        <v/>
      </c>
      <c r="Y293" s="22">
        <f>U293*W293/(1+Assumptions!$B$3)^X293</f>
        <v/>
      </c>
      <c r="Z293" s="26">
        <f>IF(U293=0,"",ROUND(Y293/U293*100,1))</f>
        <v/>
      </c>
      <c r="AA293" s="27">
        <f>Y293*Assumptions!$B$4</f>
        <v/>
      </c>
      <c r="AB293" s="26">
        <f>IF(U293=0,"",ROUND(AA293/U293*100,1))</f>
        <v/>
      </c>
      <c r="AC293" s="27">
        <f>Y293-AA293</f>
        <v/>
      </c>
      <c r="AD293" s="26">
        <f>IF(U293=0,"",ROUND((Y293-AA293)/U293*100,1))</f>
        <v/>
      </c>
      <c r="AE293" s="33" t="inlineStr">
        <is>
          <t>NO TOTALS — list prints none; check page</t>
        </is>
      </c>
      <c r="AF293" s="29" t="inlineStr">
        <is>
          <t>https://stenius.com.br/wp-content/uploads/2026/06/EDITAL-GRUPO-3E.pdf</t>
        </is>
      </c>
      <c r="AG293" s="28" t="inlineStr">
        <is>
          <t>p10 r3</t>
        </is>
      </c>
      <c r="AH293" s="28" t="inlineStr">
        <is>
          <t>p10: R$ 218.400,00</t>
        </is>
      </c>
      <c r="AI293" s="28" t="inlineStr">
        <is>
          <t>Debtor list (art. 51)</t>
        </is>
      </c>
      <c r="AJ293" s="28" t="inlineStr">
        <is>
          <t>2026-06-22</t>
        </is>
      </c>
      <c r="AK293" s="28" t="inlineStr">
        <is>
          <t>PLAN DOC FOUND</t>
        </is>
      </c>
      <c r="AL293" s="30" t="inlineStr">
        <is>
          <t>5341375-33.2026.8.09.0049</t>
        </is>
      </c>
      <c r="AM293" s="30" t="inlineStr">
        <is>
          <t>TJGO</t>
        </is>
      </c>
      <c r="AN293" s="30" t="inlineStr">
        <is>
          <t>ACTIVE</t>
        </is>
      </c>
      <c r="AO293" s="30" t="n">
        <v>2026</v>
      </c>
      <c r="AP293" s="30" t="inlineStr">
        <is>
          <t>plan/homologation document found</t>
        </is>
      </c>
      <c r="AQ293" s="30" t="inlineStr"/>
      <c r="AR293" s="30" t="inlineStr">
        <is>
          <t>printed on the list (read twice)</t>
        </is>
      </c>
      <c r="AS293" s="30" t="inlineStr">
        <is>
          <t>CHAPECO</t>
        </is>
      </c>
      <c r="AT293" s="30" t="inlineStr">
        <is>
          <t>SC</t>
        </is>
      </c>
      <c r="AU293" s="30" t="inlineStr">
        <is>
          <t>Preparação de subprodutos do abate</t>
        </is>
      </c>
      <c r="AV293" s="30" t="inlineStr">
        <is>
          <t>DEMAIS</t>
        </is>
      </c>
      <c r="AW293" s="31" t="n">
        <v>73559544</v>
      </c>
      <c r="AX293" s="30" t="inlineStr">
        <is>
          <t>MID-MARKET</t>
        </is>
      </c>
      <c r="AY293" s="30" t="inlineStr">
        <is>
          <t>04310390</t>
        </is>
      </c>
      <c r="AZ293" s="30" t="n">
        <v>1</v>
      </c>
      <c r="BA293" s="30" t="inlineStr">
        <is>
          <t>ROWS:p10r3 UNRECONCILED_SOURCE</t>
        </is>
      </c>
    </row>
    <row r="294">
      <c r="A294" s="16" t="inlineStr">
        <is>
          <t>AGROCETE INDUSTRIA DE FERTILIZANTES LTDA</t>
        </is>
      </c>
      <c r="B294" s="17" t="n">
        <v>406921.95</v>
      </c>
      <c r="C294" s="18" t="inlineStr">
        <is>
          <t>Agroforte Agropecuaria Ltda</t>
        </is>
      </c>
      <c r="D294" s="19" t="inlineStr">
        <is>
          <t>NEW</t>
        </is>
      </c>
      <c r="E294" s="20" t="inlineStr"/>
      <c r="F294" s="19" t="inlineStr"/>
      <c r="G294" s="20" t="inlineStr"/>
      <c r="H294" s="19" t="inlineStr"/>
      <c r="I294" s="21" t="inlineStr">
        <is>
          <t>Marcio Junior</t>
        </is>
      </c>
      <c r="J294" s="21" t="inlineStr">
        <is>
          <t>Controller Analyst</t>
        </is>
      </c>
      <c r="K294" s="21" t="inlineStr">
        <is>
          <t>(42) 3228-1229</t>
        </is>
      </c>
      <c r="L294" s="21" t="inlineStr"/>
      <c r="M294" s="21" t="inlineStr"/>
      <c r="N294" s="21" t="inlineStr">
        <is>
          <t>marcio.schade@agrocete.com</t>
        </is>
      </c>
      <c r="O294" s="21" t="inlineStr">
        <is>
          <t>renata.moreira@agrocete.com</t>
        </is>
      </c>
      <c r="P294" s="21" t="inlineStr">
        <is>
          <t>Renata Moreira</t>
        </is>
      </c>
      <c r="Q294" s="21" t="inlineStr">
        <is>
          <t>Controller Assistant</t>
        </is>
      </c>
      <c r="R294" s="21" t="inlineStr"/>
      <c r="S294" s="21" t="inlineStr">
        <is>
          <t>renata.moreira@agrocete.com</t>
        </is>
      </c>
      <c r="T294" s="21" t="inlineStr">
        <is>
          <t>email verified by Apollo</t>
        </is>
      </c>
      <c r="U294" s="22" t="n">
        <v>406921.95</v>
      </c>
      <c r="V294" s="23" t="inlineStr">
        <is>
          <t>B</t>
        </is>
      </c>
      <c r="W294" s="24">
        <f>IFERROR(VLOOKUP(V294,Assumptions!$A$7:$F$11,2,FALSE),0)</f>
        <v/>
      </c>
      <c r="X294" s="25">
        <f>IF(V294="A",MAX(1,IFERROR(VLOOKUP(V294,Assumptions!$A$7:$F$11,3,FALSE),3)+IFERROR(VLOOKUP(V294,Assumptions!$A$7:$F$11,4,FALSE),8)/2-MAX(0,IF(AO294="",0,YEAR(TODAY())-AO294)-IFERROR(VLOOKUP(V294,Assumptions!$A$7:$F$11,5,FALSE),1.5))),IFERROR(VLOOKUP(V294,Assumptions!$A$7:$F$11,5,FALSE),2.5)+IFERROR(VLOOKUP(V294,Assumptions!$A$7:$F$11,3,FALSE),3)+IFERROR(VLOOKUP(V294,Assumptions!$A$7:$F$11,4,FALSE),8)/2)</f>
        <v/>
      </c>
      <c r="Y294" s="22">
        <f>U294*W294/(1+Assumptions!$B$3)^X294</f>
        <v/>
      </c>
      <c r="Z294" s="26">
        <f>IF(U294=0,"",ROUND(Y294/U294*100,1))</f>
        <v/>
      </c>
      <c r="AA294" s="27">
        <f>Y294*Assumptions!$B$4</f>
        <v/>
      </c>
      <c r="AB294" s="26">
        <f>IF(U294=0,"",ROUND(AA294/U294*100,1))</f>
        <v/>
      </c>
      <c r="AC294" s="27">
        <f>Y294-AA294</f>
        <v/>
      </c>
      <c r="AD294" s="26">
        <f>IF(U294=0,"",ROUND((Y294-AA294)/U294*100,1))</f>
        <v/>
      </c>
      <c r="AE294" s="34" t="inlineStr">
        <is>
          <t>PARTIAL — class III reconciled, other classes not</t>
        </is>
      </c>
      <c r="AF294" s="29" t="inlineStr">
        <is>
          <t>https://marquesadmjudicial.com.br/sgc/download.php?file=files/processo_documento/processo_documento11370527032026_1_.pdf&amp;nome=Quadro Geral de Credores (QGC) -AJ Anterior</t>
        </is>
      </c>
      <c r="AG294" s="28" t="inlineStr">
        <is>
          <t>p1 r4</t>
        </is>
      </c>
      <c r="AH294" s="28" t="inlineStr">
        <is>
          <t>p1: R$ 406.921,95</t>
        </is>
      </c>
      <c r="AI294" s="28" t="inlineStr">
        <is>
          <t>QGC (art. 18)</t>
        </is>
      </c>
      <c r="AJ294" s="28" t="inlineStr">
        <is>
          <t>2025-09-22</t>
        </is>
      </c>
      <c r="AK294" s="28" t="inlineStr">
        <is>
          <t>NONE FOUND</t>
        </is>
      </c>
      <c r="AL294" s="30" t="inlineStr">
        <is>
          <t>0031120-52.2024.8.16.0017</t>
        </is>
      </c>
      <c r="AM294" s="30" t="inlineStr">
        <is>
          <t>TJPR</t>
        </is>
      </c>
      <c r="AN294" s="30" t="inlineStr">
        <is>
          <t>ACTIVE</t>
        </is>
      </c>
      <c r="AO294" s="30" t="n">
        <v>2024</v>
      </c>
      <c r="AP294" s="30" t="inlineStr">
        <is>
          <t>live case, no plan document yet</t>
        </is>
      </c>
      <c r="AQ294" s="30" t="inlineStr">
        <is>
          <t>33.286.454/0001-20</t>
        </is>
      </c>
      <c r="AR294" s="30" t="inlineStr">
        <is>
          <t>printed on the list (read twice)</t>
        </is>
      </c>
      <c r="AS294" s="30" t="inlineStr">
        <is>
          <t>PONTA GROSSA</t>
        </is>
      </c>
      <c r="AT294" s="30" t="inlineStr">
        <is>
          <t>PR</t>
        </is>
      </c>
      <c r="AU294" s="30" t="inlineStr">
        <is>
          <t>Fabricação de adubos e fertilizantes, exceto organo-minerais</t>
        </is>
      </c>
      <c r="AV294" s="30" t="inlineStr">
        <is>
          <t>DEMAIS</t>
        </is>
      </c>
      <c r="AW294" s="31" t="n">
        <v>5000000</v>
      </c>
      <c r="AX294" s="30" t="inlineStr">
        <is>
          <t>MID-MARKET</t>
        </is>
      </c>
      <c r="AY294" s="30" t="inlineStr">
        <is>
          <t>75007385</t>
        </is>
      </c>
      <c r="AZ294" s="30" t="n">
        <v>1</v>
      </c>
      <c r="BA294" s="30" t="inlineStr">
        <is>
          <t>PARTIAL_DOC_CLASS_III_RECONCILED ROWS:p1r4</t>
        </is>
      </c>
    </row>
    <row r="295">
      <c r="A295" s="16" t="inlineStr">
        <is>
          <t>GETTI QUIMICA LTDA</t>
        </is>
      </c>
      <c r="B295" s="17" t="n">
        <v>406720.75</v>
      </c>
      <c r="C295" s="18" t="inlineStr">
        <is>
          <t>GRUPO DIVINA</t>
        </is>
      </c>
      <c r="D295" s="19" t="inlineStr">
        <is>
          <t>NEW</t>
        </is>
      </c>
      <c r="E295" s="20" t="inlineStr"/>
      <c r="F295" s="19" t="inlineStr"/>
      <c r="G295" s="20" t="inlineStr"/>
      <c r="H295" s="19" t="inlineStr"/>
      <c r="I295" s="21" t="inlineStr">
        <is>
          <t>Fabricio Moura</t>
        </is>
      </c>
      <c r="J295" s="21" t="inlineStr">
        <is>
          <t>Contador</t>
        </is>
      </c>
      <c r="K295" s="21" t="inlineStr">
        <is>
          <t>(51) 3553-3355</t>
        </is>
      </c>
      <c r="L295" s="21" t="inlineStr"/>
      <c r="M295" s="21" t="inlineStr"/>
      <c r="N295" s="21" t="inlineStr">
        <is>
          <t>fabricio@getti.com.br</t>
        </is>
      </c>
      <c r="O295" s="21" t="inlineStr"/>
      <c r="P295" s="21" t="inlineStr">
        <is>
          <t>ANDRE STOFFEL</t>
        </is>
      </c>
      <c r="Q295" s="21" t="inlineStr">
        <is>
          <t>Sócio-Administrador (RFB partner)</t>
        </is>
      </c>
      <c r="R295" s="21" t="inlineStr"/>
      <c r="S295" s="21" t="inlineStr"/>
      <c r="T295" s="21" t="inlineStr">
        <is>
          <t>email verified by Apollo</t>
        </is>
      </c>
      <c r="U295" s="22" t="n">
        <v>406720.75</v>
      </c>
      <c r="V295" s="23" t="inlineStr">
        <is>
          <t>B</t>
        </is>
      </c>
      <c r="W295" s="24">
        <f>IFERROR(VLOOKUP(V295,Assumptions!$A$7:$F$11,2,FALSE),0)</f>
        <v/>
      </c>
      <c r="X295" s="25">
        <f>IF(V295="A",MAX(1,IFERROR(VLOOKUP(V295,Assumptions!$A$7:$F$11,3,FALSE),3)+IFERROR(VLOOKUP(V295,Assumptions!$A$7:$F$11,4,FALSE),8)/2-MAX(0,IF(AO295="",0,YEAR(TODAY())-AO295)-IFERROR(VLOOKUP(V295,Assumptions!$A$7:$F$11,5,FALSE),1.5))),IFERROR(VLOOKUP(V295,Assumptions!$A$7:$F$11,5,FALSE),2.5)+IFERROR(VLOOKUP(V295,Assumptions!$A$7:$F$11,3,FALSE),3)+IFERROR(VLOOKUP(V295,Assumptions!$A$7:$F$11,4,FALSE),8)/2)</f>
        <v/>
      </c>
      <c r="Y295" s="22">
        <f>U295*W295/(1+Assumptions!$B$3)^X295</f>
        <v/>
      </c>
      <c r="Z295" s="26">
        <f>IF(U295=0,"",ROUND(Y295/U295*100,1))</f>
        <v/>
      </c>
      <c r="AA295" s="27">
        <f>Y295*Assumptions!$B$4</f>
        <v/>
      </c>
      <c r="AB295" s="26">
        <f>IF(U295=0,"",ROUND(AA295/U295*100,1))</f>
        <v/>
      </c>
      <c r="AC295" s="27">
        <f>Y295-AA295</f>
        <v/>
      </c>
      <c r="AD295" s="26">
        <f>IF(U295=0,"",ROUND((Y295-AA295)/U295*100,1))</f>
        <v/>
      </c>
      <c r="AE295" s="34" t="inlineStr">
        <is>
          <t>PARTIAL — class III reconciled, other classes not</t>
        </is>
      </c>
      <c r="AF295" s="29" t="inlineStr">
        <is>
          <t>https://lrflideres.com.br/wp-content/plugins/download-attachments/includes/download.php?id=6252</t>
        </is>
      </c>
      <c r="AG295" s="28" t="inlineStr">
        <is>
          <t>p2 r46</t>
        </is>
      </c>
      <c r="AH295" s="28" t="inlineStr">
        <is>
          <t>p2: R$ 406.720,75</t>
        </is>
      </c>
      <c r="AI295" s="28" t="inlineStr">
        <is>
          <t>AJ list (art. 7 §2)</t>
        </is>
      </c>
      <c r="AJ295" s="28" t="inlineStr">
        <is>
          <t>2024-11-27</t>
        </is>
      </c>
      <c r="AK295" s="28" t="inlineStr">
        <is>
          <t>NONE FOUND</t>
        </is>
      </c>
      <c r="AL295" s="30" t="inlineStr">
        <is>
          <t>0000721-61.2024.8.17.2620</t>
        </is>
      </c>
      <c r="AM295" s="30" t="inlineStr">
        <is>
          <t>TJPE</t>
        </is>
      </c>
      <c r="AN295" s="30" t="inlineStr">
        <is>
          <t>ACTIVE</t>
        </is>
      </c>
      <c r="AO295" s="30" t="n">
        <v>2024</v>
      </c>
      <c r="AP295" s="30" t="inlineStr">
        <is>
          <t>live case, no plan document yet</t>
        </is>
      </c>
      <c r="AQ295" s="30" t="inlineStr">
        <is>
          <t>08.785.522/0001-58</t>
        </is>
      </c>
      <c r="AR295" s="30" t="inlineStr">
        <is>
          <t>printed on the list (read twice)</t>
        </is>
      </c>
      <c r="AS295" s="30" t="inlineStr">
        <is>
          <t>NOVO HAMBURGO</t>
        </is>
      </c>
      <c r="AT295" s="30" t="inlineStr">
        <is>
          <t>RS</t>
        </is>
      </c>
      <c r="AU295" s="30" t="inlineStr">
        <is>
          <t>Fabricação de outros produtos químicos não especificados anteriormente</t>
        </is>
      </c>
      <c r="AV295" s="30" t="inlineStr">
        <is>
          <t>DEMAIS</t>
        </is>
      </c>
      <c r="AW295" s="31" t="n">
        <v>6000000</v>
      </c>
      <c r="AX295" s="30" t="inlineStr">
        <is>
          <t>MID-MARKET</t>
        </is>
      </c>
      <c r="AY295" s="30" t="inlineStr">
        <is>
          <t>00073757</t>
        </is>
      </c>
      <c r="AZ295" s="30" t="n">
        <v>1</v>
      </c>
      <c r="BA295" s="30" t="inlineStr">
        <is>
          <t>PARTIAL_DOC_CLASS_III_RECONCILED ROWS:p2r46</t>
        </is>
      </c>
    </row>
    <row r="296">
      <c r="A296" s="16" t="inlineStr">
        <is>
          <t>T &amp; T COMERCIO E REPRESENTACAO LTDA</t>
        </is>
      </c>
      <c r="B296" s="17" t="n">
        <v>216279.12</v>
      </c>
      <c r="C296" s="18" t="inlineStr">
        <is>
          <t>GRUPO 3E</t>
        </is>
      </c>
      <c r="D296" s="19" t="inlineStr">
        <is>
          <t>NEW</t>
        </is>
      </c>
      <c r="E296" s="20" t="inlineStr"/>
      <c r="F296" s="19" t="inlineStr"/>
      <c r="G296" s="20" t="inlineStr"/>
      <c r="H296" s="19" t="inlineStr"/>
      <c r="I296" s="21" t="inlineStr">
        <is>
          <t>Rodrigo Silvio</t>
        </is>
      </c>
      <c r="J296" s="21" t="inlineStr">
        <is>
          <t>Sales Supervisor</t>
        </is>
      </c>
      <c r="K296" s="21" t="inlineStr">
        <is>
          <t>(62) 3259-6518</t>
        </is>
      </c>
      <c r="L296" s="21" t="inlineStr"/>
      <c r="M296" s="21" t="inlineStr"/>
      <c r="N296" s="21" t="inlineStr">
        <is>
          <t>rodrigo@ttfriato.com.br</t>
        </is>
      </c>
      <c r="O296" s="21" t="inlineStr"/>
      <c r="P296" s="21" t="inlineStr">
        <is>
          <t>TARCIA TOMAZINI SERPA</t>
        </is>
      </c>
      <c r="Q296" s="21" t="inlineStr">
        <is>
          <t>Sócio-Administrador (RFB partner)</t>
        </is>
      </c>
      <c r="R296" s="21" t="inlineStr"/>
      <c r="S296" s="21" t="inlineStr"/>
      <c r="T296" s="21" t="inlineStr">
        <is>
          <t>email verified by Apollo</t>
        </is>
      </c>
      <c r="U296" s="22" t="n">
        <v>216279.12</v>
      </c>
      <c r="V296" s="35" t="inlineStr">
        <is>
          <t>A</t>
        </is>
      </c>
      <c r="W296" s="24">
        <f>IFERROR(VLOOKUP(V296,Assumptions!$A$7:$F$11,2,FALSE),0)</f>
        <v/>
      </c>
      <c r="X296" s="25">
        <f>IF(V296="A",MAX(1,IFERROR(VLOOKUP(V296,Assumptions!$A$7:$F$11,3,FALSE),3)+IFERROR(VLOOKUP(V296,Assumptions!$A$7:$F$11,4,FALSE),8)/2-MAX(0,IF(AO296="",0,YEAR(TODAY())-AO296)-IFERROR(VLOOKUP(V296,Assumptions!$A$7:$F$11,5,FALSE),1.5))),IFERROR(VLOOKUP(V296,Assumptions!$A$7:$F$11,5,FALSE),2.5)+IFERROR(VLOOKUP(V296,Assumptions!$A$7:$F$11,3,FALSE),3)+IFERROR(VLOOKUP(V296,Assumptions!$A$7:$F$11,4,FALSE),8)/2)</f>
        <v/>
      </c>
      <c r="Y296" s="22">
        <f>U296*W296/(1+Assumptions!$B$3)^X296</f>
        <v/>
      </c>
      <c r="Z296" s="26">
        <f>IF(U296=0,"",ROUND(Y296/U296*100,1))</f>
        <v/>
      </c>
      <c r="AA296" s="27">
        <f>Y296*Assumptions!$B$4</f>
        <v/>
      </c>
      <c r="AB296" s="26">
        <f>IF(U296=0,"",ROUND(AA296/U296*100,1))</f>
        <v/>
      </c>
      <c r="AC296" s="27">
        <f>Y296-AA296</f>
        <v/>
      </c>
      <c r="AD296" s="26">
        <f>IF(U296=0,"",ROUND((Y296-AA296)/U296*100,1))</f>
        <v/>
      </c>
      <c r="AE296" s="33" t="inlineStr">
        <is>
          <t>NO TOTALS — list prints none; check page</t>
        </is>
      </c>
      <c r="AF296" s="29" t="inlineStr">
        <is>
          <t>https://stenius.com.br/wp-content/uploads/2026/06/EDITAL-GRUPO-3E.pdf</t>
        </is>
      </c>
      <c r="AG296" s="28" t="inlineStr">
        <is>
          <t>p13 r51</t>
        </is>
      </c>
      <c r="AH296" s="28" t="inlineStr">
        <is>
          <t>p13: R$ 216.279,12</t>
        </is>
      </c>
      <c r="AI296" s="28" t="inlineStr">
        <is>
          <t>Debtor list (art. 51)</t>
        </is>
      </c>
      <c r="AJ296" s="28" t="inlineStr">
        <is>
          <t>2026-06-22</t>
        </is>
      </c>
      <c r="AK296" s="28" t="inlineStr">
        <is>
          <t>PLAN DOC FOUND</t>
        </is>
      </c>
      <c r="AL296" s="30" t="inlineStr">
        <is>
          <t>5341375-33.2026.8.09.0049</t>
        </is>
      </c>
      <c r="AM296" s="30" t="inlineStr">
        <is>
          <t>TJGO</t>
        </is>
      </c>
      <c r="AN296" s="30" t="inlineStr">
        <is>
          <t>ACTIVE</t>
        </is>
      </c>
      <c r="AO296" s="30" t="n">
        <v>2026</v>
      </c>
      <c r="AP296" s="30" t="inlineStr">
        <is>
          <t>plan/homologation document found</t>
        </is>
      </c>
      <c r="AQ296" s="30" t="inlineStr"/>
      <c r="AR296" s="30" t="inlineStr">
        <is>
          <t>printed on the list (read twice)</t>
        </is>
      </c>
      <c r="AS296" s="30" t="inlineStr">
        <is>
          <t>APARECIDA DE GOIANIA</t>
        </is>
      </c>
      <c r="AT296" s="30" t="inlineStr">
        <is>
          <t>GO</t>
        </is>
      </c>
      <c r="AU296" s="30" t="inlineStr">
        <is>
          <t>Transporte rodoviário de carga, exceto produtos perigosos e mudanças, intermunicipal, interestadual e internacional</t>
        </is>
      </c>
      <c r="AV296" s="30" t="inlineStr">
        <is>
          <t>DEMAIS</t>
        </is>
      </c>
      <c r="AW296" s="31" t="n">
        <v>100000</v>
      </c>
      <c r="AX296" s="30" t="inlineStr">
        <is>
          <t>MID-MARKET</t>
        </is>
      </c>
      <c r="AY296" s="30" t="inlineStr">
        <is>
          <t>08718921</t>
        </is>
      </c>
      <c r="AZ296" s="30" t="n">
        <v>1</v>
      </c>
      <c r="BA296" s="30" t="inlineStr">
        <is>
          <t>ROWS:p13r51 UNRECONCILED_SOURCE</t>
        </is>
      </c>
    </row>
    <row r="297">
      <c r="A297" s="16" t="inlineStr">
        <is>
          <t>COOPERATIVA DE PRODUTORES DE GRAOS DO ALTO URUGUAI LTDA</t>
        </is>
      </c>
      <c r="B297" s="17" t="n">
        <v>401745.93</v>
      </c>
      <c r="C297" s="18" t="inlineStr">
        <is>
          <t>SUINOCULTURA KUNZLER</t>
        </is>
      </c>
      <c r="D297" s="19" t="inlineStr">
        <is>
          <t>NEW</t>
        </is>
      </c>
      <c r="E297" s="20" t="inlineStr"/>
      <c r="F297" s="19" t="inlineStr"/>
      <c r="G297" s="20" t="inlineStr"/>
      <c r="H297" s="19" t="inlineStr"/>
      <c r="I297" s="21" t="inlineStr">
        <is>
          <t>ALEX SCOLARI RIGO</t>
        </is>
      </c>
      <c r="J297" s="21" t="inlineStr">
        <is>
          <t>Administrador (RFB partner)</t>
        </is>
      </c>
      <c r="K297" s="21" t="inlineStr">
        <is>
          <t>(54) 9983-4616</t>
        </is>
      </c>
      <c r="L297" s="21" t="inlineStr"/>
      <c r="M297" s="21" t="inlineStr"/>
      <c r="N297" s="21" t="inlineStr"/>
      <c r="O297" s="21" t="inlineStr"/>
      <c r="P297" s="21" t="inlineStr">
        <is>
          <t>JOSE ARTUR BORTOLINI</t>
        </is>
      </c>
      <c r="Q297" s="21" t="inlineStr">
        <is>
          <t>Administrador (RFB partner)</t>
        </is>
      </c>
      <c r="R297" s="21" t="inlineStr"/>
      <c r="S297" s="21" t="inlineStr"/>
      <c r="T297" s="21" t="inlineStr">
        <is>
          <t>RFB partner (QSA); no Apollo match</t>
        </is>
      </c>
      <c r="U297" s="22" t="n">
        <v>401745.93</v>
      </c>
      <c r="V297" s="23" t="inlineStr">
        <is>
          <t>B</t>
        </is>
      </c>
      <c r="W297" s="24">
        <f>IFERROR(VLOOKUP(V297,Assumptions!$A$7:$F$11,2,FALSE),0)</f>
        <v/>
      </c>
      <c r="X297" s="25">
        <f>IF(V297="A",MAX(1,IFERROR(VLOOKUP(V297,Assumptions!$A$7:$F$11,3,FALSE),3)+IFERROR(VLOOKUP(V297,Assumptions!$A$7:$F$11,4,FALSE),8)/2-MAX(0,IF(AO297="",0,YEAR(TODAY())-AO297)-IFERROR(VLOOKUP(V297,Assumptions!$A$7:$F$11,5,FALSE),1.5))),IFERROR(VLOOKUP(V297,Assumptions!$A$7:$F$11,5,FALSE),2.5)+IFERROR(VLOOKUP(V297,Assumptions!$A$7:$F$11,3,FALSE),3)+IFERROR(VLOOKUP(V297,Assumptions!$A$7:$F$11,4,FALSE),8)/2)</f>
        <v/>
      </c>
      <c r="Y297" s="22">
        <f>U297*W297/(1+Assumptions!$B$3)^X297</f>
        <v/>
      </c>
      <c r="Z297" s="26">
        <f>IF(U297=0,"",ROUND(Y297/U297*100,1))</f>
        <v/>
      </c>
      <c r="AA297" s="27">
        <f>Y297*Assumptions!$B$4</f>
        <v/>
      </c>
      <c r="AB297" s="26">
        <f>IF(U297=0,"",ROUND(AA297/U297*100,1))</f>
        <v/>
      </c>
      <c r="AC297" s="27">
        <f>Y297-AA297</f>
        <v/>
      </c>
      <c r="AD297" s="26">
        <f>IF(U297=0,"",ROUND((Y297-AA297)/U297*100,1))</f>
        <v/>
      </c>
      <c r="AE297" s="33" t="inlineStr">
        <is>
          <t>NO TOTALS — list prints none; check page</t>
        </is>
      </c>
      <c r="AF297" s="29" t="inlineStr">
        <is>
          <t>https://rlg-aj.com.br/wp-content/uploads/2024/11/07.-Relação-de-credores.pdf</t>
        </is>
      </c>
      <c r="AG297" s="28" t="inlineStr">
        <is>
          <t>p1 r30</t>
        </is>
      </c>
      <c r="AH297" s="28" t="inlineStr">
        <is>
          <t>p1: R$ 401.745,93</t>
        </is>
      </c>
      <c r="AI297" s="28" t="inlineStr">
        <is>
          <t>Unclassified list</t>
        </is>
      </c>
      <c r="AJ297" s="28" t="inlineStr"/>
      <c r="AK297" s="28" t="inlineStr">
        <is>
          <t>NONE FOUND</t>
        </is>
      </c>
      <c r="AL297" s="30" t="inlineStr">
        <is>
          <t>5009149-92.2024.8.24.0019</t>
        </is>
      </c>
      <c r="AM297" s="30" t="inlineStr">
        <is>
          <t>TJSC</t>
        </is>
      </c>
      <c r="AN297" s="30" t="inlineStr">
        <is>
          <t>ACTIVE</t>
        </is>
      </c>
      <c r="AO297" s="30" t="n">
        <v>2024</v>
      </c>
      <c r="AP297" s="30" t="inlineStr">
        <is>
          <t>live case, no plan document yet</t>
        </is>
      </c>
      <c r="AQ297" s="30" t="inlineStr">
        <is>
          <t>55.365.447/0001-56</t>
        </is>
      </c>
      <c r="AR297" s="30" t="inlineStr">
        <is>
          <t>printed on the list (read twice)</t>
        </is>
      </c>
      <c r="AS297" s="30" t="inlineStr">
        <is>
          <t>ESTACAO</t>
        </is>
      </c>
      <c r="AT297" s="30" t="inlineStr">
        <is>
          <t>RS</t>
        </is>
      </c>
      <c r="AU297" s="30" t="inlineStr">
        <is>
          <t>Comércio atacadista de cereais e leguminosas beneficiados</t>
        </is>
      </c>
      <c r="AV297" s="30" t="inlineStr">
        <is>
          <t>DEMAIS</t>
        </is>
      </c>
      <c r="AW297" s="31" t="inlineStr"/>
      <c r="AX297" s="30" t="inlineStr">
        <is>
          <t>MID-MARKET</t>
        </is>
      </c>
      <c r="AY297" s="30" t="inlineStr">
        <is>
          <t>05039208</t>
        </is>
      </c>
      <c r="AZ297" s="30" t="n">
        <v>1</v>
      </c>
      <c r="BA297" s="30" t="inlineStr">
        <is>
          <t>ROWS:p1r30 UNRECONCILED_SOURCE</t>
        </is>
      </c>
    </row>
    <row r="298">
      <c r="A298" s="16" t="inlineStr">
        <is>
          <t>SAO LUIS ADMINISTRADORA DE SHOPPING CENTER LTDA</t>
        </is>
      </c>
      <c r="B298" s="17" t="n">
        <v>398428.76</v>
      </c>
      <c r="C298" s="18" t="inlineStr">
        <is>
          <t>GRUPO CATTAN</t>
        </is>
      </c>
      <c r="D298" s="19" t="inlineStr">
        <is>
          <t>NEW</t>
        </is>
      </c>
      <c r="E298" s="20" t="inlineStr"/>
      <c r="F298" s="19" t="inlineStr"/>
      <c r="G298" s="20" t="inlineStr"/>
      <c r="H298" s="19" t="inlineStr"/>
      <c r="I298" s="21" t="inlineStr">
        <is>
          <t>ANGELICA DE MEDEIROS CLAUDINO</t>
        </is>
      </c>
      <c r="J298" s="21" t="inlineStr">
        <is>
          <t>Administrador (RFB partner)</t>
        </is>
      </c>
      <c r="K298" s="21" t="inlineStr">
        <is>
          <t>(98) 3313-3760</t>
        </is>
      </c>
      <c r="L298" s="21" t="inlineStr">
        <is>
          <t>(98) 3313-3777</t>
        </is>
      </c>
      <c r="M298" s="21" t="inlineStr"/>
      <c r="N298" s="21" t="inlineStr"/>
      <c r="O298" s="21" t="inlineStr"/>
      <c r="P298" s="21" t="inlineStr">
        <is>
          <t>MIGUEL ETHEL SOBRINHO</t>
        </is>
      </c>
      <c r="Q298" s="21" t="inlineStr">
        <is>
          <t>Administrador (RFB partner)</t>
        </is>
      </c>
      <c r="R298" s="21" t="inlineStr"/>
      <c r="S298" s="21" t="inlineStr"/>
      <c r="T298" s="21" t="inlineStr">
        <is>
          <t>RFB partner (QSA); no Apollo match</t>
        </is>
      </c>
      <c r="U298" s="22" t="n">
        <v>398428.76</v>
      </c>
      <c r="V298" s="23" t="inlineStr">
        <is>
          <t>B</t>
        </is>
      </c>
      <c r="W298" s="24">
        <f>IFERROR(VLOOKUP(V298,Assumptions!$A$7:$F$11,2,FALSE),0)</f>
        <v/>
      </c>
      <c r="X298" s="25">
        <f>IF(V298="A",MAX(1,IFERROR(VLOOKUP(V298,Assumptions!$A$7:$F$11,3,FALSE),3)+IFERROR(VLOOKUP(V298,Assumptions!$A$7:$F$11,4,FALSE),8)/2-MAX(0,IF(AO298="",0,YEAR(TODAY())-AO298)-IFERROR(VLOOKUP(V298,Assumptions!$A$7:$F$11,5,FALSE),1.5))),IFERROR(VLOOKUP(V298,Assumptions!$A$7:$F$11,5,FALSE),2.5)+IFERROR(VLOOKUP(V298,Assumptions!$A$7:$F$11,3,FALSE),3)+IFERROR(VLOOKUP(V298,Assumptions!$A$7:$F$11,4,FALSE),8)/2)</f>
        <v/>
      </c>
      <c r="Y298" s="22">
        <f>U298*W298/(1+Assumptions!$B$3)^X298</f>
        <v/>
      </c>
      <c r="Z298" s="26">
        <f>IF(U298=0,"",ROUND(Y298/U298*100,1))</f>
        <v/>
      </c>
      <c r="AA298" s="27">
        <f>Y298*Assumptions!$B$4</f>
        <v/>
      </c>
      <c r="AB298" s="26">
        <f>IF(U298=0,"",ROUND(AA298/U298*100,1))</f>
        <v/>
      </c>
      <c r="AC298" s="27">
        <f>Y298-AA298</f>
        <v/>
      </c>
      <c r="AD298" s="26">
        <f>IF(U298=0,"",ROUND((Y298-AA298)/U298*100,1))</f>
        <v/>
      </c>
      <c r="AE298" s="34" t="inlineStr">
        <is>
          <t>PARTIAL — class III reconciled, other classes not</t>
        </is>
      </c>
      <c r="AF298" s="29" t="inlineStr">
        <is>
          <t>https://lrflideres.com.br/wp-content/plugins/download-attachments/includes/download.php?id=4023</t>
        </is>
      </c>
      <c r="AG298" s="28" t="inlineStr">
        <is>
          <t>p7 r119</t>
        </is>
      </c>
      <c r="AH298" s="28" t="inlineStr">
        <is>
          <t>p7: R$ 398.428,76</t>
        </is>
      </c>
      <c r="AI298" s="28" t="inlineStr">
        <is>
          <t>Debtor list (art. 51)</t>
        </is>
      </c>
      <c r="AJ298" s="28" t="inlineStr"/>
      <c r="AK298" s="28" t="inlineStr">
        <is>
          <t>NONE FOUND</t>
        </is>
      </c>
      <c r="AL298" s="30" t="inlineStr">
        <is>
          <t>0002484-82.2022.8.17.2001</t>
        </is>
      </c>
      <c r="AM298" s="30" t="inlineStr">
        <is>
          <t>TJPE</t>
        </is>
      </c>
      <c r="AN298" s="30" t="inlineStr">
        <is>
          <t>ACTIVE</t>
        </is>
      </c>
      <c r="AO298" s="30" t="n">
        <v>2022</v>
      </c>
      <c r="AP298" s="30" t="inlineStr">
        <is>
          <t>live case, no plan document yet</t>
        </is>
      </c>
      <c r="AQ298" s="30" t="inlineStr"/>
      <c r="AR298" s="30" t="inlineStr">
        <is>
          <t>printed on the list (read twice)</t>
        </is>
      </c>
      <c r="AS298" s="30" t="inlineStr">
        <is>
          <t>SAO LUIS</t>
        </is>
      </c>
      <c r="AT298" s="30" t="inlineStr">
        <is>
          <t>MA</t>
        </is>
      </c>
      <c r="AU298" s="30" t="inlineStr">
        <is>
          <t>Gestão e administração da propriedade imobiliária</t>
        </is>
      </c>
      <c r="AV298" s="30" t="inlineStr">
        <is>
          <t>DEMAIS</t>
        </is>
      </c>
      <c r="AW298" s="31" t="n">
        <v>20000</v>
      </c>
      <c r="AX298" s="30" t="inlineStr">
        <is>
          <t>MID-MARKET</t>
        </is>
      </c>
      <c r="AY298" s="30" t="inlineStr">
        <is>
          <t>01637668</t>
        </is>
      </c>
      <c r="AZ298" s="30" t="n">
        <v>1</v>
      </c>
      <c r="BA298" s="30" t="inlineStr">
        <is>
          <t>PARTIAL_DOC_CLASS_III_RECONCILED ROWS:p7r119</t>
        </is>
      </c>
    </row>
    <row r="299">
      <c r="A299" s="16" t="inlineStr">
        <is>
          <t>PROGER-COMERCIO IMPORTACAO E EXPORTACAO LTDA</t>
        </is>
      </c>
      <c r="B299" s="17" t="n">
        <v>397886.19</v>
      </c>
      <c r="C299" s="18" t="inlineStr">
        <is>
          <t>ASSOCIAÇÃO DE CARIDADE SANTA CASA DO RIO GRANDE</t>
        </is>
      </c>
      <c r="D299" s="19" t="inlineStr">
        <is>
          <t>NEW</t>
        </is>
      </c>
      <c r="E299" s="20" t="inlineStr"/>
      <c r="F299" s="19" t="inlineStr"/>
      <c r="G299" s="20" t="inlineStr"/>
      <c r="H299" s="19" t="inlineStr"/>
      <c r="I299" s="21" t="inlineStr">
        <is>
          <t>Roberto Kipper</t>
        </is>
      </c>
      <c r="J299" s="21" t="inlineStr">
        <is>
          <t>Commercial Manager</t>
        </is>
      </c>
      <c r="K299" s="21" t="inlineStr">
        <is>
          <t>(51) 9606-4995</t>
        </is>
      </c>
      <c r="L299" s="21" t="inlineStr"/>
      <c r="M299" s="21" t="inlineStr"/>
      <c r="N299" s="21" t="inlineStr">
        <is>
          <t>kipper@progersul.com.br</t>
        </is>
      </c>
      <c r="O299" s="21" t="inlineStr">
        <is>
          <t>kipper@progersul.com.br</t>
        </is>
      </c>
      <c r="P299" s="21" t="inlineStr">
        <is>
          <t>Roberto Kipper</t>
        </is>
      </c>
      <c r="Q299" s="21" t="inlineStr">
        <is>
          <t>Commercial Manager</t>
        </is>
      </c>
      <c r="R299" s="21" t="inlineStr"/>
      <c r="S299" s="21" t="inlineStr">
        <is>
          <t>kipper@progersul.com.br</t>
        </is>
      </c>
      <c r="T299" s="21" t="inlineStr">
        <is>
          <t>email is pattern-guessed, not verified</t>
        </is>
      </c>
      <c r="U299" s="22" t="n">
        <v>397886.19</v>
      </c>
      <c r="V299" s="23" t="inlineStr">
        <is>
          <t>B</t>
        </is>
      </c>
      <c r="W299" s="24">
        <f>IFERROR(VLOOKUP(V299,Assumptions!$A$7:$F$11,2,FALSE),0)</f>
        <v/>
      </c>
      <c r="X299" s="25">
        <f>IF(V299="A",MAX(1,IFERROR(VLOOKUP(V299,Assumptions!$A$7:$F$11,3,FALSE),3)+IFERROR(VLOOKUP(V299,Assumptions!$A$7:$F$11,4,FALSE),8)/2-MAX(0,IF(AO299="",0,YEAR(TODAY())-AO299)-IFERROR(VLOOKUP(V299,Assumptions!$A$7:$F$11,5,FALSE),1.5))),IFERROR(VLOOKUP(V299,Assumptions!$A$7:$F$11,5,FALSE),2.5)+IFERROR(VLOOKUP(V299,Assumptions!$A$7:$F$11,3,FALSE),3)+IFERROR(VLOOKUP(V299,Assumptions!$A$7:$F$11,4,FALSE),8)/2)</f>
        <v/>
      </c>
      <c r="Y299" s="22">
        <f>U299*W299/(1+Assumptions!$B$3)^X299</f>
        <v/>
      </c>
      <c r="Z299" s="26">
        <f>IF(U299=0,"",ROUND(Y299/U299*100,1))</f>
        <v/>
      </c>
      <c r="AA299" s="27">
        <f>Y299*Assumptions!$B$4</f>
        <v/>
      </c>
      <c r="AB299" s="26">
        <f>IF(U299=0,"",ROUND(AA299/U299*100,1))</f>
        <v/>
      </c>
      <c r="AC299" s="27">
        <f>Y299-AA299</f>
        <v/>
      </c>
      <c r="AD299" s="26">
        <f>IF(U299=0,"",ROUND((Y299-AA299)/U299*100,1))</f>
        <v/>
      </c>
      <c r="AE299" s="33" t="inlineStr">
        <is>
          <t>NO TOTALS — list prints none; check page</t>
        </is>
      </c>
      <c r="AF299" s="29" t="inlineStr">
        <is>
          <t>https://scalzilliaj.com.br/sgc/download.php?file=files/processo_documento/processo_documento09120721032023_1_.pdf&amp;nome=15 - Edital do art. 7º, §2º e 53 da Lei 11.101/2005 (segunda lista de credores e recebimento do plano))</t>
        </is>
      </c>
      <c r="AG299" s="28" t="inlineStr">
        <is>
          <t>p29 r24</t>
        </is>
      </c>
      <c r="AH299" s="28" t="inlineStr">
        <is>
          <t>p29: R$ 397.886,19</t>
        </is>
      </c>
      <c r="AI299" s="28" t="inlineStr">
        <is>
          <t>AJ list (art. 7 §2)</t>
        </is>
      </c>
      <c r="AJ299" s="28" t="inlineStr">
        <is>
          <t>2023-03-21</t>
        </is>
      </c>
      <c r="AK299" s="28" t="inlineStr">
        <is>
          <t>NONE FOUND</t>
        </is>
      </c>
      <c r="AL299" s="30" t="inlineStr">
        <is>
          <t>5012306-16.2022.8.21.0023</t>
        </is>
      </c>
      <c r="AM299" s="30" t="inlineStr">
        <is>
          <t>TJRS</t>
        </is>
      </c>
      <c r="AN299" s="30" t="inlineStr">
        <is>
          <t>ACTIVE</t>
        </is>
      </c>
      <c r="AO299" s="30" t="n">
        <v>2022</v>
      </c>
      <c r="AP299" s="30" t="inlineStr">
        <is>
          <t>live case, no plan document yet</t>
        </is>
      </c>
      <c r="AQ299" s="30" t="inlineStr"/>
      <c r="AR299" s="30" t="inlineStr">
        <is>
          <t>printed on the list (read twice)</t>
        </is>
      </c>
      <c r="AS299" s="30" t="inlineStr">
        <is>
          <t>PORTO ALEGRE</t>
        </is>
      </c>
      <c r="AT299" s="30" t="inlineStr">
        <is>
          <t>RS</t>
        </is>
      </c>
      <c r="AU299" s="30" t="inlineStr">
        <is>
          <t>Comércio atacadista de instrumentos e materiais para uso médico, cirúrgico, hospitalar e de laboratórios</t>
        </is>
      </c>
      <c r="AV299" s="30" t="inlineStr">
        <is>
          <t>EMPRESA DE PEQUENO PORTE</t>
        </is>
      </c>
      <c r="AW299" s="31" t="n">
        <v>500000</v>
      </c>
      <c r="AX299" s="30" t="inlineStr">
        <is>
          <t>SMALL</t>
        </is>
      </c>
      <c r="AY299" s="30" t="inlineStr">
        <is>
          <t>02017233</t>
        </is>
      </c>
      <c r="AZ299" s="30" t="n">
        <v>1</v>
      </c>
      <c r="BA299" s="30" t="inlineStr">
        <is>
          <t>ROWS:p29r24 UNRECONCILED_SOURCE</t>
        </is>
      </c>
    </row>
    <row r="300">
      <c r="A300" s="16" t="inlineStr">
        <is>
          <t>BRIDGESTONE DO BRASIL INDUSTRIA E COMERCIO LTDA.</t>
        </is>
      </c>
      <c r="B300" s="17" t="n">
        <v>741870.48</v>
      </c>
      <c r="C300" s="37" t="inlineStr">
        <is>
          <t>(debtor not identified — see proof)</t>
        </is>
      </c>
      <c r="D300" s="19" t="inlineStr">
        <is>
          <t>NEW</t>
        </is>
      </c>
      <c r="E300" s="20" t="inlineStr"/>
      <c r="F300" s="19" t="inlineStr"/>
      <c r="G300" s="20" t="inlineStr"/>
      <c r="H300" s="19" t="inlineStr"/>
      <c r="I300" s="21" t="inlineStr">
        <is>
          <t>CARLOS LEONARDO RODRIGUES BOAVENTURA</t>
        </is>
      </c>
      <c r="J300" s="21" t="inlineStr">
        <is>
          <t>Administrador (RFB partner)</t>
        </is>
      </c>
      <c r="K300" s="21" t="inlineStr">
        <is>
          <t>(11) 3636-1012</t>
        </is>
      </c>
      <c r="L300" s="21" t="inlineStr"/>
      <c r="M300" s="21" t="inlineStr"/>
      <c r="N300" s="21" t="inlineStr"/>
      <c r="O300" s="21" t="inlineStr"/>
      <c r="P300" s="21" t="inlineStr">
        <is>
          <t>DANILO DUARTE ZANI</t>
        </is>
      </c>
      <c r="Q300" s="21" t="inlineStr">
        <is>
          <t>Administrador (RFB partner)</t>
        </is>
      </c>
      <c r="R300" s="21" t="inlineStr"/>
      <c r="S300" s="21" t="inlineStr"/>
      <c r="T300" s="21" t="inlineStr">
        <is>
          <t>RFB partner (QSA); no Apollo match</t>
        </is>
      </c>
      <c r="U300" s="22" t="n">
        <v>741870.48</v>
      </c>
      <c r="V300" s="32" t="inlineStr">
        <is>
          <t>U</t>
        </is>
      </c>
      <c r="W300" s="24">
        <f>IFERROR(VLOOKUP(V300,Assumptions!$A$7:$F$11,2,FALSE),0)</f>
        <v/>
      </c>
      <c r="X300" s="25">
        <f>IF(V300="A",MAX(1,IFERROR(VLOOKUP(V300,Assumptions!$A$7:$F$11,3,FALSE),3)+IFERROR(VLOOKUP(V300,Assumptions!$A$7:$F$11,4,FALSE),8)/2-MAX(0,IF(AO300="",0,YEAR(TODAY())-AO300)-IFERROR(VLOOKUP(V300,Assumptions!$A$7:$F$11,5,FALSE),1.5))),IFERROR(VLOOKUP(V300,Assumptions!$A$7:$F$11,5,FALSE),2.5)+IFERROR(VLOOKUP(V300,Assumptions!$A$7:$F$11,3,FALSE),3)+IFERROR(VLOOKUP(V300,Assumptions!$A$7:$F$11,4,FALSE),8)/2)</f>
        <v/>
      </c>
      <c r="Y300" s="22">
        <f>U300*W300/(1+Assumptions!$B$3)^X300</f>
        <v/>
      </c>
      <c r="Z300" s="26">
        <f>IF(U300=0,"",ROUND(Y300/U300*100,1))</f>
        <v/>
      </c>
      <c r="AA300" s="27">
        <f>Y300*Assumptions!$B$4</f>
        <v/>
      </c>
      <c r="AB300" s="26">
        <f>IF(U300=0,"",ROUND(AA300/U300*100,1))</f>
        <v/>
      </c>
      <c r="AC300" s="27">
        <f>Y300-AA300</f>
        <v/>
      </c>
      <c r="AD300" s="26">
        <f>IF(U300=0,"",ROUND((Y300-AA300)/U300*100,1))</f>
        <v/>
      </c>
      <c r="AE300" s="28" t="inlineStr">
        <is>
          <t>OK — totals reconciled</t>
        </is>
      </c>
      <c r="AF300" s="29" t="inlineStr">
        <is>
          <t>https://ajruiz.com.br/sites/default/files/public/arquivos-processos/2023-11/4_relacao_de_credores_analitica_art._51_iii_da_lre.pdf</t>
        </is>
      </c>
      <c r="AG300" s="28" t="inlineStr">
        <is>
          <t>p2 r22</t>
        </is>
      </c>
      <c r="AH300" s="28" t="inlineStr">
        <is>
          <t>p2: R$ 741.870,48</t>
        </is>
      </c>
      <c r="AI300" s="28" t="inlineStr">
        <is>
          <t>Unclassified list</t>
        </is>
      </c>
      <c r="AJ300" s="28" t="inlineStr"/>
      <c r="AK300" s="28" t="inlineStr">
        <is>
          <t>NONE FOUND</t>
        </is>
      </c>
      <c r="AL300" s="30" t="inlineStr">
        <is>
          <t>(not printed)</t>
        </is>
      </c>
      <c r="AM300" s="30" t="inlineStr"/>
      <c r="AN300" s="30" t="inlineStr"/>
      <c r="AO300" s="30" t="inlineStr"/>
      <c r="AP300" s="30" t="inlineStr">
        <is>
          <t>RJ case number not identified on the document</t>
        </is>
      </c>
      <c r="AQ300" s="30" t="inlineStr"/>
      <c r="AR300" s="30" t="inlineStr">
        <is>
          <t>not identified</t>
        </is>
      </c>
      <c r="AS300" s="30" t="inlineStr">
        <is>
          <t>SANTO ANDRE</t>
        </is>
      </c>
      <c r="AT300" s="30" t="inlineStr">
        <is>
          <t>SP</t>
        </is>
      </c>
      <c r="AU300" s="30" t="inlineStr">
        <is>
          <t>Fabricação de pneumáticos e de câmaras-de-ar</t>
        </is>
      </c>
      <c r="AV300" s="30" t="inlineStr">
        <is>
          <t>DEMAIS</t>
        </is>
      </c>
      <c r="AW300" s="31" t="n">
        <v>509787780</v>
      </c>
      <c r="AX300" s="30" t="inlineStr">
        <is>
          <t>MID-MARKET</t>
        </is>
      </c>
      <c r="AY300" s="30" t="inlineStr">
        <is>
          <t>57497539</t>
        </is>
      </c>
      <c r="AZ300" s="30" t="n">
        <v>1</v>
      </c>
      <c r="BA300" s="30" t="inlineStr">
        <is>
          <t>ALT_VALUE:FORNECEDORES ROWS:p2r22 VALUE_COL:Valor_Do_Crédito CASE_NUMBER_CORRECTED</t>
        </is>
      </c>
    </row>
    <row r="301">
      <c r="A301" s="16" t="inlineStr">
        <is>
          <t>MONFORTE ALIMENTOS LTDA</t>
        </is>
      </c>
      <c r="B301" s="17" t="n">
        <v>390793.75</v>
      </c>
      <c r="C301" s="18" t="inlineStr">
        <is>
          <t>FRIGORÍFICO ALFA INDÚSTRIA E COMÉRCIO DE CARNES E DERIVADOS LTDA e CTX LOGÍSTICA, TRANSPORTE E LOCAÇÕES LTDA</t>
        </is>
      </c>
      <c r="D301" s="19" t="inlineStr">
        <is>
          <t>NEW</t>
        </is>
      </c>
      <c r="E301" s="20" t="inlineStr"/>
      <c r="F301" s="19" t="inlineStr"/>
      <c r="G301" s="20" t="inlineStr"/>
      <c r="H301" s="19" t="inlineStr"/>
      <c r="I301" s="21" t="inlineStr">
        <is>
          <t>LUCIA CRISTINA DE OLIVEIRA OLIVEIRA</t>
        </is>
      </c>
      <c r="J301" s="21" t="inlineStr">
        <is>
          <t>Sócio-Administrador (RFB partner)</t>
        </is>
      </c>
      <c r="K301" s="21" t="inlineStr">
        <is>
          <t>(14) 3441-5037</t>
        </is>
      </c>
      <c r="L301" s="21" t="inlineStr"/>
      <c r="M301" s="21" t="inlineStr"/>
      <c r="N301" s="21" t="inlineStr"/>
      <c r="O301" s="21" t="inlineStr"/>
      <c r="P301" s="21" t="inlineStr">
        <is>
          <t>PAULO SERGIO DE OLIVEIRA</t>
        </is>
      </c>
      <c r="Q301" s="21" t="inlineStr">
        <is>
          <t>Sócio-Administrador (RFB partner)</t>
        </is>
      </c>
      <c r="R301" s="21" t="inlineStr"/>
      <c r="S301" s="21" t="inlineStr"/>
      <c r="T301" s="21" t="inlineStr">
        <is>
          <t>RFB partner (QSA); no Apollo match</t>
        </is>
      </c>
      <c r="U301" s="22" t="n">
        <v>390793.75</v>
      </c>
      <c r="V301" s="23" t="inlineStr">
        <is>
          <t>B</t>
        </is>
      </c>
      <c r="W301" s="24">
        <f>IFERROR(VLOOKUP(V301,Assumptions!$A$7:$F$11,2,FALSE),0)</f>
        <v/>
      </c>
      <c r="X301" s="25">
        <f>IF(V301="A",MAX(1,IFERROR(VLOOKUP(V301,Assumptions!$A$7:$F$11,3,FALSE),3)+IFERROR(VLOOKUP(V301,Assumptions!$A$7:$F$11,4,FALSE),8)/2-MAX(0,IF(AO301="",0,YEAR(TODAY())-AO301)-IFERROR(VLOOKUP(V301,Assumptions!$A$7:$F$11,5,FALSE),1.5))),IFERROR(VLOOKUP(V301,Assumptions!$A$7:$F$11,5,FALSE),2.5)+IFERROR(VLOOKUP(V301,Assumptions!$A$7:$F$11,3,FALSE),3)+IFERROR(VLOOKUP(V301,Assumptions!$A$7:$F$11,4,FALSE),8)/2)</f>
        <v/>
      </c>
      <c r="Y301" s="22">
        <f>U301*W301/(1+Assumptions!$B$3)^X301</f>
        <v/>
      </c>
      <c r="Z301" s="26">
        <f>IF(U301=0,"",ROUND(Y301/U301*100,1))</f>
        <v/>
      </c>
      <c r="AA301" s="27">
        <f>Y301*Assumptions!$B$4</f>
        <v/>
      </c>
      <c r="AB301" s="26">
        <f>IF(U301=0,"",ROUND(AA301/U301*100,1))</f>
        <v/>
      </c>
      <c r="AC301" s="27">
        <f>Y301-AA301</f>
        <v/>
      </c>
      <c r="AD301" s="26">
        <f>IF(U301=0,"",ROUND((Y301-AA301)/U301*100,1))</f>
        <v/>
      </c>
      <c r="AE301" s="28" t="inlineStr">
        <is>
          <t>OK — totals reconciled</t>
        </is>
      </c>
      <c r="AF301" s="29" t="inlineStr">
        <is>
          <t>https://vtladm.com.br/wp-content/uploads/2024/04/09-–-EDITAL-DE-CONVOCACAO-DE-CREDORES-–-Frigorifico-Alfa-Industria-e-Comercio-de-Carnes-e-Derivados-Ltda.-e-Ctx-Logistica-Transporte-E-Locacoes-Ltda.pdf</t>
        </is>
      </c>
      <c r="AG301" s="28" t="inlineStr">
        <is>
          <t>p1 r61</t>
        </is>
      </c>
      <c r="AH301" s="28" t="inlineStr">
        <is>
          <t>p1: R$ 390.793,75</t>
        </is>
      </c>
      <c r="AI301" s="28" t="inlineStr">
        <is>
          <t>AJ list (art. 7 §2)</t>
        </is>
      </c>
      <c r="AJ301" s="28" t="inlineStr"/>
      <c r="AK301" s="28" t="inlineStr">
        <is>
          <t>NONE FOUND</t>
        </is>
      </c>
      <c r="AL301" s="30" t="inlineStr">
        <is>
          <t>1009827-02.2024.8.26.0576</t>
        </is>
      </c>
      <c r="AM301" s="30" t="inlineStr">
        <is>
          <t>TJSP</t>
        </is>
      </c>
      <c r="AN301" s="30" t="inlineStr">
        <is>
          <t>ACTIVE</t>
        </is>
      </c>
      <c r="AO301" s="30" t="n">
        <v>2024</v>
      </c>
      <c r="AP301" s="30" t="inlineStr">
        <is>
          <t>live case, no plan document yet</t>
        </is>
      </c>
      <c r="AQ301" s="30" t="inlineStr">
        <is>
          <t>00.975.846/0001-47</t>
        </is>
      </c>
      <c r="AR301" s="30" t="inlineStr">
        <is>
          <t>printed on the list (read twice)</t>
        </is>
      </c>
      <c r="AS301" s="30" t="inlineStr">
        <is>
          <t>TUPA</t>
        </is>
      </c>
      <c r="AT301" s="30" t="inlineStr">
        <is>
          <t>SP</t>
        </is>
      </c>
      <c r="AU301" s="30" t="inlineStr">
        <is>
          <t>Comércio atacadista de carnes bovinas e suínas e derivados</t>
        </is>
      </c>
      <c r="AV301" s="30" t="inlineStr">
        <is>
          <t>DEMAIS</t>
        </is>
      </c>
      <c r="AW301" s="31" t="n">
        <v>94000</v>
      </c>
      <c r="AX301" s="30" t="inlineStr">
        <is>
          <t>MID-MARKET</t>
        </is>
      </c>
      <c r="AY301" s="30" t="inlineStr">
        <is>
          <t>13259183</t>
        </is>
      </c>
      <c r="AZ301" s="30" t="n">
        <v>1</v>
      </c>
      <c r="BA301" s="30" t="inlineStr">
        <is>
          <t>ALT_VALUE:390.793,75 ROWS:p1r61</t>
        </is>
      </c>
    </row>
    <row r="302">
      <c r="A302" s="16" t="inlineStr">
        <is>
          <t>EMBALARTE EMBALAGENS LTDA</t>
        </is>
      </c>
      <c r="B302" s="17" t="n">
        <v>209405.66</v>
      </c>
      <c r="C302" s="18" t="inlineStr">
        <is>
          <t>GRUPO 3E</t>
        </is>
      </c>
      <c r="D302" s="19" t="inlineStr">
        <is>
          <t>NEW</t>
        </is>
      </c>
      <c r="E302" s="20" t="inlineStr"/>
      <c r="F302" s="19" t="inlineStr"/>
      <c r="G302" s="20" t="inlineStr"/>
      <c r="H302" s="19" t="inlineStr"/>
      <c r="I302" s="21" t="inlineStr">
        <is>
          <t>Thomy Perroni</t>
        </is>
      </c>
      <c r="J302" s="21" t="inlineStr">
        <is>
          <t>Sócio Diretor no Grupo Embalarte</t>
        </is>
      </c>
      <c r="K302" s="21" t="inlineStr">
        <is>
          <t>(62) 3920-3700</t>
        </is>
      </c>
      <c r="L302" s="21" t="inlineStr"/>
      <c r="M302" s="21" t="inlineStr"/>
      <c r="N302" s="21" t="inlineStr">
        <is>
          <t>thomyperroni@grupoembalarte.com.br</t>
        </is>
      </c>
      <c r="O302" s="21" t="inlineStr"/>
      <c r="P302" s="21" t="inlineStr">
        <is>
          <t>Francielle O</t>
        </is>
      </c>
      <c r="Q302" s="21" t="inlineStr">
        <is>
          <t>Administrative Assistant</t>
        </is>
      </c>
      <c r="R302" s="21" t="inlineStr"/>
      <c r="S302" s="21" t="inlineStr"/>
      <c r="T302" s="21" t="inlineStr">
        <is>
          <t>DM verified email - VERIFY org; email verified by Apollo</t>
        </is>
      </c>
      <c r="U302" s="22" t="n">
        <v>209405.66</v>
      </c>
      <c r="V302" s="35" t="inlineStr">
        <is>
          <t>A</t>
        </is>
      </c>
      <c r="W302" s="24">
        <f>IFERROR(VLOOKUP(V302,Assumptions!$A$7:$F$11,2,FALSE),0)</f>
        <v/>
      </c>
      <c r="X302" s="25">
        <f>IF(V302="A",MAX(1,IFERROR(VLOOKUP(V302,Assumptions!$A$7:$F$11,3,FALSE),3)+IFERROR(VLOOKUP(V302,Assumptions!$A$7:$F$11,4,FALSE),8)/2-MAX(0,IF(AO302="",0,YEAR(TODAY())-AO302)-IFERROR(VLOOKUP(V302,Assumptions!$A$7:$F$11,5,FALSE),1.5))),IFERROR(VLOOKUP(V302,Assumptions!$A$7:$F$11,5,FALSE),2.5)+IFERROR(VLOOKUP(V302,Assumptions!$A$7:$F$11,3,FALSE),3)+IFERROR(VLOOKUP(V302,Assumptions!$A$7:$F$11,4,FALSE),8)/2)</f>
        <v/>
      </c>
      <c r="Y302" s="22">
        <f>U302*W302/(1+Assumptions!$B$3)^X302</f>
        <v/>
      </c>
      <c r="Z302" s="26">
        <f>IF(U302=0,"",ROUND(Y302/U302*100,1))</f>
        <v/>
      </c>
      <c r="AA302" s="27">
        <f>Y302*Assumptions!$B$4</f>
        <v/>
      </c>
      <c r="AB302" s="26">
        <f>IF(U302=0,"",ROUND(AA302/U302*100,1))</f>
        <v/>
      </c>
      <c r="AC302" s="27">
        <f>Y302-AA302</f>
        <v/>
      </c>
      <c r="AD302" s="26">
        <f>IF(U302=0,"",ROUND((Y302-AA302)/U302*100,1))</f>
        <v/>
      </c>
      <c r="AE302" s="33" t="inlineStr">
        <is>
          <t>NO TOTALS — list prints none; check page</t>
        </is>
      </c>
      <c r="AF302" s="29" t="inlineStr">
        <is>
          <t>https://stenius.com.br/wp-content/uploads/2026/06/EDITAL-GRUPO-3E.pdf</t>
        </is>
      </c>
      <c r="AG302" s="28" t="inlineStr">
        <is>
          <t>p13 r2</t>
        </is>
      </c>
      <c r="AH302" s="28" t="inlineStr">
        <is>
          <t>p13: R$ 209.405,66</t>
        </is>
      </c>
      <c r="AI302" s="28" t="inlineStr">
        <is>
          <t>Debtor list (art. 51)</t>
        </is>
      </c>
      <c r="AJ302" s="28" t="inlineStr">
        <is>
          <t>2026-06-22</t>
        </is>
      </c>
      <c r="AK302" s="28" t="inlineStr">
        <is>
          <t>PLAN DOC FOUND</t>
        </is>
      </c>
      <c r="AL302" s="30" t="inlineStr">
        <is>
          <t>5341375-33.2026.8.09.0049</t>
        </is>
      </c>
      <c r="AM302" s="30" t="inlineStr">
        <is>
          <t>TJGO</t>
        </is>
      </c>
      <c r="AN302" s="30" t="inlineStr">
        <is>
          <t>ACTIVE</t>
        </is>
      </c>
      <c r="AO302" s="30" t="n">
        <v>2026</v>
      </c>
      <c r="AP302" s="30" t="inlineStr">
        <is>
          <t>plan/homologation document found</t>
        </is>
      </c>
      <c r="AQ302" s="30" t="inlineStr"/>
      <c r="AR302" s="30" t="inlineStr">
        <is>
          <t>printed on the list (read twice)</t>
        </is>
      </c>
      <c r="AS302" s="30" t="inlineStr">
        <is>
          <t>GOIANIA</t>
        </is>
      </c>
      <c r="AT302" s="30" t="inlineStr">
        <is>
          <t>GO</t>
        </is>
      </c>
      <c r="AU302" s="30" t="inlineStr">
        <is>
          <t>Comércio atacadista de embalagens</t>
        </is>
      </c>
      <c r="AV302" s="30" t="inlineStr">
        <is>
          <t>MICRO EMPRESA</t>
        </is>
      </c>
      <c r="AW302" s="31" t="n">
        <v>100000</v>
      </c>
      <c r="AX302" s="30" t="inlineStr">
        <is>
          <t>SMALL</t>
        </is>
      </c>
      <c r="AY302" s="30" t="inlineStr">
        <is>
          <t>62859128</t>
        </is>
      </c>
      <c r="AZ302" s="30" t="n">
        <v>1</v>
      </c>
      <c r="BA302" s="30" t="inlineStr">
        <is>
          <t>ROWS:p13r2 UNRECONCILED_SOURCE</t>
        </is>
      </c>
    </row>
    <row r="303">
      <c r="A303" s="16" t="inlineStr">
        <is>
          <t>CEREALISTA SANTO EXPEDITO LTDA</t>
        </is>
      </c>
      <c r="B303" s="17" t="n">
        <v>387589.91</v>
      </c>
      <c r="C303" s="18" t="inlineStr">
        <is>
          <t>B1 COMÉRCIO DE MANUFATURADOS LTDA</t>
        </is>
      </c>
      <c r="D303" s="19" t="inlineStr">
        <is>
          <t>NEW</t>
        </is>
      </c>
      <c r="E303" s="20" t="inlineStr"/>
      <c r="F303" s="19" t="inlineStr"/>
      <c r="G303" s="20" t="inlineStr"/>
      <c r="H303" s="19" t="inlineStr"/>
      <c r="I303" s="21" t="inlineStr">
        <is>
          <t>EDERSON ANDRE AZZOLINI</t>
        </is>
      </c>
      <c r="J303" s="21" t="inlineStr">
        <is>
          <t>Sócio-Administrador (RFB partner)</t>
        </is>
      </c>
      <c r="K303" s="21" t="inlineStr">
        <is>
          <t>(49) 3644-0679</t>
        </is>
      </c>
      <c r="L303" s="21" t="inlineStr"/>
      <c r="M303" s="21" t="inlineStr"/>
      <c r="N303" s="21" t="inlineStr"/>
      <c r="O303" s="21" t="inlineStr"/>
      <c r="P303" s="21" t="inlineStr"/>
      <c r="Q303" s="21" t="inlineStr"/>
      <c r="R303" s="21" t="inlineStr"/>
      <c r="S303" s="21" t="inlineStr"/>
      <c r="T303" s="21" t="inlineStr">
        <is>
          <t>RFB partner (QSA); no Apollo match</t>
        </is>
      </c>
      <c r="U303" s="22" t="n">
        <v>387589.91</v>
      </c>
      <c r="V303" s="23" t="inlineStr">
        <is>
          <t>B</t>
        </is>
      </c>
      <c r="W303" s="24">
        <f>IFERROR(VLOOKUP(V303,Assumptions!$A$7:$F$11,2,FALSE),0)</f>
        <v/>
      </c>
      <c r="X303" s="25">
        <f>IF(V303="A",MAX(1,IFERROR(VLOOKUP(V303,Assumptions!$A$7:$F$11,3,FALSE),3)+IFERROR(VLOOKUP(V303,Assumptions!$A$7:$F$11,4,FALSE),8)/2-MAX(0,IF(AO303="",0,YEAR(TODAY())-AO303)-IFERROR(VLOOKUP(V303,Assumptions!$A$7:$F$11,5,FALSE),1.5))),IFERROR(VLOOKUP(V303,Assumptions!$A$7:$F$11,5,FALSE),2.5)+IFERROR(VLOOKUP(V303,Assumptions!$A$7:$F$11,3,FALSE),3)+IFERROR(VLOOKUP(V303,Assumptions!$A$7:$F$11,4,FALSE),8)/2)</f>
        <v/>
      </c>
      <c r="Y303" s="22">
        <f>U303*W303/(1+Assumptions!$B$3)^X303</f>
        <v/>
      </c>
      <c r="Z303" s="26">
        <f>IF(U303=0,"",ROUND(Y303/U303*100,1))</f>
        <v/>
      </c>
      <c r="AA303" s="27">
        <f>Y303*Assumptions!$B$4</f>
        <v/>
      </c>
      <c r="AB303" s="26">
        <f>IF(U303=0,"",ROUND(AA303/U303*100,1))</f>
        <v/>
      </c>
      <c r="AC303" s="27">
        <f>Y303-AA303</f>
        <v/>
      </c>
      <c r="AD303" s="26">
        <f>IF(U303=0,"",ROUND((Y303-AA303)/U303*100,1))</f>
        <v/>
      </c>
      <c r="AE303" s="33" t="inlineStr">
        <is>
          <t>NO TOTALS — list prints none; check page</t>
        </is>
      </c>
      <c r="AF303" s="29" t="inlineStr">
        <is>
          <t>https://marquesadmjudicial.com.br/sgc/download.php?file=files/processo_documento/processo_documento18581929042026_1_.pdf&amp;nome=3º Edital - Relação de Credores e PRJ</t>
        </is>
      </c>
      <c r="AG303" s="28" t="inlineStr">
        <is>
          <t>p1 r43</t>
        </is>
      </c>
      <c r="AH303" s="28" t="inlineStr">
        <is>
          <t>p1: R$ 387.589,91</t>
        </is>
      </c>
      <c r="AI303" s="28" t="inlineStr">
        <is>
          <t>AJ list (art. 7 §2)</t>
        </is>
      </c>
      <c r="AJ303" s="28" t="inlineStr">
        <is>
          <t>2025-09-12</t>
        </is>
      </c>
      <c r="AK303" s="28" t="inlineStr">
        <is>
          <t>NONE FOUND</t>
        </is>
      </c>
      <c r="AL303" s="30" t="inlineStr">
        <is>
          <t>0043030-30.2025.8.16.0021</t>
        </is>
      </c>
      <c r="AM303" s="30" t="inlineStr">
        <is>
          <t>TJPR</t>
        </is>
      </c>
      <c r="AN303" s="30" t="inlineStr">
        <is>
          <t>ACTIVE</t>
        </is>
      </c>
      <c r="AO303" s="30" t="n">
        <v>2025</v>
      </c>
      <c r="AP303" s="30" t="inlineStr">
        <is>
          <t>live case, no plan document yet</t>
        </is>
      </c>
      <c r="AQ303" s="30" t="inlineStr">
        <is>
          <t>29.448.809/0001-62</t>
        </is>
      </c>
      <c r="AR303" s="30" t="inlineStr">
        <is>
          <t>printed on the list (read twice)</t>
        </is>
      </c>
      <c r="AS303" s="30" t="inlineStr">
        <is>
          <t>BARRACAO</t>
        </is>
      </c>
      <c r="AT303" s="30" t="inlineStr">
        <is>
          <t>PR</t>
        </is>
      </c>
      <c r="AU303" s="30" t="inlineStr">
        <is>
          <t>Comércio atacadista de matérias-primas agrícolas não especificadas anteriormente</t>
        </is>
      </c>
      <c r="AV303" s="30" t="inlineStr">
        <is>
          <t>DEMAIS</t>
        </is>
      </c>
      <c r="AW303" s="31" t="n">
        <v>800000</v>
      </c>
      <c r="AX303" s="30" t="inlineStr">
        <is>
          <t>MID-MARKET</t>
        </is>
      </c>
      <c r="AY303" s="30" t="inlineStr">
        <is>
          <t>04335788</t>
        </is>
      </c>
      <c r="AZ303" s="30" t="n">
        <v>1</v>
      </c>
      <c r="BA303" s="30" t="inlineStr">
        <is>
          <t>ROWS:p1r43 UNRECONCILED_SOURCE</t>
        </is>
      </c>
    </row>
    <row r="304">
      <c r="A304" s="16" t="inlineStr">
        <is>
          <t>CITOL INDUSTRIA DE TRATAMENTO DE OLEO S.A.</t>
        </is>
      </c>
      <c r="B304" s="17" t="n">
        <v>385787.79</v>
      </c>
      <c r="C304" s="37" t="inlineStr">
        <is>
          <t>(debtor not identified — see proof)</t>
        </is>
      </c>
      <c r="D304" s="19" t="inlineStr">
        <is>
          <t>NEW</t>
        </is>
      </c>
      <c r="E304" s="20" t="inlineStr"/>
      <c r="F304" s="19" t="inlineStr"/>
      <c r="G304" s="20" t="inlineStr"/>
      <c r="H304" s="19" t="inlineStr"/>
      <c r="I304" s="21" t="inlineStr">
        <is>
          <t>MARCOS ANTONIO BENTO DOMINGUES</t>
        </is>
      </c>
      <c r="J304" s="21" t="inlineStr">
        <is>
          <t>Diretor (RFB partner)</t>
        </is>
      </c>
      <c r="K304" s="21" t="inlineStr">
        <is>
          <t>(19) 3806-4535</t>
        </is>
      </c>
      <c r="L304" s="21" t="inlineStr"/>
      <c r="M304" s="21" t="inlineStr"/>
      <c r="N304" s="21" t="inlineStr"/>
      <c r="O304" s="21" t="inlineStr"/>
      <c r="P304" s="21" t="inlineStr"/>
      <c r="Q304" s="21" t="inlineStr"/>
      <c r="R304" s="21" t="inlineStr"/>
      <c r="S304" s="21" t="inlineStr"/>
      <c r="T304" s="21" t="inlineStr">
        <is>
          <t>RFB partner (QSA); no Apollo match</t>
        </is>
      </c>
      <c r="U304" s="22" t="n">
        <v>385787.79</v>
      </c>
      <c r="V304" s="23" t="inlineStr">
        <is>
          <t>B</t>
        </is>
      </c>
      <c r="W304" s="24">
        <f>IFERROR(VLOOKUP(V304,Assumptions!$A$7:$F$11,2,FALSE),0)</f>
        <v/>
      </c>
      <c r="X304" s="25">
        <f>IF(V304="A",MAX(1,IFERROR(VLOOKUP(V304,Assumptions!$A$7:$F$11,3,FALSE),3)+IFERROR(VLOOKUP(V304,Assumptions!$A$7:$F$11,4,FALSE),8)/2-MAX(0,IF(AO304="",0,YEAR(TODAY())-AO304)-IFERROR(VLOOKUP(V304,Assumptions!$A$7:$F$11,5,FALSE),1.5))),IFERROR(VLOOKUP(V304,Assumptions!$A$7:$F$11,5,FALSE),2.5)+IFERROR(VLOOKUP(V304,Assumptions!$A$7:$F$11,3,FALSE),3)+IFERROR(VLOOKUP(V304,Assumptions!$A$7:$F$11,4,FALSE),8)/2)</f>
        <v/>
      </c>
      <c r="Y304" s="22">
        <f>U304*W304/(1+Assumptions!$B$3)^X304</f>
        <v/>
      </c>
      <c r="Z304" s="26">
        <f>IF(U304=0,"",ROUND(Y304/U304*100,1))</f>
        <v/>
      </c>
      <c r="AA304" s="27">
        <f>Y304*Assumptions!$B$4</f>
        <v/>
      </c>
      <c r="AB304" s="26">
        <f>IF(U304=0,"",ROUND(AA304/U304*100,1))</f>
        <v/>
      </c>
      <c r="AC304" s="27">
        <f>Y304-AA304</f>
        <v/>
      </c>
      <c r="AD304" s="26">
        <f>IF(U304=0,"",ROUND((Y304-AA304)/U304*100,1))</f>
        <v/>
      </c>
      <c r="AE304" s="28" t="inlineStr">
        <is>
          <t>OK — totals reconciled</t>
        </is>
      </c>
      <c r="AF304" s="29" t="inlineStr">
        <is>
          <t>https://ajruiz.com.br/sites/default/files/public/arquivos-processos/2024-04/relacao_de_credores_recuperanda_1.pdf</t>
        </is>
      </c>
      <c r="AG304" s="28" t="inlineStr">
        <is>
          <t>p4 r10; p4 r11; p5 r1; p5 r2; p5 r3; p5 r4; p5 r5</t>
        </is>
      </c>
      <c r="AH304" s="28" t="inlineStr">
        <is>
          <t>p4: R$ 114.917,25; p4: R$ 114.917,25; p5: R$ 135.000,00; p5: R$ 135.000,00; p5: R$ 102.604,69; p5: R$ 102.604,69; p5: R$ 33.265,85</t>
        </is>
      </c>
      <c r="AI304" s="28" t="inlineStr">
        <is>
          <t>QGC (art. 18)</t>
        </is>
      </c>
      <c r="AJ304" s="28" t="inlineStr">
        <is>
          <t>2024-01-31</t>
        </is>
      </c>
      <c r="AK304" s="28" t="inlineStr">
        <is>
          <t>NONE FOUND</t>
        </is>
      </c>
      <c r="AL304" s="30" t="inlineStr">
        <is>
          <t>1022634-27.2024.8.26.0100</t>
        </is>
      </c>
      <c r="AM304" s="30" t="inlineStr">
        <is>
          <t>TJSP</t>
        </is>
      </c>
      <c r="AN304" s="30" t="inlineStr"/>
      <c r="AO304" s="30" t="n">
        <v>2024</v>
      </c>
      <c r="AP304" s="30" t="inlineStr">
        <is>
          <t>live case, no plan document yet</t>
        </is>
      </c>
      <c r="AQ304" s="30" t="inlineStr"/>
      <c r="AR304" s="30" t="inlineStr">
        <is>
          <t>not identified</t>
        </is>
      </c>
      <c r="AS304" s="30" t="inlineStr">
        <is>
          <t>MOGI GUACU</t>
        </is>
      </c>
      <c r="AT304" s="30" t="inlineStr">
        <is>
          <t>SP</t>
        </is>
      </c>
      <c r="AU304" s="30" t="inlineStr">
        <is>
          <t>Fabricação de outros produtos derivados do petróleo, exceto produtos do refino</t>
        </is>
      </c>
      <c r="AV304" s="30" t="inlineStr">
        <is>
          <t>DEMAIS</t>
        </is>
      </c>
      <c r="AW304" s="31" t="n">
        <v>7000000</v>
      </c>
      <c r="AX304" s="30" t="inlineStr">
        <is>
          <t>MID-MARKET</t>
        </is>
      </c>
      <c r="AY304" s="30" t="inlineStr">
        <is>
          <t>18933677</t>
        </is>
      </c>
      <c r="AZ304" s="30" t="n">
        <v>4</v>
      </c>
      <c r="BA304" s="30" t="inlineStr">
        <is>
          <t>ROWS:p4r10,p5r1,p5r3,p5r5 CASE_NUMBER_CORRECTED</t>
        </is>
      </c>
    </row>
    <row r="305">
      <c r="A305" s="16" t="inlineStr">
        <is>
          <t>DPC DISTRIBUIDOR ATACADISTA S/A</t>
        </is>
      </c>
      <c r="B305" s="17" t="n">
        <v>206466.35</v>
      </c>
      <c r="C305" s="18" t="inlineStr">
        <is>
          <t>GRUPO 3E</t>
        </is>
      </c>
      <c r="D305" s="19" t="inlineStr">
        <is>
          <t>NEW</t>
        </is>
      </c>
      <c r="E305" s="20" t="inlineStr"/>
      <c r="F305" s="19" t="inlineStr"/>
      <c r="G305" s="20" t="inlineStr"/>
      <c r="H305" s="19" t="inlineStr"/>
      <c r="I305" s="21" t="inlineStr">
        <is>
          <t>Thais Moura</t>
        </is>
      </c>
      <c r="J305" s="21" t="inlineStr">
        <is>
          <t>Gerente de Crédito e Cobrança</t>
        </is>
      </c>
      <c r="K305" s="21" t="inlineStr">
        <is>
          <t>(33) 3329-0000</t>
        </is>
      </c>
      <c r="L305" s="21" t="inlineStr"/>
      <c r="M305" s="21" t="inlineStr"/>
      <c r="N305" s="21" t="inlineStr">
        <is>
          <t>coordenacaocobranca@dpcnet.com.br</t>
        </is>
      </c>
      <c r="O305" s="21" t="inlineStr">
        <is>
          <t>sebastiao@dpcnet.com.br</t>
        </is>
      </c>
      <c r="P305" s="21" t="inlineStr">
        <is>
          <t>Sebastiao Silva</t>
        </is>
      </c>
      <c r="Q305" s="21" t="inlineStr">
        <is>
          <t>Financial Manager</t>
        </is>
      </c>
      <c r="R305" s="21" t="inlineStr"/>
      <c r="S305" s="21" t="inlineStr">
        <is>
          <t>sebastiao@dpcnet.com.br</t>
        </is>
      </c>
      <c r="T305" s="21" t="inlineStr">
        <is>
          <t>email verified by Apollo</t>
        </is>
      </c>
      <c r="U305" s="22" t="n">
        <v>206466.35</v>
      </c>
      <c r="V305" s="35" t="inlineStr">
        <is>
          <t>A</t>
        </is>
      </c>
      <c r="W305" s="24">
        <f>IFERROR(VLOOKUP(V305,Assumptions!$A$7:$F$11,2,FALSE),0)</f>
        <v/>
      </c>
      <c r="X305" s="25">
        <f>IF(V305="A",MAX(1,IFERROR(VLOOKUP(V305,Assumptions!$A$7:$F$11,3,FALSE),3)+IFERROR(VLOOKUP(V305,Assumptions!$A$7:$F$11,4,FALSE),8)/2-MAX(0,IF(AO305="",0,YEAR(TODAY())-AO305)-IFERROR(VLOOKUP(V305,Assumptions!$A$7:$F$11,5,FALSE),1.5))),IFERROR(VLOOKUP(V305,Assumptions!$A$7:$F$11,5,FALSE),2.5)+IFERROR(VLOOKUP(V305,Assumptions!$A$7:$F$11,3,FALSE),3)+IFERROR(VLOOKUP(V305,Assumptions!$A$7:$F$11,4,FALSE),8)/2)</f>
        <v/>
      </c>
      <c r="Y305" s="22">
        <f>U305*W305/(1+Assumptions!$B$3)^X305</f>
        <v/>
      </c>
      <c r="Z305" s="26">
        <f>IF(U305=0,"",ROUND(Y305/U305*100,1))</f>
        <v/>
      </c>
      <c r="AA305" s="27">
        <f>Y305*Assumptions!$B$4</f>
        <v/>
      </c>
      <c r="AB305" s="26">
        <f>IF(U305=0,"",ROUND(AA305/U305*100,1))</f>
        <v/>
      </c>
      <c r="AC305" s="27">
        <f>Y305-AA305</f>
        <v/>
      </c>
      <c r="AD305" s="26">
        <f>IF(U305=0,"",ROUND((Y305-AA305)/U305*100,1))</f>
        <v/>
      </c>
      <c r="AE305" s="33" t="inlineStr">
        <is>
          <t>NO TOTALS — list prints none; check page</t>
        </is>
      </c>
      <c r="AF305" s="29" t="inlineStr">
        <is>
          <t>https://stenius.com.br/wp-content/uploads/2026/06/EDITAL-GRUPO-3E.pdf</t>
        </is>
      </c>
      <c r="AG305" s="28" t="inlineStr">
        <is>
          <t>p12 r53; p12 r54</t>
        </is>
      </c>
      <c r="AH305" s="28" t="inlineStr">
        <is>
          <t>p12: R$ 171.927,72; p12: R$ 34.538,63</t>
        </is>
      </c>
      <c r="AI305" s="28" t="inlineStr">
        <is>
          <t>Debtor list (art. 51)</t>
        </is>
      </c>
      <c r="AJ305" s="28" t="inlineStr">
        <is>
          <t>2026-06-22</t>
        </is>
      </c>
      <c r="AK305" s="28" t="inlineStr">
        <is>
          <t>PLAN DOC FOUND</t>
        </is>
      </c>
      <c r="AL305" s="30" t="inlineStr">
        <is>
          <t>5341375-33.2026.8.09.0049</t>
        </is>
      </c>
      <c r="AM305" s="30" t="inlineStr">
        <is>
          <t>TJGO</t>
        </is>
      </c>
      <c r="AN305" s="30" t="inlineStr">
        <is>
          <t>ACTIVE</t>
        </is>
      </c>
      <c r="AO305" s="30" t="n">
        <v>2026</v>
      </c>
      <c r="AP305" s="30" t="inlineStr">
        <is>
          <t>plan/homologation document found</t>
        </is>
      </c>
      <c r="AQ305" s="30" t="inlineStr"/>
      <c r="AR305" s="30" t="inlineStr">
        <is>
          <t>printed on the list (read twice)</t>
        </is>
      </c>
      <c r="AS305" s="30" t="inlineStr">
        <is>
          <t>CARATINGA</t>
        </is>
      </c>
      <c r="AT305" s="30" t="inlineStr">
        <is>
          <t>MG</t>
        </is>
      </c>
      <c r="AU305" s="30" t="inlineStr">
        <is>
          <t>Comércio atacadista de produtos de higiene pessoal</t>
        </is>
      </c>
      <c r="AV305" s="30" t="inlineStr">
        <is>
          <t>DEMAIS</t>
        </is>
      </c>
      <c r="AW305" s="31" t="n">
        <v>20000000</v>
      </c>
      <c r="AX305" s="30" t="inlineStr">
        <is>
          <t>MID-MARKET</t>
        </is>
      </c>
      <c r="AY305" s="30" t="inlineStr">
        <is>
          <t>66471517</t>
        </is>
      </c>
      <c r="AZ305" s="30" t="n">
        <v>2</v>
      </c>
      <c r="BA305" s="30" t="inlineStr">
        <is>
          <t>ROWS:p12r53,p12r54 UNRECONCILED_SOURCE</t>
        </is>
      </c>
    </row>
    <row r="306">
      <c r="A306" s="16" t="inlineStr">
        <is>
          <t>SEPAC SERRADOS E PASTA DE CELULOSE LTDA</t>
        </is>
      </c>
      <c r="B306" s="17" t="n">
        <v>206015.81</v>
      </c>
      <c r="C306" s="18" t="inlineStr">
        <is>
          <t>GRUPO 3E</t>
        </is>
      </c>
      <c r="D306" s="19" t="inlineStr">
        <is>
          <t>NEW</t>
        </is>
      </c>
      <c r="E306" s="20" t="inlineStr"/>
      <c r="F306" s="19" t="inlineStr"/>
      <c r="G306" s="20" t="inlineStr"/>
      <c r="H306" s="19" t="inlineStr"/>
      <c r="I306" s="21" t="inlineStr">
        <is>
          <t>Giovani Kovalik</t>
        </is>
      </c>
      <c r="J306" s="21" t="inlineStr">
        <is>
          <t>Financial Analyst</t>
        </is>
      </c>
      <c r="K306" s="21" t="inlineStr">
        <is>
          <t>(42) 3542-8000</t>
        </is>
      </c>
      <c r="L306" s="21" t="inlineStr"/>
      <c r="M306" s="21" t="inlineStr"/>
      <c r="N306" s="21" t="inlineStr">
        <is>
          <t>giovani.kovalik@sepac.com.br</t>
        </is>
      </c>
      <c r="O306" s="21" t="inlineStr">
        <is>
          <t>elisandra.magro@sepac.com.br</t>
        </is>
      </c>
      <c r="P306" s="21" t="inlineStr">
        <is>
          <t>Elisandra Magro</t>
        </is>
      </c>
      <c r="Q306" s="21" t="inlineStr">
        <is>
          <t>Financial Analyst</t>
        </is>
      </c>
      <c r="R306" s="21" t="inlineStr"/>
      <c r="S306" s="21" t="inlineStr">
        <is>
          <t>elisandra.magro@sepac.com.br</t>
        </is>
      </c>
      <c r="T306" s="21" t="inlineStr">
        <is>
          <t>email verified by Apollo</t>
        </is>
      </c>
      <c r="U306" s="22" t="n">
        <v>206015.81</v>
      </c>
      <c r="V306" s="35" t="inlineStr">
        <is>
          <t>A</t>
        </is>
      </c>
      <c r="W306" s="24">
        <f>IFERROR(VLOOKUP(V306,Assumptions!$A$7:$F$11,2,FALSE),0)</f>
        <v/>
      </c>
      <c r="X306" s="25">
        <f>IF(V306="A",MAX(1,IFERROR(VLOOKUP(V306,Assumptions!$A$7:$F$11,3,FALSE),3)+IFERROR(VLOOKUP(V306,Assumptions!$A$7:$F$11,4,FALSE),8)/2-MAX(0,IF(AO306="",0,YEAR(TODAY())-AO306)-IFERROR(VLOOKUP(V306,Assumptions!$A$7:$F$11,5,FALSE),1.5))),IFERROR(VLOOKUP(V306,Assumptions!$A$7:$F$11,5,FALSE),2.5)+IFERROR(VLOOKUP(V306,Assumptions!$A$7:$F$11,3,FALSE),3)+IFERROR(VLOOKUP(V306,Assumptions!$A$7:$F$11,4,FALSE),8)/2)</f>
        <v/>
      </c>
      <c r="Y306" s="22">
        <f>U306*W306/(1+Assumptions!$B$3)^X306</f>
        <v/>
      </c>
      <c r="Z306" s="26">
        <f>IF(U306=0,"",ROUND(Y306/U306*100,1))</f>
        <v/>
      </c>
      <c r="AA306" s="27">
        <f>Y306*Assumptions!$B$4</f>
        <v/>
      </c>
      <c r="AB306" s="26">
        <f>IF(U306=0,"",ROUND(AA306/U306*100,1))</f>
        <v/>
      </c>
      <c r="AC306" s="27">
        <f>Y306-AA306</f>
        <v/>
      </c>
      <c r="AD306" s="26">
        <f>IF(U306=0,"",ROUND((Y306-AA306)/U306*100,1))</f>
        <v/>
      </c>
      <c r="AE306" s="33" t="inlineStr">
        <is>
          <t>NO TOTALS — list prints none; check page</t>
        </is>
      </c>
      <c r="AF306" s="29" t="inlineStr">
        <is>
          <t>https://stenius.com.br/wp-content/uploads/2026/06/EDITAL-GRUPO-3E.pdf</t>
        </is>
      </c>
      <c r="AG306" s="28" t="inlineStr">
        <is>
          <t>p17 r68</t>
        </is>
      </c>
      <c r="AH306" s="28" t="inlineStr">
        <is>
          <t>p17: R$ 206.015,81</t>
        </is>
      </c>
      <c r="AI306" s="28" t="inlineStr">
        <is>
          <t>Debtor list (art. 51)</t>
        </is>
      </c>
      <c r="AJ306" s="28" t="inlineStr">
        <is>
          <t>2026-06-22</t>
        </is>
      </c>
      <c r="AK306" s="28" t="inlineStr">
        <is>
          <t>PLAN DOC FOUND</t>
        </is>
      </c>
      <c r="AL306" s="30" t="inlineStr">
        <is>
          <t>5341375-33.2026.8.09.0049</t>
        </is>
      </c>
      <c r="AM306" s="30" t="inlineStr">
        <is>
          <t>TJGO</t>
        </is>
      </c>
      <c r="AN306" s="30" t="inlineStr">
        <is>
          <t>ACTIVE</t>
        </is>
      </c>
      <c r="AO306" s="30" t="n">
        <v>2026</v>
      </c>
      <c r="AP306" s="30" t="inlineStr">
        <is>
          <t>plan/homologation document found</t>
        </is>
      </c>
      <c r="AQ306" s="30" t="inlineStr"/>
      <c r="AR306" s="30" t="inlineStr">
        <is>
          <t>printed on the list (read twice)</t>
        </is>
      </c>
      <c r="AS306" s="30" t="inlineStr">
        <is>
          <t>MALLET</t>
        </is>
      </c>
      <c r="AT306" s="30" t="inlineStr">
        <is>
          <t>PR</t>
        </is>
      </c>
      <c r="AU306" s="30" t="inlineStr">
        <is>
          <t>Fabricação de produtos de papel para uso doméstico e higiênico-sanitário não especificados anteriormente</t>
        </is>
      </c>
      <c r="AV306" s="30" t="inlineStr">
        <is>
          <t>DEMAIS</t>
        </is>
      </c>
      <c r="AW306" s="31" t="n">
        <v>478000000</v>
      </c>
      <c r="AX306" s="30" t="inlineStr">
        <is>
          <t>MID-MARKET</t>
        </is>
      </c>
      <c r="AY306" s="30" t="inlineStr">
        <is>
          <t>75655720</t>
        </is>
      </c>
      <c r="AZ306" s="30" t="n">
        <v>1</v>
      </c>
      <c r="BA306" s="30" t="inlineStr">
        <is>
          <t>ROWS:p17r68 UNRECONCILED_SOURCE</t>
        </is>
      </c>
    </row>
    <row r="307">
      <c r="A307" s="16" t="inlineStr">
        <is>
          <t>VR BENEFICIOS E SERVICOS DE PROCESSAMENTO INSTITUICAO DE PAGAMENTO S.A.</t>
        </is>
      </c>
      <c r="B307" s="17" t="n">
        <v>2731258.45</v>
      </c>
      <c r="C307" s="18" t="inlineStr">
        <is>
          <t>EQUIP SEG INTELIGÊNCIA EM SEGURANÇA LTDA. E EQUIP SEG SERVIÇOS ESPECIALIZADOS LTDA.</t>
        </is>
      </c>
      <c r="D307" s="19" t="inlineStr">
        <is>
          <t>NEW</t>
        </is>
      </c>
      <c r="E307" s="20" t="inlineStr"/>
      <c r="F307" s="19" t="inlineStr"/>
      <c r="G307" s="20" t="inlineStr"/>
      <c r="H307" s="19" t="inlineStr"/>
      <c r="I307" s="21" t="inlineStr">
        <is>
          <t>ANDRE TAKEMOTO</t>
        </is>
      </c>
      <c r="J307" s="21" t="inlineStr">
        <is>
          <t>Diretor (RFB partner)</t>
        </is>
      </c>
      <c r="K307" s="21" t="inlineStr">
        <is>
          <t>(11) 4134-4100</t>
        </is>
      </c>
      <c r="L307" s="21" t="inlineStr"/>
      <c r="M307" s="21" t="inlineStr"/>
      <c r="N307" s="21" t="inlineStr"/>
      <c r="O307" s="21" t="inlineStr"/>
      <c r="P307" s="21" t="inlineStr">
        <is>
          <t>ANDRE VINICIUS BATALINI MENOSSE</t>
        </is>
      </c>
      <c r="Q307" s="21" t="inlineStr">
        <is>
          <t>Diretor (RFB partner)</t>
        </is>
      </c>
      <c r="R307" s="21" t="inlineStr"/>
      <c r="S307" s="21" t="inlineStr"/>
      <c r="T307" s="21" t="inlineStr">
        <is>
          <t>RFB partner (QSA); no Apollo match</t>
        </is>
      </c>
      <c r="U307" s="22" t="n">
        <v>2731258.45</v>
      </c>
      <c r="V307" s="39" t="inlineStr">
        <is>
          <t>D</t>
        </is>
      </c>
      <c r="W307" s="24">
        <f>IFERROR(VLOOKUP(V307,Assumptions!$A$7:$F$11,2,FALSE),0)</f>
        <v/>
      </c>
      <c r="X307" s="25">
        <f>IF(V307="A",MAX(1,IFERROR(VLOOKUP(V307,Assumptions!$A$7:$F$11,3,FALSE),3)+IFERROR(VLOOKUP(V307,Assumptions!$A$7:$F$11,4,FALSE),8)/2-MAX(0,IF(AO307="",0,YEAR(TODAY())-AO307)-IFERROR(VLOOKUP(V307,Assumptions!$A$7:$F$11,5,FALSE),1.5))),IFERROR(VLOOKUP(V307,Assumptions!$A$7:$F$11,5,FALSE),2.5)+IFERROR(VLOOKUP(V307,Assumptions!$A$7:$F$11,3,FALSE),3)+IFERROR(VLOOKUP(V307,Assumptions!$A$7:$F$11,4,FALSE),8)/2)</f>
        <v/>
      </c>
      <c r="Y307" s="22">
        <f>U307*W307/(1+Assumptions!$B$3)^X307</f>
        <v/>
      </c>
      <c r="Z307" s="26">
        <f>IF(U307=0,"",ROUND(Y307/U307*100,1))</f>
        <v/>
      </c>
      <c r="AA307" s="27">
        <f>Y307*Assumptions!$B$4</f>
        <v/>
      </c>
      <c r="AB307" s="26">
        <f>IF(U307=0,"",ROUND(AA307/U307*100,1))</f>
        <v/>
      </c>
      <c r="AC307" s="27">
        <f>Y307-AA307</f>
        <v/>
      </c>
      <c r="AD307" s="26">
        <f>IF(U307=0,"",ROUND((Y307-AA307)/U307*100,1))</f>
        <v/>
      </c>
      <c r="AE307" s="33" t="inlineStr">
        <is>
          <t>NO TOTALS — list prints none; check page</t>
        </is>
      </c>
      <c r="AF307" s="29" t="inlineStr">
        <is>
          <t>https://bbsadvogados.com.br/wp-content/uploads/2025/04/Equipseg-Edital-Relacao-de-Credores-da-Administradora-Judicial-art.-7o2o-da-LRF.pdf</t>
        </is>
      </c>
      <c r="AG307" s="28" t="inlineStr">
        <is>
          <t>p42 r8</t>
        </is>
      </c>
      <c r="AH307" s="28" t="inlineStr">
        <is>
          <t>p42: R$ 2.731.258,45</t>
        </is>
      </c>
      <c r="AI307" s="28" t="inlineStr">
        <is>
          <t>AJ list (art. 7 §2)</t>
        </is>
      </c>
      <c r="AJ307" s="28" t="inlineStr">
        <is>
          <t>2025-04-08</t>
        </is>
      </c>
      <c r="AK307" s="28" t="inlineStr">
        <is>
          <t>NONE FOUND</t>
        </is>
      </c>
      <c r="AL307" s="30" t="inlineStr">
        <is>
          <t>0033736-15.2023.8.16.0185</t>
        </is>
      </c>
      <c r="AM307" s="30" t="inlineStr">
        <is>
          <t>TJPR</t>
        </is>
      </c>
      <c r="AN307" s="30" t="inlineStr"/>
      <c r="AO307" s="30" t="n">
        <v>2023</v>
      </c>
      <c r="AP307" s="30" t="inlineStr">
        <is>
          <t>document is a falência (bankruptcy) list</t>
        </is>
      </c>
      <c r="AQ307" s="30" t="inlineStr"/>
      <c r="AR307" s="30" t="inlineStr">
        <is>
          <t>printed on the list (read twice)</t>
        </is>
      </c>
      <c r="AS307" s="30" t="inlineStr">
        <is>
          <t>SAO PAULO</t>
        </is>
      </c>
      <c r="AT307" s="30" t="inlineStr">
        <is>
          <t>SP</t>
        </is>
      </c>
      <c r="AU307" s="30" t="inlineStr">
        <is>
          <t>Emissão de vales-alimentação, vales-transporte e similares</t>
        </is>
      </c>
      <c r="AV307" s="30" t="inlineStr">
        <is>
          <t>DEMAIS</t>
        </is>
      </c>
      <c r="AW307" s="31" t="n">
        <v>449185860</v>
      </c>
      <c r="AX307" s="30" t="inlineStr">
        <is>
          <t>LARGE CORP</t>
        </is>
      </c>
      <c r="AY307" s="30" t="inlineStr">
        <is>
          <t>02535864</t>
        </is>
      </c>
      <c r="AZ307" s="30" t="n">
        <v>1</v>
      </c>
      <c r="BA307" s="30" t="inlineStr">
        <is>
          <t>ROWS:p42r8 UNRECONCILED_SOURCE</t>
        </is>
      </c>
    </row>
    <row r="308">
      <c r="A308" s="16" t="inlineStr">
        <is>
          <t>PRODUSI METALURGICA LTDA</t>
        </is>
      </c>
      <c r="B308" s="17" t="n">
        <v>376976.74</v>
      </c>
      <c r="C308" s="18" t="inlineStr">
        <is>
          <t>Grupo Rech</t>
        </is>
      </c>
      <c r="D308" s="19" t="inlineStr">
        <is>
          <t>NEW</t>
        </is>
      </c>
      <c r="E308" s="20" t="inlineStr"/>
      <c r="F308" s="19" t="inlineStr"/>
      <c r="G308" s="20" t="inlineStr"/>
      <c r="H308" s="19" t="inlineStr"/>
      <c r="I308" s="21" t="inlineStr">
        <is>
          <t>JULIO CESAR GONCALVES FERNANDES</t>
        </is>
      </c>
      <c r="J308" s="21" t="inlineStr">
        <is>
          <t>Sócio-Administrador (RFB partner)</t>
        </is>
      </c>
      <c r="K308" s="21" t="inlineStr">
        <is>
          <t>(43) 3373-8800</t>
        </is>
      </c>
      <c r="L308" s="21" t="inlineStr"/>
      <c r="M308" s="21" t="inlineStr"/>
      <c r="N308" s="21" t="inlineStr"/>
      <c r="O308" s="21" t="inlineStr"/>
      <c r="P308" s="21" t="inlineStr"/>
      <c r="Q308" s="21" t="inlineStr"/>
      <c r="R308" s="21" t="inlineStr"/>
      <c r="S308" s="21" t="inlineStr"/>
      <c r="T308" s="21" t="inlineStr">
        <is>
          <t>RFB partner (QSA); no Apollo match</t>
        </is>
      </c>
      <c r="U308" s="22" t="n">
        <v>376976.74</v>
      </c>
      <c r="V308" s="23" t="inlineStr">
        <is>
          <t>B</t>
        </is>
      </c>
      <c r="W308" s="24">
        <f>IFERROR(VLOOKUP(V308,Assumptions!$A$7:$F$11,2,FALSE),0)</f>
        <v/>
      </c>
      <c r="X308" s="25">
        <f>IF(V308="A",MAX(1,IFERROR(VLOOKUP(V308,Assumptions!$A$7:$F$11,3,FALSE),3)+IFERROR(VLOOKUP(V308,Assumptions!$A$7:$F$11,4,FALSE),8)/2-MAX(0,IF(AO308="",0,YEAR(TODAY())-AO308)-IFERROR(VLOOKUP(V308,Assumptions!$A$7:$F$11,5,FALSE),1.5))),IFERROR(VLOOKUP(V308,Assumptions!$A$7:$F$11,5,FALSE),2.5)+IFERROR(VLOOKUP(V308,Assumptions!$A$7:$F$11,3,FALSE),3)+IFERROR(VLOOKUP(V308,Assumptions!$A$7:$F$11,4,FALSE),8)/2)</f>
        <v/>
      </c>
      <c r="Y308" s="22">
        <f>U308*W308/(1+Assumptions!$B$3)^X308</f>
        <v/>
      </c>
      <c r="Z308" s="26">
        <f>IF(U308=0,"",ROUND(Y308/U308*100,1))</f>
        <v/>
      </c>
      <c r="AA308" s="27">
        <f>Y308*Assumptions!$B$4</f>
        <v/>
      </c>
      <c r="AB308" s="26">
        <f>IF(U308=0,"",ROUND(AA308/U308*100,1))</f>
        <v/>
      </c>
      <c r="AC308" s="27">
        <f>Y308-AA308</f>
        <v/>
      </c>
      <c r="AD308" s="26">
        <f>IF(U308=0,"",ROUND((Y308-AA308)/U308*100,1))</f>
        <v/>
      </c>
      <c r="AE308" s="36" t="inlineStr">
        <is>
          <t>CHECK — source is not a statutory creditor list</t>
        </is>
      </c>
      <c r="AF308" s="29" t="inlineStr">
        <is>
          <t>https://credibilita.com.br/wp-content/uploads/2025/09/Relacao-Credores-29.04.2026.pdf</t>
        </is>
      </c>
      <c r="AG308" s="28" t="inlineStr">
        <is>
          <t>p2 r10</t>
        </is>
      </c>
      <c r="AH308" s="28" t="inlineStr">
        <is>
          <t>p2: R$ 376.976,74</t>
        </is>
      </c>
      <c r="AI308" s="28" t="inlineStr">
        <is>
          <t>Quorum list — NOT an art. 7/51 list</t>
        </is>
      </c>
      <c r="AJ308" s="28" t="inlineStr"/>
      <c r="AK308" s="28" t="inlineStr">
        <is>
          <t>NONE FOUND</t>
        </is>
      </c>
      <c r="AL308" s="30" t="inlineStr">
        <is>
          <t>5057720-48.2025.8.24.0023</t>
        </is>
      </c>
      <c r="AM308" s="30" t="inlineStr">
        <is>
          <t>TJSC</t>
        </is>
      </c>
      <c r="AN308" s="30" t="inlineStr"/>
      <c r="AO308" s="30" t="n">
        <v>2025</v>
      </c>
      <c r="AP308" s="30" t="inlineStr">
        <is>
          <t>live case, no plan document yet</t>
        </is>
      </c>
      <c r="AQ308" s="30" t="inlineStr"/>
      <c r="AR308" s="30" t="inlineStr">
        <is>
          <t>portal page title / URL — not printed on the list</t>
        </is>
      </c>
      <c r="AS308" s="30" t="inlineStr">
        <is>
          <t>LONDRINA</t>
        </is>
      </c>
      <c r="AT308" s="30" t="inlineStr">
        <is>
          <t>PR</t>
        </is>
      </c>
      <c r="AU308" s="30" t="inlineStr">
        <is>
          <t>Fabricação de outros produtos de metal não especificados anteriormente</t>
        </is>
      </c>
      <c r="AV308" s="30" t="inlineStr">
        <is>
          <t>DEMAIS</t>
        </is>
      </c>
      <c r="AW308" s="31" t="n">
        <v>1500000</v>
      </c>
      <c r="AX308" s="30" t="inlineStr">
        <is>
          <t>MID-MARKET</t>
        </is>
      </c>
      <c r="AY308" s="30" t="inlineStr">
        <is>
          <t>02135888</t>
        </is>
      </c>
      <c r="AZ308" s="30" t="n">
        <v>1</v>
      </c>
      <c r="BA308" s="30" t="inlineStr">
        <is>
          <t>ROWS:p2r10 UNRECONCILED_SOURCE VALUE_COL:Valor_Após_Analise CASE_NUMBER_CORRECTED</t>
        </is>
      </c>
    </row>
    <row r="309">
      <c r="A309" s="16" t="inlineStr">
        <is>
          <t>CG LOCACAO DE GUINDASTES LTDA.</t>
        </is>
      </c>
      <c r="B309" s="17" t="n">
        <v>706167.48</v>
      </c>
      <c r="C309" s="18" t="inlineStr">
        <is>
          <t>EGESA ENGENHARIA S/A (Consórcio ETDI)</t>
        </is>
      </c>
      <c r="D309" s="19" t="inlineStr">
        <is>
          <t>NEW</t>
        </is>
      </c>
      <c r="E309" s="20" t="inlineStr"/>
      <c r="F309" s="19" t="inlineStr"/>
      <c r="G309" s="20" t="inlineStr"/>
      <c r="H309" s="19" t="inlineStr"/>
      <c r="I309" s="21" t="inlineStr">
        <is>
          <t>ANDREA LOUCATELLI CARRAMENHA</t>
        </is>
      </c>
      <c r="J309" s="21" t="inlineStr">
        <is>
          <t>Sócio-Administrador (RFB partner)</t>
        </is>
      </c>
      <c r="K309" s="21" t="inlineStr">
        <is>
          <t>(11) 6916-3000</t>
        </is>
      </c>
      <c r="L309" s="21" t="inlineStr"/>
      <c r="M309" s="21" t="inlineStr"/>
      <c r="N309" s="21" t="inlineStr"/>
      <c r="O309" s="21" t="inlineStr"/>
      <c r="P309" s="21" t="inlineStr">
        <is>
          <t>LUIS APARECIDO LOUCATELLI</t>
        </is>
      </c>
      <c r="Q309" s="21" t="inlineStr">
        <is>
          <t>Sócio-Administrador (RFB partner)</t>
        </is>
      </c>
      <c r="R309" s="21" t="inlineStr"/>
      <c r="S309" s="21" t="inlineStr"/>
      <c r="T309" s="21" t="inlineStr">
        <is>
          <t>RFB partner (QSA); no Apollo match</t>
        </is>
      </c>
      <c r="U309" s="22" t="n">
        <v>706167.48</v>
      </c>
      <c r="V309" s="32" t="inlineStr">
        <is>
          <t>U</t>
        </is>
      </c>
      <c r="W309" s="24">
        <f>IFERROR(VLOOKUP(V309,Assumptions!$A$7:$F$11,2,FALSE),0)</f>
        <v/>
      </c>
      <c r="X309" s="25">
        <f>IF(V309="A",MAX(1,IFERROR(VLOOKUP(V309,Assumptions!$A$7:$F$11,3,FALSE),3)+IFERROR(VLOOKUP(V309,Assumptions!$A$7:$F$11,4,FALSE),8)/2-MAX(0,IF(AO309="",0,YEAR(TODAY())-AO309)-IFERROR(VLOOKUP(V309,Assumptions!$A$7:$F$11,5,FALSE),1.5))),IFERROR(VLOOKUP(V309,Assumptions!$A$7:$F$11,5,FALSE),2.5)+IFERROR(VLOOKUP(V309,Assumptions!$A$7:$F$11,3,FALSE),3)+IFERROR(VLOOKUP(V309,Assumptions!$A$7:$F$11,4,FALSE),8)/2)</f>
        <v/>
      </c>
      <c r="Y309" s="22">
        <f>U309*W309/(1+Assumptions!$B$3)^X309</f>
        <v/>
      </c>
      <c r="Z309" s="26">
        <f>IF(U309=0,"",ROUND(Y309/U309*100,1))</f>
        <v/>
      </c>
      <c r="AA309" s="27">
        <f>Y309*Assumptions!$B$4</f>
        <v/>
      </c>
      <c r="AB309" s="26">
        <f>IF(U309=0,"",ROUND(AA309/U309*100,1))</f>
        <v/>
      </c>
      <c r="AC309" s="27">
        <f>Y309-AA309</f>
        <v/>
      </c>
      <c r="AD309" s="26">
        <f>IF(U309=0,"",ROUND((Y309-AA309)/U309*100,1))</f>
        <v/>
      </c>
      <c r="AE309" s="28" t="inlineStr">
        <is>
          <t>OK — totals reconciled</t>
        </is>
      </c>
      <c r="AF309" s="29" t="inlineStr">
        <is>
          <t>https://scalzilliaj.com.br/sgc/download.php?file=files/processo_documento/processo_documento09514021082025_1_.pdf&amp;nome=04 - Relação de credores das Recuperandas</t>
        </is>
      </c>
      <c r="AG309" s="28" t="inlineStr">
        <is>
          <t>p64 r6</t>
        </is>
      </c>
      <c r="AH309" s="28" t="inlineStr">
        <is>
          <t>p64: R$ 706.167,48</t>
        </is>
      </c>
      <c r="AI309" s="28" t="inlineStr">
        <is>
          <t>Debtor list (art. 51)</t>
        </is>
      </c>
      <c r="AJ309" s="28" t="inlineStr"/>
      <c r="AK309" s="28" t="inlineStr">
        <is>
          <t>NONE FOUND</t>
        </is>
      </c>
      <c r="AL309" s="30" t="inlineStr">
        <is>
          <t>(not printed)</t>
        </is>
      </c>
      <c r="AM309" s="30" t="inlineStr"/>
      <c r="AN309" s="30" t="inlineStr"/>
      <c r="AO309" s="30" t="inlineStr"/>
      <c r="AP309" s="30" t="inlineStr">
        <is>
          <t>RJ case number not identified on the document</t>
        </is>
      </c>
      <c r="AQ309" s="30" t="inlineStr"/>
      <c r="AR309" s="30" t="inlineStr">
        <is>
          <t>portal page title / URL — not printed on the list</t>
        </is>
      </c>
      <c r="AS309" s="30" t="inlineStr">
        <is>
          <t>SAO PAULO</t>
        </is>
      </c>
      <c r="AT309" s="30" t="inlineStr">
        <is>
          <t>SP</t>
        </is>
      </c>
      <c r="AU309" s="30" t="inlineStr">
        <is>
          <t>Aluguel de máquinas e equipamentos para construção sem operador, exceto andaimes</t>
        </is>
      </c>
      <c r="AV309" s="30" t="inlineStr">
        <is>
          <t>DEMAIS</t>
        </is>
      </c>
      <c r="AW309" s="31" t="n">
        <v>5000000</v>
      </c>
      <c r="AX309" s="30" t="inlineStr">
        <is>
          <t>MID-MARKET</t>
        </is>
      </c>
      <c r="AY309" s="30" t="inlineStr">
        <is>
          <t>08226396</t>
        </is>
      </c>
      <c r="AZ309" s="30" t="n">
        <v>1</v>
      </c>
      <c r="BA309" s="30" t="inlineStr">
        <is>
          <t>ROWS:p64r6 VALUE_COL:Valor_Atualizado CASE_NUMBER_CORRECTED</t>
        </is>
      </c>
    </row>
    <row r="310">
      <c r="A310" s="16" t="inlineStr">
        <is>
          <t>CAUANA INDUSTRIA COMERCIO E REPRESENTACOES LTDA</t>
        </is>
      </c>
      <c r="B310" s="17" t="n">
        <v>374949</v>
      </c>
      <c r="C310" s="18" t="inlineStr">
        <is>
          <t>GRUPO CATTAN</t>
        </is>
      </c>
      <c r="D310" s="19" t="inlineStr">
        <is>
          <t>NEW</t>
        </is>
      </c>
      <c r="E310" s="20" t="inlineStr"/>
      <c r="F310" s="19" t="inlineStr"/>
      <c r="G310" s="20" t="inlineStr"/>
      <c r="H310" s="19" t="inlineStr"/>
      <c r="I310" s="21" t="inlineStr">
        <is>
          <t>CLAUDIO NOGUEIRA DINIZ</t>
        </is>
      </c>
      <c r="J310" s="21" t="inlineStr">
        <is>
          <t>Sócio-Administrador (RFB partner)</t>
        </is>
      </c>
      <c r="K310" s="21" t="inlineStr">
        <is>
          <t>(31) 2581-0599</t>
        </is>
      </c>
      <c r="L310" s="21" t="inlineStr"/>
      <c r="M310" s="21" t="inlineStr"/>
      <c r="N310" s="21" t="inlineStr"/>
      <c r="O310" s="21" t="inlineStr"/>
      <c r="P310" s="21" t="inlineStr">
        <is>
          <t>MARIANA LARA DINIZ</t>
        </is>
      </c>
      <c r="Q310" s="21" t="inlineStr">
        <is>
          <t>Sócio-Administrador (RFB partner)</t>
        </is>
      </c>
      <c r="R310" s="21" t="inlineStr"/>
      <c r="S310" s="21" t="inlineStr"/>
      <c r="T310" s="21" t="inlineStr">
        <is>
          <t>RFB partner (QSA); no Apollo match</t>
        </is>
      </c>
      <c r="U310" s="22" t="n">
        <v>374949</v>
      </c>
      <c r="V310" s="23" t="inlineStr">
        <is>
          <t>B</t>
        </is>
      </c>
      <c r="W310" s="24">
        <f>IFERROR(VLOOKUP(V310,Assumptions!$A$7:$F$11,2,FALSE),0)</f>
        <v/>
      </c>
      <c r="X310" s="25">
        <f>IF(V310="A",MAX(1,IFERROR(VLOOKUP(V310,Assumptions!$A$7:$F$11,3,FALSE),3)+IFERROR(VLOOKUP(V310,Assumptions!$A$7:$F$11,4,FALSE),8)/2-MAX(0,IF(AO310="",0,YEAR(TODAY())-AO310)-IFERROR(VLOOKUP(V310,Assumptions!$A$7:$F$11,5,FALSE),1.5))),IFERROR(VLOOKUP(V310,Assumptions!$A$7:$F$11,5,FALSE),2.5)+IFERROR(VLOOKUP(V310,Assumptions!$A$7:$F$11,3,FALSE),3)+IFERROR(VLOOKUP(V310,Assumptions!$A$7:$F$11,4,FALSE),8)/2)</f>
        <v/>
      </c>
      <c r="Y310" s="22">
        <f>U310*W310/(1+Assumptions!$B$3)^X310</f>
        <v/>
      </c>
      <c r="Z310" s="26">
        <f>IF(U310=0,"",ROUND(Y310/U310*100,1))</f>
        <v/>
      </c>
      <c r="AA310" s="27">
        <f>Y310*Assumptions!$B$4</f>
        <v/>
      </c>
      <c r="AB310" s="26">
        <f>IF(U310=0,"",ROUND(AA310/U310*100,1))</f>
        <v/>
      </c>
      <c r="AC310" s="27">
        <f>Y310-AA310</f>
        <v/>
      </c>
      <c r="AD310" s="26">
        <f>IF(U310=0,"",ROUND((Y310-AA310)/U310*100,1))</f>
        <v/>
      </c>
      <c r="AE310" s="34" t="inlineStr">
        <is>
          <t>PARTIAL — class III reconciled, other classes not</t>
        </is>
      </c>
      <c r="AF310" s="29" t="inlineStr">
        <is>
          <t>https://lrflideres.com.br/wp-content/plugins/download-attachments/includes/download.php?id=4023</t>
        </is>
      </c>
      <c r="AG310" s="28" t="inlineStr">
        <is>
          <t>p4 r62</t>
        </is>
      </c>
      <c r="AH310" s="28" t="inlineStr">
        <is>
          <t>p4: R$ 374.949,00</t>
        </is>
      </c>
      <c r="AI310" s="28" t="inlineStr">
        <is>
          <t>Debtor list (art. 51)</t>
        </is>
      </c>
      <c r="AJ310" s="28" t="inlineStr"/>
      <c r="AK310" s="28" t="inlineStr">
        <is>
          <t>NONE FOUND</t>
        </is>
      </c>
      <c r="AL310" s="30" t="inlineStr">
        <is>
          <t>0002484-82.2022.8.17.2001</t>
        </is>
      </c>
      <c r="AM310" s="30" t="inlineStr">
        <is>
          <t>TJPE</t>
        </is>
      </c>
      <c r="AN310" s="30" t="inlineStr">
        <is>
          <t>ACTIVE</t>
        </is>
      </c>
      <c r="AO310" s="30" t="n">
        <v>2022</v>
      </c>
      <c r="AP310" s="30" t="inlineStr">
        <is>
          <t>live case, no plan document yet</t>
        </is>
      </c>
      <c r="AQ310" s="30" t="inlineStr"/>
      <c r="AR310" s="30" t="inlineStr">
        <is>
          <t>printed on the list (read twice)</t>
        </is>
      </c>
      <c r="AS310" s="30" t="inlineStr">
        <is>
          <t>NOVA LIMA</t>
        </is>
      </c>
      <c r="AT310" s="30" t="inlineStr">
        <is>
          <t>MG</t>
        </is>
      </c>
      <c r="AU310" s="30" t="inlineStr">
        <is>
          <t>Confecção de peças de vestuário, exceto roupas íntimas e as confeccionadas sob medida</t>
        </is>
      </c>
      <c r="AV310" s="30" t="inlineStr">
        <is>
          <t>MICRO EMPRESA</t>
        </is>
      </c>
      <c r="AW310" s="31" t="n">
        <v>10000</v>
      </c>
      <c r="AX310" s="30" t="inlineStr">
        <is>
          <t>SMALL</t>
        </is>
      </c>
      <c r="AY310" s="30" t="inlineStr">
        <is>
          <t>13726078</t>
        </is>
      </c>
      <c r="AZ310" s="30" t="n">
        <v>1</v>
      </c>
      <c r="BA310" s="30" t="inlineStr">
        <is>
          <t>PARTIAL_DOC_CLASS_III_RECONCILED ROWS:p4r62</t>
        </is>
      </c>
    </row>
    <row r="311">
      <c r="A311" s="16" t="inlineStr">
        <is>
          <t>JC DISTRIBUICAO LOGISTICA IMPORTACAO E EXPORTACAO DE PRODUTOS INDUSTRIALIZADOS S/A</t>
        </is>
      </c>
      <c r="B311" s="17" t="n">
        <v>200738.49</v>
      </c>
      <c r="C311" s="18" t="inlineStr">
        <is>
          <t>GRUPO 3E</t>
        </is>
      </c>
      <c r="D311" s="19" t="inlineStr">
        <is>
          <t>NEW</t>
        </is>
      </c>
      <c r="E311" s="20" t="inlineStr"/>
      <c r="F311" s="19" t="inlineStr"/>
      <c r="G311" s="20" t="inlineStr"/>
      <c r="H311" s="19" t="inlineStr"/>
      <c r="I311" s="21" t="inlineStr">
        <is>
          <t>Nataliane Garcia</t>
        </is>
      </c>
      <c r="J311" s="21" t="inlineStr">
        <is>
          <t>Financial Manager</t>
        </is>
      </c>
      <c r="K311" s="21" t="inlineStr">
        <is>
          <t>(62) 3240-9500</t>
        </is>
      </c>
      <c r="L311" s="21" t="inlineStr"/>
      <c r="M311" s="21" t="inlineStr"/>
      <c r="N311" s="21" t="inlineStr"/>
      <c r="O311" s="21" t="inlineStr"/>
      <c r="P311" s="21" t="inlineStr">
        <is>
          <t>Patricia Faria</t>
        </is>
      </c>
      <c r="Q311" s="21" t="inlineStr">
        <is>
          <t>Encarregada Administrativa Financeiro</t>
        </is>
      </c>
      <c r="R311" s="21" t="inlineStr"/>
      <c r="S311" s="21" t="inlineStr"/>
      <c r="T311" s="21" t="inlineStr">
        <is>
          <t>no work email found in Apollo</t>
        </is>
      </c>
      <c r="U311" s="22" t="n">
        <v>200738.49</v>
      </c>
      <c r="V311" s="35" t="inlineStr">
        <is>
          <t>A</t>
        </is>
      </c>
      <c r="W311" s="24">
        <f>IFERROR(VLOOKUP(V311,Assumptions!$A$7:$F$11,2,FALSE),0)</f>
        <v/>
      </c>
      <c r="X311" s="25">
        <f>IF(V311="A",MAX(1,IFERROR(VLOOKUP(V311,Assumptions!$A$7:$F$11,3,FALSE),3)+IFERROR(VLOOKUP(V311,Assumptions!$A$7:$F$11,4,FALSE),8)/2-MAX(0,IF(AO311="",0,YEAR(TODAY())-AO311)-IFERROR(VLOOKUP(V311,Assumptions!$A$7:$F$11,5,FALSE),1.5))),IFERROR(VLOOKUP(V311,Assumptions!$A$7:$F$11,5,FALSE),2.5)+IFERROR(VLOOKUP(V311,Assumptions!$A$7:$F$11,3,FALSE),3)+IFERROR(VLOOKUP(V311,Assumptions!$A$7:$F$11,4,FALSE),8)/2)</f>
        <v/>
      </c>
      <c r="Y311" s="22">
        <f>U311*W311/(1+Assumptions!$B$3)^X311</f>
        <v/>
      </c>
      <c r="Z311" s="26">
        <f>IF(U311=0,"",ROUND(Y311/U311*100,1))</f>
        <v/>
      </c>
      <c r="AA311" s="27">
        <f>Y311*Assumptions!$B$4</f>
        <v/>
      </c>
      <c r="AB311" s="26">
        <f>IF(U311=0,"",ROUND(AA311/U311*100,1))</f>
        <v/>
      </c>
      <c r="AC311" s="27">
        <f>Y311-AA311</f>
        <v/>
      </c>
      <c r="AD311" s="26">
        <f>IF(U311=0,"",ROUND((Y311-AA311)/U311*100,1))</f>
        <v/>
      </c>
      <c r="AE311" s="33" t="inlineStr">
        <is>
          <t>NO TOTALS — list prints none; check page</t>
        </is>
      </c>
      <c r="AF311" s="29" t="inlineStr">
        <is>
          <t>https://stenius.com.br/wp-content/uploads/2026/06/EDITAL-GRUPO-3E.pdf</t>
        </is>
      </c>
      <c r="AG311" s="28" t="inlineStr">
        <is>
          <t>p14 r69; p14 r70</t>
        </is>
      </c>
      <c r="AH311" s="28" t="inlineStr">
        <is>
          <t>p14: R$ 160.290,36; p14: R$ 40.448,13</t>
        </is>
      </c>
      <c r="AI311" s="28" t="inlineStr">
        <is>
          <t>Debtor list (art. 51)</t>
        </is>
      </c>
      <c r="AJ311" s="28" t="inlineStr">
        <is>
          <t>2026-06-22</t>
        </is>
      </c>
      <c r="AK311" s="28" t="inlineStr">
        <is>
          <t>PLAN DOC FOUND</t>
        </is>
      </c>
      <c r="AL311" s="30" t="inlineStr">
        <is>
          <t>5341375-33.2026.8.09.0049</t>
        </is>
      </c>
      <c r="AM311" s="30" t="inlineStr">
        <is>
          <t>TJGO</t>
        </is>
      </c>
      <c r="AN311" s="30" t="inlineStr">
        <is>
          <t>ACTIVE</t>
        </is>
      </c>
      <c r="AO311" s="30" t="n">
        <v>2026</v>
      </c>
      <c r="AP311" s="30" t="inlineStr">
        <is>
          <t>plan/homologation document found</t>
        </is>
      </c>
      <c r="AQ311" s="30" t="inlineStr"/>
      <c r="AR311" s="30" t="inlineStr">
        <is>
          <t>printed on the list (read twice)</t>
        </is>
      </c>
      <c r="AS311" s="30" t="inlineStr">
        <is>
          <t>APARECIDA DE GOIANIA</t>
        </is>
      </c>
      <c r="AT311" s="30" t="inlineStr">
        <is>
          <t>GO</t>
        </is>
      </c>
      <c r="AU311" s="30" t="inlineStr">
        <is>
          <t>Atividades de consultoria em gestão empresarial, exceto consultoria técnica específica</t>
        </is>
      </c>
      <c r="AV311" s="30" t="inlineStr">
        <is>
          <t>DEMAIS</t>
        </is>
      </c>
      <c r="AW311" s="31" t="n">
        <v>283819500</v>
      </c>
      <c r="AX311" s="30" t="inlineStr">
        <is>
          <t>MID-MARKET</t>
        </is>
      </c>
      <c r="AY311" s="30" t="inlineStr">
        <is>
          <t>06314327</t>
        </is>
      </c>
      <c r="AZ311" s="30" t="n">
        <v>2</v>
      </c>
      <c r="BA311" s="30" t="inlineStr">
        <is>
          <t>ROWS:p14r69,p14r70 UNRECONCILED_SOURCE</t>
        </is>
      </c>
    </row>
    <row r="312">
      <c r="A312" s="16" t="inlineStr">
        <is>
          <t>RAVATO DISTRIBUIDORA DE COMBUSTIVEIS LTDA</t>
        </is>
      </c>
      <c r="B312" s="17" t="n">
        <v>373976.81</v>
      </c>
      <c r="C312" s="18" t="inlineStr">
        <is>
          <t>Grupo Agromeal</t>
        </is>
      </c>
      <c r="D312" s="19" t="inlineStr">
        <is>
          <t>NEW</t>
        </is>
      </c>
      <c r="E312" s="20" t="inlineStr"/>
      <c r="F312" s="19" t="inlineStr"/>
      <c r="G312" s="20" t="inlineStr"/>
      <c r="H312" s="19" t="inlineStr"/>
      <c r="I312" s="21" t="inlineStr">
        <is>
          <t>LUCIANO DEMICHELI</t>
        </is>
      </c>
      <c r="J312" s="21" t="inlineStr">
        <is>
          <t>Administrador (RFB partner)</t>
        </is>
      </c>
      <c r="K312" s="21" t="inlineStr">
        <is>
          <t>(42) 3520-2100</t>
        </is>
      </c>
      <c r="L312" s="21" t="inlineStr">
        <is>
          <t>(42) 3520-2110</t>
        </is>
      </c>
      <c r="M312" s="21" t="inlineStr"/>
      <c r="N312" s="21" t="inlineStr"/>
      <c r="O312" s="21" t="inlineStr"/>
      <c r="P312" s="21" t="inlineStr">
        <is>
          <t>MARLEY DE BRITO ALMEIDA</t>
        </is>
      </c>
      <c r="Q312" s="21" t="inlineStr">
        <is>
          <t>Administrador (RFB partner)</t>
        </is>
      </c>
      <c r="R312" s="21" t="inlineStr"/>
      <c r="S312" s="21" t="inlineStr"/>
      <c r="T312" s="21" t="inlineStr">
        <is>
          <t>RFB partner (QSA); no Apollo match</t>
        </is>
      </c>
      <c r="U312" s="22" t="n">
        <v>373976.81</v>
      </c>
      <c r="V312" s="23" t="inlineStr">
        <is>
          <t>B</t>
        </is>
      </c>
      <c r="W312" s="24">
        <f>IFERROR(VLOOKUP(V312,Assumptions!$A$7:$F$11,2,FALSE),0)</f>
        <v/>
      </c>
      <c r="X312" s="25">
        <f>IF(V312="A",MAX(1,IFERROR(VLOOKUP(V312,Assumptions!$A$7:$F$11,3,FALSE),3)+IFERROR(VLOOKUP(V312,Assumptions!$A$7:$F$11,4,FALSE),8)/2-MAX(0,IF(AO312="",0,YEAR(TODAY())-AO312)-IFERROR(VLOOKUP(V312,Assumptions!$A$7:$F$11,5,FALSE),1.5))),IFERROR(VLOOKUP(V312,Assumptions!$A$7:$F$11,5,FALSE),2.5)+IFERROR(VLOOKUP(V312,Assumptions!$A$7:$F$11,3,FALSE),3)+IFERROR(VLOOKUP(V312,Assumptions!$A$7:$F$11,4,FALSE),8)/2)</f>
        <v/>
      </c>
      <c r="Y312" s="22">
        <f>U312*W312/(1+Assumptions!$B$3)^X312</f>
        <v/>
      </c>
      <c r="Z312" s="26">
        <f>IF(U312=0,"",ROUND(Y312/U312*100,1))</f>
        <v/>
      </c>
      <c r="AA312" s="27">
        <f>Y312*Assumptions!$B$4</f>
        <v/>
      </c>
      <c r="AB312" s="26">
        <f>IF(U312=0,"",ROUND(AA312/U312*100,1))</f>
        <v/>
      </c>
      <c r="AC312" s="27">
        <f>Y312-AA312</f>
        <v/>
      </c>
      <c r="AD312" s="26">
        <f>IF(U312=0,"",ROUND((Y312-AA312)/U312*100,1))</f>
        <v/>
      </c>
      <c r="AE312" s="34" t="inlineStr">
        <is>
          <t>PARTIAL — class III reconciled, other classes not</t>
        </is>
      </c>
      <c r="AF312" s="29" t="inlineStr">
        <is>
          <t>https://marquesadmjudicial.com.br/sgc/download.php?file=files/processo_documento/processo_documento17040729052024_1_.pdf&amp;nome=Relação Nominal de Credores AJ-Sintética</t>
        </is>
      </c>
      <c r="AG312" s="28" t="inlineStr">
        <is>
          <t>p12 r14</t>
        </is>
      </c>
      <c r="AH312" s="28" t="inlineStr">
        <is>
          <t>p12: R$ 373.976,81</t>
        </is>
      </c>
      <c r="AI312" s="28" t="inlineStr">
        <is>
          <t>AJ list (art. 7 §2)</t>
        </is>
      </c>
      <c r="AJ312" s="28" t="inlineStr">
        <is>
          <t>2024-05-27</t>
        </is>
      </c>
      <c r="AK312" s="28" t="inlineStr">
        <is>
          <t>NONE FOUND</t>
        </is>
      </c>
      <c r="AL312" s="30" t="inlineStr">
        <is>
          <t>0003971-03.2023.8.16.0119</t>
        </is>
      </c>
      <c r="AM312" s="30" t="inlineStr">
        <is>
          <t>TJPR</t>
        </is>
      </c>
      <c r="AN312" s="30" t="inlineStr">
        <is>
          <t>ACTIVE</t>
        </is>
      </c>
      <c r="AO312" s="30" t="n">
        <v>2023</v>
      </c>
      <c r="AP312" s="30" t="inlineStr">
        <is>
          <t>live case, no plan document yet</t>
        </is>
      </c>
      <c r="AQ312" s="30" t="inlineStr">
        <is>
          <t>11.624.776/0001-07</t>
        </is>
      </c>
      <c r="AR312" s="30" t="inlineStr">
        <is>
          <t>printed on the list (read twice)</t>
        </is>
      </c>
      <c r="AS312" s="30" t="inlineStr">
        <is>
          <t>SAO MATEUS DO SUL</t>
        </is>
      </c>
      <c r="AT312" s="30" t="inlineStr">
        <is>
          <t>PR</t>
        </is>
      </c>
      <c r="AU312" s="30" t="inlineStr">
        <is>
          <t>Comércio atacadista de álcool carburante, biodiesel, gasolina e demais derivados de petróleo, exceto lubrificantes, não realizado por transportador re</t>
        </is>
      </c>
      <c r="AV312" s="30" t="inlineStr">
        <is>
          <t>DEMAIS</t>
        </is>
      </c>
      <c r="AW312" s="31" t="n">
        <v>10000000</v>
      </c>
      <c r="AX312" s="30" t="inlineStr">
        <is>
          <t>MID-MARKET</t>
        </is>
      </c>
      <c r="AY312" s="30" t="inlineStr">
        <is>
          <t>16978251</t>
        </is>
      </c>
      <c r="AZ312" s="30" t="n">
        <v>1</v>
      </c>
      <c r="BA312" s="30" t="inlineStr">
        <is>
          <t>PARTIAL_DOC_CLASS_III_RECONCILED ROWS:p12r14</t>
        </is>
      </c>
    </row>
    <row r="313">
      <c r="A313" s="16" t="inlineStr">
        <is>
          <t>FERRONORTE INDUSTRIAL LTDA</t>
        </is>
      </c>
      <c r="B313" s="17" t="n">
        <v>1452323.08</v>
      </c>
      <c r="C313" s="18" t="inlineStr">
        <is>
          <t>Roque Materiais para Construção</t>
        </is>
      </c>
      <c r="D313" s="19" t="inlineStr">
        <is>
          <t>NEW</t>
        </is>
      </c>
      <c r="E313" s="20" t="inlineStr"/>
      <c r="F313" s="19" t="inlineStr"/>
      <c r="G313" s="20" t="inlineStr"/>
      <c r="H313" s="19" t="inlineStr"/>
      <c r="I313" s="21" t="inlineStr">
        <is>
          <t>Carlos Andre</t>
        </is>
      </c>
      <c r="J313" s="21" t="inlineStr">
        <is>
          <t>Analyst</t>
        </is>
      </c>
      <c r="K313" s="21" t="inlineStr">
        <is>
          <t>(86) 3215-4950</t>
        </is>
      </c>
      <c r="L313" s="21" t="inlineStr">
        <is>
          <t>(86) 8842-0763</t>
        </is>
      </c>
      <c r="M313" s="21" t="inlineStr"/>
      <c r="N313" s="21" t="inlineStr">
        <is>
          <t>carlos@ferronorteindustrial.com.br</t>
        </is>
      </c>
      <c r="O313" s="21" t="inlineStr"/>
      <c r="P313" s="21" t="inlineStr">
        <is>
          <t>Audo Gomes</t>
        </is>
      </c>
      <c r="Q313" s="21" t="inlineStr">
        <is>
          <t>Industrial Director</t>
        </is>
      </c>
      <c r="R313" s="21" t="inlineStr"/>
      <c r="S313" s="21" t="inlineStr"/>
      <c r="T313" s="21" t="inlineStr">
        <is>
          <t>email verified by Apollo</t>
        </is>
      </c>
      <c r="U313" s="22" t="n">
        <v>1452323.08</v>
      </c>
      <c r="V313" s="38" t="inlineStr">
        <is>
          <t>C</t>
        </is>
      </c>
      <c r="W313" s="24">
        <f>IFERROR(VLOOKUP(V313,Assumptions!$A$7:$F$11,2,FALSE),0)</f>
        <v/>
      </c>
      <c r="X313" s="25">
        <f>IF(V313="A",MAX(1,IFERROR(VLOOKUP(V313,Assumptions!$A$7:$F$11,3,FALSE),3)+IFERROR(VLOOKUP(V313,Assumptions!$A$7:$F$11,4,FALSE),8)/2-MAX(0,IF(AO313="",0,YEAR(TODAY())-AO313)-IFERROR(VLOOKUP(V313,Assumptions!$A$7:$F$11,5,FALSE),1.5))),IFERROR(VLOOKUP(V313,Assumptions!$A$7:$F$11,5,FALSE),2.5)+IFERROR(VLOOKUP(V313,Assumptions!$A$7:$F$11,3,FALSE),3)+IFERROR(VLOOKUP(V313,Assumptions!$A$7:$F$11,4,FALSE),8)/2)</f>
        <v/>
      </c>
      <c r="Y313" s="22">
        <f>U313*W313/(1+Assumptions!$B$3)^X313</f>
        <v/>
      </c>
      <c r="Z313" s="26">
        <f>IF(U313=0,"",ROUND(Y313/U313*100,1))</f>
        <v/>
      </c>
      <c r="AA313" s="27">
        <f>Y313*Assumptions!$B$4</f>
        <v/>
      </c>
      <c r="AB313" s="26">
        <f>IF(U313=0,"",ROUND(AA313/U313*100,1))</f>
        <v/>
      </c>
      <c r="AC313" s="27">
        <f>Y313-AA313</f>
        <v/>
      </c>
      <c r="AD313" s="26">
        <f>IF(U313=0,"",ROUND((Y313-AA313)/U313*100,1))</f>
        <v/>
      </c>
      <c r="AE313" s="28" t="inlineStr">
        <is>
          <t>OK — totals reconciled</t>
        </is>
      </c>
      <c r="AF313" s="29" t="inlineStr">
        <is>
          <t>https://realbrasil.com.br/wp-content/uploads/2018/06/2_LISTA-DE-CREDORES-DA-RECUPERANDA_ROQUE.pdf</t>
        </is>
      </c>
      <c r="AG313" s="28" t="inlineStr">
        <is>
          <t>p2 r3</t>
        </is>
      </c>
      <c r="AH313" s="28" t="inlineStr">
        <is>
          <t>p2: R$ 1.452.323,08</t>
        </is>
      </c>
      <c r="AI313" s="28" t="inlineStr">
        <is>
          <t>Unclassified list</t>
        </is>
      </c>
      <c r="AJ313" s="28" t="inlineStr"/>
      <c r="AK313" s="28" t="inlineStr">
        <is>
          <t>NONE FOUND</t>
        </is>
      </c>
      <c r="AL313" s="30" t="inlineStr">
        <is>
          <t>0802426-35.2019.8.10.0000</t>
        </is>
      </c>
      <c r="AM313" s="30" t="inlineStr">
        <is>
          <t>TJMA</t>
        </is>
      </c>
      <c r="AN313" s="30" t="inlineStr"/>
      <c r="AO313" s="30" t="n">
        <v>2019</v>
      </c>
      <c r="AP313" s="30" t="inlineStr">
        <is>
          <t>7y since filing, no plan document</t>
        </is>
      </c>
      <c r="AQ313" s="30" t="inlineStr"/>
      <c r="AR313" s="30" t="inlineStr">
        <is>
          <t>portal page title / URL — not printed on the list</t>
        </is>
      </c>
      <c r="AS313" s="30" t="inlineStr">
        <is>
          <t>TERESINA</t>
        </is>
      </c>
      <c r="AT313" s="30" t="inlineStr">
        <is>
          <t>PI</t>
        </is>
      </c>
      <c r="AU313" s="30" t="inlineStr">
        <is>
          <t>Produção de relaminados, trefilados e perfilados de aço, exceto arames</t>
        </is>
      </c>
      <c r="AV313" s="30" t="inlineStr">
        <is>
          <t>DEMAIS</t>
        </is>
      </c>
      <c r="AW313" s="31" t="n">
        <v>671848000</v>
      </c>
      <c r="AX313" s="30" t="inlineStr">
        <is>
          <t>MID-MARKET</t>
        </is>
      </c>
      <c r="AY313" s="30" t="inlineStr">
        <is>
          <t>03119889</t>
        </is>
      </c>
      <c r="AZ313" s="30" t="n">
        <v>1</v>
      </c>
      <c r="BA313" s="30" t="inlineStr">
        <is>
          <t>ROWS:p2r3 VALUE_COL:Saldo_Total</t>
        </is>
      </c>
    </row>
    <row r="314">
      <c r="A314" s="16" t="inlineStr">
        <is>
          <t>INDUSTRIA QUIMICA ANASTACIO S A</t>
        </is>
      </c>
      <c r="B314" s="17" t="n">
        <v>367145.2</v>
      </c>
      <c r="C314" s="37" t="inlineStr">
        <is>
          <t>(debtor not identified — see proof)</t>
        </is>
      </c>
      <c r="D314" s="19" t="inlineStr">
        <is>
          <t>NEW</t>
        </is>
      </c>
      <c r="E314" s="20" t="inlineStr"/>
      <c r="F314" s="19" t="inlineStr"/>
      <c r="G314" s="20" t="inlineStr"/>
      <c r="H314" s="19" t="inlineStr"/>
      <c r="I314" s="21" t="inlineStr">
        <is>
          <t>Rafael Kaufman</t>
        </is>
      </c>
      <c r="J314" s="21" t="inlineStr">
        <is>
          <t>Treasury Manager</t>
        </is>
      </c>
      <c r="K314" s="21" t="inlineStr">
        <is>
          <t>(11) 2133-6600</t>
        </is>
      </c>
      <c r="L314" s="21" t="inlineStr"/>
      <c r="M314" s="21" t="inlineStr"/>
      <c r="N314" s="21" t="inlineStr">
        <is>
          <t>rafael.kaufman@anastacio.com</t>
        </is>
      </c>
      <c r="O314" s="21" t="inlineStr"/>
      <c r="P314" s="21" t="inlineStr">
        <is>
          <t>Priscila Lianza</t>
        </is>
      </c>
      <c r="Q314" s="21" t="inlineStr">
        <is>
          <t>Supervisora Crédito e Cobrança</t>
        </is>
      </c>
      <c r="R314" s="21" t="inlineStr"/>
      <c r="S314" s="21" t="inlineStr"/>
      <c r="T314" s="21" t="inlineStr">
        <is>
          <t>email verified by Apollo</t>
        </is>
      </c>
      <c r="U314" s="22" t="n">
        <v>367145.2</v>
      </c>
      <c r="V314" s="23" t="inlineStr">
        <is>
          <t>B</t>
        </is>
      </c>
      <c r="W314" s="24">
        <f>IFERROR(VLOOKUP(V314,Assumptions!$A$7:$F$11,2,FALSE),0)</f>
        <v/>
      </c>
      <c r="X314" s="25">
        <f>IF(V314="A",MAX(1,IFERROR(VLOOKUP(V314,Assumptions!$A$7:$F$11,3,FALSE),3)+IFERROR(VLOOKUP(V314,Assumptions!$A$7:$F$11,4,FALSE),8)/2-MAX(0,IF(AO314="",0,YEAR(TODAY())-AO314)-IFERROR(VLOOKUP(V314,Assumptions!$A$7:$F$11,5,FALSE),1.5))),IFERROR(VLOOKUP(V314,Assumptions!$A$7:$F$11,5,FALSE),2.5)+IFERROR(VLOOKUP(V314,Assumptions!$A$7:$F$11,3,FALSE),3)+IFERROR(VLOOKUP(V314,Assumptions!$A$7:$F$11,4,FALSE),8)/2)</f>
        <v/>
      </c>
      <c r="Y314" s="22">
        <f>U314*W314/(1+Assumptions!$B$3)^X314</f>
        <v/>
      </c>
      <c r="Z314" s="26">
        <f>IF(U314=0,"",ROUND(Y314/U314*100,1))</f>
        <v/>
      </c>
      <c r="AA314" s="27">
        <f>Y314*Assumptions!$B$4</f>
        <v/>
      </c>
      <c r="AB314" s="26">
        <f>IF(U314=0,"",ROUND(AA314/U314*100,1))</f>
        <v/>
      </c>
      <c r="AC314" s="27">
        <f>Y314-AA314</f>
        <v/>
      </c>
      <c r="AD314" s="26">
        <f>IF(U314=0,"",ROUND((Y314-AA314)/U314*100,1))</f>
        <v/>
      </c>
      <c r="AE314" s="28" t="inlineStr">
        <is>
          <t>OK — totals reconciled</t>
        </is>
      </c>
      <c r="AF314" s="29" t="inlineStr">
        <is>
          <t>https://ajruiz.com.br/sites/default/files/public/arquivos-processos/2024-04/relacao_de_credores_recuperanda_1.pdf</t>
        </is>
      </c>
      <c r="AG314" s="28" t="inlineStr">
        <is>
          <t>p6 r4; p6 r5; p6 r6</t>
        </is>
      </c>
      <c r="AH314" s="28" t="inlineStr">
        <is>
          <t>p6: R$ 193.593,75; p6: R$ 193.593,75; p6: R$ 173.551,45</t>
        </is>
      </c>
      <c r="AI314" s="28" t="inlineStr">
        <is>
          <t>QGC (art. 18)</t>
        </is>
      </c>
      <c r="AJ314" s="28" t="inlineStr">
        <is>
          <t>2024-01-31</t>
        </is>
      </c>
      <c r="AK314" s="28" t="inlineStr">
        <is>
          <t>NONE FOUND</t>
        </is>
      </c>
      <c r="AL314" s="30" t="inlineStr">
        <is>
          <t>1022634-27.2024.8.26.0100</t>
        </is>
      </c>
      <c r="AM314" s="30" t="inlineStr">
        <is>
          <t>TJSP</t>
        </is>
      </c>
      <c r="AN314" s="30" t="inlineStr"/>
      <c r="AO314" s="30" t="n">
        <v>2024</v>
      </c>
      <c r="AP314" s="30" t="inlineStr">
        <is>
          <t>live case, no plan document yet</t>
        </is>
      </c>
      <c r="AQ314" s="30" t="inlineStr"/>
      <c r="AR314" s="30" t="inlineStr">
        <is>
          <t>not identified</t>
        </is>
      </c>
      <c r="AS314" s="30" t="inlineStr">
        <is>
          <t>SAO PAULO</t>
        </is>
      </c>
      <c r="AT314" s="30" t="inlineStr">
        <is>
          <t>SP</t>
        </is>
      </c>
      <c r="AU314" s="30" t="inlineStr">
        <is>
          <t>Fabricação de produtos químicos orgânicos não especificados anteriormente</t>
        </is>
      </c>
      <c r="AV314" s="30" t="inlineStr">
        <is>
          <t>DEMAIS</t>
        </is>
      </c>
      <c r="AW314" s="31" t="n">
        <v>200000000</v>
      </c>
      <c r="AX314" s="30" t="inlineStr">
        <is>
          <t>MID-MARKET</t>
        </is>
      </c>
      <c r="AY314" s="30" t="inlineStr">
        <is>
          <t>60874724</t>
        </is>
      </c>
      <c r="AZ314" s="30" t="n">
        <v>2</v>
      </c>
      <c r="BA314" s="30" t="inlineStr">
        <is>
          <t>ROWS:p6r4,p6r6 CASE_NUMBER_CORRECTED</t>
        </is>
      </c>
    </row>
    <row r="315">
      <c r="A315" s="16" t="inlineStr">
        <is>
          <t>LEV TERMOPLASTICOS LTDA</t>
        </is>
      </c>
      <c r="B315" s="17" t="n">
        <v>362990.37</v>
      </c>
      <c r="C315" s="37" t="inlineStr">
        <is>
          <t>(debtor not identified — see proof)</t>
        </is>
      </c>
      <c r="D315" s="19" t="inlineStr">
        <is>
          <t>NEW</t>
        </is>
      </c>
      <c r="E315" s="20" t="inlineStr"/>
      <c r="F315" s="19" t="inlineStr"/>
      <c r="G315" s="20" t="inlineStr"/>
      <c r="H315" s="19" t="inlineStr"/>
      <c r="I315" s="21" t="inlineStr">
        <is>
          <t>Linda Hindi</t>
        </is>
      </c>
      <c r="J315" s="21" t="inlineStr">
        <is>
          <t>Financial Manager</t>
        </is>
      </c>
      <c r="K315" s="21" t="inlineStr">
        <is>
          <t>(37) 3231-0200</t>
        </is>
      </c>
      <c r="L315" s="21" t="inlineStr">
        <is>
          <t>(37) 3231-0210</t>
        </is>
      </c>
      <c r="M315" s="21" t="inlineStr"/>
      <c r="N315" s="21" t="inlineStr">
        <is>
          <t>linda@levterm.com.br</t>
        </is>
      </c>
      <c r="O315" s="21" t="inlineStr">
        <is>
          <t>liliane@levterm.com.br</t>
        </is>
      </c>
      <c r="P315" s="21" t="inlineStr">
        <is>
          <t>Liliane Trindade</t>
        </is>
      </c>
      <c r="Q315" s="21" t="inlineStr">
        <is>
          <t>Gerente de Compras e Negocios Internacionais</t>
        </is>
      </c>
      <c r="R315" s="21" t="inlineStr"/>
      <c r="S315" s="21" t="inlineStr">
        <is>
          <t>liliane@levterm.com.br</t>
        </is>
      </c>
      <c r="T315" s="21" t="inlineStr">
        <is>
          <t>email verified by Apollo</t>
        </is>
      </c>
      <c r="U315" s="22" t="n">
        <v>362990.37</v>
      </c>
      <c r="V315" s="23" t="inlineStr">
        <is>
          <t>B</t>
        </is>
      </c>
      <c r="W315" s="24">
        <f>IFERROR(VLOOKUP(V315,Assumptions!$A$7:$F$11,2,FALSE),0)</f>
        <v/>
      </c>
      <c r="X315" s="25">
        <f>IF(V315="A",MAX(1,IFERROR(VLOOKUP(V315,Assumptions!$A$7:$F$11,3,FALSE),3)+IFERROR(VLOOKUP(V315,Assumptions!$A$7:$F$11,4,FALSE),8)/2-MAX(0,IF(AO315="",0,YEAR(TODAY())-AO315)-IFERROR(VLOOKUP(V315,Assumptions!$A$7:$F$11,5,FALSE),1.5))),IFERROR(VLOOKUP(V315,Assumptions!$A$7:$F$11,5,FALSE),2.5)+IFERROR(VLOOKUP(V315,Assumptions!$A$7:$F$11,3,FALSE),3)+IFERROR(VLOOKUP(V315,Assumptions!$A$7:$F$11,4,FALSE),8)/2)</f>
        <v/>
      </c>
      <c r="Y315" s="22">
        <f>U315*W315/(1+Assumptions!$B$3)^X315</f>
        <v/>
      </c>
      <c r="Z315" s="26">
        <f>IF(U315=0,"",ROUND(Y315/U315*100,1))</f>
        <v/>
      </c>
      <c r="AA315" s="27">
        <f>Y315*Assumptions!$B$4</f>
        <v/>
      </c>
      <c r="AB315" s="26">
        <f>IF(U315=0,"",ROUND(AA315/U315*100,1))</f>
        <v/>
      </c>
      <c r="AC315" s="27">
        <f>Y315-AA315</f>
        <v/>
      </c>
      <c r="AD315" s="26">
        <f>IF(U315=0,"",ROUND((Y315-AA315)/U315*100,1))</f>
        <v/>
      </c>
      <c r="AE315" s="28" t="inlineStr">
        <is>
          <t>OK — totals reconciled</t>
        </is>
      </c>
      <c r="AF315" s="29" t="inlineStr">
        <is>
          <t>https://ajruiz.com.br/sites/default/files/public/arquivos-processos/2024-04/relacao_de_credores_recuperanda_1.pdf</t>
        </is>
      </c>
      <c r="AG315" s="28" t="inlineStr">
        <is>
          <t>p7 r5; p7 r6; p7 r7; p7 r8; p7 r9; p7 r10; p7 r11; p7 r12</t>
        </is>
      </c>
      <c r="AH315" s="28" t="inlineStr">
        <is>
          <t>p7: R$ 64.799,70; p7: R$ 53.607,40; p7: R$ 129.599,40; p7: R$ 129.599,40; p7: R$ 129.599,40; p7: R$ 97.199,55; p7: R$ 6.984,36; p7: R$ 10.799,96</t>
        </is>
      </c>
      <c r="AI315" s="28" t="inlineStr">
        <is>
          <t>QGC (art. 18)</t>
        </is>
      </c>
      <c r="AJ315" s="28" t="inlineStr">
        <is>
          <t>2024-01-31</t>
        </is>
      </c>
      <c r="AK315" s="28" t="inlineStr">
        <is>
          <t>NONE FOUND</t>
        </is>
      </c>
      <c r="AL315" s="30" t="inlineStr">
        <is>
          <t>1022634-27.2024.8.26.0100</t>
        </is>
      </c>
      <c r="AM315" s="30" t="inlineStr">
        <is>
          <t>TJSP</t>
        </is>
      </c>
      <c r="AN315" s="30" t="inlineStr"/>
      <c r="AO315" s="30" t="n">
        <v>2024</v>
      </c>
      <c r="AP315" s="30" t="inlineStr">
        <is>
          <t>live case, no plan document yet</t>
        </is>
      </c>
      <c r="AQ315" s="30" t="inlineStr"/>
      <c r="AR315" s="30" t="inlineStr">
        <is>
          <t>not identified</t>
        </is>
      </c>
      <c r="AS315" s="30" t="inlineStr">
        <is>
          <t>PARA DE MINAS</t>
        </is>
      </c>
      <c r="AT315" s="30" t="inlineStr">
        <is>
          <t>MG</t>
        </is>
      </c>
      <c r="AU315" s="30" t="inlineStr">
        <is>
          <t>Fabricação de artefatos de borracha não especificados anteriormente</t>
        </is>
      </c>
      <c r="AV315" s="30" t="inlineStr">
        <is>
          <t>DEMAIS</t>
        </is>
      </c>
      <c r="AW315" s="31" t="n">
        <v>100000000</v>
      </c>
      <c r="AX315" s="30" t="inlineStr">
        <is>
          <t>MID-MARKET</t>
        </is>
      </c>
      <c r="AY315" s="30" t="inlineStr">
        <is>
          <t>05936089</t>
        </is>
      </c>
      <c r="AZ315" s="30" t="n">
        <v>6</v>
      </c>
      <c r="BA315" s="30" t="inlineStr">
        <is>
          <t>ROWS:p7r5,p7r6,p7r7,p7r10,p7r11,p7r12 CASE_NUMBER_CORRECTED</t>
        </is>
      </c>
    </row>
    <row r="316">
      <c r="A316" s="16" t="inlineStr">
        <is>
          <t>AIRELA INDUSTRIA FARMACEUTICA LTDA</t>
        </is>
      </c>
      <c r="B316" s="17" t="n">
        <v>362247.54</v>
      </c>
      <c r="C316" s="18" t="inlineStr">
        <is>
          <t>GRUPO DP4</t>
        </is>
      </c>
      <c r="D316" s="19" t="inlineStr">
        <is>
          <t>NEW</t>
        </is>
      </c>
      <c r="E316" s="20" t="inlineStr"/>
      <c r="F316" s="19" t="inlineStr"/>
      <c r="G316" s="20" t="inlineStr"/>
      <c r="H316" s="19" t="inlineStr"/>
      <c r="I316" s="21" t="inlineStr">
        <is>
          <t>ADROALDO MACHADO</t>
        </is>
      </c>
      <c r="J316" s="21" t="inlineStr">
        <is>
          <t>Administrador (RFB partner)</t>
        </is>
      </c>
      <c r="K316" s="21" t="inlineStr">
        <is>
          <t>(48) 3659-0304</t>
        </is>
      </c>
      <c r="L316" s="21" t="inlineStr"/>
      <c r="M316" s="21" t="inlineStr"/>
      <c r="N316" s="21" t="inlineStr"/>
      <c r="O316" s="21" t="inlineStr"/>
      <c r="P316" s="21" t="inlineStr">
        <is>
          <t>MARCONI TRINDADE SAMPAIO</t>
        </is>
      </c>
      <c r="Q316" s="21" t="inlineStr">
        <is>
          <t>Administrador (RFB partner)</t>
        </is>
      </c>
      <c r="R316" s="21" t="inlineStr"/>
      <c r="S316" s="21" t="inlineStr"/>
      <c r="T316" s="21" t="inlineStr">
        <is>
          <t>RFB partner (QSA); no Apollo match</t>
        </is>
      </c>
      <c r="U316" s="22" t="n">
        <v>362247.54</v>
      </c>
      <c r="V316" s="23" t="inlineStr">
        <is>
          <t>B</t>
        </is>
      </c>
      <c r="W316" s="24">
        <f>IFERROR(VLOOKUP(V316,Assumptions!$A$7:$F$11,2,FALSE),0)</f>
        <v/>
      </c>
      <c r="X316" s="25">
        <f>IF(V316="A",MAX(1,IFERROR(VLOOKUP(V316,Assumptions!$A$7:$F$11,3,FALSE),3)+IFERROR(VLOOKUP(V316,Assumptions!$A$7:$F$11,4,FALSE),8)/2-MAX(0,IF(AO316="",0,YEAR(TODAY())-AO316)-IFERROR(VLOOKUP(V316,Assumptions!$A$7:$F$11,5,FALSE),1.5))),IFERROR(VLOOKUP(V316,Assumptions!$A$7:$F$11,5,FALSE),2.5)+IFERROR(VLOOKUP(V316,Assumptions!$A$7:$F$11,3,FALSE),3)+IFERROR(VLOOKUP(V316,Assumptions!$A$7:$F$11,4,FALSE),8)/2)</f>
        <v/>
      </c>
      <c r="Y316" s="22">
        <f>U316*W316/(1+Assumptions!$B$3)^X316</f>
        <v/>
      </c>
      <c r="Z316" s="26">
        <f>IF(U316=0,"",ROUND(Y316/U316*100,1))</f>
        <v/>
      </c>
      <c r="AA316" s="27">
        <f>Y316*Assumptions!$B$4</f>
        <v/>
      </c>
      <c r="AB316" s="26">
        <f>IF(U316=0,"",ROUND(AA316/U316*100,1))</f>
        <v/>
      </c>
      <c r="AC316" s="27">
        <f>Y316-AA316</f>
        <v/>
      </c>
      <c r="AD316" s="26">
        <f>IF(U316=0,"",ROUND((Y316-AA316)/U316*100,1))</f>
        <v/>
      </c>
      <c r="AE316" s="34" t="inlineStr">
        <is>
          <t>PARTIAL — class III reconciled, other classes not</t>
        </is>
      </c>
      <c r="AF316" s="29" t="inlineStr">
        <is>
          <t>https://marquesadmjudicial.com.br/sgc/download.php?file=files/processo_documento/processo_documento15293208032024_1_.pdf&amp;nome=Relação Nominal de Credores da AJ-Sintética</t>
        </is>
      </c>
      <c r="AG316" s="28" t="inlineStr">
        <is>
          <t>p19 r7</t>
        </is>
      </c>
      <c r="AH316" s="28" t="inlineStr">
        <is>
          <t>p19: R$ 362.247,54</t>
        </is>
      </c>
      <c r="AI316" s="28" t="inlineStr">
        <is>
          <t>AJ list (art. 7 §2)</t>
        </is>
      </c>
      <c r="AJ316" s="28" t="inlineStr">
        <is>
          <t>2023-03-02</t>
        </is>
      </c>
      <c r="AK316" s="28" t="inlineStr">
        <is>
          <t>NONE FOUND</t>
        </is>
      </c>
      <c r="AL316" s="30" t="inlineStr">
        <is>
          <t>0005010-98.2023.8.16.0001</t>
        </is>
      </c>
      <c r="AM316" s="30" t="inlineStr">
        <is>
          <t>TJPR</t>
        </is>
      </c>
      <c r="AN316" s="30" t="inlineStr">
        <is>
          <t>ACTIVE</t>
        </is>
      </c>
      <c r="AO316" s="30" t="n">
        <v>2023</v>
      </c>
      <c r="AP316" s="30" t="inlineStr">
        <is>
          <t>live case, no plan document yet</t>
        </is>
      </c>
      <c r="AQ316" s="30" t="inlineStr"/>
      <c r="AR316" s="30" t="inlineStr">
        <is>
          <t>printed on the list (read twice)</t>
        </is>
      </c>
      <c r="AS316" s="30" t="inlineStr">
        <is>
          <t>PEDRAS GRANDES</t>
        </is>
      </c>
      <c r="AT316" s="30" t="inlineStr">
        <is>
          <t>SC</t>
        </is>
      </c>
      <c r="AU316" s="30" t="inlineStr">
        <is>
          <t>Fabricação de medicamentos alopáticos para uso humano</t>
        </is>
      </c>
      <c r="AV316" s="30" t="inlineStr">
        <is>
          <t>DEMAIS</t>
        </is>
      </c>
      <c r="AW316" s="31" t="n">
        <v>131936480</v>
      </c>
      <c r="AX316" s="30" t="inlineStr">
        <is>
          <t>MID-MARKET</t>
        </is>
      </c>
      <c r="AY316" s="30" t="inlineStr">
        <is>
          <t>01858973</t>
        </is>
      </c>
      <c r="AZ316" s="30" t="n">
        <v>1</v>
      </c>
      <c r="BA316" s="30" t="inlineStr">
        <is>
          <t>PARTIAL_DOC_CLASS_III_RECONCILED ROWS:p19r7</t>
        </is>
      </c>
    </row>
    <row r="317">
      <c r="A317" s="16" t="inlineStr">
        <is>
          <t>METALURGICA FEY LTDA</t>
        </is>
      </c>
      <c r="B317" s="17" t="n">
        <v>360769.13</v>
      </c>
      <c r="C317" s="18" t="inlineStr">
        <is>
          <t>Grupo Rech</t>
        </is>
      </c>
      <c r="D317" s="19" t="inlineStr">
        <is>
          <t>NEW</t>
        </is>
      </c>
      <c r="E317" s="20" t="inlineStr"/>
      <c r="F317" s="19" t="inlineStr"/>
      <c r="G317" s="20" t="inlineStr"/>
      <c r="H317" s="19" t="inlineStr"/>
      <c r="I317" s="21" t="inlineStr">
        <is>
          <t>ADOLFO FEY</t>
        </is>
      </c>
      <c r="J317" s="21" t="inlineStr">
        <is>
          <t>Sócio-Administrador (RFB partner)</t>
        </is>
      </c>
      <c r="K317" s="21" t="inlineStr">
        <is>
          <t>(47) 3301-7000</t>
        </is>
      </c>
      <c r="L317" s="21" t="inlineStr"/>
      <c r="M317" s="21" t="inlineStr"/>
      <c r="N317" s="21" t="inlineStr"/>
      <c r="O317" s="21" t="inlineStr"/>
      <c r="P317" s="21" t="inlineStr">
        <is>
          <t>BERTOLDO FEY</t>
        </is>
      </c>
      <c r="Q317" s="21" t="inlineStr">
        <is>
          <t>Sócio-Administrador (RFB partner)</t>
        </is>
      </c>
      <c r="R317" s="21" t="inlineStr"/>
      <c r="S317" s="21" t="inlineStr"/>
      <c r="T317" s="21" t="inlineStr">
        <is>
          <t>RFB partner (QSA); no Apollo match</t>
        </is>
      </c>
      <c r="U317" s="22" t="n">
        <v>360769.13</v>
      </c>
      <c r="V317" s="23" t="inlineStr">
        <is>
          <t>B</t>
        </is>
      </c>
      <c r="W317" s="24">
        <f>IFERROR(VLOOKUP(V317,Assumptions!$A$7:$F$11,2,FALSE),0)</f>
        <v/>
      </c>
      <c r="X317" s="25">
        <f>IF(V317="A",MAX(1,IFERROR(VLOOKUP(V317,Assumptions!$A$7:$F$11,3,FALSE),3)+IFERROR(VLOOKUP(V317,Assumptions!$A$7:$F$11,4,FALSE),8)/2-MAX(0,IF(AO317="",0,YEAR(TODAY())-AO317)-IFERROR(VLOOKUP(V317,Assumptions!$A$7:$F$11,5,FALSE),1.5))),IFERROR(VLOOKUP(V317,Assumptions!$A$7:$F$11,5,FALSE),2.5)+IFERROR(VLOOKUP(V317,Assumptions!$A$7:$F$11,3,FALSE),3)+IFERROR(VLOOKUP(V317,Assumptions!$A$7:$F$11,4,FALSE),8)/2)</f>
        <v/>
      </c>
      <c r="Y317" s="22">
        <f>U317*W317/(1+Assumptions!$B$3)^X317</f>
        <v/>
      </c>
      <c r="Z317" s="26">
        <f>IF(U317=0,"",ROUND(Y317/U317*100,1))</f>
        <v/>
      </c>
      <c r="AA317" s="27">
        <f>Y317*Assumptions!$B$4</f>
        <v/>
      </c>
      <c r="AB317" s="26">
        <f>IF(U317=0,"",ROUND(AA317/U317*100,1))</f>
        <v/>
      </c>
      <c r="AC317" s="27">
        <f>Y317-AA317</f>
        <v/>
      </c>
      <c r="AD317" s="26">
        <f>IF(U317=0,"",ROUND((Y317-AA317)/U317*100,1))</f>
        <v/>
      </c>
      <c r="AE317" s="36" t="inlineStr">
        <is>
          <t>CHECK — source is not a statutory creditor list</t>
        </is>
      </c>
      <c r="AF317" s="29" t="inlineStr">
        <is>
          <t>https://credibilita.com.br/wp-content/uploads/2025/09/Relacao-Credores-29.04.2026.pdf</t>
        </is>
      </c>
      <c r="AG317" s="28" t="inlineStr">
        <is>
          <t>p2 r5</t>
        </is>
      </c>
      <c r="AH317" s="28" t="inlineStr">
        <is>
          <t>p2: R$ 360.769,13</t>
        </is>
      </c>
      <c r="AI317" s="28" t="inlineStr">
        <is>
          <t>Quorum list — NOT an art. 7/51 list</t>
        </is>
      </c>
      <c r="AJ317" s="28" t="inlineStr"/>
      <c r="AK317" s="28" t="inlineStr">
        <is>
          <t>NONE FOUND</t>
        </is>
      </c>
      <c r="AL317" s="30" t="inlineStr">
        <is>
          <t>5057720-48.2025.8.24.0023</t>
        </is>
      </c>
      <c r="AM317" s="30" t="inlineStr">
        <is>
          <t>TJSC</t>
        </is>
      </c>
      <c r="AN317" s="30" t="inlineStr"/>
      <c r="AO317" s="30" t="n">
        <v>2025</v>
      </c>
      <c r="AP317" s="30" t="inlineStr">
        <is>
          <t>live case, no plan document yet</t>
        </is>
      </c>
      <c r="AQ317" s="30" t="inlineStr"/>
      <c r="AR317" s="30" t="inlineStr">
        <is>
          <t>portal page title / URL — not printed on the list</t>
        </is>
      </c>
      <c r="AS317" s="30" t="inlineStr">
        <is>
          <t>INDAIAL</t>
        </is>
      </c>
      <c r="AT317" s="30" t="inlineStr">
        <is>
          <t>SC</t>
        </is>
      </c>
      <c r="AU317" s="30" t="inlineStr">
        <is>
          <t>Fabricação de outras peças e acessórios para veículos automotores não especificadas anteriormente</t>
        </is>
      </c>
      <c r="AV317" s="30" t="inlineStr">
        <is>
          <t>DEMAIS</t>
        </is>
      </c>
      <c r="AW317" s="31" t="n">
        <v>386000000</v>
      </c>
      <c r="AX317" s="30" t="inlineStr">
        <is>
          <t>MID-MARKET</t>
        </is>
      </c>
      <c r="AY317" s="30" t="inlineStr">
        <is>
          <t>84229624</t>
        </is>
      </c>
      <c r="AZ317" s="30" t="n">
        <v>1</v>
      </c>
      <c r="BA317" s="30" t="inlineStr">
        <is>
          <t>ROWS:p2r5 UNRECONCILED_SOURCE VALUE_COL:Valor_Após_Analise CASE_NUMBER_CORRECTED</t>
        </is>
      </c>
    </row>
    <row r="318">
      <c r="A318" s="16" t="inlineStr">
        <is>
          <t>MACCAFERRI DO BRASIL LTDA</t>
        </is>
      </c>
      <c r="B318" s="17" t="n">
        <v>676208.62</v>
      </c>
      <c r="C318" s="18" t="inlineStr">
        <is>
          <t>EGESA ENGENHARIA S/A (Consórcio ETDI)</t>
        </is>
      </c>
      <c r="D318" s="19" t="inlineStr">
        <is>
          <t>NEW</t>
        </is>
      </c>
      <c r="E318" s="20" t="inlineStr"/>
      <c r="F318" s="19" t="inlineStr"/>
      <c r="G318" s="20" t="inlineStr"/>
      <c r="H318" s="19" t="inlineStr"/>
      <c r="I318" s="21" t="inlineStr">
        <is>
          <t>ALEXANDRE MARCOS TEXEIRA</t>
        </is>
      </c>
      <c r="J318" s="21" t="inlineStr">
        <is>
          <t>Administrador (RFB partner)</t>
        </is>
      </c>
      <c r="K318" s="21" t="inlineStr">
        <is>
          <t>(11) 4525-5000</t>
        </is>
      </c>
      <c r="L318" s="21" t="inlineStr">
        <is>
          <t>(11) 4525-5056</t>
        </is>
      </c>
      <c r="M318" s="21" t="inlineStr"/>
      <c r="N318" s="21" t="inlineStr"/>
      <c r="O318" s="21" t="inlineStr"/>
      <c r="P318" s="21" t="inlineStr">
        <is>
          <t>LEILA SOARES REGO BENEDUZZI</t>
        </is>
      </c>
      <c r="Q318" s="21" t="inlineStr">
        <is>
          <t>Administrador (RFB partner)</t>
        </is>
      </c>
      <c r="R318" s="21" t="inlineStr"/>
      <c r="S318" s="21" t="inlineStr"/>
      <c r="T318" s="21" t="inlineStr">
        <is>
          <t>RFB partner (QSA); no Apollo match</t>
        </is>
      </c>
      <c r="U318" s="22" t="n">
        <v>676208.62</v>
      </c>
      <c r="V318" s="32" t="inlineStr">
        <is>
          <t>U</t>
        </is>
      </c>
      <c r="W318" s="24">
        <f>IFERROR(VLOOKUP(V318,Assumptions!$A$7:$F$11,2,FALSE),0)</f>
        <v/>
      </c>
      <c r="X318" s="25">
        <f>IF(V318="A",MAX(1,IFERROR(VLOOKUP(V318,Assumptions!$A$7:$F$11,3,FALSE),3)+IFERROR(VLOOKUP(V318,Assumptions!$A$7:$F$11,4,FALSE),8)/2-MAX(0,IF(AO318="",0,YEAR(TODAY())-AO318)-IFERROR(VLOOKUP(V318,Assumptions!$A$7:$F$11,5,FALSE),1.5))),IFERROR(VLOOKUP(V318,Assumptions!$A$7:$F$11,5,FALSE),2.5)+IFERROR(VLOOKUP(V318,Assumptions!$A$7:$F$11,3,FALSE),3)+IFERROR(VLOOKUP(V318,Assumptions!$A$7:$F$11,4,FALSE),8)/2)</f>
        <v/>
      </c>
      <c r="Y318" s="22">
        <f>U318*W318/(1+Assumptions!$B$3)^X318</f>
        <v/>
      </c>
      <c r="Z318" s="26">
        <f>IF(U318=0,"",ROUND(Y318/U318*100,1))</f>
        <v/>
      </c>
      <c r="AA318" s="27">
        <f>Y318*Assumptions!$B$4</f>
        <v/>
      </c>
      <c r="AB318" s="26">
        <f>IF(U318=0,"",ROUND(AA318/U318*100,1))</f>
        <v/>
      </c>
      <c r="AC318" s="27">
        <f>Y318-AA318</f>
        <v/>
      </c>
      <c r="AD318" s="26">
        <f>IF(U318=0,"",ROUND((Y318-AA318)/U318*100,1))</f>
        <v/>
      </c>
      <c r="AE318" s="28" t="inlineStr">
        <is>
          <t>OK — totals reconciled</t>
        </is>
      </c>
      <c r="AF318" s="29" t="inlineStr">
        <is>
          <t>https://scalzilliaj.com.br/sgc/download.php?file=files/processo_documento/processo_documento09514021082025_1_.pdf&amp;nome=04 - Relação de credores das Recuperandas</t>
        </is>
      </c>
      <c r="AG318" s="28" t="inlineStr">
        <is>
          <t>p69 r10</t>
        </is>
      </c>
      <c r="AH318" s="28" t="inlineStr">
        <is>
          <t>p69: R$ 676.208,62</t>
        </is>
      </c>
      <c r="AI318" s="28" t="inlineStr">
        <is>
          <t>Debtor list (art. 51)</t>
        </is>
      </c>
      <c r="AJ318" s="28" t="inlineStr"/>
      <c r="AK318" s="28" t="inlineStr">
        <is>
          <t>NONE FOUND</t>
        </is>
      </c>
      <c r="AL318" s="30" t="inlineStr">
        <is>
          <t>(not printed)</t>
        </is>
      </c>
      <c r="AM318" s="30" t="inlineStr"/>
      <c r="AN318" s="30" t="inlineStr"/>
      <c r="AO318" s="30" t="inlineStr"/>
      <c r="AP318" s="30" t="inlineStr">
        <is>
          <t>RJ case number not identified on the document</t>
        </is>
      </c>
      <c r="AQ318" s="30" t="inlineStr"/>
      <c r="AR318" s="30" t="inlineStr">
        <is>
          <t>portal page title / URL — not printed on the list</t>
        </is>
      </c>
      <c r="AS318" s="30" t="inlineStr">
        <is>
          <t>JUNDIAI</t>
        </is>
      </c>
      <c r="AT318" s="30" t="inlineStr">
        <is>
          <t>SP</t>
        </is>
      </c>
      <c r="AU318" s="30" t="inlineStr">
        <is>
          <t>Fabricação de outros produtos de metal não especificados anteriormente</t>
        </is>
      </c>
      <c r="AV318" s="30" t="inlineStr">
        <is>
          <t>DEMAIS</t>
        </is>
      </c>
      <c r="AW318" s="31" t="n">
        <v>120387980</v>
      </c>
      <c r="AX318" s="30" t="inlineStr">
        <is>
          <t>MID-MARKET</t>
        </is>
      </c>
      <c r="AY318" s="30" t="inlineStr">
        <is>
          <t>43876960</t>
        </is>
      </c>
      <c r="AZ318" s="30" t="n">
        <v>1</v>
      </c>
      <c r="BA318" s="30" t="inlineStr">
        <is>
          <t>ROWS:p69r10 VALUE_COL:Valor_Atualizado CASE_NUMBER_CORRECTED</t>
        </is>
      </c>
    </row>
    <row r="319">
      <c r="A319" s="16" t="inlineStr">
        <is>
          <t>TRR PEGORARO LTDA</t>
        </is>
      </c>
      <c r="B319" s="17" t="n">
        <v>358250</v>
      </c>
      <c r="C319" s="18" t="inlineStr">
        <is>
          <t>GRUPO D&amp;D</t>
        </is>
      </c>
      <c r="D319" s="19" t="inlineStr">
        <is>
          <t>NEW</t>
        </is>
      </c>
      <c r="E319" s="20" t="inlineStr"/>
      <c r="F319" s="19" t="inlineStr"/>
      <c r="G319" s="20" t="inlineStr"/>
      <c r="H319" s="19" t="inlineStr"/>
      <c r="I319" s="21" t="inlineStr">
        <is>
          <t>DARIO PEGORARO</t>
        </is>
      </c>
      <c r="J319" s="21" t="inlineStr">
        <is>
          <t>Sócio-Administrador (RFB partner)</t>
        </is>
      </c>
      <c r="K319" s="21" t="inlineStr">
        <is>
          <t>(67) 3291-9200</t>
        </is>
      </c>
      <c r="L319" s="21" t="inlineStr">
        <is>
          <t>(67) 3291-9232</t>
        </is>
      </c>
      <c r="M319" s="21" t="inlineStr"/>
      <c r="N319" s="21" t="inlineStr"/>
      <c r="O319" s="21" t="inlineStr"/>
      <c r="P319" s="21" t="inlineStr">
        <is>
          <t>DARLON PEGORARO</t>
        </is>
      </c>
      <c r="Q319" s="21" t="inlineStr">
        <is>
          <t>Administrador (RFB partner)</t>
        </is>
      </c>
      <c r="R319" s="21" t="inlineStr"/>
      <c r="S319" s="21" t="inlineStr"/>
      <c r="T319" s="21" t="inlineStr">
        <is>
          <t>RFB partner (QSA); no Apollo match</t>
        </is>
      </c>
      <c r="U319" s="22" t="n">
        <v>358250</v>
      </c>
      <c r="V319" s="23" t="inlineStr">
        <is>
          <t>B</t>
        </is>
      </c>
      <c r="W319" s="24">
        <f>IFERROR(VLOOKUP(V319,Assumptions!$A$7:$F$11,2,FALSE),0)</f>
        <v/>
      </c>
      <c r="X319" s="25">
        <f>IF(V319="A",MAX(1,IFERROR(VLOOKUP(V319,Assumptions!$A$7:$F$11,3,FALSE),3)+IFERROR(VLOOKUP(V319,Assumptions!$A$7:$F$11,4,FALSE),8)/2-MAX(0,IF(AO319="",0,YEAR(TODAY())-AO319)-IFERROR(VLOOKUP(V319,Assumptions!$A$7:$F$11,5,FALSE),1.5))),IFERROR(VLOOKUP(V319,Assumptions!$A$7:$F$11,5,FALSE),2.5)+IFERROR(VLOOKUP(V319,Assumptions!$A$7:$F$11,3,FALSE),3)+IFERROR(VLOOKUP(V319,Assumptions!$A$7:$F$11,4,FALSE),8)/2)</f>
        <v/>
      </c>
      <c r="Y319" s="22">
        <f>U319*W319/(1+Assumptions!$B$3)^X319</f>
        <v/>
      </c>
      <c r="Z319" s="26">
        <f>IF(U319=0,"",ROUND(Y319/U319*100,1))</f>
        <v/>
      </c>
      <c r="AA319" s="27">
        <f>Y319*Assumptions!$B$4</f>
        <v/>
      </c>
      <c r="AB319" s="26">
        <f>IF(U319=0,"",ROUND(AA319/U319*100,1))</f>
        <v/>
      </c>
      <c r="AC319" s="27">
        <f>Y319-AA319</f>
        <v/>
      </c>
      <c r="AD319" s="26">
        <f>IF(U319=0,"",ROUND((Y319-AA319)/U319*100,1))</f>
        <v/>
      </c>
      <c r="AE319" s="34" t="inlineStr">
        <is>
          <t>PARTIAL — class III reconciled, other classes not</t>
        </is>
      </c>
      <c r="AF319" s="29" t="inlineStr">
        <is>
          <t>https://marquesadmjudicial.com.br/sgc/download.php?file=files/processo_documento/processo_documento20014127022025_1_.pdf&amp;nome=Relação Nominal de Credores</t>
        </is>
      </c>
      <c r="AG319" s="28" t="inlineStr">
        <is>
          <t>p6 r5</t>
        </is>
      </c>
      <c r="AH319" s="28" t="inlineStr">
        <is>
          <t>p6: R$ 358.250,00</t>
        </is>
      </c>
      <c r="AI319" s="28" t="inlineStr">
        <is>
          <t>AJ list (art. 7 §2)</t>
        </is>
      </c>
      <c r="AJ319" s="28" t="inlineStr">
        <is>
          <t>2024-11-08</t>
        </is>
      </c>
      <c r="AK319" s="28" t="inlineStr">
        <is>
          <t>NONE FOUND</t>
        </is>
      </c>
      <c r="AL319" s="30" t="inlineStr">
        <is>
          <t>0001943-40.2024.8.16.0115</t>
        </is>
      </c>
      <c r="AM319" s="30" t="inlineStr">
        <is>
          <t>TJPR</t>
        </is>
      </c>
      <c r="AN319" s="30" t="inlineStr">
        <is>
          <t>ACTIVE</t>
        </is>
      </c>
      <c r="AO319" s="30" t="n">
        <v>2024</v>
      </c>
      <c r="AP319" s="30" t="inlineStr">
        <is>
          <t>live case, no plan document yet</t>
        </is>
      </c>
      <c r="AQ319" s="30" t="inlineStr"/>
      <c r="AR319" s="30" t="inlineStr">
        <is>
          <t>printed on the list (read twice)</t>
        </is>
      </c>
      <c r="AS319" s="30" t="inlineStr">
        <is>
          <t>COXIM</t>
        </is>
      </c>
      <c r="AT319" s="30" t="inlineStr">
        <is>
          <t>MS</t>
        </is>
      </c>
      <c r="AU319" s="30" t="inlineStr">
        <is>
          <t>Comércio atacadista de combustíveis realizado por transportador retalhista (T.R.R.)</t>
        </is>
      </c>
      <c r="AV319" s="30" t="inlineStr">
        <is>
          <t>DEMAIS</t>
        </is>
      </c>
      <c r="AW319" s="31" t="n">
        <v>400000</v>
      </c>
      <c r="AX319" s="30" t="inlineStr">
        <is>
          <t>MID-MARKET</t>
        </is>
      </c>
      <c r="AY319" s="30" t="inlineStr">
        <is>
          <t>17986477</t>
        </is>
      </c>
      <c r="AZ319" s="30" t="n">
        <v>1</v>
      </c>
      <c r="BA319" s="30" t="inlineStr">
        <is>
          <t>PARTIAL_DOC_CLASS_III_RECONCILED ROWS:p6r5</t>
        </is>
      </c>
    </row>
    <row r="320">
      <c r="A320" s="16" t="inlineStr">
        <is>
          <t>FLEXIVEL INDUSTRIA E COMERCIO LTDA</t>
        </is>
      </c>
      <c r="B320" s="17" t="n">
        <v>2550639.65</v>
      </c>
      <c r="C320" s="18" t="inlineStr">
        <is>
          <t>Mannes</t>
        </is>
      </c>
      <c r="D320" s="19" t="inlineStr">
        <is>
          <t>NEW</t>
        </is>
      </c>
      <c r="E320" s="20" t="inlineStr"/>
      <c r="F320" s="19" t="inlineStr"/>
      <c r="G320" s="20" t="inlineStr"/>
      <c r="H320" s="19" t="inlineStr"/>
      <c r="I320" s="21" t="inlineStr">
        <is>
          <t>ANGELA VILMA GADOTTI JUNKES</t>
        </is>
      </c>
      <c r="J320" s="21" t="inlineStr">
        <is>
          <t>Administrador (RFB partner)</t>
        </is>
      </c>
      <c r="K320" s="21" t="inlineStr">
        <is>
          <t>(47) 3270-1900</t>
        </is>
      </c>
      <c r="L320" s="21" t="inlineStr"/>
      <c r="M320" s="21" t="inlineStr"/>
      <c r="N320" s="21" t="inlineStr"/>
      <c r="O320" s="21" t="inlineStr"/>
      <c r="P320" s="21" t="inlineStr">
        <is>
          <t>LEODATO CHRISTIANO JUNKES</t>
        </is>
      </c>
      <c r="Q320" s="21" t="inlineStr">
        <is>
          <t>Administrador (RFB partner)</t>
        </is>
      </c>
      <c r="R320" s="21" t="inlineStr"/>
      <c r="S320" s="21" t="inlineStr"/>
      <c r="T320" s="21" t="inlineStr">
        <is>
          <t>RFB partner (QSA); no Apollo match</t>
        </is>
      </c>
      <c r="U320" s="22" t="n">
        <v>2550639.65</v>
      </c>
      <c r="V320" s="39" t="inlineStr">
        <is>
          <t>D</t>
        </is>
      </c>
      <c r="W320" s="24">
        <f>IFERROR(VLOOKUP(V320,Assumptions!$A$7:$F$11,2,FALSE),0)</f>
        <v/>
      </c>
      <c r="X320" s="25">
        <f>IF(V320="A",MAX(1,IFERROR(VLOOKUP(V320,Assumptions!$A$7:$F$11,3,FALSE),3)+IFERROR(VLOOKUP(V320,Assumptions!$A$7:$F$11,4,FALSE),8)/2-MAX(0,IF(AO320="",0,YEAR(TODAY())-AO320)-IFERROR(VLOOKUP(V320,Assumptions!$A$7:$F$11,5,FALSE),1.5))),IFERROR(VLOOKUP(V320,Assumptions!$A$7:$F$11,5,FALSE),2.5)+IFERROR(VLOOKUP(V320,Assumptions!$A$7:$F$11,3,FALSE),3)+IFERROR(VLOOKUP(V320,Assumptions!$A$7:$F$11,4,FALSE),8)/2)</f>
        <v/>
      </c>
      <c r="Y320" s="22">
        <f>U320*W320/(1+Assumptions!$B$3)^X320</f>
        <v/>
      </c>
      <c r="Z320" s="26">
        <f>IF(U320=0,"",ROUND(Y320/U320*100,1))</f>
        <v/>
      </c>
      <c r="AA320" s="27">
        <f>Y320*Assumptions!$B$4</f>
        <v/>
      </c>
      <c r="AB320" s="26">
        <f>IF(U320=0,"",ROUND(AA320/U320*100,1))</f>
        <v/>
      </c>
      <c r="AC320" s="27">
        <f>Y320-AA320</f>
        <v/>
      </c>
      <c r="AD320" s="26">
        <f>IF(U320=0,"",ROUND((Y320-AA320)/U320*100,1))</f>
        <v/>
      </c>
      <c r="AE320" s="36" t="inlineStr">
        <is>
          <t>CHECK — source is not a statutory creditor list</t>
        </is>
      </c>
      <c r="AF320" s="29" t="inlineStr">
        <is>
          <t>https://administradorajudicialgs.com.br/wp-content/uploads/2024/12/relacao-de-credores-da-falida.pdf</t>
        </is>
      </c>
      <c r="AG320" s="28" t="inlineStr">
        <is>
          <t>p14 r49</t>
        </is>
      </c>
      <c r="AH320" s="28" t="inlineStr">
        <is>
          <t>p14: R$ 2.550.639,65</t>
        </is>
      </c>
      <c r="AI320" s="28" t="inlineStr">
        <is>
          <t>Other filing — NOT an art. 7/51 list</t>
        </is>
      </c>
      <c r="AJ320" s="28" t="inlineStr">
        <is>
          <t>2025-03-25</t>
        </is>
      </c>
      <c r="AK320" s="28" t="inlineStr">
        <is>
          <t>NONE FOUND</t>
        </is>
      </c>
      <c r="AL320" s="30" t="inlineStr">
        <is>
          <t>0005010-50.2013.8.24.0026</t>
        </is>
      </c>
      <c r="AM320" s="30" t="inlineStr">
        <is>
          <t>TJSC</t>
        </is>
      </c>
      <c r="AN320" s="30" t="inlineStr"/>
      <c r="AO320" s="30" t="n">
        <v>2013</v>
      </c>
      <c r="AP320" s="30" t="inlineStr">
        <is>
          <t>document is a falência (bankruptcy) list</t>
        </is>
      </c>
      <c r="AQ320" s="30" t="inlineStr"/>
      <c r="AR320" s="30" t="inlineStr">
        <is>
          <t>printed on the list (read twice)</t>
        </is>
      </c>
      <c r="AS320" s="30" t="inlineStr">
        <is>
          <t>JARAGUA DO SUL</t>
        </is>
      </c>
      <c r="AT320" s="30" t="inlineStr">
        <is>
          <t>SC</t>
        </is>
      </c>
      <c r="AU320" s="30" t="inlineStr">
        <is>
          <t>Fabricação de outros produtos químicos não especificados anteriormente</t>
        </is>
      </c>
      <c r="AV320" s="30" t="inlineStr">
        <is>
          <t>DEMAIS</t>
        </is>
      </c>
      <c r="AW320" s="31" t="n">
        <v>52839630</v>
      </c>
      <c r="AX320" s="30" t="inlineStr">
        <is>
          <t>MID-MARKET</t>
        </is>
      </c>
      <c r="AY320" s="30" t="inlineStr">
        <is>
          <t>03076832</t>
        </is>
      </c>
      <c r="AZ320" s="30" t="n">
        <v>1</v>
      </c>
      <c r="BA320" s="30" t="inlineStr">
        <is>
          <t>ROWS:p14r49 UNRECONCILED_SOURCE CASE_NUMBER_CORRECTED</t>
        </is>
      </c>
    </row>
    <row r="321">
      <c r="A321" s="16" t="inlineStr">
        <is>
          <t>TRANS FALLS LTDA</t>
        </is>
      </c>
      <c r="B321" s="17" t="n">
        <v>354400</v>
      </c>
      <c r="C321" s="18" t="inlineStr">
        <is>
          <t>GRUPO D&amp;D</t>
        </is>
      </c>
      <c r="D321" s="19" t="inlineStr">
        <is>
          <t>NEW</t>
        </is>
      </c>
      <c r="E321" s="20" t="inlineStr"/>
      <c r="F321" s="19" t="inlineStr"/>
      <c r="G321" s="20" t="inlineStr"/>
      <c r="H321" s="19" t="inlineStr"/>
      <c r="I321" s="21" t="inlineStr">
        <is>
          <t>Lenoir Lenoir</t>
        </is>
      </c>
      <c r="J321" s="21" t="inlineStr">
        <is>
          <t>(no title)</t>
        </is>
      </c>
      <c r="K321" s="21" t="inlineStr">
        <is>
          <t>(45) 3526-2997</t>
        </is>
      </c>
      <c r="L321" s="21" t="inlineStr"/>
      <c r="M321" s="21" t="inlineStr"/>
      <c r="N321" s="21" t="inlineStr">
        <is>
          <t>lenoir@transfalls.com.br</t>
        </is>
      </c>
      <c r="O321" s="21" t="inlineStr"/>
      <c r="P321" s="21" t="inlineStr">
        <is>
          <t>JOAO CARLOS ADAMES</t>
        </is>
      </c>
      <c r="Q321" s="21" t="inlineStr">
        <is>
          <t>Sócio-Administrador (RFB partner)</t>
        </is>
      </c>
      <c r="R321" s="21" t="inlineStr"/>
      <c r="S321" s="21" t="inlineStr"/>
      <c r="T321" s="21" t="inlineStr">
        <is>
          <t>email verified by Apollo</t>
        </is>
      </c>
      <c r="U321" s="22" t="n">
        <v>354400</v>
      </c>
      <c r="V321" s="23" t="inlineStr">
        <is>
          <t>B</t>
        </is>
      </c>
      <c r="W321" s="24">
        <f>IFERROR(VLOOKUP(V321,Assumptions!$A$7:$F$11,2,FALSE),0)</f>
        <v/>
      </c>
      <c r="X321" s="25">
        <f>IF(V321="A",MAX(1,IFERROR(VLOOKUP(V321,Assumptions!$A$7:$F$11,3,FALSE),3)+IFERROR(VLOOKUP(V321,Assumptions!$A$7:$F$11,4,FALSE),8)/2-MAX(0,IF(AO321="",0,YEAR(TODAY())-AO321)-IFERROR(VLOOKUP(V321,Assumptions!$A$7:$F$11,5,FALSE),1.5))),IFERROR(VLOOKUP(V321,Assumptions!$A$7:$F$11,5,FALSE),2.5)+IFERROR(VLOOKUP(V321,Assumptions!$A$7:$F$11,3,FALSE),3)+IFERROR(VLOOKUP(V321,Assumptions!$A$7:$F$11,4,FALSE),8)/2)</f>
        <v/>
      </c>
      <c r="Y321" s="22">
        <f>U321*W321/(1+Assumptions!$B$3)^X321</f>
        <v/>
      </c>
      <c r="Z321" s="26">
        <f>IF(U321=0,"",ROUND(Y321/U321*100,1))</f>
        <v/>
      </c>
      <c r="AA321" s="27">
        <f>Y321*Assumptions!$B$4</f>
        <v/>
      </c>
      <c r="AB321" s="26">
        <f>IF(U321=0,"",ROUND(AA321/U321*100,1))</f>
        <v/>
      </c>
      <c r="AC321" s="27">
        <f>Y321-AA321</f>
        <v/>
      </c>
      <c r="AD321" s="26">
        <f>IF(U321=0,"",ROUND((Y321-AA321)/U321*100,1))</f>
        <v/>
      </c>
      <c r="AE321" s="34" t="inlineStr">
        <is>
          <t>PARTIAL — class III reconciled, other classes not</t>
        </is>
      </c>
      <c r="AF321" s="29" t="inlineStr">
        <is>
          <t>https://marquesadmjudicial.com.br/sgc/download.php?file=files/processo_documento/processo_documento20014127022025_1_.pdf&amp;nome=Relação Nominal de Credores</t>
        </is>
      </c>
      <c r="AG321" s="28" t="inlineStr">
        <is>
          <t>p6 r4</t>
        </is>
      </c>
      <c r="AH321" s="28" t="inlineStr">
        <is>
          <t>p6: R$ 354.400,00</t>
        </is>
      </c>
      <c r="AI321" s="28" t="inlineStr">
        <is>
          <t>AJ list (art. 7 §2)</t>
        </is>
      </c>
      <c r="AJ321" s="28" t="inlineStr">
        <is>
          <t>2024-11-08</t>
        </is>
      </c>
      <c r="AK321" s="28" t="inlineStr">
        <is>
          <t>NONE FOUND</t>
        </is>
      </c>
      <c r="AL321" s="30" t="inlineStr">
        <is>
          <t>0001943-40.2024.8.16.0115</t>
        </is>
      </c>
      <c r="AM321" s="30" t="inlineStr">
        <is>
          <t>TJPR</t>
        </is>
      </c>
      <c r="AN321" s="30" t="inlineStr">
        <is>
          <t>ACTIVE</t>
        </is>
      </c>
      <c r="AO321" s="30" t="n">
        <v>2024</v>
      </c>
      <c r="AP321" s="30" t="inlineStr">
        <is>
          <t>live case, no plan document yet</t>
        </is>
      </c>
      <c r="AQ321" s="30" t="inlineStr"/>
      <c r="AR321" s="30" t="inlineStr">
        <is>
          <t>printed on the list (read twice)</t>
        </is>
      </c>
      <c r="AS321" s="30" t="inlineStr">
        <is>
          <t>FOZ DO IGUACU</t>
        </is>
      </c>
      <c r="AT321" s="30" t="inlineStr">
        <is>
          <t>PR</t>
        </is>
      </c>
      <c r="AU321" s="30" t="inlineStr">
        <is>
          <t>Transporte rodoviário de carga, exceto produtos perigosos e mudanças, intermunicipal, interestadual e internacional</t>
        </is>
      </c>
      <c r="AV321" s="30" t="inlineStr">
        <is>
          <t>DEMAIS</t>
        </is>
      </c>
      <c r="AW321" s="31" t="n">
        <v>2488026</v>
      </c>
      <c r="AX321" s="30" t="inlineStr">
        <is>
          <t>MID-MARKET</t>
        </is>
      </c>
      <c r="AY321" s="30" t="inlineStr">
        <is>
          <t>03266537</t>
        </is>
      </c>
      <c r="AZ321" s="30" t="n">
        <v>1</v>
      </c>
      <c r="BA321" s="30" t="inlineStr">
        <is>
          <t>PARTIAL_DOC_CLASS_III_RECONCILED ROWS:p6r4</t>
        </is>
      </c>
    </row>
    <row r="322">
      <c r="A322" s="16" t="inlineStr">
        <is>
          <t>COMPANHIA ENERGETICA DE PERNAMBUCO</t>
        </is>
      </c>
      <c r="B322" s="17" t="n">
        <v>354296.22</v>
      </c>
      <c r="C322" s="18" t="inlineStr">
        <is>
          <t>CLUBE NÁUTICO CAPIBARIBE</t>
        </is>
      </c>
      <c r="D322" s="19" t="inlineStr">
        <is>
          <t>NEW</t>
        </is>
      </c>
      <c r="E322" s="20" t="inlineStr"/>
      <c r="F322" s="19" t="inlineStr"/>
      <c r="G322" s="20" t="inlineStr"/>
      <c r="H322" s="19" t="inlineStr"/>
      <c r="I322" s="21" t="inlineStr">
        <is>
          <t>SAULO CABRAL E SILVA</t>
        </is>
      </c>
      <c r="J322" s="21" t="inlineStr">
        <is>
          <t>Presidente (RFB partner)</t>
        </is>
      </c>
      <c r="K322" s="21" t="inlineStr">
        <is>
          <t>(81) 3217-5226</t>
        </is>
      </c>
      <c r="L322" s="21" t="inlineStr"/>
      <c r="M322" s="21" t="inlineStr"/>
      <c r="N322" s="21" t="inlineStr"/>
      <c r="O322" s="21" t="inlineStr"/>
      <c r="P322" s="21" t="inlineStr">
        <is>
          <t>FABIANO DA ROSA CARVALHO</t>
        </is>
      </c>
      <c r="Q322" s="21" t="inlineStr">
        <is>
          <t>Diretor (RFB partner)</t>
        </is>
      </c>
      <c r="R322" s="21" t="inlineStr"/>
      <c r="S322" s="21" t="inlineStr"/>
      <c r="T322" s="21" t="inlineStr">
        <is>
          <t>RFB partner (QSA); no Apollo match</t>
        </is>
      </c>
      <c r="U322" s="22" t="n">
        <v>354296.22</v>
      </c>
      <c r="V322" s="23" t="inlineStr">
        <is>
          <t>B</t>
        </is>
      </c>
      <c r="W322" s="24">
        <f>IFERROR(VLOOKUP(V322,Assumptions!$A$7:$F$11,2,FALSE),0)</f>
        <v/>
      </c>
      <c r="X322" s="25">
        <f>IF(V322="A",MAX(1,IFERROR(VLOOKUP(V322,Assumptions!$A$7:$F$11,3,FALSE),3)+IFERROR(VLOOKUP(V322,Assumptions!$A$7:$F$11,4,FALSE),8)/2-MAX(0,IF(AO322="",0,YEAR(TODAY())-AO322)-IFERROR(VLOOKUP(V322,Assumptions!$A$7:$F$11,5,FALSE),1.5))),IFERROR(VLOOKUP(V322,Assumptions!$A$7:$F$11,5,FALSE),2.5)+IFERROR(VLOOKUP(V322,Assumptions!$A$7:$F$11,3,FALSE),3)+IFERROR(VLOOKUP(V322,Assumptions!$A$7:$F$11,4,FALSE),8)/2)</f>
        <v/>
      </c>
      <c r="Y322" s="22">
        <f>U322*W322/(1+Assumptions!$B$3)^X322</f>
        <v/>
      </c>
      <c r="Z322" s="26">
        <f>IF(U322=0,"",ROUND(Y322/U322*100,1))</f>
        <v/>
      </c>
      <c r="AA322" s="27">
        <f>Y322*Assumptions!$B$4</f>
        <v/>
      </c>
      <c r="AB322" s="26">
        <f>IF(U322=0,"",ROUND(AA322/U322*100,1))</f>
        <v/>
      </c>
      <c r="AC322" s="27">
        <f>Y322-AA322</f>
        <v/>
      </c>
      <c r="AD322" s="26">
        <f>IF(U322=0,"",ROUND((Y322-AA322)/U322*100,1))</f>
        <v/>
      </c>
      <c r="AE322" s="34" t="inlineStr">
        <is>
          <t>PARTIAL — class III reconciled, other classes not</t>
        </is>
      </c>
      <c r="AF322" s="29" t="inlineStr">
        <is>
          <t>https://lrflideres.com.br/wp-content/plugins/download-attachments/includes/download.php?id=5589</t>
        </is>
      </c>
      <c r="AG322" s="28" t="inlineStr">
        <is>
          <t>p11 r71</t>
        </is>
      </c>
      <c r="AH322" s="28" t="inlineStr">
        <is>
          <t>p11: R$ 354.296,22</t>
        </is>
      </c>
      <c r="AI322" s="28" t="inlineStr">
        <is>
          <t>AJ list (art. 7 §2)</t>
        </is>
      </c>
      <c r="AJ322" s="28" t="inlineStr">
        <is>
          <t>2023-11-27</t>
        </is>
      </c>
      <c r="AK322" s="28" t="inlineStr">
        <is>
          <t>NONE FOUND</t>
        </is>
      </c>
      <c r="AL322" s="30" t="inlineStr">
        <is>
          <t>0011283-80.2023.8.17.2001</t>
        </is>
      </c>
      <c r="AM322" s="30" t="inlineStr">
        <is>
          <t>TJPE</t>
        </is>
      </c>
      <c r="AN322" s="30" t="inlineStr">
        <is>
          <t>ACTIVE</t>
        </is>
      </c>
      <c r="AO322" s="30" t="n">
        <v>2023</v>
      </c>
      <c r="AP322" s="30" t="inlineStr">
        <is>
          <t>live case, no plan document yet</t>
        </is>
      </c>
      <c r="AQ322" s="30" t="inlineStr">
        <is>
          <t>08.145.021/0001-07</t>
        </is>
      </c>
      <c r="AR322" s="30" t="inlineStr">
        <is>
          <t>printed on the list (read twice)</t>
        </is>
      </c>
      <c r="AS322" s="30" t="inlineStr">
        <is>
          <t>RECIFE</t>
        </is>
      </c>
      <c r="AT322" s="30" t="inlineStr">
        <is>
          <t>PE</t>
        </is>
      </c>
      <c r="AU322" s="30" t="inlineStr">
        <is>
          <t>Distribuição de energia elétrica</t>
        </is>
      </c>
      <c r="AV322" s="30" t="inlineStr">
        <is>
          <t>DEMAIS</t>
        </is>
      </c>
      <c r="AW322" s="31" t="n">
        <v>1663177700</v>
      </c>
      <c r="AX322" s="30" t="inlineStr">
        <is>
          <t>LARGE CORP</t>
        </is>
      </c>
      <c r="AY322" s="30" t="inlineStr">
        <is>
          <t>10835932</t>
        </is>
      </c>
      <c r="AZ322" s="30" t="n">
        <v>1</v>
      </c>
      <c r="BA322" s="30" t="inlineStr">
        <is>
          <t>PARTIAL_DOC_CLASS_III_RECONCILED ROWS:p11r71</t>
        </is>
      </c>
    </row>
    <row r="323">
      <c r="A323" s="16" t="inlineStr">
        <is>
          <t>PMSM PUBLICIDADE E COMUNICACAO LTDA</t>
        </is>
      </c>
      <c r="B323" s="17" t="n">
        <v>351926.88</v>
      </c>
      <c r="C323" s="18" t="inlineStr">
        <is>
          <t>CLUBE NÁUTICO CAPIBARIBE</t>
        </is>
      </c>
      <c r="D323" s="19" t="inlineStr">
        <is>
          <t>NEW</t>
        </is>
      </c>
      <c r="E323" s="20" t="inlineStr"/>
      <c r="F323" s="19" t="inlineStr"/>
      <c r="G323" s="20" t="inlineStr"/>
      <c r="H323" s="19" t="inlineStr"/>
      <c r="I323" s="21" t="inlineStr">
        <is>
          <t>FREDERICO MATHIAS DE MORAES</t>
        </is>
      </c>
      <c r="J323" s="21" t="inlineStr">
        <is>
          <t>Sócio-Administrador (RFB partner)</t>
        </is>
      </c>
      <c r="K323" s="21" t="inlineStr">
        <is>
          <t>(21) 3713-2606</t>
        </is>
      </c>
      <c r="L323" s="21" t="inlineStr"/>
      <c r="M323" s="21" t="inlineStr"/>
      <c r="N323" s="21" t="inlineStr"/>
      <c r="O323" s="21" t="inlineStr"/>
      <c r="P323" s="21" t="inlineStr">
        <is>
          <t>GUSTAVO PINTO BAZILIO</t>
        </is>
      </c>
      <c r="Q323" s="21" t="inlineStr">
        <is>
          <t>Sócio-Administrador (RFB partner)</t>
        </is>
      </c>
      <c r="R323" s="21" t="inlineStr"/>
      <c r="S323" s="21" t="inlineStr"/>
      <c r="T323" s="21" t="inlineStr">
        <is>
          <t>RFB partner (QSA); no Apollo match</t>
        </is>
      </c>
      <c r="U323" s="22" t="n">
        <v>351926.88</v>
      </c>
      <c r="V323" s="23" t="inlineStr">
        <is>
          <t>B</t>
        </is>
      </c>
      <c r="W323" s="24">
        <f>IFERROR(VLOOKUP(V323,Assumptions!$A$7:$F$11,2,FALSE),0)</f>
        <v/>
      </c>
      <c r="X323" s="25">
        <f>IF(V323="A",MAX(1,IFERROR(VLOOKUP(V323,Assumptions!$A$7:$F$11,3,FALSE),3)+IFERROR(VLOOKUP(V323,Assumptions!$A$7:$F$11,4,FALSE),8)/2-MAX(0,IF(AO323="",0,YEAR(TODAY())-AO323)-IFERROR(VLOOKUP(V323,Assumptions!$A$7:$F$11,5,FALSE),1.5))),IFERROR(VLOOKUP(V323,Assumptions!$A$7:$F$11,5,FALSE),2.5)+IFERROR(VLOOKUP(V323,Assumptions!$A$7:$F$11,3,FALSE),3)+IFERROR(VLOOKUP(V323,Assumptions!$A$7:$F$11,4,FALSE),8)/2)</f>
        <v/>
      </c>
      <c r="Y323" s="22">
        <f>U323*W323/(1+Assumptions!$B$3)^X323</f>
        <v/>
      </c>
      <c r="Z323" s="26">
        <f>IF(U323=0,"",ROUND(Y323/U323*100,1))</f>
        <v/>
      </c>
      <c r="AA323" s="27">
        <f>Y323*Assumptions!$B$4</f>
        <v/>
      </c>
      <c r="AB323" s="26">
        <f>IF(U323=0,"",ROUND(AA323/U323*100,1))</f>
        <v/>
      </c>
      <c r="AC323" s="27">
        <f>Y323-AA323</f>
        <v/>
      </c>
      <c r="AD323" s="26">
        <f>IF(U323=0,"",ROUND((Y323-AA323)/U323*100,1))</f>
        <v/>
      </c>
      <c r="AE323" s="34" t="inlineStr">
        <is>
          <t>PARTIAL — class III reconciled, other classes not</t>
        </is>
      </c>
      <c r="AF323" s="29" t="inlineStr">
        <is>
          <t>https://lrflideres.com.br/wp-content/plugins/download-attachments/includes/download.php?id=5589</t>
        </is>
      </c>
      <c r="AG323" s="28" t="inlineStr">
        <is>
          <t>p12 r36</t>
        </is>
      </c>
      <c r="AH323" s="28" t="inlineStr">
        <is>
          <t>p12: R$ 351.926,88</t>
        </is>
      </c>
      <c r="AI323" s="28" t="inlineStr">
        <is>
          <t>AJ list (art. 7 §2)</t>
        </is>
      </c>
      <c r="AJ323" s="28" t="inlineStr">
        <is>
          <t>2023-11-27</t>
        </is>
      </c>
      <c r="AK323" s="28" t="inlineStr">
        <is>
          <t>NONE FOUND</t>
        </is>
      </c>
      <c r="AL323" s="30" t="inlineStr">
        <is>
          <t>0011283-80.2023.8.17.2001</t>
        </is>
      </c>
      <c r="AM323" s="30" t="inlineStr">
        <is>
          <t>TJPE</t>
        </is>
      </c>
      <c r="AN323" s="30" t="inlineStr">
        <is>
          <t>ACTIVE</t>
        </is>
      </c>
      <c r="AO323" s="30" t="n">
        <v>2023</v>
      </c>
      <c r="AP323" s="30" t="inlineStr">
        <is>
          <t>live case, no plan document yet</t>
        </is>
      </c>
      <c r="AQ323" s="30" t="inlineStr">
        <is>
          <t>08.145.021/0001-07</t>
        </is>
      </c>
      <c r="AR323" s="30" t="inlineStr">
        <is>
          <t>printed on the list (read twice)</t>
        </is>
      </c>
      <c r="AS323" s="30" t="inlineStr">
        <is>
          <t>NITEROI</t>
        </is>
      </c>
      <c r="AT323" s="30" t="inlineStr">
        <is>
          <t>RJ</t>
        </is>
      </c>
      <c r="AU323" s="30" t="inlineStr">
        <is>
          <t>Outras atividades de publicidade não especificadas anteriormente</t>
        </is>
      </c>
      <c r="AV323" s="30" t="inlineStr">
        <is>
          <t>DEMAIS</t>
        </is>
      </c>
      <c r="AW323" s="31" t="n">
        <v>10000</v>
      </c>
      <c r="AX323" s="30" t="inlineStr">
        <is>
          <t>MID-MARKET</t>
        </is>
      </c>
      <c r="AY323" s="30" t="inlineStr">
        <is>
          <t>04431548</t>
        </is>
      </c>
      <c r="AZ323" s="30" t="n">
        <v>1</v>
      </c>
      <c r="BA323" s="30" t="inlineStr">
        <is>
          <t>PARTIAL_DOC_CLASS_III_RECONCILED ROWS:p12r36</t>
        </is>
      </c>
    </row>
    <row r="324">
      <c r="A324" s="16" t="inlineStr">
        <is>
          <t>BIORESULT AGRONEGOCIOS LTDA</t>
        </is>
      </c>
      <c r="B324" s="17" t="n">
        <v>351079.81</v>
      </c>
      <c r="C324" s="18" t="inlineStr">
        <is>
          <t>Agroforte Agropecuaria Ltda</t>
        </is>
      </c>
      <c r="D324" s="19" t="inlineStr">
        <is>
          <t>NEW</t>
        </is>
      </c>
      <c r="E324" s="20" t="inlineStr"/>
      <c r="F324" s="19" t="inlineStr"/>
      <c r="G324" s="20" t="inlineStr"/>
      <c r="H324" s="19" t="inlineStr"/>
      <c r="I324" s="21" t="inlineStr">
        <is>
          <t>LUIS HIDEKI TAKAHARA</t>
        </is>
      </c>
      <c r="J324" s="21" t="inlineStr">
        <is>
          <t>Sócio-Administrador (RFB partner)</t>
        </is>
      </c>
      <c r="K324" s="21" t="inlineStr">
        <is>
          <t>(45) 4102-0950</t>
        </is>
      </c>
      <c r="L324" s="21" t="inlineStr"/>
      <c r="M324" s="21" t="inlineStr"/>
      <c r="N324" s="21" t="inlineStr"/>
      <c r="O324" s="21" t="inlineStr"/>
      <c r="P324" s="21" t="inlineStr"/>
      <c r="Q324" s="21" t="inlineStr"/>
      <c r="R324" s="21" t="inlineStr"/>
      <c r="S324" s="21" t="inlineStr"/>
      <c r="T324" s="21" t="inlineStr">
        <is>
          <t>RFB partner (QSA); no Apollo match</t>
        </is>
      </c>
      <c r="U324" s="22" t="n">
        <v>351079.81</v>
      </c>
      <c r="V324" s="23" t="inlineStr">
        <is>
          <t>B</t>
        </is>
      </c>
      <c r="W324" s="24">
        <f>IFERROR(VLOOKUP(V324,Assumptions!$A$7:$F$11,2,FALSE),0)</f>
        <v/>
      </c>
      <c r="X324" s="25">
        <f>IF(V324="A",MAX(1,IFERROR(VLOOKUP(V324,Assumptions!$A$7:$F$11,3,FALSE),3)+IFERROR(VLOOKUP(V324,Assumptions!$A$7:$F$11,4,FALSE),8)/2-MAX(0,IF(AO324="",0,YEAR(TODAY())-AO324)-IFERROR(VLOOKUP(V324,Assumptions!$A$7:$F$11,5,FALSE),1.5))),IFERROR(VLOOKUP(V324,Assumptions!$A$7:$F$11,5,FALSE),2.5)+IFERROR(VLOOKUP(V324,Assumptions!$A$7:$F$11,3,FALSE),3)+IFERROR(VLOOKUP(V324,Assumptions!$A$7:$F$11,4,FALSE),8)/2)</f>
        <v/>
      </c>
      <c r="Y324" s="22">
        <f>U324*W324/(1+Assumptions!$B$3)^X324</f>
        <v/>
      </c>
      <c r="Z324" s="26">
        <f>IF(U324=0,"",ROUND(Y324/U324*100,1))</f>
        <v/>
      </c>
      <c r="AA324" s="27">
        <f>Y324*Assumptions!$B$4</f>
        <v/>
      </c>
      <c r="AB324" s="26">
        <f>IF(U324=0,"",ROUND(AA324/U324*100,1))</f>
        <v/>
      </c>
      <c r="AC324" s="27">
        <f>Y324-AA324</f>
        <v/>
      </c>
      <c r="AD324" s="26">
        <f>IF(U324=0,"",ROUND((Y324-AA324)/U324*100,1))</f>
        <v/>
      </c>
      <c r="AE324" s="34" t="inlineStr">
        <is>
          <t>PARTIAL — class III reconciled, other classes not</t>
        </is>
      </c>
      <c r="AF324" s="29" t="inlineStr">
        <is>
          <t>https://marquesadmjudicial.com.br/sgc/download.php?file=files/processo_documento/processo_documento11370527032026_1_.pdf&amp;nome=Quadro Geral de Credores (QGC) -AJ Anterior</t>
        </is>
      </c>
      <c r="AG324" s="28" t="inlineStr">
        <is>
          <t>p1 r11</t>
        </is>
      </c>
      <c r="AH324" s="28" t="inlineStr">
        <is>
          <t>p1: R$ 351.079,81</t>
        </is>
      </c>
      <c r="AI324" s="28" t="inlineStr">
        <is>
          <t>QGC (art. 18)</t>
        </is>
      </c>
      <c r="AJ324" s="28" t="inlineStr">
        <is>
          <t>2025-09-22</t>
        </is>
      </c>
      <c r="AK324" s="28" t="inlineStr">
        <is>
          <t>NONE FOUND</t>
        </is>
      </c>
      <c r="AL324" s="30" t="inlineStr">
        <is>
          <t>0031120-52.2024.8.16.0017</t>
        </is>
      </c>
      <c r="AM324" s="30" t="inlineStr">
        <is>
          <t>TJPR</t>
        </is>
      </c>
      <c r="AN324" s="30" t="inlineStr">
        <is>
          <t>ACTIVE</t>
        </is>
      </c>
      <c r="AO324" s="30" t="n">
        <v>2024</v>
      </c>
      <c r="AP324" s="30" t="inlineStr">
        <is>
          <t>live case, no plan document yet</t>
        </is>
      </c>
      <c r="AQ324" s="30" t="inlineStr">
        <is>
          <t>33.286.454/0001-20</t>
        </is>
      </c>
      <c r="AR324" s="30" t="inlineStr">
        <is>
          <t>printed on the list (read twice)</t>
        </is>
      </c>
      <c r="AS324" s="30" t="inlineStr">
        <is>
          <t>TOLEDO</t>
        </is>
      </c>
      <c r="AT324" s="30" t="inlineStr">
        <is>
          <t>PR</t>
        </is>
      </c>
      <c r="AU324" s="30" t="inlineStr">
        <is>
          <t>Fabricação de adubos e fertilizantes organo-minerais</t>
        </is>
      </c>
      <c r="AV324" s="30" t="inlineStr">
        <is>
          <t>DEMAIS</t>
        </is>
      </c>
      <c r="AW324" s="31" t="n">
        <v>520000</v>
      </c>
      <c r="AX324" s="30" t="inlineStr">
        <is>
          <t>MID-MARKET</t>
        </is>
      </c>
      <c r="AY324" s="30" t="inlineStr">
        <is>
          <t>34635991</t>
        </is>
      </c>
      <c r="AZ324" s="30" t="n">
        <v>1</v>
      </c>
      <c r="BA324" s="30" t="inlineStr">
        <is>
          <t>PARTIAL_DOC_CLASS_III_RECONCILED ROWS:p1r11</t>
        </is>
      </c>
    </row>
    <row r="325">
      <c r="A325" s="16" t="inlineStr">
        <is>
          <t>MEDILAR IMPORTACAO E DISTRIBUICAO DE PRODUTOS MEDICO HOSPITALARES S/A</t>
        </is>
      </c>
      <c r="B325" s="17" t="n">
        <v>346408.09</v>
      </c>
      <c r="C325" s="18" t="inlineStr">
        <is>
          <t>ASSOCIAÇÃO DE CARIDADE SANTA CASA DO RIO GRANDE</t>
        </is>
      </c>
      <c r="D325" s="19" t="inlineStr">
        <is>
          <t>NEW</t>
        </is>
      </c>
      <c r="E325" s="20" t="inlineStr"/>
      <c r="F325" s="19" t="inlineStr"/>
      <c r="G325" s="20" t="inlineStr"/>
      <c r="H325" s="19" t="inlineStr"/>
      <c r="I325" s="21" t="inlineStr">
        <is>
          <t>ADRIANA WILKE MARQUES</t>
        </is>
      </c>
      <c r="J325" s="21" t="inlineStr">
        <is>
          <t>Diretor (RFB partner)</t>
        </is>
      </c>
      <c r="K325" s="21" t="inlineStr">
        <is>
          <t>(51) 3718-7600</t>
        </is>
      </c>
      <c r="L325" s="21" t="inlineStr"/>
      <c r="M325" s="21" t="inlineStr"/>
      <c r="N325" s="21" t="inlineStr"/>
      <c r="O325" s="21" t="inlineStr"/>
      <c r="P325" s="21" t="inlineStr">
        <is>
          <t>FERNANDO AUGUSTO THEISEN</t>
        </is>
      </c>
      <c r="Q325" s="21" t="inlineStr">
        <is>
          <t>Diretor (RFB partner)</t>
        </is>
      </c>
      <c r="R325" s="21" t="inlineStr"/>
      <c r="S325" s="21" t="inlineStr"/>
      <c r="T325" s="21" t="inlineStr">
        <is>
          <t>RFB partner (QSA); no Apollo match</t>
        </is>
      </c>
      <c r="U325" s="22" t="n">
        <v>346408.09</v>
      </c>
      <c r="V325" s="23" t="inlineStr">
        <is>
          <t>B</t>
        </is>
      </c>
      <c r="W325" s="24">
        <f>IFERROR(VLOOKUP(V325,Assumptions!$A$7:$F$11,2,FALSE),0)</f>
        <v/>
      </c>
      <c r="X325" s="25">
        <f>IF(V325="A",MAX(1,IFERROR(VLOOKUP(V325,Assumptions!$A$7:$F$11,3,FALSE),3)+IFERROR(VLOOKUP(V325,Assumptions!$A$7:$F$11,4,FALSE),8)/2-MAX(0,IF(AO325="",0,YEAR(TODAY())-AO325)-IFERROR(VLOOKUP(V325,Assumptions!$A$7:$F$11,5,FALSE),1.5))),IFERROR(VLOOKUP(V325,Assumptions!$A$7:$F$11,5,FALSE),2.5)+IFERROR(VLOOKUP(V325,Assumptions!$A$7:$F$11,3,FALSE),3)+IFERROR(VLOOKUP(V325,Assumptions!$A$7:$F$11,4,FALSE),8)/2)</f>
        <v/>
      </c>
      <c r="Y325" s="22">
        <f>U325*W325/(1+Assumptions!$B$3)^X325</f>
        <v/>
      </c>
      <c r="Z325" s="26">
        <f>IF(U325=0,"",ROUND(Y325/U325*100,1))</f>
        <v/>
      </c>
      <c r="AA325" s="27">
        <f>Y325*Assumptions!$B$4</f>
        <v/>
      </c>
      <c r="AB325" s="26">
        <f>IF(U325=0,"",ROUND(AA325/U325*100,1))</f>
        <v/>
      </c>
      <c r="AC325" s="27">
        <f>Y325-AA325</f>
        <v/>
      </c>
      <c r="AD325" s="26">
        <f>IF(U325=0,"",ROUND((Y325-AA325)/U325*100,1))</f>
        <v/>
      </c>
      <c r="AE325" s="33" t="inlineStr">
        <is>
          <t>NO TOTALS — list prints none; check page</t>
        </is>
      </c>
      <c r="AF325" s="29" t="inlineStr">
        <is>
          <t>https://scalzilliaj.com.br/sgc/download.php?file=files/processo_documento/processo_documento09120721032023_1_.pdf&amp;nome=15 - Edital do art. 7º, §2º e 53 da Lei 11.101/2005 (segunda lista de credores e recebimento do plano))</t>
        </is>
      </c>
      <c r="AG325" s="28" t="inlineStr">
        <is>
          <t>p28 r50</t>
        </is>
      </c>
      <c r="AH325" s="28" t="inlineStr">
        <is>
          <t>p28: R$ 346.408,09</t>
        </is>
      </c>
      <c r="AI325" s="28" t="inlineStr">
        <is>
          <t>AJ list (art. 7 §2)</t>
        </is>
      </c>
      <c r="AJ325" s="28" t="inlineStr">
        <is>
          <t>2023-03-21</t>
        </is>
      </c>
      <c r="AK325" s="28" t="inlineStr">
        <is>
          <t>NONE FOUND</t>
        </is>
      </c>
      <c r="AL325" s="30" t="inlineStr">
        <is>
          <t>5012306-16.2022.8.21.0023</t>
        </is>
      </c>
      <c r="AM325" s="30" t="inlineStr">
        <is>
          <t>TJRS</t>
        </is>
      </c>
      <c r="AN325" s="30" t="inlineStr">
        <is>
          <t>ACTIVE</t>
        </is>
      </c>
      <c r="AO325" s="30" t="n">
        <v>2022</v>
      </c>
      <c r="AP325" s="30" t="inlineStr">
        <is>
          <t>live case, no plan document yet</t>
        </is>
      </c>
      <c r="AQ325" s="30" t="inlineStr"/>
      <c r="AR325" s="30" t="inlineStr">
        <is>
          <t>printed on the list (read twice)</t>
        </is>
      </c>
      <c r="AS325" s="30" t="inlineStr">
        <is>
          <t>VERA CRUZ</t>
        </is>
      </c>
      <c r="AT325" s="30" t="inlineStr">
        <is>
          <t>RS</t>
        </is>
      </c>
      <c r="AU325" s="30" t="inlineStr">
        <is>
          <t>Comércio atacadista de medicamentos e drogas de uso humano</t>
        </is>
      </c>
      <c r="AV325" s="30" t="inlineStr">
        <is>
          <t>DEMAIS</t>
        </is>
      </c>
      <c r="AW325" s="31" t="n">
        <v>100000000</v>
      </c>
      <c r="AX325" s="30" t="inlineStr">
        <is>
          <t>MID-MARKET</t>
        </is>
      </c>
      <c r="AY325" s="30" t="inlineStr">
        <is>
          <t>07752236</t>
        </is>
      </c>
      <c r="AZ325" s="30" t="n">
        <v>1</v>
      </c>
      <c r="BA325" s="30" t="inlineStr">
        <is>
          <t>ROWS:p28r50 UNRECONCILED_SOURCE</t>
        </is>
      </c>
    </row>
    <row r="326">
      <c r="A326" s="16" t="inlineStr">
        <is>
          <t>IPIRANGA PRODUTOS DE PETROLEO S.A.</t>
        </is>
      </c>
      <c r="B326" s="17" t="n">
        <v>1352094</v>
      </c>
      <c r="C326" s="18" t="inlineStr">
        <is>
          <t>EMBRAC EMPRESA BRASILEIRA DE CARGAS LTDA.</t>
        </is>
      </c>
      <c r="D326" s="19" t="inlineStr">
        <is>
          <t>NEW</t>
        </is>
      </c>
      <c r="E326" s="20" t="inlineStr"/>
      <c r="F326" s="19" t="inlineStr"/>
      <c r="G326" s="20" t="inlineStr"/>
      <c r="H326" s="19" t="inlineStr"/>
      <c r="I326" s="21" t="inlineStr">
        <is>
          <t>CARLOS FREDERICO RESENDE</t>
        </is>
      </c>
      <c r="J326" s="21" t="inlineStr">
        <is>
          <t>Administrador (RFB partner)</t>
        </is>
      </c>
      <c r="K326" s="21" t="inlineStr">
        <is>
          <t>(21) 2574-5858</t>
        </is>
      </c>
      <c r="L326" s="21" t="inlineStr"/>
      <c r="M326" s="21" t="inlineStr"/>
      <c r="N326" s="21" t="inlineStr"/>
      <c r="O326" s="21" t="inlineStr"/>
      <c r="P326" s="21" t="inlineStr">
        <is>
          <t>CRISTIANE SILVA LEITE</t>
        </is>
      </c>
      <c r="Q326" s="21" t="inlineStr">
        <is>
          <t>Diretor (RFB partner)</t>
        </is>
      </c>
      <c r="R326" s="21" t="inlineStr"/>
      <c r="S326" s="21" t="inlineStr"/>
      <c r="T326" s="21" t="inlineStr">
        <is>
          <t>RFB partner (QSA); no Apollo match</t>
        </is>
      </c>
      <c r="U326" s="22" t="n">
        <v>1352094</v>
      </c>
      <c r="V326" s="38" t="inlineStr">
        <is>
          <t>C</t>
        </is>
      </c>
      <c r="W326" s="24">
        <f>IFERROR(VLOOKUP(V326,Assumptions!$A$7:$F$11,2,FALSE),0)</f>
        <v/>
      </c>
      <c r="X326" s="25">
        <f>IF(V326="A",MAX(1,IFERROR(VLOOKUP(V326,Assumptions!$A$7:$F$11,3,FALSE),3)+IFERROR(VLOOKUP(V326,Assumptions!$A$7:$F$11,4,FALSE),8)/2-MAX(0,IF(AO326="",0,YEAR(TODAY())-AO326)-IFERROR(VLOOKUP(V326,Assumptions!$A$7:$F$11,5,FALSE),1.5))),IFERROR(VLOOKUP(V326,Assumptions!$A$7:$F$11,5,FALSE),2.5)+IFERROR(VLOOKUP(V326,Assumptions!$A$7:$F$11,3,FALSE),3)+IFERROR(VLOOKUP(V326,Assumptions!$A$7:$F$11,4,FALSE),8)/2)</f>
        <v/>
      </c>
      <c r="Y326" s="22">
        <f>U326*W326/(1+Assumptions!$B$3)^X326</f>
        <v/>
      </c>
      <c r="Z326" s="26">
        <f>IF(U326=0,"",ROUND(Y326/U326*100,1))</f>
        <v/>
      </c>
      <c r="AA326" s="27">
        <f>Y326*Assumptions!$B$4</f>
        <v/>
      </c>
      <c r="AB326" s="26">
        <f>IF(U326=0,"",ROUND(AA326/U326*100,1))</f>
        <v/>
      </c>
      <c r="AC326" s="27">
        <f>Y326-AA326</f>
        <v/>
      </c>
      <c r="AD326" s="26">
        <f>IF(U326=0,"",ROUND((Y326-AA326)/U326*100,1))</f>
        <v/>
      </c>
      <c r="AE326" s="33" t="inlineStr">
        <is>
          <t>NO TOTALS — list prints none; check page</t>
        </is>
      </c>
      <c r="AF326" s="29" t="inlineStr">
        <is>
          <t>https://violet-wolf-754008.hostingersite.com/wp-content/uploads/recuperacoes-judiciais/Ebramec/2o-Edital-de-Credores.pdf</t>
        </is>
      </c>
      <c r="AG326" s="28" t="inlineStr">
        <is>
          <t>p2 r50; p2 r51; p6 r50; p6 r51</t>
        </is>
      </c>
      <c r="AH326" s="28" t="inlineStr">
        <is>
          <t>p2: R$ 808.506,00; p2: R$ 543.588,00; p6: R$ 808.506,00; p6: R$ 543.588,00</t>
        </is>
      </c>
      <c r="AI326" s="28" t="inlineStr">
        <is>
          <t>QGC (art. 18)</t>
        </is>
      </c>
      <c r="AJ326" s="28" t="inlineStr">
        <is>
          <t>2021-03-12</t>
        </is>
      </c>
      <c r="AK326" s="28" t="inlineStr">
        <is>
          <t>NONE FOUND</t>
        </is>
      </c>
      <c r="AL326" s="30" t="inlineStr">
        <is>
          <t>1004204-09.2020.8.26.0604</t>
        </is>
      </c>
      <c r="AM326" s="30" t="inlineStr">
        <is>
          <t>TJSP</t>
        </is>
      </c>
      <c r="AN326" s="30" t="inlineStr">
        <is>
          <t>ACTIVE</t>
        </is>
      </c>
      <c r="AO326" s="30" t="n">
        <v>2020</v>
      </c>
      <c r="AP326" s="30" t="inlineStr">
        <is>
          <t>6y since filing, no plan document</t>
        </is>
      </c>
      <c r="AQ326" s="30" t="inlineStr"/>
      <c r="AR326" s="30" t="inlineStr">
        <is>
          <t>printed on the list (read twice)</t>
        </is>
      </c>
      <c r="AS326" s="30" t="inlineStr">
        <is>
          <t>RIO DE JANEIRO</t>
        </is>
      </c>
      <c r="AT326" s="30" t="inlineStr">
        <is>
          <t>RJ</t>
        </is>
      </c>
      <c r="AU326" s="30" t="inlineStr">
        <is>
          <t>Comércio atacadista de álcool carburante, biodiesel, gasolina e demais derivados de petróleo, exceto lubrificantes, não realizado por transportador re</t>
        </is>
      </c>
      <c r="AV326" s="30" t="inlineStr">
        <is>
          <t>DEMAIS</t>
        </is>
      </c>
      <c r="AW326" s="31" t="n">
        <v>4668601300</v>
      </c>
      <c r="AX326" s="30" t="inlineStr">
        <is>
          <t>LARGE CORP</t>
        </is>
      </c>
      <c r="AY326" s="30" t="inlineStr">
        <is>
          <t>33337122</t>
        </is>
      </c>
      <c r="AZ326" s="30" t="n">
        <v>2</v>
      </c>
      <c r="BA326" s="30" t="inlineStr">
        <is>
          <t>ROWS:p2r50,p2r51 UNRECONCILED_SOURCE</t>
        </is>
      </c>
    </row>
    <row r="327">
      <c r="A327" s="16" t="inlineStr">
        <is>
          <t>COOPERATIVA DE TRABALHO EM SAUDE E QUALIDADE - NUCLEO SAUDE PERNAMBUCO</t>
        </is>
      </c>
      <c r="B327" s="17" t="n">
        <v>341713.1</v>
      </c>
      <c r="C327" s="18" t="inlineStr">
        <is>
          <t>GRUPO DIAGSON</t>
        </is>
      </c>
      <c r="D327" s="19" t="inlineStr">
        <is>
          <t>NEW</t>
        </is>
      </c>
      <c r="E327" s="20" t="inlineStr"/>
      <c r="F327" s="19" t="inlineStr"/>
      <c r="G327" s="20" t="inlineStr"/>
      <c r="H327" s="19" t="inlineStr"/>
      <c r="I327" s="21" t="inlineStr">
        <is>
          <t>DENISON PEREIRA DA SILVA</t>
        </is>
      </c>
      <c r="J327" s="21" t="inlineStr">
        <is>
          <t>Presidente (RFB partner)</t>
        </is>
      </c>
      <c r="K327" s="21" t="inlineStr">
        <is>
          <t>(79) 9984-5042</t>
        </is>
      </c>
      <c r="L327" s="21" t="inlineStr"/>
      <c r="M327" s="21" t="inlineStr"/>
      <c r="N327" s="21" t="inlineStr"/>
      <c r="O327" s="21" t="inlineStr"/>
      <c r="P327" s="21" t="inlineStr">
        <is>
          <t>SUELY SOUZA DUARTE</t>
        </is>
      </c>
      <c r="Q327" s="21" t="inlineStr">
        <is>
          <t>Diretor (RFB partner)</t>
        </is>
      </c>
      <c r="R327" s="21" t="inlineStr"/>
      <c r="S327" s="21" t="inlineStr"/>
      <c r="T327" s="21" t="inlineStr">
        <is>
          <t>RFB partner (QSA); no Apollo match</t>
        </is>
      </c>
      <c r="U327" s="22" t="n">
        <v>341713.1</v>
      </c>
      <c r="V327" s="23" t="inlineStr">
        <is>
          <t>B</t>
        </is>
      </c>
      <c r="W327" s="24">
        <f>IFERROR(VLOOKUP(V327,Assumptions!$A$7:$F$11,2,FALSE),0)</f>
        <v/>
      </c>
      <c r="X327" s="25">
        <f>IF(V327="A",MAX(1,IFERROR(VLOOKUP(V327,Assumptions!$A$7:$F$11,3,FALSE),3)+IFERROR(VLOOKUP(V327,Assumptions!$A$7:$F$11,4,FALSE),8)/2-MAX(0,IF(AO327="",0,YEAR(TODAY())-AO327)-IFERROR(VLOOKUP(V327,Assumptions!$A$7:$F$11,5,FALSE),1.5))),IFERROR(VLOOKUP(V327,Assumptions!$A$7:$F$11,5,FALSE),2.5)+IFERROR(VLOOKUP(V327,Assumptions!$A$7:$F$11,3,FALSE),3)+IFERROR(VLOOKUP(V327,Assumptions!$A$7:$F$11,4,FALSE),8)/2)</f>
        <v/>
      </c>
      <c r="Y327" s="22">
        <f>U327*W327/(1+Assumptions!$B$3)^X327</f>
        <v/>
      </c>
      <c r="Z327" s="26">
        <f>IF(U327=0,"",ROUND(Y327/U327*100,1))</f>
        <v/>
      </c>
      <c r="AA327" s="27">
        <f>Y327*Assumptions!$B$4</f>
        <v/>
      </c>
      <c r="AB327" s="26">
        <f>IF(U327=0,"",ROUND(AA327/U327*100,1))</f>
        <v/>
      </c>
      <c r="AC327" s="27">
        <f>Y327-AA327</f>
        <v/>
      </c>
      <c r="AD327" s="26">
        <f>IF(U327=0,"",ROUND((Y327-AA327)/U327*100,1))</f>
        <v/>
      </c>
      <c r="AE327" s="34" t="inlineStr">
        <is>
          <t>PARTIAL — class III reconciled, other classes not</t>
        </is>
      </c>
      <c r="AF327" s="29" t="inlineStr">
        <is>
          <t>https://lrflideres.com.br/wp-content/plugins/download-attachments/includes/download.php?id=7418</t>
        </is>
      </c>
      <c r="AG327" s="28" t="inlineStr">
        <is>
          <t>p2 r51</t>
        </is>
      </c>
      <c r="AH327" s="28" t="inlineStr">
        <is>
          <t>p2: R$ 341.713,10</t>
        </is>
      </c>
      <c r="AI327" s="28" t="inlineStr">
        <is>
          <t>Debtor list (art. 51)</t>
        </is>
      </c>
      <c r="AJ327" s="28" t="inlineStr">
        <is>
          <t>2026-07-28</t>
        </is>
      </c>
      <c r="AK327" s="28" t="inlineStr">
        <is>
          <t>NONE FOUND</t>
        </is>
      </c>
      <c r="AL327" s="30" t="inlineStr">
        <is>
          <t>0822279-56.2026.8.15.2001</t>
        </is>
      </c>
      <c r="AM327" s="30" t="inlineStr">
        <is>
          <t>TJPB</t>
        </is>
      </c>
      <c r="AN327" s="30" t="inlineStr">
        <is>
          <t>ACTIVE</t>
        </is>
      </c>
      <c r="AO327" s="30" t="n">
        <v>2026</v>
      </c>
      <c r="AP327" s="30" t="inlineStr">
        <is>
          <t>live case, no plan document yet</t>
        </is>
      </c>
      <c r="AQ327" s="30" t="inlineStr">
        <is>
          <t>00.149.703/0001-86</t>
        </is>
      </c>
      <c r="AR327" s="30" t="inlineStr">
        <is>
          <t>printed on the list (read twice)</t>
        </is>
      </c>
      <c r="AS327" s="30" t="inlineStr">
        <is>
          <t>RECIFE</t>
        </is>
      </c>
      <c r="AT327" s="30" t="inlineStr">
        <is>
          <t>PE</t>
        </is>
      </c>
      <c r="AU327" s="30" t="inlineStr">
        <is>
          <t>Atividades de enfermagem</t>
        </is>
      </c>
      <c r="AV327" s="30" t="inlineStr">
        <is>
          <t>DEMAIS</t>
        </is>
      </c>
      <c r="AW327" s="31" t="n">
        <v>1100</v>
      </c>
      <c r="AX327" s="30" t="inlineStr">
        <is>
          <t>MID-MARKET</t>
        </is>
      </c>
      <c r="AY327" s="30" t="inlineStr">
        <is>
          <t>40422448</t>
        </is>
      </c>
      <c r="AZ327" s="30" t="n">
        <v>1</v>
      </c>
      <c r="BA327" s="30" t="inlineStr">
        <is>
          <t>PARTIAL_DOC_CLASS_III_RECONCILED ROWS:p2r51</t>
        </is>
      </c>
    </row>
    <row r="328">
      <c r="A328" s="16" t="inlineStr">
        <is>
          <t>POLYEXCEL INDUSTRIA E COMERCIO DE COMPOSTOS POLIMERICOS LTDA</t>
        </is>
      </c>
      <c r="B328" s="17" t="n">
        <v>341250</v>
      </c>
      <c r="C328" s="18" t="inlineStr">
        <is>
          <t>Grupo Conduscabos</t>
        </is>
      </c>
      <c r="D328" s="19" t="inlineStr">
        <is>
          <t>NEW</t>
        </is>
      </c>
      <c r="E328" s="20" t="inlineStr"/>
      <c r="F328" s="19" t="inlineStr"/>
      <c r="G328" s="20" t="inlineStr"/>
      <c r="H328" s="19" t="inlineStr"/>
      <c r="I328" s="21" t="inlineStr">
        <is>
          <t>RODRIGO NACHLE BOREGGIO</t>
        </is>
      </c>
      <c r="J328" s="21" t="inlineStr">
        <is>
          <t>Sócio-Administrador (RFB partner)</t>
        </is>
      </c>
      <c r="K328" s="21" t="inlineStr">
        <is>
          <t>(11) 4161-6775</t>
        </is>
      </c>
      <c r="L328" s="21" t="inlineStr"/>
      <c r="M328" s="21" t="inlineStr"/>
      <c r="N328" s="21" t="inlineStr"/>
      <c r="O328" s="21" t="inlineStr"/>
      <c r="P328" s="21" t="inlineStr"/>
      <c r="Q328" s="21" t="inlineStr"/>
      <c r="R328" s="21" t="inlineStr"/>
      <c r="S328" s="21" t="inlineStr"/>
      <c r="T328" s="21" t="inlineStr">
        <is>
          <t>RFB partner (QSA); no Apollo match</t>
        </is>
      </c>
      <c r="U328" s="22" t="n">
        <v>341250</v>
      </c>
      <c r="V328" s="23" t="inlineStr">
        <is>
          <t>B</t>
        </is>
      </c>
      <c r="W328" s="24">
        <f>IFERROR(VLOOKUP(V328,Assumptions!$A$7:$F$11,2,FALSE),0)</f>
        <v/>
      </c>
      <c r="X328" s="25">
        <f>IF(V328="A",MAX(1,IFERROR(VLOOKUP(V328,Assumptions!$A$7:$F$11,3,FALSE),3)+IFERROR(VLOOKUP(V328,Assumptions!$A$7:$F$11,4,FALSE),8)/2-MAX(0,IF(AO328="",0,YEAR(TODAY())-AO328)-IFERROR(VLOOKUP(V328,Assumptions!$A$7:$F$11,5,FALSE),1.5))),IFERROR(VLOOKUP(V328,Assumptions!$A$7:$F$11,5,FALSE),2.5)+IFERROR(VLOOKUP(V328,Assumptions!$A$7:$F$11,3,FALSE),3)+IFERROR(VLOOKUP(V328,Assumptions!$A$7:$F$11,4,FALSE),8)/2)</f>
        <v/>
      </c>
      <c r="Y328" s="22">
        <f>U328*W328/(1+Assumptions!$B$3)^X328</f>
        <v/>
      </c>
      <c r="Z328" s="26">
        <f>IF(U328=0,"",ROUND(Y328/U328*100,1))</f>
        <v/>
      </c>
      <c r="AA328" s="27">
        <f>Y328*Assumptions!$B$4</f>
        <v/>
      </c>
      <c r="AB328" s="26">
        <f>IF(U328=0,"",ROUND(AA328/U328*100,1))</f>
        <v/>
      </c>
      <c r="AC328" s="27">
        <f>Y328-AA328</f>
        <v/>
      </c>
      <c r="AD328" s="26">
        <f>IF(U328=0,"",ROUND((Y328-AA328)/U328*100,1))</f>
        <v/>
      </c>
      <c r="AE328" s="33" t="inlineStr">
        <is>
          <t>NO TOTALS — list prints none; check page</t>
        </is>
      </c>
      <c r="AF328" s="29" t="inlineStr">
        <is>
          <t>https://assistjud.com.br/wp-content/uploads/elementor/forms/65098c80a5824.pdf</t>
        </is>
      </c>
      <c r="AG328" s="28" t="inlineStr">
        <is>
          <t>p9 r6</t>
        </is>
      </c>
      <c r="AH328" s="28" t="inlineStr">
        <is>
          <t>p9: R$ 341.250,00</t>
        </is>
      </c>
      <c r="AI328" s="28" t="inlineStr">
        <is>
          <t>AJ list (art. 7 §2)</t>
        </is>
      </c>
      <c r="AJ328" s="28" t="inlineStr">
        <is>
          <t>2023-09-18</t>
        </is>
      </c>
      <c r="AK328" s="28" t="inlineStr">
        <is>
          <t>NONE FOUND</t>
        </is>
      </c>
      <c r="AL328" s="30" t="inlineStr">
        <is>
          <t>8005129-09.2023.8.05.0039</t>
        </is>
      </c>
      <c r="AM328" s="30" t="inlineStr">
        <is>
          <t>TJBA</t>
        </is>
      </c>
      <c r="AN328" s="30" t="inlineStr">
        <is>
          <t>ACTIVE</t>
        </is>
      </c>
      <c r="AO328" s="30" t="n">
        <v>2023</v>
      </c>
      <c r="AP328" s="30" t="inlineStr">
        <is>
          <t>live case, no plan document yet</t>
        </is>
      </c>
      <c r="AQ328" s="30" t="inlineStr"/>
      <c r="AR328" s="30" t="inlineStr">
        <is>
          <t>printed on the list (read twice)</t>
        </is>
      </c>
      <c r="AS328" s="30" t="inlineStr">
        <is>
          <t>BARUERI</t>
        </is>
      </c>
      <c r="AT328" s="30" t="inlineStr">
        <is>
          <t>SP</t>
        </is>
      </c>
      <c r="AU328" s="30" t="inlineStr">
        <is>
          <t>Fabricação de artefatos de material plástico para usos industriais</t>
        </is>
      </c>
      <c r="AV328" s="30" t="inlineStr">
        <is>
          <t>DEMAIS</t>
        </is>
      </c>
      <c r="AW328" s="31" t="n">
        <v>10808744</v>
      </c>
      <c r="AX328" s="30" t="inlineStr">
        <is>
          <t>MID-MARKET</t>
        </is>
      </c>
      <c r="AY328" s="30" t="inlineStr">
        <is>
          <t>14492564</t>
        </is>
      </c>
      <c r="AZ328" s="30" t="n">
        <v>1</v>
      </c>
      <c r="BA328" s="30" t="inlineStr">
        <is>
          <t>ROWS:p9r6 UNRECONCILED_SOURCE</t>
        </is>
      </c>
    </row>
    <row r="329">
      <c r="A329" s="16" t="inlineStr">
        <is>
          <t>ENGASTE PROJETOS, CONSTRUCOES E INCORPORACOES LTDA</t>
        </is>
      </c>
      <c r="B329" s="17" t="n">
        <v>340000</v>
      </c>
      <c r="C329" s="18" t="inlineStr">
        <is>
          <t>GRUPO CASAS BAHIA S.A.</t>
        </is>
      </c>
      <c r="D329" s="19" t="inlineStr">
        <is>
          <t>NEW</t>
        </is>
      </c>
      <c r="E329" s="20" t="inlineStr"/>
      <c r="F329" s="19" t="inlineStr"/>
      <c r="G329" s="20" t="inlineStr"/>
      <c r="H329" s="19" t="inlineStr"/>
      <c r="I329" s="21" t="inlineStr">
        <is>
          <t>ANDRE CARLOS PAGOTTO</t>
        </is>
      </c>
      <c r="J329" s="21" t="inlineStr">
        <is>
          <t>Sócio-Administrador (RFB partner)</t>
        </is>
      </c>
      <c r="K329" s="21" t="inlineStr">
        <is>
          <t>(49) 3425-9203</t>
        </is>
      </c>
      <c r="L329" s="21" t="inlineStr"/>
      <c r="M329" s="21" t="inlineStr"/>
      <c r="N329" s="21" t="inlineStr"/>
      <c r="O329" s="21" t="inlineStr"/>
      <c r="P329" s="21" t="inlineStr">
        <is>
          <t>DANIEL BARBIERI</t>
        </is>
      </c>
      <c r="Q329" s="21" t="inlineStr">
        <is>
          <t>Sócio-Administrador (RFB partner)</t>
        </is>
      </c>
      <c r="R329" s="21" t="inlineStr"/>
      <c r="S329" s="21" t="inlineStr"/>
      <c r="T329" s="21" t="inlineStr">
        <is>
          <t>RFB partner (QSA); no Apollo match</t>
        </is>
      </c>
      <c r="U329" s="22" t="n">
        <v>340000</v>
      </c>
      <c r="V329" s="23" t="inlineStr">
        <is>
          <t>B</t>
        </is>
      </c>
      <c r="W329" s="24">
        <f>IFERROR(VLOOKUP(V329,Assumptions!$A$7:$F$11,2,FALSE),0)</f>
        <v/>
      </c>
      <c r="X329" s="25">
        <f>IF(V329="A",MAX(1,IFERROR(VLOOKUP(V329,Assumptions!$A$7:$F$11,3,FALSE),3)+IFERROR(VLOOKUP(V329,Assumptions!$A$7:$F$11,4,FALSE),8)/2-MAX(0,IF(AO329="",0,YEAR(TODAY())-AO329)-IFERROR(VLOOKUP(V329,Assumptions!$A$7:$F$11,5,FALSE),1.5))),IFERROR(VLOOKUP(V329,Assumptions!$A$7:$F$11,5,FALSE),2.5)+IFERROR(VLOOKUP(V329,Assumptions!$A$7:$F$11,3,FALSE),3)+IFERROR(VLOOKUP(V329,Assumptions!$A$7:$F$11,4,FALSE),8)/2)</f>
        <v/>
      </c>
      <c r="Y329" s="22">
        <f>U329*W329/(1+Assumptions!$B$3)^X329</f>
        <v/>
      </c>
      <c r="Z329" s="26">
        <f>IF(U329=0,"",ROUND(Y329/U329*100,1))</f>
        <v/>
      </c>
      <c r="AA329" s="27">
        <f>Y329*Assumptions!$B$4</f>
        <v/>
      </c>
      <c r="AB329" s="26">
        <f>IF(U329=0,"",ROUND(AA329/U329*100,1))</f>
        <v/>
      </c>
      <c r="AC329" s="27">
        <f>Y329-AA329</f>
        <v/>
      </c>
      <c r="AD329" s="26">
        <f>IF(U329=0,"",ROUND((Y329-AA329)/U329*100,1))</f>
        <v/>
      </c>
      <c r="AE329" s="33" t="inlineStr">
        <is>
          <t>NO TOTALS — list prints none; check page</t>
        </is>
      </c>
      <c r="AF329" s="29" t="inlineStr">
        <is>
          <t>https://scalzilliaj.com.br/sgc/download.php?file=files/processo_documento/processo_documento15180810062026_1_.pdf&amp;nome=10 - Relação de credores do art. 7º, §2º, da Lei 11.101/2005</t>
        </is>
      </c>
      <c r="AG329" s="28" t="inlineStr">
        <is>
          <t>p1 r47</t>
        </is>
      </c>
      <c r="AH329" s="28" t="inlineStr">
        <is>
          <t>p1: R$ 340.000,00</t>
        </is>
      </c>
      <c r="AI329" s="28" t="inlineStr">
        <is>
          <t>AJ list (art. 7 §2)</t>
        </is>
      </c>
      <c r="AJ329" s="28" t="inlineStr"/>
      <c r="AK329" s="28" t="inlineStr">
        <is>
          <t>NONE FOUND</t>
        </is>
      </c>
      <c r="AL329" s="30" t="inlineStr">
        <is>
          <t>5009529-81.2025.8.24.0019</t>
        </is>
      </c>
      <c r="AM329" s="30" t="inlineStr">
        <is>
          <t>TJSC</t>
        </is>
      </c>
      <c r="AN329" s="30" t="inlineStr"/>
      <c r="AO329" s="30" t="n">
        <v>2025</v>
      </c>
      <c r="AP329" s="30" t="inlineStr">
        <is>
          <t>live case, no plan document yet</t>
        </is>
      </c>
      <c r="AQ329" s="30" t="inlineStr">
        <is>
          <t>33.041.260/0652-90</t>
        </is>
      </c>
      <c r="AR329" s="30" t="inlineStr">
        <is>
          <t>registry (RFB) match</t>
        </is>
      </c>
      <c r="AS329" s="30" t="inlineStr">
        <is>
          <t>CONCORDIA</t>
        </is>
      </c>
      <c r="AT329" s="30" t="inlineStr">
        <is>
          <t>SC</t>
        </is>
      </c>
      <c r="AU329" s="30" t="inlineStr">
        <is>
          <t>Serviços de engenharia</t>
        </is>
      </c>
      <c r="AV329" s="30" t="inlineStr">
        <is>
          <t>EMPRESA DE PEQUENO PORTE</t>
        </is>
      </c>
      <c r="AW329" s="31" t="n">
        <v>1500000</v>
      </c>
      <c r="AX329" s="30" t="inlineStr">
        <is>
          <t>SMALL</t>
        </is>
      </c>
      <c r="AY329" s="30" t="inlineStr">
        <is>
          <t>08578161</t>
        </is>
      </c>
      <c r="AZ329" s="30" t="n">
        <v>1</v>
      </c>
      <c r="BA329" s="30" t="inlineStr">
        <is>
          <t>ROWS:p1r47 UNRECONCILED_SOURCE VALUE_COL:Valor_(Art._7º,_§2º)</t>
        </is>
      </c>
    </row>
    <row r="330">
      <c r="A330" s="16" t="inlineStr">
        <is>
          <t>INDUSTRIA E COMERCIO DE FARINHA JAGUA LTDA.</t>
        </is>
      </c>
      <c r="B330" s="17" t="n">
        <v>339668</v>
      </c>
      <c r="C330" s="18" t="inlineStr">
        <is>
          <t>Grupo Agromeal</t>
        </is>
      </c>
      <c r="D330" s="19" t="inlineStr">
        <is>
          <t>NEW</t>
        </is>
      </c>
      <c r="E330" s="20" t="inlineStr"/>
      <c r="F330" s="19" t="inlineStr"/>
      <c r="G330" s="20" t="inlineStr"/>
      <c r="H330" s="19" t="inlineStr"/>
      <c r="I330" s="21" t="inlineStr">
        <is>
          <t>PAULO SERGIO BOTAZZARI</t>
        </is>
      </c>
      <c r="J330" s="21" t="inlineStr">
        <is>
          <t>Administrador (RFB partner)</t>
        </is>
      </c>
      <c r="K330" s="21" t="inlineStr">
        <is>
          <t>(43) 3272-8038</t>
        </is>
      </c>
      <c r="L330" s="21" t="inlineStr"/>
      <c r="M330" s="21" t="inlineStr"/>
      <c r="N330" s="21" t="inlineStr"/>
      <c r="O330" s="21" t="inlineStr"/>
      <c r="P330" s="21" t="inlineStr">
        <is>
          <t>SIDNEI DONIZETE BOTTAZZARI</t>
        </is>
      </c>
      <c r="Q330" s="21" t="inlineStr">
        <is>
          <t>Administrador (RFB partner)</t>
        </is>
      </c>
      <c r="R330" s="21" t="inlineStr"/>
      <c r="S330" s="21" t="inlineStr"/>
      <c r="T330" s="21" t="inlineStr">
        <is>
          <t>RFB partner (QSA); no Apollo match</t>
        </is>
      </c>
      <c r="U330" s="22" t="n">
        <v>339668</v>
      </c>
      <c r="V330" s="23" t="inlineStr">
        <is>
          <t>B</t>
        </is>
      </c>
      <c r="W330" s="24">
        <f>IFERROR(VLOOKUP(V330,Assumptions!$A$7:$F$11,2,FALSE),0)</f>
        <v/>
      </c>
      <c r="X330" s="25">
        <f>IF(V330="A",MAX(1,IFERROR(VLOOKUP(V330,Assumptions!$A$7:$F$11,3,FALSE),3)+IFERROR(VLOOKUP(V330,Assumptions!$A$7:$F$11,4,FALSE),8)/2-MAX(0,IF(AO330="",0,YEAR(TODAY())-AO330)-IFERROR(VLOOKUP(V330,Assumptions!$A$7:$F$11,5,FALSE),1.5))),IFERROR(VLOOKUP(V330,Assumptions!$A$7:$F$11,5,FALSE),2.5)+IFERROR(VLOOKUP(V330,Assumptions!$A$7:$F$11,3,FALSE),3)+IFERROR(VLOOKUP(V330,Assumptions!$A$7:$F$11,4,FALSE),8)/2)</f>
        <v/>
      </c>
      <c r="Y330" s="22">
        <f>U330*W330/(1+Assumptions!$B$3)^X330</f>
        <v/>
      </c>
      <c r="Z330" s="26">
        <f>IF(U330=0,"",ROUND(Y330/U330*100,1))</f>
        <v/>
      </c>
      <c r="AA330" s="27">
        <f>Y330*Assumptions!$B$4</f>
        <v/>
      </c>
      <c r="AB330" s="26">
        <f>IF(U330=0,"",ROUND(AA330/U330*100,1))</f>
        <v/>
      </c>
      <c r="AC330" s="27">
        <f>Y330-AA330</f>
        <v/>
      </c>
      <c r="AD330" s="26">
        <f>IF(U330=0,"",ROUND((Y330-AA330)/U330*100,1))</f>
        <v/>
      </c>
      <c r="AE330" s="34" t="inlineStr">
        <is>
          <t>PARTIAL — class III reconciled, other classes not</t>
        </is>
      </c>
      <c r="AF330" s="29" t="inlineStr">
        <is>
          <t>https://marquesadmjudicial.com.br/sgc/download.php?file=files/processo_documento/processo_documento17040729052024_1_.pdf&amp;nome=Relação Nominal de Credores AJ-Sintética</t>
        </is>
      </c>
      <c r="AG330" s="28" t="inlineStr">
        <is>
          <t>p11 r18</t>
        </is>
      </c>
      <c r="AH330" s="28" t="inlineStr">
        <is>
          <t>p11: R$ 339.668,00</t>
        </is>
      </c>
      <c r="AI330" s="28" t="inlineStr">
        <is>
          <t>AJ list (art. 7 §2)</t>
        </is>
      </c>
      <c r="AJ330" s="28" t="inlineStr">
        <is>
          <t>2024-05-27</t>
        </is>
      </c>
      <c r="AK330" s="28" t="inlineStr">
        <is>
          <t>NONE FOUND</t>
        </is>
      </c>
      <c r="AL330" s="30" t="inlineStr">
        <is>
          <t>0003971-03.2023.8.16.0119</t>
        </is>
      </c>
      <c r="AM330" s="30" t="inlineStr">
        <is>
          <t>TJPR</t>
        </is>
      </c>
      <c r="AN330" s="30" t="inlineStr">
        <is>
          <t>ACTIVE</t>
        </is>
      </c>
      <c r="AO330" s="30" t="n">
        <v>2023</v>
      </c>
      <c r="AP330" s="30" t="inlineStr">
        <is>
          <t>live case, no plan document yet</t>
        </is>
      </c>
      <c r="AQ330" s="30" t="inlineStr">
        <is>
          <t>11.624.776/0001-07</t>
        </is>
      </c>
      <c r="AR330" s="30" t="inlineStr">
        <is>
          <t>printed on the list (read twice)</t>
        </is>
      </c>
      <c r="AS330" s="30" t="inlineStr">
        <is>
          <t>JAGUAPITA</t>
        </is>
      </c>
      <c r="AT330" s="30" t="inlineStr">
        <is>
          <t>PR</t>
        </is>
      </c>
      <c r="AU330" s="30" t="inlineStr">
        <is>
          <t>Fabricação de alimentos para animais</t>
        </is>
      </c>
      <c r="AV330" s="30" t="inlineStr">
        <is>
          <t>DEMAIS</t>
        </is>
      </c>
      <c r="AW330" s="31" t="n">
        <v>824500</v>
      </c>
      <c r="AX330" s="30" t="inlineStr">
        <is>
          <t>MID-MARKET</t>
        </is>
      </c>
      <c r="AY330" s="30" t="inlineStr">
        <is>
          <t>10159120</t>
        </is>
      </c>
      <c r="AZ330" s="30" t="n">
        <v>1</v>
      </c>
      <c r="BA330" s="30" t="inlineStr">
        <is>
          <t>PARTIAL_DOC_CLASS_III_RECONCILED ROWS:p11r18</t>
        </is>
      </c>
    </row>
    <row r="331">
      <c r="A331" s="16" t="inlineStr">
        <is>
          <t>EMPRESA BRASILEIRA DE BENEFICIOS E PAGAMENTOS INSTITUICAO DE PAGAMENTO LTDA</t>
        </is>
      </c>
      <c r="B331" s="17" t="n">
        <v>336951.3</v>
      </c>
      <c r="C331" s="18" t="inlineStr">
        <is>
          <t>REAL DISTRIBUIDORA ÚNICA RIO COMÉRCIO DE REFRIGERAÇÃO LTDA.</t>
        </is>
      </c>
      <c r="D331" s="19" t="inlineStr">
        <is>
          <t>NEW</t>
        </is>
      </c>
      <c r="E331" s="20" t="inlineStr"/>
      <c r="F331" s="19" t="inlineStr"/>
      <c r="G331" s="20" t="inlineStr"/>
      <c r="H331" s="19" t="inlineStr"/>
      <c r="I331" s="21" t="inlineStr">
        <is>
          <t>EDUARDO BRAZ DEL GIGLIO</t>
        </is>
      </c>
      <c r="J331" s="21" t="inlineStr">
        <is>
          <t>Administrador (RFB partner)</t>
        </is>
      </c>
      <c r="K331" s="21" t="inlineStr">
        <is>
          <t>(11) 9999-9999</t>
        </is>
      </c>
      <c r="L331" s="21" t="inlineStr"/>
      <c r="M331" s="21" t="inlineStr"/>
      <c r="N331" s="21" t="inlineStr"/>
      <c r="O331" s="21" t="inlineStr"/>
      <c r="P331" s="21" t="inlineStr">
        <is>
          <t>GABRIEL RAMIREZ COELHO</t>
        </is>
      </c>
      <c r="Q331" s="21" t="inlineStr">
        <is>
          <t>Administrador (RFB partner)</t>
        </is>
      </c>
      <c r="R331" s="21" t="inlineStr"/>
      <c r="S331" s="21" t="inlineStr"/>
      <c r="T331" s="21" t="inlineStr">
        <is>
          <t>RFB partner (QSA); no Apollo match</t>
        </is>
      </c>
      <c r="U331" s="22" t="n">
        <v>336951.3</v>
      </c>
      <c r="V331" s="23" t="inlineStr">
        <is>
          <t>B</t>
        </is>
      </c>
      <c r="W331" s="24">
        <f>IFERROR(VLOOKUP(V331,Assumptions!$A$7:$F$11,2,FALSE),0)</f>
        <v/>
      </c>
      <c r="X331" s="25">
        <f>IF(V331="A",MAX(1,IFERROR(VLOOKUP(V331,Assumptions!$A$7:$F$11,3,FALSE),3)+IFERROR(VLOOKUP(V331,Assumptions!$A$7:$F$11,4,FALSE),8)/2-MAX(0,IF(AO331="",0,YEAR(TODAY())-AO331)-IFERROR(VLOOKUP(V331,Assumptions!$A$7:$F$11,5,FALSE),1.5))),IFERROR(VLOOKUP(V331,Assumptions!$A$7:$F$11,5,FALSE),2.5)+IFERROR(VLOOKUP(V331,Assumptions!$A$7:$F$11,3,FALSE),3)+IFERROR(VLOOKUP(V331,Assumptions!$A$7:$F$11,4,FALSE),8)/2)</f>
        <v/>
      </c>
      <c r="Y331" s="22">
        <f>U331*W331/(1+Assumptions!$B$3)^X331</f>
        <v/>
      </c>
      <c r="Z331" s="26">
        <f>IF(U331=0,"",ROUND(Y331/U331*100,1))</f>
        <v/>
      </c>
      <c r="AA331" s="27">
        <f>Y331*Assumptions!$B$4</f>
        <v/>
      </c>
      <c r="AB331" s="26">
        <f>IF(U331=0,"",ROUND(AA331/U331*100,1))</f>
        <v/>
      </c>
      <c r="AC331" s="27">
        <f>Y331-AA331</f>
        <v/>
      </c>
      <c r="AD331" s="26">
        <f>IF(U331=0,"",ROUND((Y331-AA331)/U331*100,1))</f>
        <v/>
      </c>
      <c r="AE331" s="28" t="inlineStr">
        <is>
          <t>OK — totals reconciled</t>
        </is>
      </c>
      <c r="AF331" s="29" t="inlineStr">
        <is>
          <t>https://inova-aj.com.br/wp-content/uploads/2026/08/1a-Relacao-de-Credores-Real.pdf</t>
        </is>
      </c>
      <c r="AG331" s="28" t="inlineStr">
        <is>
          <t>p1 r28</t>
        </is>
      </c>
      <c r="AH331" s="28" t="inlineStr">
        <is>
          <t>p1: R$ 336.951,30</t>
        </is>
      </c>
      <c r="AI331" s="28" t="inlineStr">
        <is>
          <t>AJ list (art. 7 §2)</t>
        </is>
      </c>
      <c r="AJ331" s="28" t="inlineStr">
        <is>
          <t>2023-06-05</t>
        </is>
      </c>
      <c r="AK331" s="28" t="inlineStr">
        <is>
          <t>NONE FOUND</t>
        </is>
      </c>
      <c r="AL331" s="30" t="inlineStr">
        <is>
          <t>0873061-47.2023.8.19.0001</t>
        </is>
      </c>
      <c r="AM331" s="30" t="inlineStr">
        <is>
          <t>TJRJ</t>
        </is>
      </c>
      <c r="AN331" s="30" t="inlineStr"/>
      <c r="AO331" s="30" t="n">
        <v>2023</v>
      </c>
      <c r="AP331" s="30" t="inlineStr">
        <is>
          <t>live case, no plan document yet</t>
        </is>
      </c>
      <c r="AQ331" s="30" t="inlineStr"/>
      <c r="AR331" s="30" t="inlineStr">
        <is>
          <t>printed on the list (read twice)</t>
        </is>
      </c>
      <c r="AS331" s="30" t="inlineStr">
        <is>
          <t>SAO PAULO</t>
        </is>
      </c>
      <c r="AT331" s="30" t="inlineStr">
        <is>
          <t>SP</t>
        </is>
      </c>
      <c r="AU331" s="30" t="inlineStr">
        <is>
          <t>Emissão de vales-alimentação, vales-transporte e similares</t>
        </is>
      </c>
      <c r="AV331" s="30" t="inlineStr">
        <is>
          <t>DEMAIS</t>
        </is>
      </c>
      <c r="AW331" s="31" t="n">
        <v>178728200</v>
      </c>
      <c r="AX331" s="30" t="inlineStr">
        <is>
          <t>MID-MARKET</t>
        </is>
      </c>
      <c r="AY331" s="30" t="inlineStr">
        <is>
          <t>33449007</t>
        </is>
      </c>
      <c r="AZ331" s="30" t="n">
        <v>1</v>
      </c>
      <c r="BA331" s="30" t="inlineStr">
        <is>
          <t>ALT_VALUE:R$245.000,00 ROWS:p1r28</t>
        </is>
      </c>
    </row>
    <row r="332">
      <c r="A332" s="16" t="inlineStr">
        <is>
          <t>IRON COMEX LTDA</t>
        </is>
      </c>
      <c r="B332" s="17" t="n">
        <v>334279.01</v>
      </c>
      <c r="C332" s="18" t="inlineStr">
        <is>
          <t>Grupo Arruda (ARRUDA &amp; MELO REPRESENTACAO DE ALIMENTOS E BEBIDAS LTDA, ARRUDA &amp; MELO COMERCIO E DISTRIBUICAO DE ALIMENTOS E BEBIDAS LTDA, ARRUDA &amp; MELO COMERCIO E DISTRIBUICAO DE ALIMENTOS E BEBIDAS DA BAHIA LTDA)</t>
        </is>
      </c>
      <c r="D332" s="19" t="inlineStr">
        <is>
          <t>NEW</t>
        </is>
      </c>
      <c r="E332" s="20" t="inlineStr"/>
      <c r="F332" s="19" t="inlineStr"/>
      <c r="G332" s="20" t="inlineStr"/>
      <c r="H332" s="19" t="inlineStr"/>
      <c r="I332" s="21" t="inlineStr">
        <is>
          <t>Caio Santana</t>
        </is>
      </c>
      <c r="J332" s="21" t="inlineStr">
        <is>
          <t>Responsável Financeiro</t>
        </is>
      </c>
      <c r="K332" s="21" t="inlineStr">
        <is>
          <t>(81) 9707-8484</t>
        </is>
      </c>
      <c r="L332" s="21" t="inlineStr"/>
      <c r="M332" s="21" t="inlineStr"/>
      <c r="N332" s="21" t="inlineStr"/>
      <c r="O332" s="21" t="inlineStr">
        <is>
          <t>diretoria@ironcomex.com</t>
        </is>
      </c>
      <c r="P332" s="21" t="inlineStr">
        <is>
          <t>Sergio Real</t>
        </is>
      </c>
      <c r="Q332" s="21" t="inlineStr">
        <is>
          <t>Diretor de Desenvolvimento de Negócios</t>
        </is>
      </c>
      <c r="R332" s="21" t="inlineStr"/>
      <c r="S332" s="21" t="inlineStr">
        <is>
          <t>diretoria@ironcomex.com</t>
        </is>
      </c>
      <c r="T332" s="21" t="inlineStr">
        <is>
          <t>no work email found in Apollo</t>
        </is>
      </c>
      <c r="U332" s="22" t="n">
        <v>334279.01</v>
      </c>
      <c r="V332" s="23" t="inlineStr">
        <is>
          <t>B</t>
        </is>
      </c>
      <c r="W332" s="24">
        <f>IFERROR(VLOOKUP(V332,Assumptions!$A$7:$F$11,2,FALSE),0)</f>
        <v/>
      </c>
      <c r="X332" s="25">
        <f>IF(V332="A",MAX(1,IFERROR(VLOOKUP(V332,Assumptions!$A$7:$F$11,3,FALSE),3)+IFERROR(VLOOKUP(V332,Assumptions!$A$7:$F$11,4,FALSE),8)/2-MAX(0,IF(AO332="",0,YEAR(TODAY())-AO332)-IFERROR(VLOOKUP(V332,Assumptions!$A$7:$F$11,5,FALSE),1.5))),IFERROR(VLOOKUP(V332,Assumptions!$A$7:$F$11,5,FALSE),2.5)+IFERROR(VLOOKUP(V332,Assumptions!$A$7:$F$11,3,FALSE),3)+IFERROR(VLOOKUP(V332,Assumptions!$A$7:$F$11,4,FALSE),8)/2)</f>
        <v/>
      </c>
      <c r="Y332" s="22">
        <f>U332*W332/(1+Assumptions!$B$3)^X332</f>
        <v/>
      </c>
      <c r="Z332" s="26">
        <f>IF(U332=0,"",ROUND(Y332/U332*100,1))</f>
        <v/>
      </c>
      <c r="AA332" s="27">
        <f>Y332*Assumptions!$B$4</f>
        <v/>
      </c>
      <c r="AB332" s="26">
        <f>IF(U332=0,"",ROUND(AA332/U332*100,1))</f>
        <v/>
      </c>
      <c r="AC332" s="27">
        <f>Y332-AA332</f>
        <v/>
      </c>
      <c r="AD332" s="26">
        <f>IF(U332=0,"",ROUND((Y332-AA332)/U332*100,1))</f>
        <v/>
      </c>
      <c r="AE332" s="28" t="inlineStr">
        <is>
          <t>OK — totals reconciled</t>
        </is>
      </c>
      <c r="AF332" s="29" t="inlineStr">
        <is>
          <t>https://diligence.adm.br/wp-content/uploads/2025/06/Edital-1a-Lista-de-Credores.pdf</t>
        </is>
      </c>
      <c r="AG332" s="28" t="inlineStr">
        <is>
          <t>p5 r78; p5 r79</t>
        </is>
      </c>
      <c r="AH332" s="28" t="inlineStr">
        <is>
          <t>p5: R$ 184.223,97; p5: R$ 150.055,04</t>
        </is>
      </c>
      <c r="AI332" s="28" t="inlineStr">
        <is>
          <t>Debtor list (art. 51)</t>
        </is>
      </c>
      <c r="AJ332" s="28" t="inlineStr">
        <is>
          <t>2025-06-10</t>
        </is>
      </c>
      <c r="AK332" s="28" t="inlineStr">
        <is>
          <t>NONE FOUND</t>
        </is>
      </c>
      <c r="AL332" s="30" t="inlineStr">
        <is>
          <t>0008526-45.2025.8.17.2001</t>
        </is>
      </c>
      <c r="AM332" s="30" t="inlineStr">
        <is>
          <t>TJPE</t>
        </is>
      </c>
      <c r="AN332" s="30" t="inlineStr">
        <is>
          <t>ACTIVE</t>
        </is>
      </c>
      <c r="AO332" s="30" t="n">
        <v>2025</v>
      </c>
      <c r="AP332" s="30" t="inlineStr">
        <is>
          <t>live case, no plan document yet</t>
        </is>
      </c>
      <c r="AQ332" s="30" t="inlineStr"/>
      <c r="AR332" s="30" t="inlineStr">
        <is>
          <t>printed on the list (read twice)</t>
        </is>
      </c>
      <c r="AS332" s="30" t="inlineStr">
        <is>
          <t>RECIFE</t>
        </is>
      </c>
      <c r="AT332" s="30" t="inlineStr">
        <is>
          <t>PE</t>
        </is>
      </c>
      <c r="AU332" s="30" t="inlineStr">
        <is>
          <t>Comércio atacadista de mercadorias em geral, sem predominância de alimentos ou de insumos agropecuários</t>
        </is>
      </c>
      <c r="AV332" s="30" t="inlineStr">
        <is>
          <t>DEMAIS</t>
        </is>
      </c>
      <c r="AW332" s="31" t="n">
        <v>500000</v>
      </c>
      <c r="AX332" s="30" t="inlineStr">
        <is>
          <t>MID-MARKET</t>
        </is>
      </c>
      <c r="AY332" s="30" t="inlineStr">
        <is>
          <t>43464332</t>
        </is>
      </c>
      <c r="AZ332" s="30" t="n">
        <v>2</v>
      </c>
      <c r="BA332" s="30" t="inlineStr">
        <is>
          <t>LONG_CHUNK ROWS:p5r78,p5r79</t>
        </is>
      </c>
    </row>
    <row r="333">
      <c r="A333" s="16" t="inlineStr">
        <is>
          <t>GJM INDUSTRIA DE COUROS LTDA</t>
        </is>
      </c>
      <c r="B333" s="17" t="n">
        <v>332923.32</v>
      </c>
      <c r="C333" s="18" t="inlineStr">
        <is>
          <t>GRUPO DIVINA</t>
        </is>
      </c>
      <c r="D333" s="19" t="inlineStr">
        <is>
          <t>NEW</t>
        </is>
      </c>
      <c r="E333" s="20" t="inlineStr"/>
      <c r="F333" s="19" t="inlineStr"/>
      <c r="G333" s="20" t="inlineStr"/>
      <c r="H333" s="19" t="inlineStr"/>
      <c r="I333" s="21" t="inlineStr">
        <is>
          <t>GUSTAVO LUIZ PEREIRA MACHADO</t>
        </is>
      </c>
      <c r="J333" s="21" t="inlineStr">
        <is>
          <t>Sócio-Administrador (RFB partner)</t>
        </is>
      </c>
      <c r="K333" s="21" t="inlineStr">
        <is>
          <t>(75) 3221-2769</t>
        </is>
      </c>
      <c r="L333" s="21" t="inlineStr"/>
      <c r="M333" s="21" t="inlineStr"/>
      <c r="N333" s="21" t="inlineStr"/>
      <c r="O333" s="21" t="inlineStr"/>
      <c r="P333" s="21" t="inlineStr"/>
      <c r="Q333" s="21" t="inlineStr"/>
      <c r="R333" s="21" t="inlineStr"/>
      <c r="S333" s="21" t="inlineStr"/>
      <c r="T333" s="21" t="inlineStr">
        <is>
          <t>RFB partner (QSA); no Apollo match</t>
        </is>
      </c>
      <c r="U333" s="22" t="n">
        <v>332923.32</v>
      </c>
      <c r="V333" s="23" t="inlineStr">
        <is>
          <t>B</t>
        </is>
      </c>
      <c r="W333" s="24">
        <f>IFERROR(VLOOKUP(V333,Assumptions!$A$7:$F$11,2,FALSE),0)</f>
        <v/>
      </c>
      <c r="X333" s="25">
        <f>IF(V333="A",MAX(1,IFERROR(VLOOKUP(V333,Assumptions!$A$7:$F$11,3,FALSE),3)+IFERROR(VLOOKUP(V333,Assumptions!$A$7:$F$11,4,FALSE),8)/2-MAX(0,IF(AO333="",0,YEAR(TODAY())-AO333)-IFERROR(VLOOKUP(V333,Assumptions!$A$7:$F$11,5,FALSE),1.5))),IFERROR(VLOOKUP(V333,Assumptions!$A$7:$F$11,5,FALSE),2.5)+IFERROR(VLOOKUP(V333,Assumptions!$A$7:$F$11,3,FALSE),3)+IFERROR(VLOOKUP(V333,Assumptions!$A$7:$F$11,4,FALSE),8)/2)</f>
        <v/>
      </c>
      <c r="Y333" s="22">
        <f>U333*W333/(1+Assumptions!$B$3)^X333</f>
        <v/>
      </c>
      <c r="Z333" s="26">
        <f>IF(U333=0,"",ROUND(Y333/U333*100,1))</f>
        <v/>
      </c>
      <c r="AA333" s="27">
        <f>Y333*Assumptions!$B$4</f>
        <v/>
      </c>
      <c r="AB333" s="26">
        <f>IF(U333=0,"",ROUND(AA333/U333*100,1))</f>
        <v/>
      </c>
      <c r="AC333" s="27">
        <f>Y333-AA333</f>
        <v/>
      </c>
      <c r="AD333" s="26">
        <f>IF(U333=0,"",ROUND((Y333-AA333)/U333*100,1))</f>
        <v/>
      </c>
      <c r="AE333" s="34" t="inlineStr">
        <is>
          <t>PARTIAL — class III reconciled, other classes not</t>
        </is>
      </c>
      <c r="AF333" s="29" t="inlineStr">
        <is>
          <t>https://lrflideres.com.br/wp-content/plugins/download-attachments/includes/download.php?id=6252</t>
        </is>
      </c>
      <c r="AG333" s="28" t="inlineStr">
        <is>
          <t>p2 r47</t>
        </is>
      </c>
      <c r="AH333" s="28" t="inlineStr">
        <is>
          <t>p2: R$ 332.923,32</t>
        </is>
      </c>
      <c r="AI333" s="28" t="inlineStr">
        <is>
          <t>AJ list (art. 7 §2)</t>
        </is>
      </c>
      <c r="AJ333" s="28" t="inlineStr">
        <is>
          <t>2024-11-27</t>
        </is>
      </c>
      <c r="AK333" s="28" t="inlineStr">
        <is>
          <t>NONE FOUND</t>
        </is>
      </c>
      <c r="AL333" s="30" t="inlineStr">
        <is>
          <t>0000721-61.2024.8.17.2620</t>
        </is>
      </c>
      <c r="AM333" s="30" t="inlineStr">
        <is>
          <t>TJPE</t>
        </is>
      </c>
      <c r="AN333" s="30" t="inlineStr">
        <is>
          <t>ACTIVE</t>
        </is>
      </c>
      <c r="AO333" s="30" t="n">
        <v>2024</v>
      </c>
      <c r="AP333" s="30" t="inlineStr">
        <is>
          <t>live case, no plan document yet</t>
        </is>
      </c>
      <c r="AQ333" s="30" t="inlineStr">
        <is>
          <t>08.785.522/0001-58</t>
        </is>
      </c>
      <c r="AR333" s="30" t="inlineStr">
        <is>
          <t>printed on the list (read twice)</t>
        </is>
      </c>
      <c r="AS333" s="30" t="inlineStr">
        <is>
          <t>ALAGOINHAS</t>
        </is>
      </c>
      <c r="AT333" s="30" t="inlineStr">
        <is>
          <t>BA</t>
        </is>
      </c>
      <c r="AU333" s="30" t="inlineStr">
        <is>
          <t>Curtimento e outras preparações de couro</t>
        </is>
      </c>
      <c r="AV333" s="30" t="inlineStr">
        <is>
          <t>DEMAIS</t>
        </is>
      </c>
      <c r="AW333" s="31" t="n">
        <v>150000</v>
      </c>
      <c r="AX333" s="30" t="inlineStr">
        <is>
          <t>MID-MARKET</t>
        </is>
      </c>
      <c r="AY333" s="30" t="inlineStr">
        <is>
          <t>28809368</t>
        </is>
      </c>
      <c r="AZ333" s="30" t="n">
        <v>1</v>
      </c>
      <c r="BA333" s="30" t="inlineStr">
        <is>
          <t>PARTIAL_DOC_CLASS_III_RECONCILED ROWS:p2r47</t>
        </is>
      </c>
    </row>
    <row r="334">
      <c r="A334" s="16" t="inlineStr">
        <is>
          <t>PERFILAGES COMERCIO VAREJISTA E ATACADISTA DE ALUMINIO LTDA</t>
        </is>
      </c>
      <c r="B334" s="17" t="n">
        <v>332469.93</v>
      </c>
      <c r="C334" s="18" t="inlineStr">
        <is>
          <t>GRUPO CASAS BAHIA S.A.</t>
        </is>
      </c>
      <c r="D334" s="19" t="inlineStr">
        <is>
          <t>NEW</t>
        </is>
      </c>
      <c r="E334" s="20" t="inlineStr"/>
      <c r="F334" s="19" t="inlineStr"/>
      <c r="G334" s="20" t="inlineStr"/>
      <c r="H334" s="19" t="inlineStr"/>
      <c r="I334" s="21" t="inlineStr">
        <is>
          <t>MARCEL BIANCO RICARDO</t>
        </is>
      </c>
      <c r="J334" s="21" t="inlineStr">
        <is>
          <t>Sócio-Administrador (RFB partner)</t>
        </is>
      </c>
      <c r="K334" s="21" t="inlineStr">
        <is>
          <t>(49) 3225-0075</t>
        </is>
      </c>
      <c r="L334" s="21" t="inlineStr"/>
      <c r="M334" s="21" t="inlineStr"/>
      <c r="N334" s="21" t="inlineStr"/>
      <c r="O334" s="21" t="inlineStr"/>
      <c r="P334" s="21" t="inlineStr"/>
      <c r="Q334" s="21" t="inlineStr"/>
      <c r="R334" s="21" t="inlineStr"/>
      <c r="S334" s="21" t="inlineStr"/>
      <c r="T334" s="21" t="inlineStr">
        <is>
          <t>RFB partner (QSA); no Apollo match</t>
        </is>
      </c>
      <c r="U334" s="22" t="n">
        <v>332469.93</v>
      </c>
      <c r="V334" s="23" t="inlineStr">
        <is>
          <t>B</t>
        </is>
      </c>
      <c r="W334" s="24">
        <f>IFERROR(VLOOKUP(V334,Assumptions!$A$7:$F$11,2,FALSE),0)</f>
        <v/>
      </c>
      <c r="X334" s="25">
        <f>IF(V334="A",MAX(1,IFERROR(VLOOKUP(V334,Assumptions!$A$7:$F$11,3,FALSE),3)+IFERROR(VLOOKUP(V334,Assumptions!$A$7:$F$11,4,FALSE),8)/2-MAX(0,IF(AO334="",0,YEAR(TODAY())-AO334)-IFERROR(VLOOKUP(V334,Assumptions!$A$7:$F$11,5,FALSE),1.5))),IFERROR(VLOOKUP(V334,Assumptions!$A$7:$F$11,5,FALSE),2.5)+IFERROR(VLOOKUP(V334,Assumptions!$A$7:$F$11,3,FALSE),3)+IFERROR(VLOOKUP(V334,Assumptions!$A$7:$F$11,4,FALSE),8)/2)</f>
        <v/>
      </c>
      <c r="Y334" s="22">
        <f>U334*W334/(1+Assumptions!$B$3)^X334</f>
        <v/>
      </c>
      <c r="Z334" s="26">
        <f>IF(U334=0,"",ROUND(Y334/U334*100,1))</f>
        <v/>
      </c>
      <c r="AA334" s="27">
        <f>Y334*Assumptions!$B$4</f>
        <v/>
      </c>
      <c r="AB334" s="26">
        <f>IF(U334=0,"",ROUND(AA334/U334*100,1))</f>
        <v/>
      </c>
      <c r="AC334" s="27">
        <f>Y334-AA334</f>
        <v/>
      </c>
      <c r="AD334" s="26">
        <f>IF(U334=0,"",ROUND((Y334-AA334)/U334*100,1))</f>
        <v/>
      </c>
      <c r="AE334" s="33" t="inlineStr">
        <is>
          <t>NO TOTALS — list prints none; check page</t>
        </is>
      </c>
      <c r="AF334" s="29" t="inlineStr">
        <is>
          <t>https://scalzilliaj.com.br/sgc/download.php?file=files/processo_documento/processo_documento15180810062026_1_.pdf&amp;nome=10 - Relação de credores do art. 7º, §2º, da Lei 11.101/2005</t>
        </is>
      </c>
      <c r="AG334" s="28" t="inlineStr">
        <is>
          <t>p2 r20</t>
        </is>
      </c>
      <c r="AH334" s="28" t="inlineStr">
        <is>
          <t>p2: R$ 332.469,93</t>
        </is>
      </c>
      <c r="AI334" s="28" t="inlineStr">
        <is>
          <t>AJ list (art. 7 §2)</t>
        </is>
      </c>
      <c r="AJ334" s="28" t="inlineStr"/>
      <c r="AK334" s="28" t="inlineStr">
        <is>
          <t>NONE FOUND</t>
        </is>
      </c>
      <c r="AL334" s="30" t="inlineStr">
        <is>
          <t>5009529-81.2025.8.24.0019</t>
        </is>
      </c>
      <c r="AM334" s="30" t="inlineStr">
        <is>
          <t>TJSC</t>
        </is>
      </c>
      <c r="AN334" s="30" t="inlineStr"/>
      <c r="AO334" s="30" t="n">
        <v>2025</v>
      </c>
      <c r="AP334" s="30" t="inlineStr">
        <is>
          <t>live case, no plan document yet</t>
        </is>
      </c>
      <c r="AQ334" s="30" t="inlineStr">
        <is>
          <t>33.041.260/0652-90</t>
        </is>
      </c>
      <c r="AR334" s="30" t="inlineStr">
        <is>
          <t>registry (RFB) match</t>
        </is>
      </c>
      <c r="AS334" s="30" t="inlineStr">
        <is>
          <t>LAGES</t>
        </is>
      </c>
      <c r="AT334" s="30" t="inlineStr">
        <is>
          <t>SC</t>
        </is>
      </c>
      <c r="AU334" s="30" t="inlineStr">
        <is>
          <t>Comércio varejista de ferragens e ferramentas</t>
        </is>
      </c>
      <c r="AV334" s="30" t="inlineStr">
        <is>
          <t>MICRO EMPRESA</t>
        </is>
      </c>
      <c r="AW334" s="31" t="n">
        <v>150000</v>
      </c>
      <c r="AX334" s="30" t="inlineStr">
        <is>
          <t>SMALL</t>
        </is>
      </c>
      <c r="AY334" s="30" t="inlineStr">
        <is>
          <t>21421785</t>
        </is>
      </c>
      <c r="AZ334" s="30" t="n">
        <v>1</v>
      </c>
      <c r="BA334" s="30" t="inlineStr">
        <is>
          <t>ROWS:p2r20 UNRECONCILED_SOURCE</t>
        </is>
      </c>
    </row>
    <row r="335">
      <c r="A335" s="16" t="inlineStr">
        <is>
          <t>LOGIKA DISTRIBUIDORA DE COSMETICOS LTDA</t>
        </is>
      </c>
      <c r="B335" s="17" t="n">
        <v>332242.27</v>
      </c>
      <c r="C335" s="18" t="inlineStr">
        <is>
          <t>GRUPO DP4</t>
        </is>
      </c>
      <c r="D335" s="19" t="inlineStr">
        <is>
          <t>NEW</t>
        </is>
      </c>
      <c r="E335" s="20" t="inlineStr"/>
      <c r="F335" s="19" t="inlineStr"/>
      <c r="G335" s="20" t="inlineStr"/>
      <c r="H335" s="19" t="inlineStr"/>
      <c r="I335" s="21" t="inlineStr">
        <is>
          <t>NEWTON BONIN</t>
        </is>
      </c>
      <c r="J335" s="21" t="inlineStr">
        <is>
          <t>Administrador (RFB partner)</t>
        </is>
      </c>
      <c r="K335" s="21" t="inlineStr">
        <is>
          <t>(41) 3375-2000</t>
        </is>
      </c>
      <c r="L335" s="21" t="inlineStr"/>
      <c r="M335" s="21" t="inlineStr"/>
      <c r="N335" s="21" t="inlineStr"/>
      <c r="O335" s="21" t="inlineStr"/>
      <c r="P335" s="21" t="inlineStr"/>
      <c r="Q335" s="21" t="inlineStr"/>
      <c r="R335" s="21" t="inlineStr"/>
      <c r="S335" s="21" t="inlineStr"/>
      <c r="T335" s="21" t="inlineStr">
        <is>
          <t>RFB partner (QSA); no Apollo match</t>
        </is>
      </c>
      <c r="U335" s="22" t="n">
        <v>332242.27</v>
      </c>
      <c r="V335" s="23" t="inlineStr">
        <is>
          <t>B</t>
        </is>
      </c>
      <c r="W335" s="24">
        <f>IFERROR(VLOOKUP(V335,Assumptions!$A$7:$F$11,2,FALSE),0)</f>
        <v/>
      </c>
      <c r="X335" s="25">
        <f>IF(V335="A",MAX(1,IFERROR(VLOOKUP(V335,Assumptions!$A$7:$F$11,3,FALSE),3)+IFERROR(VLOOKUP(V335,Assumptions!$A$7:$F$11,4,FALSE),8)/2-MAX(0,IF(AO335="",0,YEAR(TODAY())-AO335)-IFERROR(VLOOKUP(V335,Assumptions!$A$7:$F$11,5,FALSE),1.5))),IFERROR(VLOOKUP(V335,Assumptions!$A$7:$F$11,5,FALSE),2.5)+IFERROR(VLOOKUP(V335,Assumptions!$A$7:$F$11,3,FALSE),3)+IFERROR(VLOOKUP(V335,Assumptions!$A$7:$F$11,4,FALSE),8)/2)</f>
        <v/>
      </c>
      <c r="Y335" s="22">
        <f>U335*W335/(1+Assumptions!$B$3)^X335</f>
        <v/>
      </c>
      <c r="Z335" s="26">
        <f>IF(U335=0,"",ROUND(Y335/U335*100,1))</f>
        <v/>
      </c>
      <c r="AA335" s="27">
        <f>Y335*Assumptions!$B$4</f>
        <v/>
      </c>
      <c r="AB335" s="26">
        <f>IF(U335=0,"",ROUND(AA335/U335*100,1))</f>
        <v/>
      </c>
      <c r="AC335" s="27">
        <f>Y335-AA335</f>
        <v/>
      </c>
      <c r="AD335" s="26">
        <f>IF(U335=0,"",ROUND((Y335-AA335)/U335*100,1))</f>
        <v/>
      </c>
      <c r="AE335" s="34" t="inlineStr">
        <is>
          <t>PARTIAL — class III reconciled, other classes not</t>
        </is>
      </c>
      <c r="AF335" s="29" t="inlineStr">
        <is>
          <t>https://marquesadmjudicial.com.br/sgc/download.php?file=files/processo_documento/processo_documento15293208032024_1_.pdf&amp;nome=Relação Nominal de Credores da AJ-Sintética</t>
        </is>
      </c>
      <c r="AG335" s="28" t="inlineStr">
        <is>
          <t>p28 r8</t>
        </is>
      </c>
      <c r="AH335" s="28" t="inlineStr">
        <is>
          <t>p28: R$ 332.242,27</t>
        </is>
      </c>
      <c r="AI335" s="28" t="inlineStr">
        <is>
          <t>AJ list (art. 7 §2)</t>
        </is>
      </c>
      <c r="AJ335" s="28" t="inlineStr">
        <is>
          <t>2023-03-02</t>
        </is>
      </c>
      <c r="AK335" s="28" t="inlineStr">
        <is>
          <t>NONE FOUND</t>
        </is>
      </c>
      <c r="AL335" s="30" t="inlineStr">
        <is>
          <t>0005010-98.2023.8.16.0001</t>
        </is>
      </c>
      <c r="AM335" s="30" t="inlineStr">
        <is>
          <t>TJPR</t>
        </is>
      </c>
      <c r="AN335" s="30" t="inlineStr">
        <is>
          <t>ACTIVE</t>
        </is>
      </c>
      <c r="AO335" s="30" t="n">
        <v>2023</v>
      </c>
      <c r="AP335" s="30" t="inlineStr">
        <is>
          <t>live case, no plan document yet</t>
        </is>
      </c>
      <c r="AQ335" s="30" t="inlineStr"/>
      <c r="AR335" s="30" t="inlineStr">
        <is>
          <t>printed on the list (read twice)</t>
        </is>
      </c>
      <c r="AS335" s="30" t="inlineStr">
        <is>
          <t>SAO JOSE DOS PINHAIS</t>
        </is>
      </c>
      <c r="AT335" s="30" t="inlineStr">
        <is>
          <t>PR</t>
        </is>
      </c>
      <c r="AU335" s="30" t="inlineStr">
        <is>
          <t>Comércio atacadista de cosméticos e produtos de perfumaria</t>
        </is>
      </c>
      <c r="AV335" s="30" t="inlineStr">
        <is>
          <t>DEMAIS</t>
        </is>
      </c>
      <c r="AW335" s="31" t="n">
        <v>100000</v>
      </c>
      <c r="AX335" s="30" t="inlineStr">
        <is>
          <t>MID-MARKET</t>
        </is>
      </c>
      <c r="AY335" s="30" t="inlineStr">
        <is>
          <t>06222722</t>
        </is>
      </c>
      <c r="AZ335" s="30" t="n">
        <v>1</v>
      </c>
      <c r="BA335" s="30" t="inlineStr">
        <is>
          <t>PARTIAL_DOC_CLASS_III_RECONCILED ROWS:p28r8</t>
        </is>
      </c>
    </row>
    <row r="336">
      <c r="A336" s="16" t="inlineStr">
        <is>
          <t>ALGAR AVIATION TAXI AEREO S/A</t>
        </is>
      </c>
      <c r="B336" s="17" t="n">
        <v>620879.4300000001</v>
      </c>
      <c r="C336" s="18" t="inlineStr">
        <is>
          <t>EGESA ENGENHARIA S/A (Consórcio ETDI)</t>
        </is>
      </c>
      <c r="D336" s="19" t="inlineStr">
        <is>
          <t>NEW</t>
        </is>
      </c>
      <c r="E336" s="20" t="inlineStr"/>
      <c r="F336" s="19" t="inlineStr"/>
      <c r="G336" s="20" t="inlineStr"/>
      <c r="H336" s="19" t="inlineStr"/>
      <c r="I336" s="21" t="inlineStr">
        <is>
          <t>FERNANDA APARECIDA SANTOS</t>
        </is>
      </c>
      <c r="J336" s="21" t="inlineStr">
        <is>
          <t>Diretor (RFB partner)</t>
        </is>
      </c>
      <c r="K336" s="21" t="inlineStr">
        <is>
          <t>(34) 2589-4663</t>
        </is>
      </c>
      <c r="L336" s="21" t="inlineStr">
        <is>
          <t>(34) 2589-4662</t>
        </is>
      </c>
      <c r="M336" s="21" t="inlineStr"/>
      <c r="N336" s="21" t="inlineStr"/>
      <c r="O336" s="21" t="inlineStr"/>
      <c r="P336" s="21" t="inlineStr">
        <is>
          <t>LUCIANA FERREIRA NEVES VASCONCELOS</t>
        </is>
      </c>
      <c r="Q336" s="21" t="inlineStr">
        <is>
          <t>Diretor (RFB partner)</t>
        </is>
      </c>
      <c r="R336" s="21" t="inlineStr"/>
      <c r="S336" s="21" t="inlineStr"/>
      <c r="T336" s="21" t="inlineStr">
        <is>
          <t>RFB partner (QSA); no Apollo match</t>
        </is>
      </c>
      <c r="U336" s="22" t="n">
        <v>620879.4300000001</v>
      </c>
      <c r="V336" s="32" t="inlineStr">
        <is>
          <t>U</t>
        </is>
      </c>
      <c r="W336" s="24">
        <f>IFERROR(VLOOKUP(V336,Assumptions!$A$7:$F$11,2,FALSE),0)</f>
        <v/>
      </c>
      <c r="X336" s="25">
        <f>IF(V336="A",MAX(1,IFERROR(VLOOKUP(V336,Assumptions!$A$7:$F$11,3,FALSE),3)+IFERROR(VLOOKUP(V336,Assumptions!$A$7:$F$11,4,FALSE),8)/2-MAX(0,IF(AO336="",0,YEAR(TODAY())-AO336)-IFERROR(VLOOKUP(V336,Assumptions!$A$7:$F$11,5,FALSE),1.5))),IFERROR(VLOOKUP(V336,Assumptions!$A$7:$F$11,5,FALSE),2.5)+IFERROR(VLOOKUP(V336,Assumptions!$A$7:$F$11,3,FALSE),3)+IFERROR(VLOOKUP(V336,Assumptions!$A$7:$F$11,4,FALSE),8)/2)</f>
        <v/>
      </c>
      <c r="Y336" s="22">
        <f>U336*W336/(1+Assumptions!$B$3)^X336</f>
        <v/>
      </c>
      <c r="Z336" s="26">
        <f>IF(U336=0,"",ROUND(Y336/U336*100,1))</f>
        <v/>
      </c>
      <c r="AA336" s="27">
        <f>Y336*Assumptions!$B$4</f>
        <v/>
      </c>
      <c r="AB336" s="26">
        <f>IF(U336=0,"",ROUND(AA336/U336*100,1))</f>
        <v/>
      </c>
      <c r="AC336" s="27">
        <f>Y336-AA336</f>
        <v/>
      </c>
      <c r="AD336" s="26">
        <f>IF(U336=0,"",ROUND((Y336-AA336)/U336*100,1))</f>
        <v/>
      </c>
      <c r="AE336" s="28" t="inlineStr">
        <is>
          <t>OK — totals reconciled</t>
        </is>
      </c>
      <c r="AF336" s="29" t="inlineStr">
        <is>
          <t>https://scalzilliaj.com.br/sgc/download.php?file=files/processo_documento/processo_documento09514021082025_1_.pdf&amp;nome=04 - Relação de credores das Recuperandas</t>
        </is>
      </c>
      <c r="AG336" s="28" t="inlineStr">
        <is>
          <t>p62 r1</t>
        </is>
      </c>
      <c r="AH336" s="28" t="inlineStr">
        <is>
          <t>p62: R$ 620.879,43</t>
        </is>
      </c>
      <c r="AI336" s="28" t="inlineStr">
        <is>
          <t>Debtor list (art. 51)</t>
        </is>
      </c>
      <c r="AJ336" s="28" t="inlineStr"/>
      <c r="AK336" s="28" t="inlineStr">
        <is>
          <t>NONE FOUND</t>
        </is>
      </c>
      <c r="AL336" s="30" t="inlineStr">
        <is>
          <t>(not printed)</t>
        </is>
      </c>
      <c r="AM336" s="30" t="inlineStr"/>
      <c r="AN336" s="30" t="inlineStr"/>
      <c r="AO336" s="30" t="inlineStr"/>
      <c r="AP336" s="30" t="inlineStr">
        <is>
          <t>RJ case number not identified on the document</t>
        </is>
      </c>
      <c r="AQ336" s="30" t="inlineStr"/>
      <c r="AR336" s="30" t="inlineStr">
        <is>
          <t>portal page title / URL — not printed on the list</t>
        </is>
      </c>
      <c r="AS336" s="30" t="inlineStr">
        <is>
          <t>UBERLANDIA</t>
        </is>
      </c>
      <c r="AT336" s="30" t="inlineStr">
        <is>
          <t>MG</t>
        </is>
      </c>
      <c r="AU336" s="30" t="inlineStr">
        <is>
          <t>Serviço de táxi aéreo e locação de aeronaves com tripulação</t>
        </is>
      </c>
      <c r="AV336" s="30" t="inlineStr">
        <is>
          <t>DEMAIS</t>
        </is>
      </c>
      <c r="AW336" s="31" t="n">
        <v>80520610</v>
      </c>
      <c r="AX336" s="30" t="inlineStr">
        <is>
          <t>MID-MARKET</t>
        </is>
      </c>
      <c r="AY336" s="30" t="inlineStr">
        <is>
          <t>17186172</t>
        </is>
      </c>
      <c r="AZ336" s="30" t="n">
        <v>1</v>
      </c>
      <c r="BA336" s="30" t="inlineStr">
        <is>
          <t>ROWS:p62r1 VALUE_COL:Valor_Atualizado CASE_NUMBER_CORRECTED</t>
        </is>
      </c>
    </row>
    <row r="337">
      <c r="A337" s="16" t="inlineStr">
        <is>
          <t>TELEFONICA BRASIL S.A.</t>
        </is>
      </c>
      <c r="B337" s="17" t="n">
        <v>330264.64</v>
      </c>
      <c r="C337" s="18" t="inlineStr">
        <is>
          <t>ASSOCIAÇÃO DE CARIDADE SANTA CASA DO RIO GRANDE</t>
        </is>
      </c>
      <c r="D337" s="19" t="inlineStr">
        <is>
          <t>NEW</t>
        </is>
      </c>
      <c r="E337" s="20" t="inlineStr"/>
      <c r="F337" s="19" t="inlineStr"/>
      <c r="G337" s="20" t="inlineStr"/>
      <c r="H337" s="19" t="inlineStr"/>
      <c r="I337" s="21" t="inlineStr">
        <is>
          <t>Ana Silva</t>
        </is>
      </c>
      <c r="J337" s="21" t="inlineStr">
        <is>
          <t>Gerente Sênior de Cobrança B2B</t>
        </is>
      </c>
      <c r="K337" s="21" t="inlineStr">
        <is>
          <t>(11) 3430-4532</t>
        </is>
      </c>
      <c r="L337" s="21" t="inlineStr"/>
      <c r="M337" s="21" t="inlineStr"/>
      <c r="N337" s="21" t="inlineStr">
        <is>
          <t>ana.silva@vivo.com.br</t>
        </is>
      </c>
      <c r="O337" s="21" t="inlineStr">
        <is>
          <t>wagnersilva@vivo.com.br</t>
        </is>
      </c>
      <c r="P337" s="21" t="inlineStr">
        <is>
          <t>Wagner Silva</t>
        </is>
      </c>
      <c r="Q337" s="21" t="inlineStr">
        <is>
          <t>Gerente de Planejamento de Cobrança B2B</t>
        </is>
      </c>
      <c r="R337" s="21" t="inlineStr"/>
      <c r="S337" s="21" t="inlineStr">
        <is>
          <t>wagnersilva@vivo.com.br</t>
        </is>
      </c>
      <c r="T337" s="21" t="inlineStr">
        <is>
          <t>email verified by Apollo</t>
        </is>
      </c>
      <c r="U337" s="22" t="n">
        <v>330264.64</v>
      </c>
      <c r="V337" s="23" t="inlineStr">
        <is>
          <t>B</t>
        </is>
      </c>
      <c r="W337" s="24">
        <f>IFERROR(VLOOKUP(V337,Assumptions!$A$7:$F$11,2,FALSE),0)</f>
        <v/>
      </c>
      <c r="X337" s="25">
        <f>IF(V337="A",MAX(1,IFERROR(VLOOKUP(V337,Assumptions!$A$7:$F$11,3,FALSE),3)+IFERROR(VLOOKUP(V337,Assumptions!$A$7:$F$11,4,FALSE),8)/2-MAX(0,IF(AO337="",0,YEAR(TODAY())-AO337)-IFERROR(VLOOKUP(V337,Assumptions!$A$7:$F$11,5,FALSE),1.5))),IFERROR(VLOOKUP(V337,Assumptions!$A$7:$F$11,5,FALSE),2.5)+IFERROR(VLOOKUP(V337,Assumptions!$A$7:$F$11,3,FALSE),3)+IFERROR(VLOOKUP(V337,Assumptions!$A$7:$F$11,4,FALSE),8)/2)</f>
        <v/>
      </c>
      <c r="Y337" s="22">
        <f>U337*W337/(1+Assumptions!$B$3)^X337</f>
        <v/>
      </c>
      <c r="Z337" s="26">
        <f>IF(U337=0,"",ROUND(Y337/U337*100,1))</f>
        <v/>
      </c>
      <c r="AA337" s="27">
        <f>Y337*Assumptions!$B$4</f>
        <v/>
      </c>
      <c r="AB337" s="26">
        <f>IF(U337=0,"",ROUND(AA337/U337*100,1))</f>
        <v/>
      </c>
      <c r="AC337" s="27">
        <f>Y337-AA337</f>
        <v/>
      </c>
      <c r="AD337" s="26">
        <f>IF(U337=0,"",ROUND((Y337-AA337)/U337*100,1))</f>
        <v/>
      </c>
      <c r="AE337" s="33" t="inlineStr">
        <is>
          <t>NO TOTALS — list prints none; check page</t>
        </is>
      </c>
      <c r="AF337" s="29" t="inlineStr">
        <is>
          <t>https://scalzilliaj.com.br/sgc/download.php?file=files/processo_documento/processo_documento09120721032023_1_.pdf&amp;nome=15 - Edital do art. 7º, §2º e 53 da Lei 11.101/2005 (segunda lista de credores e recebimento do plano))</t>
        </is>
      </c>
      <c r="AG337" s="28" t="inlineStr">
        <is>
          <t>p30 r13</t>
        </is>
      </c>
      <c r="AH337" s="28" t="inlineStr">
        <is>
          <t>p30: R$ 330.264,64</t>
        </is>
      </c>
      <c r="AI337" s="28" t="inlineStr">
        <is>
          <t>AJ list (art. 7 §2)</t>
        </is>
      </c>
      <c r="AJ337" s="28" t="inlineStr">
        <is>
          <t>2023-03-21</t>
        </is>
      </c>
      <c r="AK337" s="28" t="inlineStr">
        <is>
          <t>NONE FOUND</t>
        </is>
      </c>
      <c r="AL337" s="30" t="inlineStr">
        <is>
          <t>5012306-16.2022.8.21.0023</t>
        </is>
      </c>
      <c r="AM337" s="30" t="inlineStr">
        <is>
          <t>TJRS</t>
        </is>
      </c>
      <c r="AN337" s="30" t="inlineStr">
        <is>
          <t>ACTIVE</t>
        </is>
      </c>
      <c r="AO337" s="30" t="n">
        <v>2022</v>
      </c>
      <c r="AP337" s="30" t="inlineStr">
        <is>
          <t>live case, no plan document yet</t>
        </is>
      </c>
      <c r="AQ337" s="30" t="inlineStr"/>
      <c r="AR337" s="30" t="inlineStr">
        <is>
          <t>printed on the list (read twice)</t>
        </is>
      </c>
      <c r="AS337" s="30" t="inlineStr">
        <is>
          <t>SAO PAULO</t>
        </is>
      </c>
      <c r="AT337" s="30" t="inlineStr">
        <is>
          <t>SP</t>
        </is>
      </c>
      <c r="AU337" s="30" t="inlineStr">
        <is>
          <t>Serviços de telecomunicações sem fio não especificados anteriormente</t>
        </is>
      </c>
      <c r="AV337" s="30" t="inlineStr">
        <is>
          <t>DEMAIS</t>
        </is>
      </c>
      <c r="AW337" s="31" t="n">
        <v>56071418000</v>
      </c>
      <c r="AX337" s="30" t="inlineStr">
        <is>
          <t>LARGE CORP</t>
        </is>
      </c>
      <c r="AY337" s="30" t="inlineStr">
        <is>
          <t>02558157</t>
        </is>
      </c>
      <c r="AZ337" s="30" t="n">
        <v>1</v>
      </c>
      <c r="BA337" s="30" t="inlineStr">
        <is>
          <t>ROWS:p30r13 UNRECONCILED_SOURCE</t>
        </is>
      </c>
    </row>
    <row r="338">
      <c r="A338" s="16" t="inlineStr">
        <is>
          <t>AIR LIQUIDE BRASIL LTDA</t>
        </is>
      </c>
      <c r="B338" s="17" t="n">
        <v>329122.66</v>
      </c>
      <c r="C338" s="18" t="inlineStr">
        <is>
          <t>ASSOCIAÇÃO DE CARIDADE SANTA CASA DO RIO GRANDE</t>
        </is>
      </c>
      <c r="D338" s="19" t="inlineStr">
        <is>
          <t>NEW</t>
        </is>
      </c>
      <c r="E338" s="20" t="inlineStr"/>
      <c r="F338" s="19" t="inlineStr"/>
      <c r="G338" s="20" t="inlineStr"/>
      <c r="H338" s="19" t="inlineStr"/>
      <c r="I338" s="21" t="inlineStr">
        <is>
          <t>JEMIMA BARBOSA MORANDI</t>
        </is>
      </c>
      <c r="J338" s="21" t="inlineStr">
        <is>
          <t>Administrador (RFB partner)</t>
        </is>
      </c>
      <c r="K338" s="21" t="inlineStr">
        <is>
          <t>(11) 5509-8300</t>
        </is>
      </c>
      <c r="L338" s="21" t="inlineStr"/>
      <c r="M338" s="21" t="inlineStr"/>
      <c r="N338" s="21" t="inlineStr"/>
      <c r="O338" s="21" t="inlineStr"/>
      <c r="P338" s="21" t="inlineStr">
        <is>
          <t>MICHELLE MAXIMIANO MARTINS</t>
        </is>
      </c>
      <c r="Q338" s="21" t="inlineStr">
        <is>
          <t>Administrador (RFB partner)</t>
        </is>
      </c>
      <c r="R338" s="21" t="inlineStr"/>
      <c r="S338" s="21" t="inlineStr"/>
      <c r="T338" s="21" t="inlineStr">
        <is>
          <t>RFB partner (QSA); no Apollo match</t>
        </is>
      </c>
      <c r="U338" s="22" t="n">
        <v>329122.66</v>
      </c>
      <c r="V338" s="23" t="inlineStr">
        <is>
          <t>B</t>
        </is>
      </c>
      <c r="W338" s="24">
        <f>IFERROR(VLOOKUP(V338,Assumptions!$A$7:$F$11,2,FALSE),0)</f>
        <v/>
      </c>
      <c r="X338" s="25">
        <f>IF(V338="A",MAX(1,IFERROR(VLOOKUP(V338,Assumptions!$A$7:$F$11,3,FALSE),3)+IFERROR(VLOOKUP(V338,Assumptions!$A$7:$F$11,4,FALSE),8)/2-MAX(0,IF(AO338="",0,YEAR(TODAY())-AO338)-IFERROR(VLOOKUP(V338,Assumptions!$A$7:$F$11,5,FALSE),1.5))),IFERROR(VLOOKUP(V338,Assumptions!$A$7:$F$11,5,FALSE),2.5)+IFERROR(VLOOKUP(V338,Assumptions!$A$7:$F$11,3,FALSE),3)+IFERROR(VLOOKUP(V338,Assumptions!$A$7:$F$11,4,FALSE),8)/2)</f>
        <v/>
      </c>
      <c r="Y338" s="22">
        <f>U338*W338/(1+Assumptions!$B$3)^X338</f>
        <v/>
      </c>
      <c r="Z338" s="26">
        <f>IF(U338=0,"",ROUND(Y338/U338*100,1))</f>
        <v/>
      </c>
      <c r="AA338" s="27">
        <f>Y338*Assumptions!$B$4</f>
        <v/>
      </c>
      <c r="AB338" s="26">
        <f>IF(U338=0,"",ROUND(AA338/U338*100,1))</f>
        <v/>
      </c>
      <c r="AC338" s="27">
        <f>Y338-AA338</f>
        <v/>
      </c>
      <c r="AD338" s="26">
        <f>IF(U338=0,"",ROUND((Y338-AA338)/U338*100,1))</f>
        <v/>
      </c>
      <c r="AE338" s="33" t="inlineStr">
        <is>
          <t>NO TOTALS — list prints none; check page</t>
        </is>
      </c>
      <c r="AF338" s="29" t="inlineStr">
        <is>
          <t>https://scalzilliaj.com.br/sgc/download.php?file=files/processo_documento/processo_documento09120721032023_1_.pdf&amp;nome=15 - Edital do art. 7º, §2º e 53 da Lei 11.101/2005 (segunda lista de credores e recebimento do plano))</t>
        </is>
      </c>
      <c r="AG338" s="28" t="inlineStr">
        <is>
          <t>p25 r45</t>
        </is>
      </c>
      <c r="AH338" s="28" t="inlineStr">
        <is>
          <t>p25: R$ 329.122,66</t>
        </is>
      </c>
      <c r="AI338" s="28" t="inlineStr">
        <is>
          <t>AJ list (art. 7 §2)</t>
        </is>
      </c>
      <c r="AJ338" s="28" t="inlineStr">
        <is>
          <t>2023-03-21</t>
        </is>
      </c>
      <c r="AK338" s="28" t="inlineStr">
        <is>
          <t>NONE FOUND</t>
        </is>
      </c>
      <c r="AL338" s="30" t="inlineStr">
        <is>
          <t>5012306-16.2022.8.21.0023</t>
        </is>
      </c>
      <c r="AM338" s="30" t="inlineStr">
        <is>
          <t>TJRS</t>
        </is>
      </c>
      <c r="AN338" s="30" t="inlineStr">
        <is>
          <t>ACTIVE</t>
        </is>
      </c>
      <c r="AO338" s="30" t="n">
        <v>2022</v>
      </c>
      <c r="AP338" s="30" t="inlineStr">
        <is>
          <t>live case, no plan document yet</t>
        </is>
      </c>
      <c r="AQ338" s="30" t="inlineStr"/>
      <c r="AR338" s="30" t="inlineStr">
        <is>
          <t>printed on the list (read twice)</t>
        </is>
      </c>
      <c r="AS338" s="30" t="inlineStr">
        <is>
          <t>SAO PAULO</t>
        </is>
      </c>
      <c r="AT338" s="30" t="inlineStr">
        <is>
          <t>SP</t>
        </is>
      </c>
      <c r="AU338" s="30" t="inlineStr">
        <is>
          <t>Fabricação de gases industriais</t>
        </is>
      </c>
      <c r="AV338" s="30" t="inlineStr">
        <is>
          <t>DEMAIS</t>
        </is>
      </c>
      <c r="AW338" s="31" t="n">
        <v>1240442000</v>
      </c>
      <c r="AX338" s="30" t="inlineStr">
        <is>
          <t>LARGE CORP</t>
        </is>
      </c>
      <c r="AY338" s="30" t="inlineStr">
        <is>
          <t>00331788</t>
        </is>
      </c>
      <c r="AZ338" s="30" t="n">
        <v>1</v>
      </c>
      <c r="BA338" s="30" t="inlineStr">
        <is>
          <t>ROWS:p25r45 UNRECONCILED_SOURCE</t>
        </is>
      </c>
    </row>
    <row r="339">
      <c r="A339" s="16" t="inlineStr">
        <is>
          <t>CAMESA INDUSTRIA TEXTIL LTDA</t>
        </is>
      </c>
      <c r="B339" s="17" t="n">
        <v>328879.9</v>
      </c>
      <c r="C339" s="18" t="inlineStr">
        <is>
          <t>GRUPO CATTAN</t>
        </is>
      </c>
      <c r="D339" s="19" t="inlineStr">
        <is>
          <t>NEW</t>
        </is>
      </c>
      <c r="E339" s="20" t="inlineStr"/>
      <c r="F339" s="19" t="inlineStr"/>
      <c r="G339" s="20" t="inlineStr"/>
      <c r="H339" s="19" t="inlineStr"/>
      <c r="I339" s="21" t="inlineStr">
        <is>
          <t>ALBERTO HAKIM</t>
        </is>
      </c>
      <c r="J339" s="21" t="inlineStr">
        <is>
          <t>Sócio-Administrador (RFB partner)</t>
        </is>
      </c>
      <c r="K339" s="21" t="inlineStr">
        <is>
          <t>(11) 2431-5000</t>
        </is>
      </c>
      <c r="L339" s="21" t="inlineStr"/>
      <c r="M339" s="21" t="inlineStr"/>
      <c r="N339" s="21" t="inlineStr"/>
      <c r="O339" s="21" t="inlineStr"/>
      <c r="P339" s="21" t="inlineStr">
        <is>
          <t>DAVID HAKIM</t>
        </is>
      </c>
      <c r="Q339" s="21" t="inlineStr">
        <is>
          <t>Sócio-Administrador (RFB partner)</t>
        </is>
      </c>
      <c r="R339" s="21" t="inlineStr"/>
      <c r="S339" s="21" t="inlineStr"/>
      <c r="T339" s="21" t="inlineStr">
        <is>
          <t>RFB partner (QSA); no Apollo match</t>
        </is>
      </c>
      <c r="U339" s="22" t="n">
        <v>328879.9</v>
      </c>
      <c r="V339" s="23" t="inlineStr">
        <is>
          <t>B</t>
        </is>
      </c>
      <c r="W339" s="24">
        <f>IFERROR(VLOOKUP(V339,Assumptions!$A$7:$F$11,2,FALSE),0)</f>
        <v/>
      </c>
      <c r="X339" s="25">
        <f>IF(V339="A",MAX(1,IFERROR(VLOOKUP(V339,Assumptions!$A$7:$F$11,3,FALSE),3)+IFERROR(VLOOKUP(V339,Assumptions!$A$7:$F$11,4,FALSE),8)/2-MAX(0,IF(AO339="",0,YEAR(TODAY())-AO339)-IFERROR(VLOOKUP(V339,Assumptions!$A$7:$F$11,5,FALSE),1.5))),IFERROR(VLOOKUP(V339,Assumptions!$A$7:$F$11,5,FALSE),2.5)+IFERROR(VLOOKUP(V339,Assumptions!$A$7:$F$11,3,FALSE),3)+IFERROR(VLOOKUP(V339,Assumptions!$A$7:$F$11,4,FALSE),8)/2)</f>
        <v/>
      </c>
      <c r="Y339" s="22">
        <f>U339*W339/(1+Assumptions!$B$3)^X339</f>
        <v/>
      </c>
      <c r="Z339" s="26">
        <f>IF(U339=0,"",ROUND(Y339/U339*100,1))</f>
        <v/>
      </c>
      <c r="AA339" s="27">
        <f>Y339*Assumptions!$B$4</f>
        <v/>
      </c>
      <c r="AB339" s="26">
        <f>IF(U339=0,"",ROUND(AA339/U339*100,1))</f>
        <v/>
      </c>
      <c r="AC339" s="27">
        <f>Y339-AA339</f>
        <v/>
      </c>
      <c r="AD339" s="26">
        <f>IF(U339=0,"",ROUND((Y339-AA339)/U339*100,1))</f>
        <v/>
      </c>
      <c r="AE339" s="34" t="inlineStr">
        <is>
          <t>PARTIAL — class III reconciled, other classes not</t>
        </is>
      </c>
      <c r="AF339" s="29" t="inlineStr">
        <is>
          <t>https://lrflideres.com.br/wp-content/plugins/download-attachments/includes/download.php?id=4023</t>
        </is>
      </c>
      <c r="AG339" s="28" t="inlineStr">
        <is>
          <t>p4 r59; p7 r83; p9 r61</t>
        </is>
      </c>
      <c r="AH339" s="28" t="inlineStr">
        <is>
          <t>p4: R$ 96.102,78; p7: R$ 208.821,37; p9: R$ 23.955,75</t>
        </is>
      </c>
      <c r="AI339" s="28" t="inlineStr">
        <is>
          <t>Debtor list (art. 51)</t>
        </is>
      </c>
      <c r="AJ339" s="28" t="inlineStr"/>
      <c r="AK339" s="28" t="inlineStr">
        <is>
          <t>NONE FOUND</t>
        </is>
      </c>
      <c r="AL339" s="30" t="inlineStr">
        <is>
          <t>0002484-82.2022.8.17.2001</t>
        </is>
      </c>
      <c r="AM339" s="30" t="inlineStr">
        <is>
          <t>TJPE</t>
        </is>
      </c>
      <c r="AN339" s="30" t="inlineStr">
        <is>
          <t>ACTIVE</t>
        </is>
      </c>
      <c r="AO339" s="30" t="n">
        <v>2022</v>
      </c>
      <c r="AP339" s="30" t="inlineStr">
        <is>
          <t>live case, no plan document yet</t>
        </is>
      </c>
      <c r="AQ339" s="30" t="inlineStr"/>
      <c r="AR339" s="30" t="inlineStr">
        <is>
          <t>printed on the list (read twice)</t>
        </is>
      </c>
      <c r="AS339" s="30" t="inlineStr">
        <is>
          <t>GUARULHOS</t>
        </is>
      </c>
      <c r="AT339" s="30" t="inlineStr">
        <is>
          <t>SP</t>
        </is>
      </c>
      <c r="AU339" s="30" t="inlineStr">
        <is>
          <t>Fabricação de tecidos de malha</t>
        </is>
      </c>
      <c r="AV339" s="30" t="inlineStr">
        <is>
          <t>DEMAIS</t>
        </is>
      </c>
      <c r="AW339" s="31" t="n">
        <v>1500000</v>
      </c>
      <c r="AX339" s="30" t="inlineStr">
        <is>
          <t>MID-MARKET</t>
        </is>
      </c>
      <c r="AY339" s="30" t="inlineStr">
        <is>
          <t>43672716</t>
        </is>
      </c>
      <c r="AZ339" s="30" t="n">
        <v>3</v>
      </c>
      <c r="BA339" s="30" t="inlineStr">
        <is>
          <t>PARTIAL_DOC_CLASS_III_RECONCILED ROWS:p4r59,p7r83,p9r61</t>
        </is>
      </c>
    </row>
    <row r="340">
      <c r="A340" s="16" t="inlineStr">
        <is>
          <t>URTIGAO COMERCIO REPRESENTACOES E TRANSPORTES LTDA</t>
        </is>
      </c>
      <c r="B340" s="17" t="n">
        <v>328800</v>
      </c>
      <c r="C340" s="18" t="inlineStr">
        <is>
          <t>ENIVALDO BARELLA TIRONI, MATEUS MANHANI BARELLA, LEILA REGINA MANHANI BARELLA, B&amp;F AGRO COMÉRCIO DE GRÃOS E INSUMOS AGRÍCOLAS LTDA, BARELLA &amp; FILHOS LTDA E M M LOCAÇÃO EIRELI</t>
        </is>
      </c>
      <c r="D340" s="19" t="inlineStr">
        <is>
          <t>NEW</t>
        </is>
      </c>
      <c r="E340" s="20" t="inlineStr"/>
      <c r="F340" s="19" t="inlineStr"/>
      <c r="G340" s="20" t="inlineStr"/>
      <c r="H340" s="19" t="inlineStr"/>
      <c r="I340" s="21" t="inlineStr">
        <is>
          <t>ADEMAR ANTONIO FRANCISCONI</t>
        </is>
      </c>
      <c r="J340" s="21" t="inlineStr">
        <is>
          <t>Sócio-Administrador (RFB partner)</t>
        </is>
      </c>
      <c r="K340" s="21" t="inlineStr">
        <is>
          <t>(67) 3423-0045</t>
        </is>
      </c>
      <c r="L340" s="21" t="inlineStr"/>
      <c r="M340" s="21" t="inlineStr"/>
      <c r="N340" s="21" t="inlineStr"/>
      <c r="O340" s="21" t="inlineStr"/>
      <c r="P340" s="21" t="inlineStr">
        <is>
          <t>MARCELO ANDRE CANEPPELE GREGORIUS</t>
        </is>
      </c>
      <c r="Q340" s="21" t="inlineStr">
        <is>
          <t>Sócio-Administrador (RFB partner)</t>
        </is>
      </c>
      <c r="R340" s="21" t="inlineStr"/>
      <c r="S340" s="21" t="inlineStr"/>
      <c r="T340" s="21" t="inlineStr">
        <is>
          <t>RFB partner (QSA); no Apollo match</t>
        </is>
      </c>
      <c r="U340" s="22" t="n">
        <v>328800</v>
      </c>
      <c r="V340" s="23" t="inlineStr">
        <is>
          <t>B</t>
        </is>
      </c>
      <c r="W340" s="24">
        <f>IFERROR(VLOOKUP(V340,Assumptions!$A$7:$F$11,2,FALSE),0)</f>
        <v/>
      </c>
      <c r="X340" s="25">
        <f>IF(V340="A",MAX(1,IFERROR(VLOOKUP(V340,Assumptions!$A$7:$F$11,3,FALSE),3)+IFERROR(VLOOKUP(V340,Assumptions!$A$7:$F$11,4,FALSE),8)/2-MAX(0,IF(AO340="",0,YEAR(TODAY())-AO340)-IFERROR(VLOOKUP(V340,Assumptions!$A$7:$F$11,5,FALSE),1.5))),IFERROR(VLOOKUP(V340,Assumptions!$A$7:$F$11,5,FALSE),2.5)+IFERROR(VLOOKUP(V340,Assumptions!$A$7:$F$11,3,FALSE),3)+IFERROR(VLOOKUP(V340,Assumptions!$A$7:$F$11,4,FALSE),8)/2)</f>
        <v/>
      </c>
      <c r="Y340" s="22">
        <f>U340*W340/(1+Assumptions!$B$3)^X340</f>
        <v/>
      </c>
      <c r="Z340" s="26">
        <f>IF(U340=0,"",ROUND(Y340/U340*100,1))</f>
        <v/>
      </c>
      <c r="AA340" s="27">
        <f>Y340*Assumptions!$B$4</f>
        <v/>
      </c>
      <c r="AB340" s="26">
        <f>IF(U340=0,"",ROUND(AA340/U340*100,1))</f>
        <v/>
      </c>
      <c r="AC340" s="27">
        <f>Y340-AA340</f>
        <v/>
      </c>
      <c r="AD340" s="26">
        <f>IF(U340=0,"",ROUND((Y340-AA340)/U340*100,1))</f>
        <v/>
      </c>
      <c r="AE340" s="33" t="inlineStr">
        <is>
          <t>NO TOTALS — list prints none; check page</t>
        </is>
      </c>
      <c r="AF340" s="29" t="inlineStr">
        <is>
          <t>https://scalzilliaj.com.br/sgc/download.php?file=files/processo_documento/processo_documento15542620022025_1_.pdf&amp;nome=11 - Relação de credores - art. 7º, §2º, da LREF</t>
        </is>
      </c>
      <c r="AG340" s="28" t="inlineStr">
        <is>
          <t>p1 r14</t>
        </is>
      </c>
      <c r="AH340" s="28" t="inlineStr">
        <is>
          <t>p1: R$ 328.800,00</t>
        </is>
      </c>
      <c r="AI340" s="28" t="inlineStr">
        <is>
          <t>AJ list (art. 7 §2)</t>
        </is>
      </c>
      <c r="AJ340" s="28" t="inlineStr">
        <is>
          <t>2025-02-19</t>
        </is>
      </c>
      <c r="AK340" s="28" t="inlineStr">
        <is>
          <t>NONE FOUND</t>
        </is>
      </c>
      <c r="AL340" s="30" t="inlineStr">
        <is>
          <t>0028131-73.2024.8.16.0017</t>
        </is>
      </c>
      <c r="AM340" s="30" t="inlineStr">
        <is>
          <t>TJPR</t>
        </is>
      </c>
      <c r="AN340" s="30" t="inlineStr">
        <is>
          <t>ACTIVE</t>
        </is>
      </c>
      <c r="AO340" s="30" t="n">
        <v>2024</v>
      </c>
      <c r="AP340" s="30" t="inlineStr">
        <is>
          <t>live case, no plan document yet</t>
        </is>
      </c>
      <c r="AQ340" s="30" t="inlineStr">
        <is>
          <t>23.706.398/0001-81</t>
        </is>
      </c>
      <c r="AR340" s="30" t="inlineStr">
        <is>
          <t>printed on the list (read twice)</t>
        </is>
      </c>
      <c r="AS340" s="30" t="inlineStr">
        <is>
          <t>CAARAPO</t>
        </is>
      </c>
      <c r="AT340" s="30" t="inlineStr">
        <is>
          <t>MS</t>
        </is>
      </c>
      <c r="AU340" s="30" t="inlineStr">
        <is>
          <t>Representantes comerciais e agentes do comércio de matérias-primas agrícolas e animais vivos</t>
        </is>
      </c>
      <c r="AV340" s="30" t="inlineStr">
        <is>
          <t>DEMAIS</t>
        </is>
      </c>
      <c r="AW340" s="31" t="n">
        <v>6000000</v>
      </c>
      <c r="AX340" s="30" t="inlineStr">
        <is>
          <t>MID-MARKET</t>
        </is>
      </c>
      <c r="AY340" s="30" t="inlineStr">
        <is>
          <t>04647810</t>
        </is>
      </c>
      <c r="AZ340" s="30" t="n">
        <v>1</v>
      </c>
      <c r="BA340" s="30" t="inlineStr">
        <is>
          <t>ROWS:p1r14 UNRECONCILED_SOURCE</t>
        </is>
      </c>
    </row>
    <row r="341">
      <c r="A341" s="16" t="inlineStr">
        <is>
          <t>PRO-COLOR QUIMICA SUL LTDA</t>
        </is>
      </c>
      <c r="B341" s="17" t="n">
        <v>325517.44</v>
      </c>
      <c r="C341" s="18" t="inlineStr">
        <is>
          <t>AZEPLAST INDÚSTRIA E COMÉRCIO LTDA</t>
        </is>
      </c>
      <c r="D341" s="19" t="inlineStr">
        <is>
          <t>NEW</t>
        </is>
      </c>
      <c r="E341" s="20" t="inlineStr"/>
      <c r="F341" s="19" t="inlineStr"/>
      <c r="G341" s="20" t="inlineStr"/>
      <c r="H341" s="19" t="inlineStr"/>
      <c r="I341" s="21" t="inlineStr">
        <is>
          <t>ROBERTO CLAUSS</t>
        </is>
      </c>
      <c r="J341" s="21" t="inlineStr">
        <is>
          <t>Sócio-Administrador (RFB partner)</t>
        </is>
      </c>
      <c r="K341" s="21" t="inlineStr">
        <is>
          <t>(47) 8814-9733</t>
        </is>
      </c>
      <c r="L341" s="21" t="inlineStr"/>
      <c r="M341" s="21" t="inlineStr"/>
      <c r="N341" s="21" t="inlineStr"/>
      <c r="O341" s="21" t="inlineStr"/>
      <c r="P341" s="21" t="inlineStr"/>
      <c r="Q341" s="21" t="inlineStr"/>
      <c r="R341" s="21" t="inlineStr"/>
      <c r="S341" s="21" t="inlineStr"/>
      <c r="T341" s="21" t="inlineStr">
        <is>
          <t>RFB partner (QSA); no Apollo match</t>
        </is>
      </c>
      <c r="U341" s="22" t="n">
        <v>325517.44</v>
      </c>
      <c r="V341" s="23" t="inlineStr">
        <is>
          <t>B</t>
        </is>
      </c>
      <c r="W341" s="24">
        <f>IFERROR(VLOOKUP(V341,Assumptions!$A$7:$F$11,2,FALSE),0)</f>
        <v/>
      </c>
      <c r="X341" s="25">
        <f>IF(V341="A",MAX(1,IFERROR(VLOOKUP(V341,Assumptions!$A$7:$F$11,3,FALSE),3)+IFERROR(VLOOKUP(V341,Assumptions!$A$7:$F$11,4,FALSE),8)/2-MAX(0,IF(AO341="",0,YEAR(TODAY())-AO341)-IFERROR(VLOOKUP(V341,Assumptions!$A$7:$F$11,5,FALSE),1.5))),IFERROR(VLOOKUP(V341,Assumptions!$A$7:$F$11,5,FALSE),2.5)+IFERROR(VLOOKUP(V341,Assumptions!$A$7:$F$11,3,FALSE),3)+IFERROR(VLOOKUP(V341,Assumptions!$A$7:$F$11,4,FALSE),8)/2)</f>
        <v/>
      </c>
      <c r="Y341" s="22">
        <f>U341*W341/(1+Assumptions!$B$3)^X341</f>
        <v/>
      </c>
      <c r="Z341" s="26">
        <f>IF(U341=0,"",ROUND(Y341/U341*100,1))</f>
        <v/>
      </c>
      <c r="AA341" s="27">
        <f>Y341*Assumptions!$B$4</f>
        <v/>
      </c>
      <c r="AB341" s="26">
        <f>IF(U341=0,"",ROUND(AA341/U341*100,1))</f>
        <v/>
      </c>
      <c r="AC341" s="27">
        <f>Y341-AA341</f>
        <v/>
      </c>
      <c r="AD341" s="26">
        <f>IF(U341=0,"",ROUND((Y341-AA341)/U341*100,1))</f>
        <v/>
      </c>
      <c r="AE341" s="34" t="inlineStr">
        <is>
          <t>PARTIAL — class III reconciled, other classes not</t>
        </is>
      </c>
      <c r="AF341" s="29" t="inlineStr">
        <is>
          <t>https://ajruiz.com.br/sites/default/files/public/arquivos-processos/2026-08/qgc_azeplast_julho_2026.pdf</t>
        </is>
      </c>
      <c r="AG341" s="28" t="inlineStr">
        <is>
          <t>p2 r7</t>
        </is>
      </c>
      <c r="AH341" s="28" t="inlineStr">
        <is>
          <t>p2: R$ 325.517,44</t>
        </is>
      </c>
      <c r="AI341" s="28" t="inlineStr">
        <is>
          <t>QGC (art. 18)</t>
        </is>
      </c>
      <c r="AJ341" s="28" t="inlineStr"/>
      <c r="AK341" s="28" t="inlineStr">
        <is>
          <t>NONE FOUND</t>
        </is>
      </c>
      <c r="AL341" s="30" t="inlineStr">
        <is>
          <t>5008793-34.2023.8.24.0019</t>
        </is>
      </c>
      <c r="AM341" s="30" t="inlineStr">
        <is>
          <t>TJSC</t>
        </is>
      </c>
      <c r="AN341" s="30" t="inlineStr">
        <is>
          <t>ACTIVE</t>
        </is>
      </c>
      <c r="AO341" s="30" t="n">
        <v>2023</v>
      </c>
      <c r="AP341" s="30" t="inlineStr">
        <is>
          <t>live case, no plan document yet</t>
        </is>
      </c>
      <c r="AQ341" s="30" t="inlineStr">
        <is>
          <t>05.378.317/0001-80</t>
        </is>
      </c>
      <c r="AR341" s="30" t="inlineStr">
        <is>
          <t>printed on the list (read twice)</t>
        </is>
      </c>
      <c r="AS341" s="30" t="inlineStr">
        <is>
          <t>JARAGUA DO SUL</t>
        </is>
      </c>
      <c r="AT341" s="30" t="inlineStr">
        <is>
          <t>SC</t>
        </is>
      </c>
      <c r="AU341" s="30" t="inlineStr">
        <is>
          <t>Comércio atacadista de resinas e elastômeros</t>
        </is>
      </c>
      <c r="AV341" s="30" t="inlineStr">
        <is>
          <t>DEMAIS</t>
        </is>
      </c>
      <c r="AW341" s="31" t="n">
        <v>60000</v>
      </c>
      <c r="AX341" s="30" t="inlineStr">
        <is>
          <t>MID-MARKET</t>
        </is>
      </c>
      <c r="AY341" s="30" t="inlineStr">
        <is>
          <t>19966141</t>
        </is>
      </c>
      <c r="AZ341" s="30" t="n">
        <v>1</v>
      </c>
      <c r="BA341" s="30" t="inlineStr">
        <is>
          <t>PARTIAL_DOC_CLASS_III_RECONCILED ROWS:p2r7</t>
        </is>
      </c>
    </row>
    <row r="342">
      <c r="A342" s="16" t="inlineStr">
        <is>
          <t>TEXMAR CONFECCOES E MALHAS LTDA</t>
        </is>
      </c>
      <c r="B342" s="17" t="n">
        <v>324707</v>
      </c>
      <c r="C342" s="18" t="inlineStr">
        <is>
          <t>GRUPO CATTAN</t>
        </is>
      </c>
      <c r="D342" s="19" t="inlineStr">
        <is>
          <t>NEW</t>
        </is>
      </c>
      <c r="E342" s="20" t="inlineStr"/>
      <c r="F342" s="19" t="inlineStr"/>
      <c r="G342" s="20" t="inlineStr"/>
      <c r="H342" s="19" t="inlineStr"/>
      <c r="I342" s="21" t="inlineStr">
        <is>
          <t>Lucia Rodrigues</t>
        </is>
      </c>
      <c r="J342" s="21" t="inlineStr">
        <is>
          <t>Financial Analyst</t>
        </is>
      </c>
      <c r="K342" s="21" t="inlineStr">
        <is>
          <t>(11) 2696-2020</t>
        </is>
      </c>
      <c r="L342" s="21" t="inlineStr"/>
      <c r="M342" s="21" t="inlineStr"/>
      <c r="N342" s="21" t="inlineStr"/>
      <c r="O342" s="21" t="inlineStr"/>
      <c r="P342" s="21" t="inlineStr">
        <is>
          <t>Flavia Hiar</t>
        </is>
      </c>
      <c r="Q342" s="21" t="inlineStr">
        <is>
          <t>Supervisor Fiscal</t>
        </is>
      </c>
      <c r="R342" s="21" t="inlineStr"/>
      <c r="S342" s="21" t="inlineStr"/>
      <c r="T342" s="21" t="inlineStr">
        <is>
          <t>no work email found in Apollo</t>
        </is>
      </c>
      <c r="U342" s="22" t="n">
        <v>324707</v>
      </c>
      <c r="V342" s="23" t="inlineStr">
        <is>
          <t>B</t>
        </is>
      </c>
      <c r="W342" s="24">
        <f>IFERROR(VLOOKUP(V342,Assumptions!$A$7:$F$11,2,FALSE),0)</f>
        <v/>
      </c>
      <c r="X342" s="25">
        <f>IF(V342="A",MAX(1,IFERROR(VLOOKUP(V342,Assumptions!$A$7:$F$11,3,FALSE),3)+IFERROR(VLOOKUP(V342,Assumptions!$A$7:$F$11,4,FALSE),8)/2-MAX(0,IF(AO342="",0,YEAR(TODAY())-AO342)-IFERROR(VLOOKUP(V342,Assumptions!$A$7:$F$11,5,FALSE),1.5))),IFERROR(VLOOKUP(V342,Assumptions!$A$7:$F$11,5,FALSE),2.5)+IFERROR(VLOOKUP(V342,Assumptions!$A$7:$F$11,3,FALSE),3)+IFERROR(VLOOKUP(V342,Assumptions!$A$7:$F$11,4,FALSE),8)/2)</f>
        <v/>
      </c>
      <c r="Y342" s="22">
        <f>U342*W342/(1+Assumptions!$B$3)^X342</f>
        <v/>
      </c>
      <c r="Z342" s="26">
        <f>IF(U342=0,"",ROUND(Y342/U342*100,1))</f>
        <v/>
      </c>
      <c r="AA342" s="27">
        <f>Y342*Assumptions!$B$4</f>
        <v/>
      </c>
      <c r="AB342" s="26">
        <f>IF(U342=0,"",ROUND(AA342/U342*100,1))</f>
        <v/>
      </c>
      <c r="AC342" s="27">
        <f>Y342-AA342</f>
        <v/>
      </c>
      <c r="AD342" s="26">
        <f>IF(U342=0,"",ROUND((Y342-AA342)/U342*100,1))</f>
        <v/>
      </c>
      <c r="AE342" s="34" t="inlineStr">
        <is>
          <t>PARTIAL — class III reconciled, other classes not</t>
        </is>
      </c>
      <c r="AF342" s="29" t="inlineStr">
        <is>
          <t>https://lrflideres.com.br/wp-content/plugins/download-attachments/includes/download.php?id=4023</t>
        </is>
      </c>
      <c r="AG342" s="28" t="inlineStr">
        <is>
          <t>p4 r93; p7 r124; p9 r90</t>
        </is>
      </c>
      <c r="AH342" s="28" t="inlineStr">
        <is>
          <t>p4: R$ 80.697,40; p7: R$ 194.032,20; p9: R$ 49.977,40</t>
        </is>
      </c>
      <c r="AI342" s="28" t="inlineStr">
        <is>
          <t>Debtor list (art. 51)</t>
        </is>
      </c>
      <c r="AJ342" s="28" t="inlineStr"/>
      <c r="AK342" s="28" t="inlineStr">
        <is>
          <t>NONE FOUND</t>
        </is>
      </c>
      <c r="AL342" s="30" t="inlineStr">
        <is>
          <t>0002484-82.2022.8.17.2001</t>
        </is>
      </c>
      <c r="AM342" s="30" t="inlineStr">
        <is>
          <t>TJPE</t>
        </is>
      </c>
      <c r="AN342" s="30" t="inlineStr">
        <is>
          <t>ACTIVE</t>
        </is>
      </c>
      <c r="AO342" s="30" t="n">
        <v>2022</v>
      </c>
      <c r="AP342" s="30" t="inlineStr">
        <is>
          <t>live case, no plan document yet</t>
        </is>
      </c>
      <c r="AQ342" s="30" t="inlineStr"/>
      <c r="AR342" s="30" t="inlineStr">
        <is>
          <t>printed on the list (read twice)</t>
        </is>
      </c>
      <c r="AS342" s="30" t="inlineStr">
        <is>
          <t>SAO PAULO</t>
        </is>
      </c>
      <c r="AT342" s="30" t="inlineStr">
        <is>
          <t>SP</t>
        </is>
      </c>
      <c r="AU342" s="30" t="inlineStr">
        <is>
          <t>Confecção de peças de vestuário, exceto roupas íntimas e as confeccionadas sob medida</t>
        </is>
      </c>
      <c r="AV342" s="30" t="inlineStr">
        <is>
          <t>DEMAIS</t>
        </is>
      </c>
      <c r="AW342" s="31" t="n">
        <v>10000</v>
      </c>
      <c r="AX342" s="30" t="inlineStr">
        <is>
          <t>MID-MARKET</t>
        </is>
      </c>
      <c r="AY342" s="30" t="inlineStr">
        <is>
          <t>43342153</t>
        </is>
      </c>
      <c r="AZ342" s="30" t="n">
        <v>3</v>
      </c>
      <c r="BA342" s="30" t="inlineStr">
        <is>
          <t>PARTIAL_DOC_CLASS_III_RECONCILED ROWS:p4r93,p7r124,p9r90</t>
        </is>
      </c>
    </row>
    <row r="343">
      <c r="A343" s="16" t="inlineStr">
        <is>
          <t>MC-JU INDUSTRIA E COMERCIO DE CONFECCOES LTDA EM RECUPERACAO JUDICIAL</t>
        </is>
      </c>
      <c r="B343" s="17" t="n">
        <v>322411.79</v>
      </c>
      <c r="C343" s="18" t="inlineStr">
        <is>
          <t>GRUPO CATTAN</t>
        </is>
      </c>
      <c r="D343" s="19" t="inlineStr">
        <is>
          <t>NEW</t>
        </is>
      </c>
      <c r="E343" s="20" t="inlineStr"/>
      <c r="F343" s="19" t="inlineStr"/>
      <c r="G343" s="20" t="inlineStr"/>
      <c r="H343" s="19" t="inlineStr"/>
      <c r="I343" s="21" t="inlineStr">
        <is>
          <t>MARCELO KOHLER</t>
        </is>
      </c>
      <c r="J343" s="21" t="inlineStr">
        <is>
          <t>Sócio-Administrador (RFB partner)</t>
        </is>
      </c>
      <c r="K343" s="21" t="inlineStr">
        <is>
          <t>(47) 3354-0377</t>
        </is>
      </c>
      <c r="L343" s="21" t="inlineStr"/>
      <c r="M343" s="21" t="inlineStr"/>
      <c r="N343" s="21" t="inlineStr"/>
      <c r="O343" s="21" t="inlineStr"/>
      <c r="P343" s="21" t="inlineStr"/>
      <c r="Q343" s="21" t="inlineStr"/>
      <c r="R343" s="21" t="inlineStr"/>
      <c r="S343" s="21" t="inlineStr"/>
      <c r="T343" s="21" t="inlineStr">
        <is>
          <t>RFB partner (QSA); no Apollo match</t>
        </is>
      </c>
      <c r="U343" s="22" t="n">
        <v>322411.79</v>
      </c>
      <c r="V343" s="23" t="inlineStr">
        <is>
          <t>B</t>
        </is>
      </c>
      <c r="W343" s="24">
        <f>IFERROR(VLOOKUP(V343,Assumptions!$A$7:$F$11,2,FALSE),0)</f>
        <v/>
      </c>
      <c r="X343" s="25">
        <f>IF(V343="A",MAX(1,IFERROR(VLOOKUP(V343,Assumptions!$A$7:$F$11,3,FALSE),3)+IFERROR(VLOOKUP(V343,Assumptions!$A$7:$F$11,4,FALSE),8)/2-MAX(0,IF(AO343="",0,YEAR(TODAY())-AO343)-IFERROR(VLOOKUP(V343,Assumptions!$A$7:$F$11,5,FALSE),1.5))),IFERROR(VLOOKUP(V343,Assumptions!$A$7:$F$11,5,FALSE),2.5)+IFERROR(VLOOKUP(V343,Assumptions!$A$7:$F$11,3,FALSE),3)+IFERROR(VLOOKUP(V343,Assumptions!$A$7:$F$11,4,FALSE),8)/2)</f>
        <v/>
      </c>
      <c r="Y343" s="22">
        <f>U343*W343/(1+Assumptions!$B$3)^X343</f>
        <v/>
      </c>
      <c r="Z343" s="26">
        <f>IF(U343=0,"",ROUND(Y343/U343*100,1))</f>
        <v/>
      </c>
      <c r="AA343" s="27">
        <f>Y343*Assumptions!$B$4</f>
        <v/>
      </c>
      <c r="AB343" s="26">
        <f>IF(U343=0,"",ROUND(AA343/U343*100,1))</f>
        <v/>
      </c>
      <c r="AC343" s="27">
        <f>Y343-AA343</f>
        <v/>
      </c>
      <c r="AD343" s="26">
        <f>IF(U343=0,"",ROUND((Y343-AA343)/U343*100,1))</f>
        <v/>
      </c>
      <c r="AE343" s="34" t="inlineStr">
        <is>
          <t>PARTIAL — class III reconciled, other classes not</t>
        </is>
      </c>
      <c r="AF343" s="29" t="inlineStr">
        <is>
          <t>https://lrflideres.com.br/wp-content/plugins/download-attachments/includes/download.php?id=4023</t>
        </is>
      </c>
      <c r="AG343" s="28" t="inlineStr">
        <is>
          <t>p4 r88; p7 r112; p9 r85</t>
        </is>
      </c>
      <c r="AH343" s="28" t="inlineStr">
        <is>
          <t>p4: R$ 49.601,55; p7: R$ 224.858,54; p9: R$ 47.951,70</t>
        </is>
      </c>
      <c r="AI343" s="28" t="inlineStr">
        <is>
          <t>Debtor list (art. 51)</t>
        </is>
      </c>
      <c r="AJ343" s="28" t="inlineStr"/>
      <c r="AK343" s="28" t="inlineStr">
        <is>
          <t>NONE FOUND</t>
        </is>
      </c>
      <c r="AL343" s="30" t="inlineStr">
        <is>
          <t>0002484-82.2022.8.17.2001</t>
        </is>
      </c>
      <c r="AM343" s="30" t="inlineStr">
        <is>
          <t>TJPE</t>
        </is>
      </c>
      <c r="AN343" s="30" t="inlineStr">
        <is>
          <t>ACTIVE</t>
        </is>
      </c>
      <c r="AO343" s="30" t="n">
        <v>2022</v>
      </c>
      <c r="AP343" s="30" t="inlineStr">
        <is>
          <t>live case, no plan document yet</t>
        </is>
      </c>
      <c r="AQ343" s="30" t="inlineStr"/>
      <c r="AR343" s="30" t="inlineStr">
        <is>
          <t>printed on the list (read twice)</t>
        </is>
      </c>
      <c r="AS343" s="30" t="inlineStr">
        <is>
          <t>GUABIRUBA</t>
        </is>
      </c>
      <c r="AT343" s="30" t="inlineStr">
        <is>
          <t>SC</t>
        </is>
      </c>
      <c r="AU343" s="30" t="inlineStr">
        <is>
          <t>Confecção de peças de vestuário, exceto roupas íntimas e as confeccionadas sob medida</t>
        </is>
      </c>
      <c r="AV343" s="30" t="inlineStr">
        <is>
          <t>DEMAIS</t>
        </is>
      </c>
      <c r="AW343" s="31" t="n">
        <v>5309145</v>
      </c>
      <c r="AX343" s="30" t="inlineStr">
        <is>
          <t>MID-MARKET</t>
        </is>
      </c>
      <c r="AY343" s="30" t="inlineStr">
        <is>
          <t>83201111</t>
        </is>
      </c>
      <c r="AZ343" s="30" t="n">
        <v>3</v>
      </c>
      <c r="BA343" s="30" t="inlineStr">
        <is>
          <t>PARTIAL_DOC_CLASS_III_RECONCILED ROWS:p4r88,p7r112,p9r85</t>
        </is>
      </c>
    </row>
    <row r="344">
      <c r="A344" s="16" t="inlineStr">
        <is>
          <t>POLIJUTA INDUSTRIA E COMERCIO DE EMBALAGENS LTDA</t>
        </is>
      </c>
      <c r="B344" s="17" t="n">
        <v>321041.01</v>
      </c>
      <c r="C344" s="18" t="inlineStr">
        <is>
          <t>TOP TEXTIL EMBALAGENS LTDA</t>
        </is>
      </c>
      <c r="D344" s="19" t="inlineStr">
        <is>
          <t>NEW</t>
        </is>
      </c>
      <c r="E344" s="20" t="inlineStr"/>
      <c r="F344" s="19" t="inlineStr"/>
      <c r="G344" s="20" t="inlineStr"/>
      <c r="H344" s="19" t="inlineStr"/>
      <c r="I344" s="21" t="inlineStr">
        <is>
          <t>Andrezza Araujo</t>
        </is>
      </c>
      <c r="J344" s="21" t="inlineStr">
        <is>
          <t>Gestora Administrativa Financeira</t>
        </is>
      </c>
      <c r="K344" s="21" t="inlineStr">
        <is>
          <t>(42) 3627-7722</t>
        </is>
      </c>
      <c r="L344" s="21" t="inlineStr"/>
      <c r="M344" s="21" t="inlineStr"/>
      <c r="N344" s="21" t="inlineStr"/>
      <c r="O344" s="21" t="inlineStr">
        <is>
          <t>contabilidade4@polijuta.com.br</t>
        </is>
      </c>
      <c r="P344" s="21" t="inlineStr">
        <is>
          <t>Michelle Osti</t>
        </is>
      </c>
      <c r="Q344" s="21" t="inlineStr">
        <is>
          <t>Supervisora Contábil e Fiscal</t>
        </is>
      </c>
      <c r="R344" s="21" t="inlineStr"/>
      <c r="S344" s="21" t="inlineStr">
        <is>
          <t>contabilidade4@polijuta.com.br</t>
        </is>
      </c>
      <c r="T344" s="21" t="inlineStr">
        <is>
          <t>no work email found in Apollo</t>
        </is>
      </c>
      <c r="U344" s="22" t="n">
        <v>321041.01</v>
      </c>
      <c r="V344" s="23" t="inlineStr">
        <is>
          <t>B</t>
        </is>
      </c>
      <c r="W344" s="24">
        <f>IFERROR(VLOOKUP(V344,Assumptions!$A$7:$F$11,2,FALSE),0)</f>
        <v/>
      </c>
      <c r="X344" s="25">
        <f>IF(V344="A",MAX(1,IFERROR(VLOOKUP(V344,Assumptions!$A$7:$F$11,3,FALSE),3)+IFERROR(VLOOKUP(V344,Assumptions!$A$7:$F$11,4,FALSE),8)/2-MAX(0,IF(AO344="",0,YEAR(TODAY())-AO344)-IFERROR(VLOOKUP(V344,Assumptions!$A$7:$F$11,5,FALSE),1.5))),IFERROR(VLOOKUP(V344,Assumptions!$A$7:$F$11,5,FALSE),2.5)+IFERROR(VLOOKUP(V344,Assumptions!$A$7:$F$11,3,FALSE),3)+IFERROR(VLOOKUP(V344,Assumptions!$A$7:$F$11,4,FALSE),8)/2)</f>
        <v/>
      </c>
      <c r="Y344" s="22">
        <f>U344*W344/(1+Assumptions!$B$3)^X344</f>
        <v/>
      </c>
      <c r="Z344" s="26">
        <f>IF(U344=0,"",ROUND(Y344/U344*100,1))</f>
        <v/>
      </c>
      <c r="AA344" s="27">
        <f>Y344*Assumptions!$B$4</f>
        <v/>
      </c>
      <c r="AB344" s="26">
        <f>IF(U344=0,"",ROUND(AA344/U344*100,1))</f>
        <v/>
      </c>
      <c r="AC344" s="27">
        <f>Y344-AA344</f>
        <v/>
      </c>
      <c r="AD344" s="26">
        <f>IF(U344=0,"",ROUND((Y344-AA344)/U344*100,1))</f>
        <v/>
      </c>
      <c r="AE344" s="33" t="inlineStr">
        <is>
          <t>NO TOTALS — list prints none; check page</t>
        </is>
      </c>
      <c r="AF344" s="29" t="inlineStr">
        <is>
          <t>https://cataliseaj.com.br/sgc/download.php?file=files/processo_documento/processo_documento15092204102024_1_.pdf&amp;nome=02. RELAÇÃO DE CREDORES</t>
        </is>
      </c>
      <c r="AG344" s="28" t="inlineStr">
        <is>
          <t>p3 r4</t>
        </is>
      </c>
      <c r="AH344" s="28" t="inlineStr">
        <is>
          <t>p3: R$ 321.041,01</t>
        </is>
      </c>
      <c r="AI344" s="28" t="inlineStr">
        <is>
          <t>Debtor list (art. 51)</t>
        </is>
      </c>
      <c r="AJ344" s="28" t="inlineStr"/>
      <c r="AK344" s="28" t="inlineStr">
        <is>
          <t>NONE FOUND</t>
        </is>
      </c>
      <c r="AL344" s="30" t="inlineStr">
        <is>
          <t>5011460-87.2023.8.24.0020</t>
        </is>
      </c>
      <c r="AM344" s="30" t="inlineStr">
        <is>
          <t>TJSC</t>
        </is>
      </c>
      <c r="AN344" s="30" t="inlineStr">
        <is>
          <t>ACTIVE</t>
        </is>
      </c>
      <c r="AO344" s="30" t="n">
        <v>2023</v>
      </c>
      <c r="AP344" s="30" t="inlineStr">
        <is>
          <t>live case, no plan document yet</t>
        </is>
      </c>
      <c r="AQ344" s="30" t="inlineStr">
        <is>
          <t>26.588.741/0001-29</t>
        </is>
      </c>
      <c r="AR344" s="30" t="inlineStr">
        <is>
          <t>printed on the list (read twice)</t>
        </is>
      </c>
      <c r="AS344" s="30" t="inlineStr">
        <is>
          <t>GUARAPUAVA</t>
        </is>
      </c>
      <c r="AT344" s="30" t="inlineStr">
        <is>
          <t>PR</t>
        </is>
      </c>
      <c r="AU344" s="30" t="inlineStr">
        <is>
          <t>Fabricação de embalagens de material plástico</t>
        </is>
      </c>
      <c r="AV344" s="30" t="inlineStr">
        <is>
          <t>DEMAIS</t>
        </is>
      </c>
      <c r="AW344" s="31" t="n">
        <v>15000000</v>
      </c>
      <c r="AX344" s="30" t="inlineStr">
        <is>
          <t>MID-MARKET</t>
        </is>
      </c>
      <c r="AY344" s="30" t="inlineStr">
        <is>
          <t>82270281</t>
        </is>
      </c>
      <c r="AZ344" s="30" t="n">
        <v>1</v>
      </c>
      <c r="BA344" s="30" t="inlineStr">
        <is>
          <t>ROWS:p3r4 UNRECONCILED_SOURCE</t>
        </is>
      </c>
    </row>
    <row r="345">
      <c r="A345" s="16" t="inlineStr">
        <is>
          <t>HORUS DO BRASIL INDUSTRIA DE IMPLEMENTOS E PECAS AGRICOLAS LTDA</t>
        </is>
      </c>
      <c r="B345" s="17" t="n">
        <v>320280.42</v>
      </c>
      <c r="C345" s="18" t="inlineStr">
        <is>
          <t>Grupo Rech</t>
        </is>
      </c>
      <c r="D345" s="19" t="inlineStr">
        <is>
          <t>NEW</t>
        </is>
      </c>
      <c r="E345" s="20" t="inlineStr"/>
      <c r="F345" s="19" t="inlineStr"/>
      <c r="G345" s="20" t="inlineStr"/>
      <c r="H345" s="19" t="inlineStr"/>
      <c r="I345" s="21" t="inlineStr">
        <is>
          <t>BRUNO PEREIRA DUARTE</t>
        </is>
      </c>
      <c r="J345" s="21" t="inlineStr">
        <is>
          <t>Sócio-Administrador (RFB partner)</t>
        </is>
      </c>
      <c r="K345" s="21" t="inlineStr">
        <is>
          <t>(55) 8122-1378</t>
        </is>
      </c>
      <c r="L345" s="21" t="inlineStr"/>
      <c r="M345" s="21" t="inlineStr"/>
      <c r="N345" s="21" t="inlineStr"/>
      <c r="O345" s="21" t="inlineStr"/>
      <c r="P345" s="21" t="inlineStr">
        <is>
          <t>MARCELO RODRIGO SCHONS</t>
        </is>
      </c>
      <c r="Q345" s="21" t="inlineStr">
        <is>
          <t>Sócio-Administrador (RFB partner)</t>
        </is>
      </c>
      <c r="R345" s="21" t="inlineStr"/>
      <c r="S345" s="21" t="inlineStr"/>
      <c r="T345" s="21" t="inlineStr">
        <is>
          <t>RFB partner (QSA); no Apollo match</t>
        </is>
      </c>
      <c r="U345" s="22" t="n">
        <v>320280.42</v>
      </c>
      <c r="V345" s="23" t="inlineStr">
        <is>
          <t>B</t>
        </is>
      </c>
      <c r="W345" s="24">
        <f>IFERROR(VLOOKUP(V345,Assumptions!$A$7:$F$11,2,FALSE),0)</f>
        <v/>
      </c>
      <c r="X345" s="25">
        <f>IF(V345="A",MAX(1,IFERROR(VLOOKUP(V345,Assumptions!$A$7:$F$11,3,FALSE),3)+IFERROR(VLOOKUP(V345,Assumptions!$A$7:$F$11,4,FALSE),8)/2-MAX(0,IF(AO345="",0,YEAR(TODAY())-AO345)-IFERROR(VLOOKUP(V345,Assumptions!$A$7:$F$11,5,FALSE),1.5))),IFERROR(VLOOKUP(V345,Assumptions!$A$7:$F$11,5,FALSE),2.5)+IFERROR(VLOOKUP(V345,Assumptions!$A$7:$F$11,3,FALSE),3)+IFERROR(VLOOKUP(V345,Assumptions!$A$7:$F$11,4,FALSE),8)/2)</f>
        <v/>
      </c>
      <c r="Y345" s="22">
        <f>U345*W345/(1+Assumptions!$B$3)^X345</f>
        <v/>
      </c>
      <c r="Z345" s="26">
        <f>IF(U345=0,"",ROUND(Y345/U345*100,1))</f>
        <v/>
      </c>
      <c r="AA345" s="27">
        <f>Y345*Assumptions!$B$4</f>
        <v/>
      </c>
      <c r="AB345" s="26">
        <f>IF(U345=0,"",ROUND(AA345/U345*100,1))</f>
        <v/>
      </c>
      <c r="AC345" s="27">
        <f>Y345-AA345</f>
        <v/>
      </c>
      <c r="AD345" s="26">
        <f>IF(U345=0,"",ROUND((Y345-AA345)/U345*100,1))</f>
        <v/>
      </c>
      <c r="AE345" s="36" t="inlineStr">
        <is>
          <t>CHECK — source is not a statutory creditor list</t>
        </is>
      </c>
      <c r="AF345" s="29" t="inlineStr">
        <is>
          <t>https://credibilita.com.br/wp-content/uploads/2025/09/Relacao-Credores-29.04.2026.pdf</t>
        </is>
      </c>
      <c r="AG345" s="28" t="inlineStr">
        <is>
          <t>p1 r25</t>
        </is>
      </c>
      <c r="AH345" s="28" t="inlineStr">
        <is>
          <t>p1: R$ 320.280,42</t>
        </is>
      </c>
      <c r="AI345" s="28" t="inlineStr">
        <is>
          <t>Quorum list — NOT an art. 7/51 list</t>
        </is>
      </c>
      <c r="AJ345" s="28" t="inlineStr"/>
      <c r="AK345" s="28" t="inlineStr">
        <is>
          <t>NONE FOUND</t>
        </is>
      </c>
      <c r="AL345" s="30" t="inlineStr">
        <is>
          <t>5057720-48.2025.8.24.0023</t>
        </is>
      </c>
      <c r="AM345" s="30" t="inlineStr">
        <is>
          <t>TJSC</t>
        </is>
      </c>
      <c r="AN345" s="30" t="inlineStr"/>
      <c r="AO345" s="30" t="n">
        <v>2025</v>
      </c>
      <c r="AP345" s="30" t="inlineStr">
        <is>
          <t>live case, no plan document yet</t>
        </is>
      </c>
      <c r="AQ345" s="30" t="inlineStr"/>
      <c r="AR345" s="30" t="inlineStr">
        <is>
          <t>portal page title / URL — not printed on the list</t>
        </is>
      </c>
      <c r="AS345" s="30" t="inlineStr">
        <is>
          <t>SANTA ROSA</t>
        </is>
      </c>
      <c r="AT345" s="30" t="inlineStr">
        <is>
          <t>RS</t>
        </is>
      </c>
      <c r="AU345" s="30" t="inlineStr">
        <is>
          <t>Fabricação de máquinas e equipamentos para a agricultura e pecuária, peças e acessórios, exceto para irrigação</t>
        </is>
      </c>
      <c r="AV345" s="30" t="inlineStr">
        <is>
          <t>EMPRESA DE PEQUENO PORTE</t>
        </is>
      </c>
      <c r="AW345" s="31" t="n">
        <v>100000</v>
      </c>
      <c r="AX345" s="30" t="inlineStr">
        <is>
          <t>SMALL</t>
        </is>
      </c>
      <c r="AY345" s="30" t="inlineStr">
        <is>
          <t>46495282</t>
        </is>
      </c>
      <c r="AZ345" s="30" t="n">
        <v>1</v>
      </c>
      <c r="BA345" s="30" t="inlineStr">
        <is>
          <t>ROWS:p1r25 UNRECONCILED_SOURCE VALUE_COL:Valor_Após_Analise CASE_NUMBER_CORRECTED</t>
        </is>
      </c>
    </row>
    <row r="346">
      <c r="A346" s="16" t="inlineStr">
        <is>
          <t>MARTINS CRUZ SOLUCOES AGRICOLAS LTDA</t>
        </is>
      </c>
      <c r="B346" s="17" t="n">
        <v>314029.75</v>
      </c>
      <c r="C346" s="18" t="inlineStr">
        <is>
          <t>Grupo Rech</t>
        </is>
      </c>
      <c r="D346" s="19" t="inlineStr">
        <is>
          <t>NEW</t>
        </is>
      </c>
      <c r="E346" s="20" t="inlineStr"/>
      <c r="F346" s="19" t="inlineStr"/>
      <c r="G346" s="20" t="inlineStr"/>
      <c r="H346" s="19" t="inlineStr"/>
      <c r="I346" s="21" t="inlineStr">
        <is>
          <t>EGBERT KOHLER</t>
        </is>
      </c>
      <c r="J346" s="21" t="inlineStr">
        <is>
          <t>Administrador (RFB partner)</t>
        </is>
      </c>
      <c r="K346" s="21" t="inlineStr">
        <is>
          <t>(16) 3203-1800</t>
        </is>
      </c>
      <c r="L346" s="21" t="inlineStr"/>
      <c r="M346" s="21" t="inlineStr"/>
      <c r="N346" s="21" t="inlineStr"/>
      <c r="O346" s="21" t="inlineStr"/>
      <c r="P346" s="21" t="inlineStr"/>
      <c r="Q346" s="21" t="inlineStr"/>
      <c r="R346" s="21" t="inlineStr"/>
      <c r="S346" s="21" t="inlineStr"/>
      <c r="T346" s="21" t="inlineStr">
        <is>
          <t>RFB partner (QSA); no Apollo match</t>
        </is>
      </c>
      <c r="U346" s="22" t="n">
        <v>314029.75</v>
      </c>
      <c r="V346" s="23" t="inlineStr">
        <is>
          <t>B</t>
        </is>
      </c>
      <c r="W346" s="24">
        <f>IFERROR(VLOOKUP(V346,Assumptions!$A$7:$F$11,2,FALSE),0)</f>
        <v/>
      </c>
      <c r="X346" s="25">
        <f>IF(V346="A",MAX(1,IFERROR(VLOOKUP(V346,Assumptions!$A$7:$F$11,3,FALSE),3)+IFERROR(VLOOKUP(V346,Assumptions!$A$7:$F$11,4,FALSE),8)/2-MAX(0,IF(AO346="",0,YEAR(TODAY())-AO346)-IFERROR(VLOOKUP(V346,Assumptions!$A$7:$F$11,5,FALSE),1.5))),IFERROR(VLOOKUP(V346,Assumptions!$A$7:$F$11,5,FALSE),2.5)+IFERROR(VLOOKUP(V346,Assumptions!$A$7:$F$11,3,FALSE),3)+IFERROR(VLOOKUP(V346,Assumptions!$A$7:$F$11,4,FALSE),8)/2)</f>
        <v/>
      </c>
      <c r="Y346" s="22">
        <f>U346*W346/(1+Assumptions!$B$3)^X346</f>
        <v/>
      </c>
      <c r="Z346" s="26">
        <f>IF(U346=0,"",ROUND(Y346/U346*100,1))</f>
        <v/>
      </c>
      <c r="AA346" s="27">
        <f>Y346*Assumptions!$B$4</f>
        <v/>
      </c>
      <c r="AB346" s="26">
        <f>IF(U346=0,"",ROUND(AA346/U346*100,1))</f>
        <v/>
      </c>
      <c r="AC346" s="27">
        <f>Y346-AA346</f>
        <v/>
      </c>
      <c r="AD346" s="26">
        <f>IF(U346=0,"",ROUND((Y346-AA346)/U346*100,1))</f>
        <v/>
      </c>
      <c r="AE346" s="36" t="inlineStr">
        <is>
          <t>CHECK — source is not a statutory creditor list</t>
        </is>
      </c>
      <c r="AF346" s="29" t="inlineStr">
        <is>
          <t>https://credibilita.com.br/wp-content/uploads/2025/09/Relacao-Credores-29.04.2026.pdf</t>
        </is>
      </c>
      <c r="AG346" s="28" t="inlineStr">
        <is>
          <t>p2 r3</t>
        </is>
      </c>
      <c r="AH346" s="28" t="inlineStr">
        <is>
          <t>p2: R$ 314.029,75</t>
        </is>
      </c>
      <c r="AI346" s="28" t="inlineStr">
        <is>
          <t>Quorum list — NOT an art. 7/51 list</t>
        </is>
      </c>
      <c r="AJ346" s="28" t="inlineStr"/>
      <c r="AK346" s="28" t="inlineStr">
        <is>
          <t>NONE FOUND</t>
        </is>
      </c>
      <c r="AL346" s="30" t="inlineStr">
        <is>
          <t>5057720-48.2025.8.24.0023</t>
        </is>
      </c>
      <c r="AM346" s="30" t="inlineStr">
        <is>
          <t>TJSC</t>
        </is>
      </c>
      <c r="AN346" s="30" t="inlineStr"/>
      <c r="AO346" s="30" t="n">
        <v>2025</v>
      </c>
      <c r="AP346" s="30" t="inlineStr">
        <is>
          <t>live case, no plan document yet</t>
        </is>
      </c>
      <c r="AQ346" s="30" t="inlineStr"/>
      <c r="AR346" s="30" t="inlineStr">
        <is>
          <t>portal page title / URL — not printed on the list</t>
        </is>
      </c>
      <c r="AS346" s="30" t="inlineStr">
        <is>
          <t>JABOTICABAL</t>
        </is>
      </c>
      <c r="AT346" s="30" t="inlineStr">
        <is>
          <t>SP</t>
        </is>
      </c>
      <c r="AU346" s="30" t="inlineStr">
        <is>
          <t>Fabricação de máquinas e equipamentos para a agricultura e pecuária, peças e acessórios, exceto para irrigação</t>
        </is>
      </c>
      <c r="AV346" s="30" t="inlineStr">
        <is>
          <t>DEMAIS</t>
        </is>
      </c>
      <c r="AW346" s="31" t="n">
        <v>19849272</v>
      </c>
      <c r="AX346" s="30" t="inlineStr">
        <is>
          <t>MID-MARKET</t>
        </is>
      </c>
      <c r="AY346" s="30" t="inlineStr">
        <is>
          <t>50378389</t>
        </is>
      </c>
      <c r="AZ346" s="30" t="n">
        <v>1</v>
      </c>
      <c r="BA346" s="30" t="inlineStr">
        <is>
          <t>ROWS:p2r3 UNRECONCILED_SOURCE VALUE_COL:Valor_Após_Analise CASE_NUMBER_CORRECTED</t>
        </is>
      </c>
    </row>
    <row r="347">
      <c r="A347" s="16" t="inlineStr">
        <is>
          <t>DALMOLIN CONSTRUTORA E ADMINISTRADORA DE BENS PROPRIOS LTDA</t>
        </is>
      </c>
      <c r="B347" s="17" t="n">
        <v>311424</v>
      </c>
      <c r="C347" s="18" t="inlineStr">
        <is>
          <t>GRUPO CASAS BAHIA S.A.</t>
        </is>
      </c>
      <c r="D347" s="19" t="inlineStr">
        <is>
          <t>NEW</t>
        </is>
      </c>
      <c r="E347" s="20" t="inlineStr"/>
      <c r="F347" s="19" t="inlineStr"/>
      <c r="G347" s="20" t="inlineStr"/>
      <c r="H347" s="19" t="inlineStr"/>
      <c r="I347" s="21" t="inlineStr">
        <is>
          <t>EDIO LUIS DALMOLIN</t>
        </is>
      </c>
      <c r="J347" s="21" t="inlineStr">
        <is>
          <t>Sócio-Administrador (RFB partner)</t>
        </is>
      </c>
      <c r="K347" s="21" t="inlineStr">
        <is>
          <t>(49) 8801-2826</t>
        </is>
      </c>
      <c r="L347" s="21" t="inlineStr"/>
      <c r="M347" s="21" t="inlineStr"/>
      <c r="N347" s="21" t="inlineStr"/>
      <c r="O347" s="21" t="inlineStr"/>
      <c r="P347" s="21" t="inlineStr"/>
      <c r="Q347" s="21" t="inlineStr"/>
      <c r="R347" s="21" t="inlineStr"/>
      <c r="S347" s="21" t="inlineStr"/>
      <c r="T347" s="21" t="inlineStr">
        <is>
          <t>RFB partner (QSA); no Apollo match</t>
        </is>
      </c>
      <c r="U347" s="22" t="n">
        <v>311424</v>
      </c>
      <c r="V347" s="23" t="inlineStr">
        <is>
          <t>B</t>
        </is>
      </c>
      <c r="W347" s="24">
        <f>IFERROR(VLOOKUP(V347,Assumptions!$A$7:$F$11,2,FALSE),0)</f>
        <v/>
      </c>
      <c r="X347" s="25">
        <f>IF(V347="A",MAX(1,IFERROR(VLOOKUP(V347,Assumptions!$A$7:$F$11,3,FALSE),3)+IFERROR(VLOOKUP(V347,Assumptions!$A$7:$F$11,4,FALSE),8)/2-MAX(0,IF(AO347="",0,YEAR(TODAY())-AO347)-IFERROR(VLOOKUP(V347,Assumptions!$A$7:$F$11,5,FALSE),1.5))),IFERROR(VLOOKUP(V347,Assumptions!$A$7:$F$11,5,FALSE),2.5)+IFERROR(VLOOKUP(V347,Assumptions!$A$7:$F$11,3,FALSE),3)+IFERROR(VLOOKUP(V347,Assumptions!$A$7:$F$11,4,FALSE),8)/2)</f>
        <v/>
      </c>
      <c r="Y347" s="22">
        <f>U347*W347/(1+Assumptions!$B$3)^X347</f>
        <v/>
      </c>
      <c r="Z347" s="26">
        <f>IF(U347=0,"",ROUND(Y347/U347*100,1))</f>
        <v/>
      </c>
      <c r="AA347" s="27">
        <f>Y347*Assumptions!$B$4</f>
        <v/>
      </c>
      <c r="AB347" s="26">
        <f>IF(U347=0,"",ROUND(AA347/U347*100,1))</f>
        <v/>
      </c>
      <c r="AC347" s="27">
        <f>Y347-AA347</f>
        <v/>
      </c>
      <c r="AD347" s="26">
        <f>IF(U347=0,"",ROUND((Y347-AA347)/U347*100,1))</f>
        <v/>
      </c>
      <c r="AE347" s="33" t="inlineStr">
        <is>
          <t>NO TOTALS — list prints none; check page</t>
        </is>
      </c>
      <c r="AF347" s="29" t="inlineStr">
        <is>
          <t>https://scalzilliaj.com.br/sgc/download.php?file=files/processo_documento/processo_documento15180810062026_1_.pdf&amp;nome=10 - Relação de credores do art. 7º, §2º, da Lei 11.101/2005</t>
        </is>
      </c>
      <c r="AG347" s="28" t="inlineStr">
        <is>
          <t>p1 r41</t>
        </is>
      </c>
      <c r="AH347" s="28" t="inlineStr">
        <is>
          <t>p1: R$ 311.424,00</t>
        </is>
      </c>
      <c r="AI347" s="28" t="inlineStr">
        <is>
          <t>AJ list (art. 7 §2)</t>
        </is>
      </c>
      <c r="AJ347" s="28" t="inlineStr"/>
      <c r="AK347" s="28" t="inlineStr">
        <is>
          <t>NONE FOUND</t>
        </is>
      </c>
      <c r="AL347" s="30" t="inlineStr">
        <is>
          <t>5009529-81.2025.8.24.0019</t>
        </is>
      </c>
      <c r="AM347" s="30" t="inlineStr">
        <is>
          <t>TJSC</t>
        </is>
      </c>
      <c r="AN347" s="30" t="inlineStr"/>
      <c r="AO347" s="30" t="n">
        <v>2025</v>
      </c>
      <c r="AP347" s="30" t="inlineStr">
        <is>
          <t>live case, no plan document yet</t>
        </is>
      </c>
      <c r="AQ347" s="30" t="inlineStr">
        <is>
          <t>33.041.260/0652-90</t>
        </is>
      </c>
      <c r="AR347" s="30" t="inlineStr">
        <is>
          <t>registry (RFB) match</t>
        </is>
      </c>
      <c r="AS347" s="30" t="inlineStr">
        <is>
          <t>CONCORDIA</t>
        </is>
      </c>
      <c r="AT347" s="30" t="inlineStr">
        <is>
          <t>SC</t>
        </is>
      </c>
      <c r="AU347" s="30" t="inlineStr">
        <is>
          <t>Construção de edifícios</t>
        </is>
      </c>
      <c r="AV347" s="30" t="inlineStr">
        <is>
          <t>MICRO EMPRESA</t>
        </is>
      </c>
      <c r="AW347" s="31" t="n">
        <v>2800000</v>
      </c>
      <c r="AX347" s="30" t="inlineStr">
        <is>
          <t>SMALL</t>
        </is>
      </c>
      <c r="AY347" s="30" t="inlineStr">
        <is>
          <t>49644505</t>
        </is>
      </c>
      <c r="AZ347" s="30" t="n">
        <v>1</v>
      </c>
      <c r="BA347" s="30" t="inlineStr">
        <is>
          <t>ROWS:p1r41 UNRECONCILED_SOURCE VALUE_COL:Valor_(Art._7º,_§2º)</t>
        </is>
      </c>
    </row>
    <row r="348">
      <c r="A348" s="16" t="inlineStr">
        <is>
          <t>MECMETAL INDUSTRIA E COMERCIO DE TRANSFORMADORES LTDA</t>
        </is>
      </c>
      <c r="B348" s="17" t="n">
        <v>1213121.27</v>
      </c>
      <c r="C348" s="18" t="inlineStr">
        <is>
          <t>BLUTRAFOS BLUMENAU TRANSFORMADORES LTDA</t>
        </is>
      </c>
      <c r="D348" s="19" t="inlineStr">
        <is>
          <t>NEW</t>
        </is>
      </c>
      <c r="E348" s="20" t="inlineStr"/>
      <c r="F348" s="19" t="inlineStr"/>
      <c r="G348" s="20" t="inlineStr"/>
      <c r="H348" s="19" t="inlineStr"/>
      <c r="I348" s="21" t="inlineStr">
        <is>
          <t>LEANDRO FURLANI</t>
        </is>
      </c>
      <c r="J348" s="21" t="inlineStr">
        <is>
          <t>Sócio-Administrador (RFB partner)</t>
        </is>
      </c>
      <c r="K348" s="21" t="inlineStr">
        <is>
          <t>(47) 3039-9330</t>
        </is>
      </c>
      <c r="L348" s="21" t="inlineStr">
        <is>
          <t>(47) 9979-2026</t>
        </is>
      </c>
      <c r="M348" s="21" t="inlineStr"/>
      <c r="N348" s="21" t="inlineStr"/>
      <c r="O348" s="21" t="inlineStr"/>
      <c r="P348" s="21" t="inlineStr"/>
      <c r="Q348" s="21" t="inlineStr"/>
      <c r="R348" s="21" t="inlineStr"/>
      <c r="S348" s="21" t="inlineStr"/>
      <c r="T348" s="21" t="inlineStr">
        <is>
          <t>RFB partner (QSA); no Apollo match</t>
        </is>
      </c>
      <c r="U348" s="22" t="n">
        <v>1213121.27</v>
      </c>
      <c r="V348" s="38" t="inlineStr">
        <is>
          <t>C</t>
        </is>
      </c>
      <c r="W348" s="24">
        <f>IFERROR(VLOOKUP(V348,Assumptions!$A$7:$F$11,2,FALSE),0)</f>
        <v/>
      </c>
      <c r="X348" s="25">
        <f>IF(V348="A",MAX(1,IFERROR(VLOOKUP(V348,Assumptions!$A$7:$F$11,3,FALSE),3)+IFERROR(VLOOKUP(V348,Assumptions!$A$7:$F$11,4,FALSE),8)/2-MAX(0,IF(AO348="",0,YEAR(TODAY())-AO348)-IFERROR(VLOOKUP(V348,Assumptions!$A$7:$F$11,5,FALSE),1.5))),IFERROR(VLOOKUP(V348,Assumptions!$A$7:$F$11,5,FALSE),2.5)+IFERROR(VLOOKUP(V348,Assumptions!$A$7:$F$11,3,FALSE),3)+IFERROR(VLOOKUP(V348,Assumptions!$A$7:$F$11,4,FALSE),8)/2)</f>
        <v/>
      </c>
      <c r="Y348" s="22">
        <f>U348*W348/(1+Assumptions!$B$3)^X348</f>
        <v/>
      </c>
      <c r="Z348" s="26">
        <f>IF(U348=0,"",ROUND(Y348/U348*100,1))</f>
        <v/>
      </c>
      <c r="AA348" s="27">
        <f>Y348*Assumptions!$B$4</f>
        <v/>
      </c>
      <c r="AB348" s="26">
        <f>IF(U348=0,"",ROUND(AA348/U348*100,1))</f>
        <v/>
      </c>
      <c r="AC348" s="27">
        <f>Y348-AA348</f>
        <v/>
      </c>
      <c r="AD348" s="26">
        <f>IF(U348=0,"",ROUND((Y348-AA348)/U348*100,1))</f>
        <v/>
      </c>
      <c r="AE348" s="28" t="inlineStr">
        <is>
          <t>OK — totals reconciled</t>
        </is>
      </c>
      <c r="AF348" s="29" t="inlineStr">
        <is>
          <t>https://administradorajudicialgs.com.br/wp-content/uploads/2023/08/advogados-sgrott-doc-22-relacao-de-credores-do-administrador-judicial-classe-iii-05-02-14.pdf</t>
        </is>
      </c>
      <c r="AG348" s="28" t="inlineStr">
        <is>
          <t>p4 r17</t>
        </is>
      </c>
      <c r="AH348" s="28" t="inlineStr">
        <is>
          <t>p4: R$ 1.213.121,27</t>
        </is>
      </c>
      <c r="AI348" s="28" t="inlineStr">
        <is>
          <t>Unclassified list</t>
        </is>
      </c>
      <c r="AJ348" s="28" t="inlineStr"/>
      <c r="AK348" s="28" t="inlineStr">
        <is>
          <t>NONE FOUND</t>
        </is>
      </c>
      <c r="AL348" s="30" t="inlineStr">
        <is>
          <t>0022845-08.2013.8.24.0008</t>
        </is>
      </c>
      <c r="AM348" s="30" t="inlineStr">
        <is>
          <t>TJSC</t>
        </is>
      </c>
      <c r="AN348" s="30" t="inlineStr"/>
      <c r="AO348" s="30" t="n">
        <v>2013</v>
      </c>
      <c r="AP348" s="30" t="inlineStr">
        <is>
          <t>13y since filing, no plan document</t>
        </is>
      </c>
      <c r="AQ348" s="30" t="inlineStr"/>
      <c r="AR348" s="30" t="inlineStr">
        <is>
          <t>portal page title / URL — not printed on the list</t>
        </is>
      </c>
      <c r="AS348" s="30" t="inlineStr">
        <is>
          <t>INDAIAL</t>
        </is>
      </c>
      <c r="AT348" s="30" t="inlineStr">
        <is>
          <t>SC</t>
        </is>
      </c>
      <c r="AU348" s="30" t="inlineStr">
        <is>
          <t>Fabricação de transformadores, indutores, conversores, sincronizadores e semelhantes, peças e acessórios</t>
        </is>
      </c>
      <c r="AV348" s="30" t="inlineStr">
        <is>
          <t>EMPRESA DE PEQUENO PORTE</t>
        </is>
      </c>
      <c r="AW348" s="31" t="n">
        <v>350000</v>
      </c>
      <c r="AX348" s="30" t="inlineStr">
        <is>
          <t>SMALL</t>
        </is>
      </c>
      <c r="AY348" s="30" t="inlineStr">
        <is>
          <t>04686964</t>
        </is>
      </c>
      <c r="AZ348" s="30" t="n">
        <v>1</v>
      </c>
      <c r="BA348" s="30" t="inlineStr">
        <is>
          <t>ROWS:p4r17</t>
        </is>
      </c>
    </row>
    <row r="349">
      <c r="A349" s="16" t="inlineStr">
        <is>
          <t>NATIVA PRODUTOS AGRICOLAS LTDA</t>
        </is>
      </c>
      <c r="B349" s="17" t="n">
        <v>310314.83</v>
      </c>
      <c r="C349" s="18" t="inlineStr">
        <is>
          <t>SUINOCULTURA KUNZLER</t>
        </is>
      </c>
      <c r="D349" s="19" t="inlineStr">
        <is>
          <t>NEW</t>
        </is>
      </c>
      <c r="E349" s="20" t="inlineStr"/>
      <c r="F349" s="19" t="inlineStr"/>
      <c r="G349" s="20" t="inlineStr"/>
      <c r="H349" s="19" t="inlineStr"/>
      <c r="I349" s="21" t="inlineStr">
        <is>
          <t>ALTAIR ZANELLA</t>
        </is>
      </c>
      <c r="J349" s="21" t="inlineStr">
        <is>
          <t>Sócio-Administrador (RFB partner)</t>
        </is>
      </c>
      <c r="K349" s="21" t="inlineStr">
        <is>
          <t>(46) 3220-2442</t>
        </is>
      </c>
      <c r="L349" s="21" t="inlineStr"/>
      <c r="M349" s="21" t="inlineStr"/>
      <c r="N349" s="21" t="inlineStr"/>
      <c r="O349" s="21" t="inlineStr"/>
      <c r="P349" s="21" t="inlineStr">
        <is>
          <t>JEANPPIERE CIGOLINI</t>
        </is>
      </c>
      <c r="Q349" s="21" t="inlineStr">
        <is>
          <t>Sócio-Administrador (RFB partner)</t>
        </is>
      </c>
      <c r="R349" s="21" t="inlineStr"/>
      <c r="S349" s="21" t="inlineStr"/>
      <c r="T349" s="21" t="inlineStr">
        <is>
          <t>RFB partner (QSA); no Apollo match</t>
        </is>
      </c>
      <c r="U349" s="22" t="n">
        <v>310314.83</v>
      </c>
      <c r="V349" s="23" t="inlineStr">
        <is>
          <t>B</t>
        </is>
      </c>
      <c r="W349" s="24">
        <f>IFERROR(VLOOKUP(V349,Assumptions!$A$7:$F$11,2,FALSE),0)</f>
        <v/>
      </c>
      <c r="X349" s="25">
        <f>IF(V349="A",MAX(1,IFERROR(VLOOKUP(V349,Assumptions!$A$7:$F$11,3,FALSE),3)+IFERROR(VLOOKUP(V349,Assumptions!$A$7:$F$11,4,FALSE),8)/2-MAX(0,IF(AO349="",0,YEAR(TODAY())-AO349)-IFERROR(VLOOKUP(V349,Assumptions!$A$7:$F$11,5,FALSE),1.5))),IFERROR(VLOOKUP(V349,Assumptions!$A$7:$F$11,5,FALSE),2.5)+IFERROR(VLOOKUP(V349,Assumptions!$A$7:$F$11,3,FALSE),3)+IFERROR(VLOOKUP(V349,Assumptions!$A$7:$F$11,4,FALSE),8)/2)</f>
        <v/>
      </c>
      <c r="Y349" s="22">
        <f>U349*W349/(1+Assumptions!$B$3)^X349</f>
        <v/>
      </c>
      <c r="Z349" s="26">
        <f>IF(U349=0,"",ROUND(Y349/U349*100,1))</f>
        <v/>
      </c>
      <c r="AA349" s="27">
        <f>Y349*Assumptions!$B$4</f>
        <v/>
      </c>
      <c r="AB349" s="26">
        <f>IF(U349=0,"",ROUND(AA349/U349*100,1))</f>
        <v/>
      </c>
      <c r="AC349" s="27">
        <f>Y349-AA349</f>
        <v/>
      </c>
      <c r="AD349" s="26">
        <f>IF(U349=0,"",ROUND((Y349-AA349)/U349*100,1))</f>
        <v/>
      </c>
      <c r="AE349" s="33" t="inlineStr">
        <is>
          <t>NO TOTALS — list prints none; check page</t>
        </is>
      </c>
      <c r="AF349" s="29" t="inlineStr">
        <is>
          <t>https://rlg-aj.com.br/wp-content/uploads/2024/11/07.-Relação-de-credores.pdf</t>
        </is>
      </c>
      <c r="AG349" s="28" t="inlineStr">
        <is>
          <t>p1 r26</t>
        </is>
      </c>
      <c r="AH349" s="28" t="inlineStr">
        <is>
          <t>p1: R$ 310.314,83</t>
        </is>
      </c>
      <c r="AI349" s="28" t="inlineStr">
        <is>
          <t>Unclassified list</t>
        </is>
      </c>
      <c r="AJ349" s="28" t="inlineStr"/>
      <c r="AK349" s="28" t="inlineStr">
        <is>
          <t>NONE FOUND</t>
        </is>
      </c>
      <c r="AL349" s="30" t="inlineStr">
        <is>
          <t>5009149-92.2024.8.24.0019</t>
        </is>
      </c>
      <c r="AM349" s="30" t="inlineStr">
        <is>
          <t>TJSC</t>
        </is>
      </c>
      <c r="AN349" s="30" t="inlineStr">
        <is>
          <t>ACTIVE</t>
        </is>
      </c>
      <c r="AO349" s="30" t="n">
        <v>2024</v>
      </c>
      <c r="AP349" s="30" t="inlineStr">
        <is>
          <t>live case, no plan document yet</t>
        </is>
      </c>
      <c r="AQ349" s="30" t="inlineStr">
        <is>
          <t>55.365.447/0001-56</t>
        </is>
      </c>
      <c r="AR349" s="30" t="inlineStr">
        <is>
          <t>printed on the list (read twice)</t>
        </is>
      </c>
      <c r="AS349" s="30" t="inlineStr">
        <is>
          <t>PATO BRANCO</t>
        </is>
      </c>
      <c r="AT349" s="30" t="inlineStr">
        <is>
          <t>PR</t>
        </is>
      </c>
      <c r="AU349" s="30" t="inlineStr">
        <is>
          <t>Comércio atacadista de defensivos agrícolas, adubos, fertilizantes e corretivos do solo</t>
        </is>
      </c>
      <c r="AV349" s="30" t="inlineStr">
        <is>
          <t>DEMAIS</t>
        </is>
      </c>
      <c r="AW349" s="31" t="n">
        <v>3950000</v>
      </c>
      <c r="AX349" s="30" t="inlineStr">
        <is>
          <t>MID-MARKET</t>
        </is>
      </c>
      <c r="AY349" s="30" t="inlineStr">
        <is>
          <t>01911761</t>
        </is>
      </c>
      <c r="AZ349" s="30" t="n">
        <v>1</v>
      </c>
      <c r="BA349" s="30" t="inlineStr">
        <is>
          <t>ROWS:p1r26 UNRECONCILED_SOURCE</t>
        </is>
      </c>
    </row>
    <row r="350">
      <c r="A350" s="16" t="inlineStr">
        <is>
          <t>ALBUQUERQUE SOCCER ATIVIDADES ESPORTIVAS LTDA</t>
        </is>
      </c>
      <c r="B350" s="17" t="n">
        <v>310000</v>
      </c>
      <c r="C350" s="18" t="inlineStr">
        <is>
          <t>CLUBE NÁUTICO CAPIBARIBE</t>
        </is>
      </c>
      <c r="D350" s="19" t="inlineStr">
        <is>
          <t>NEW</t>
        </is>
      </c>
      <c r="E350" s="20" t="inlineStr"/>
      <c r="F350" s="19" t="inlineStr"/>
      <c r="G350" s="20" t="inlineStr"/>
      <c r="H350" s="19" t="inlineStr"/>
      <c r="I350" s="21" t="inlineStr">
        <is>
          <t>IGOR JOSE DE SA BARRETO ALBUQUERQUE</t>
        </is>
      </c>
      <c r="J350" s="21" t="inlineStr">
        <is>
          <t>Sócio-Administrador (RFB partner)</t>
        </is>
      </c>
      <c r="K350" s="21" t="inlineStr">
        <is>
          <t>(81) 9994-1904</t>
        </is>
      </c>
      <c r="L350" s="21" t="inlineStr"/>
      <c r="M350" s="21" t="inlineStr"/>
      <c r="N350" s="21" t="inlineStr"/>
      <c r="O350" s="21" t="inlineStr"/>
      <c r="P350" s="21" t="inlineStr"/>
      <c r="Q350" s="21" t="inlineStr"/>
      <c r="R350" s="21" t="inlineStr"/>
      <c r="S350" s="21" t="inlineStr"/>
      <c r="T350" s="21" t="inlineStr">
        <is>
          <t>RFB partner (QSA); no Apollo match</t>
        </is>
      </c>
      <c r="U350" s="22" t="n">
        <v>310000</v>
      </c>
      <c r="V350" s="23" t="inlineStr">
        <is>
          <t>B</t>
        </is>
      </c>
      <c r="W350" s="24">
        <f>IFERROR(VLOOKUP(V350,Assumptions!$A$7:$F$11,2,FALSE),0)</f>
        <v/>
      </c>
      <c r="X350" s="25">
        <f>IF(V350="A",MAX(1,IFERROR(VLOOKUP(V350,Assumptions!$A$7:$F$11,3,FALSE),3)+IFERROR(VLOOKUP(V350,Assumptions!$A$7:$F$11,4,FALSE),8)/2-MAX(0,IF(AO350="",0,YEAR(TODAY())-AO350)-IFERROR(VLOOKUP(V350,Assumptions!$A$7:$F$11,5,FALSE),1.5))),IFERROR(VLOOKUP(V350,Assumptions!$A$7:$F$11,5,FALSE),2.5)+IFERROR(VLOOKUP(V350,Assumptions!$A$7:$F$11,3,FALSE),3)+IFERROR(VLOOKUP(V350,Assumptions!$A$7:$F$11,4,FALSE),8)/2)</f>
        <v/>
      </c>
      <c r="Y350" s="22">
        <f>U350*W350/(1+Assumptions!$B$3)^X350</f>
        <v/>
      </c>
      <c r="Z350" s="26">
        <f>IF(U350=0,"",ROUND(Y350/U350*100,1))</f>
        <v/>
      </c>
      <c r="AA350" s="27">
        <f>Y350*Assumptions!$B$4</f>
        <v/>
      </c>
      <c r="AB350" s="26">
        <f>IF(U350=0,"",ROUND(AA350/U350*100,1))</f>
        <v/>
      </c>
      <c r="AC350" s="27">
        <f>Y350-AA350</f>
        <v/>
      </c>
      <c r="AD350" s="26">
        <f>IF(U350=0,"",ROUND((Y350-AA350)/U350*100,1))</f>
        <v/>
      </c>
      <c r="AE350" s="34" t="inlineStr">
        <is>
          <t>PARTIAL — class III reconciled, other classes not</t>
        </is>
      </c>
      <c r="AF350" s="29" t="inlineStr">
        <is>
          <t>https://lrflideres.com.br/wp-content/plugins/download-attachments/includes/download.php?id=5589</t>
        </is>
      </c>
      <c r="AG350" s="28" t="inlineStr">
        <is>
          <t>p11 r61</t>
        </is>
      </c>
      <c r="AH350" s="28" t="inlineStr">
        <is>
          <t>p11: R$ 310.000,00</t>
        </is>
      </c>
      <c r="AI350" s="28" t="inlineStr">
        <is>
          <t>AJ list (art. 7 §2)</t>
        </is>
      </c>
      <c r="AJ350" s="28" t="inlineStr">
        <is>
          <t>2023-11-27</t>
        </is>
      </c>
      <c r="AK350" s="28" t="inlineStr">
        <is>
          <t>NONE FOUND</t>
        </is>
      </c>
      <c r="AL350" s="30" t="inlineStr">
        <is>
          <t>0011283-80.2023.8.17.2001</t>
        </is>
      </c>
      <c r="AM350" s="30" t="inlineStr">
        <is>
          <t>TJPE</t>
        </is>
      </c>
      <c r="AN350" s="30" t="inlineStr">
        <is>
          <t>ACTIVE</t>
        </is>
      </c>
      <c r="AO350" s="30" t="n">
        <v>2023</v>
      </c>
      <c r="AP350" s="30" t="inlineStr">
        <is>
          <t>live case, no plan document yet</t>
        </is>
      </c>
      <c r="AQ350" s="30" t="inlineStr">
        <is>
          <t>08.145.021/0001-07</t>
        </is>
      </c>
      <c r="AR350" s="30" t="inlineStr">
        <is>
          <t>printed on the list (read twice)</t>
        </is>
      </c>
      <c r="AS350" s="30" t="inlineStr">
        <is>
          <t>OLINDA</t>
        </is>
      </c>
      <c r="AT350" s="30" t="inlineStr">
        <is>
          <t>PE</t>
        </is>
      </c>
      <c r="AU350" s="30" t="inlineStr">
        <is>
          <t>Produção e promoção de eventos esportivos</t>
        </is>
      </c>
      <c r="AV350" s="30" t="inlineStr">
        <is>
          <t>DEMAIS</t>
        </is>
      </c>
      <c r="AW350" s="31" t="n">
        <v>10000</v>
      </c>
      <c r="AX350" s="30" t="inlineStr">
        <is>
          <t>MID-MARKET</t>
        </is>
      </c>
      <c r="AY350" s="30" t="inlineStr">
        <is>
          <t>16620321</t>
        </is>
      </c>
      <c r="AZ350" s="30" t="n">
        <v>1</v>
      </c>
      <c r="BA350" s="30" t="inlineStr">
        <is>
          <t>PARTIAL_DOC_CLASS_III_RECONCILED ROWS:p11r61</t>
        </is>
      </c>
    </row>
    <row r="351">
      <c r="A351" s="16" t="inlineStr">
        <is>
          <t>FLUMINENSE FOOTBALL CLUB</t>
        </is>
      </c>
      <c r="B351" s="17" t="n">
        <v>309484.78</v>
      </c>
      <c r="C351" s="18" t="inlineStr">
        <is>
          <t>PAYSANDU SPORT CLUB</t>
        </is>
      </c>
      <c r="D351" s="19" t="inlineStr">
        <is>
          <t>NEW</t>
        </is>
      </c>
      <c r="E351" s="20" t="inlineStr"/>
      <c r="F351" s="19" t="inlineStr"/>
      <c r="G351" s="20" t="inlineStr"/>
      <c r="H351" s="19" t="inlineStr"/>
      <c r="I351" s="21" t="inlineStr">
        <is>
          <t>Leonardo Iunes</t>
        </is>
      </c>
      <c r="J351" s="21" t="inlineStr">
        <is>
          <t>Diretor Executivo Financeiro - CFO</t>
        </is>
      </c>
      <c r="K351" s="21" t="inlineStr"/>
      <c r="L351" s="21" t="inlineStr"/>
      <c r="M351" s="21" t="inlineStr"/>
      <c r="N351" s="21" t="inlineStr">
        <is>
          <t>leonardo.iunes@fluminense.com.br</t>
        </is>
      </c>
      <c r="O351" s="21" t="inlineStr"/>
      <c r="P351" s="21" t="inlineStr"/>
      <c r="Q351" s="21" t="inlineStr"/>
      <c r="R351" s="21" t="inlineStr"/>
      <c r="S351" s="21" t="inlineStr"/>
      <c r="T351" s="21" t="inlineStr">
        <is>
          <t>email verified by Apollo</t>
        </is>
      </c>
      <c r="U351" s="22" t="n">
        <v>309484.78</v>
      </c>
      <c r="V351" s="23" t="inlineStr">
        <is>
          <t>B</t>
        </is>
      </c>
      <c r="W351" s="24">
        <f>IFERROR(VLOOKUP(V351,Assumptions!$A$7:$F$11,2,FALSE),0)</f>
        <v/>
      </c>
      <c r="X351" s="25">
        <f>IF(V351="A",MAX(1,IFERROR(VLOOKUP(V351,Assumptions!$A$7:$F$11,3,FALSE),3)+IFERROR(VLOOKUP(V351,Assumptions!$A$7:$F$11,4,FALSE),8)/2-MAX(0,IF(AO351="",0,YEAR(TODAY())-AO351)-IFERROR(VLOOKUP(V351,Assumptions!$A$7:$F$11,5,FALSE),1.5))),IFERROR(VLOOKUP(V351,Assumptions!$A$7:$F$11,5,FALSE),2.5)+IFERROR(VLOOKUP(V351,Assumptions!$A$7:$F$11,3,FALSE),3)+IFERROR(VLOOKUP(V351,Assumptions!$A$7:$F$11,4,FALSE),8)/2)</f>
        <v/>
      </c>
      <c r="Y351" s="22">
        <f>U351*W351/(1+Assumptions!$B$3)^X351</f>
        <v/>
      </c>
      <c r="Z351" s="26">
        <f>IF(U351=0,"",ROUND(Y351/U351*100,1))</f>
        <v/>
      </c>
      <c r="AA351" s="27">
        <f>Y351*Assumptions!$B$4</f>
        <v/>
      </c>
      <c r="AB351" s="26">
        <f>IF(U351=0,"",ROUND(AA351/U351*100,1))</f>
        <v/>
      </c>
      <c r="AC351" s="27">
        <f>Y351-AA351</f>
        <v/>
      </c>
      <c r="AD351" s="26">
        <f>IF(U351=0,"",ROUND((Y351-AA351)/U351*100,1))</f>
        <v/>
      </c>
      <c r="AE351" s="34" t="inlineStr">
        <is>
          <t>PARTIAL — class III reconciled, other classes not</t>
        </is>
      </c>
      <c r="AF351" s="29" t="inlineStr">
        <is>
          <t>https://cdn.dol.com.br/img/attachmentinline/940000/6publicacao-2-edital-art-7-parag-2-da-lei-11101-20009467060.pdf?xid=3272528</t>
        </is>
      </c>
      <c r="AG351" s="28" t="inlineStr">
        <is>
          <t>p3 r19</t>
        </is>
      </c>
      <c r="AH351" s="28" t="inlineStr">
        <is>
          <t>p3: R$ 309.484,78</t>
        </is>
      </c>
      <c r="AI351" s="28" t="inlineStr">
        <is>
          <t>AJ list (art. 7 §2)</t>
        </is>
      </c>
      <c r="AJ351" s="28" t="inlineStr">
        <is>
          <t>2026-07-07</t>
        </is>
      </c>
      <c r="AK351" s="28" t="inlineStr">
        <is>
          <t>NONE FOUND</t>
        </is>
      </c>
      <c r="AL351" s="30" t="inlineStr">
        <is>
          <t>0820780-23.2026.8.14.0301</t>
        </is>
      </c>
      <c r="AM351" s="30" t="inlineStr">
        <is>
          <t>TJPA</t>
        </is>
      </c>
      <c r="AN351" s="30" t="inlineStr">
        <is>
          <t>ACTIVE</t>
        </is>
      </c>
      <c r="AO351" s="30" t="n">
        <v>2026</v>
      </c>
      <c r="AP351" s="30" t="inlineStr">
        <is>
          <t>live case, no plan document yet</t>
        </is>
      </c>
      <c r="AQ351" s="30" t="inlineStr"/>
      <c r="AR351" s="30" t="inlineStr">
        <is>
          <t>printed on the list (read twice)</t>
        </is>
      </c>
      <c r="AS351" s="30" t="inlineStr">
        <is>
          <t>RIO DE JANEIRO</t>
        </is>
      </c>
      <c r="AT351" s="30" t="inlineStr">
        <is>
          <t>RJ</t>
        </is>
      </c>
      <c r="AU351" s="30" t="inlineStr">
        <is>
          <t>Clubes sociais, esportivos e similares</t>
        </is>
      </c>
      <c r="AV351" s="30" t="inlineStr">
        <is>
          <t>DEMAIS</t>
        </is>
      </c>
      <c r="AW351" s="31" t="inlineStr"/>
      <c r="AX351" s="30" t="inlineStr">
        <is>
          <t>MID-MARKET</t>
        </is>
      </c>
      <c r="AY351" s="30" t="inlineStr">
        <is>
          <t>33647553</t>
        </is>
      </c>
      <c r="AZ351" s="30" t="n">
        <v>1</v>
      </c>
      <c r="BA351" s="30" t="inlineStr">
        <is>
          <t>PARTIAL_DOC_CLASS_III_RECONCILED ROWS:p3r19</t>
        </is>
      </c>
    </row>
    <row r="352">
      <c r="A352" s="16" t="inlineStr">
        <is>
          <t>MEGATEAM CONSULTORIA LTDA</t>
        </is>
      </c>
      <c r="B352" s="17" t="n">
        <v>307262.69</v>
      </c>
      <c r="C352" s="18" t="inlineStr">
        <is>
          <t>CLUBE NÁUTICO CAPIBARIBE</t>
        </is>
      </c>
      <c r="D352" s="19" t="inlineStr">
        <is>
          <t>NEW</t>
        </is>
      </c>
      <c r="E352" s="20" t="inlineStr"/>
      <c r="F352" s="19" t="inlineStr"/>
      <c r="G352" s="20" t="inlineStr"/>
      <c r="H352" s="19" t="inlineStr"/>
      <c r="I352" s="21" t="inlineStr">
        <is>
          <t>PAULO ESTEVAO BRAGA NEHMY</t>
        </is>
      </c>
      <c r="J352" s="21" t="inlineStr">
        <is>
          <t>Sócio-Administrador (RFB partner)</t>
        </is>
      </c>
      <c r="K352" s="21" t="inlineStr">
        <is>
          <t>(31) 9982-4747</t>
        </is>
      </c>
      <c r="L352" s="21" t="inlineStr"/>
      <c r="M352" s="21" t="inlineStr"/>
      <c r="N352" s="21" t="inlineStr"/>
      <c r="O352" s="21" t="inlineStr"/>
      <c r="P352" s="21" t="inlineStr"/>
      <c r="Q352" s="21" t="inlineStr"/>
      <c r="R352" s="21" t="inlineStr"/>
      <c r="S352" s="21" t="inlineStr"/>
      <c r="T352" s="21" t="inlineStr">
        <is>
          <t>RFB partner (QSA); no Apollo match</t>
        </is>
      </c>
      <c r="U352" s="22" t="n">
        <v>307262.69</v>
      </c>
      <c r="V352" s="23" t="inlineStr">
        <is>
          <t>B</t>
        </is>
      </c>
      <c r="W352" s="24">
        <f>IFERROR(VLOOKUP(V352,Assumptions!$A$7:$F$11,2,FALSE),0)</f>
        <v/>
      </c>
      <c r="X352" s="25">
        <f>IF(V352="A",MAX(1,IFERROR(VLOOKUP(V352,Assumptions!$A$7:$F$11,3,FALSE),3)+IFERROR(VLOOKUP(V352,Assumptions!$A$7:$F$11,4,FALSE),8)/2-MAX(0,IF(AO352="",0,YEAR(TODAY())-AO352)-IFERROR(VLOOKUP(V352,Assumptions!$A$7:$F$11,5,FALSE),1.5))),IFERROR(VLOOKUP(V352,Assumptions!$A$7:$F$11,5,FALSE),2.5)+IFERROR(VLOOKUP(V352,Assumptions!$A$7:$F$11,3,FALSE),3)+IFERROR(VLOOKUP(V352,Assumptions!$A$7:$F$11,4,FALSE),8)/2)</f>
        <v/>
      </c>
      <c r="Y352" s="22">
        <f>U352*W352/(1+Assumptions!$B$3)^X352</f>
        <v/>
      </c>
      <c r="Z352" s="26">
        <f>IF(U352=0,"",ROUND(Y352/U352*100,1))</f>
        <v/>
      </c>
      <c r="AA352" s="27">
        <f>Y352*Assumptions!$B$4</f>
        <v/>
      </c>
      <c r="AB352" s="26">
        <f>IF(U352=0,"",ROUND(AA352/U352*100,1))</f>
        <v/>
      </c>
      <c r="AC352" s="27">
        <f>Y352-AA352</f>
        <v/>
      </c>
      <c r="AD352" s="26">
        <f>IF(U352=0,"",ROUND((Y352-AA352)/U352*100,1))</f>
        <v/>
      </c>
      <c r="AE352" s="34" t="inlineStr">
        <is>
          <t>PARTIAL — class III reconciled, other classes not</t>
        </is>
      </c>
      <c r="AF352" s="29" t="inlineStr">
        <is>
          <t>https://lrflideres.com.br/wp-content/plugins/download-attachments/includes/download.php?id=5589</t>
        </is>
      </c>
      <c r="AG352" s="28" t="inlineStr">
        <is>
          <t>p12 r33</t>
        </is>
      </c>
      <c r="AH352" s="28" t="inlineStr">
        <is>
          <t>p12: R$ 307.262,69</t>
        </is>
      </c>
      <c r="AI352" s="28" t="inlineStr">
        <is>
          <t>AJ list (art. 7 §2)</t>
        </is>
      </c>
      <c r="AJ352" s="28" t="inlineStr">
        <is>
          <t>2023-11-27</t>
        </is>
      </c>
      <c r="AK352" s="28" t="inlineStr">
        <is>
          <t>NONE FOUND</t>
        </is>
      </c>
      <c r="AL352" s="30" t="inlineStr">
        <is>
          <t>0011283-80.2023.8.17.2001</t>
        </is>
      </c>
      <c r="AM352" s="30" t="inlineStr">
        <is>
          <t>TJPE</t>
        </is>
      </c>
      <c r="AN352" s="30" t="inlineStr">
        <is>
          <t>ACTIVE</t>
        </is>
      </c>
      <c r="AO352" s="30" t="n">
        <v>2023</v>
      </c>
      <c r="AP352" s="30" t="inlineStr">
        <is>
          <t>live case, no plan document yet</t>
        </is>
      </c>
      <c r="AQ352" s="30" t="inlineStr">
        <is>
          <t>08.145.021/0001-07</t>
        </is>
      </c>
      <c r="AR352" s="30" t="inlineStr">
        <is>
          <t>printed on the list (read twice)</t>
        </is>
      </c>
      <c r="AS352" s="30" t="inlineStr">
        <is>
          <t>BELO HORIZONTE</t>
        </is>
      </c>
      <c r="AT352" s="30" t="inlineStr">
        <is>
          <t>MG</t>
        </is>
      </c>
      <c r="AU352" s="30" t="inlineStr">
        <is>
          <t>Atividades de intermediação e agenciamento de serviços e negócios em geral, exceto imobiliários</t>
        </is>
      </c>
      <c r="AV352" s="30" t="inlineStr">
        <is>
          <t>DEMAIS</t>
        </is>
      </c>
      <c r="AW352" s="31" t="n">
        <v>6000</v>
      </c>
      <c r="AX352" s="30" t="inlineStr">
        <is>
          <t>MID-MARKET</t>
        </is>
      </c>
      <c r="AY352" s="30" t="inlineStr">
        <is>
          <t>05603186</t>
        </is>
      </c>
      <c r="AZ352" s="30" t="n">
        <v>1</v>
      </c>
      <c r="BA352" s="30" t="inlineStr">
        <is>
          <t>PARTIAL_DOC_CLASS_III_RECONCILED ROWS:p12r33</t>
        </is>
      </c>
    </row>
    <row r="353">
      <c r="A353" s="16" t="inlineStr">
        <is>
          <t>BIOBASE INDUSTRIA E COMERCIO LTDA</t>
        </is>
      </c>
      <c r="B353" s="17" t="n">
        <v>569654.02</v>
      </c>
      <c r="C353" s="37" t="inlineStr">
        <is>
          <t>(debtor not identified — see proof)</t>
        </is>
      </c>
      <c r="D353" s="19" t="inlineStr">
        <is>
          <t>NEW</t>
        </is>
      </c>
      <c r="E353" s="20" t="inlineStr"/>
      <c r="F353" s="19" t="inlineStr"/>
      <c r="G353" s="20" t="inlineStr"/>
      <c r="H353" s="19" t="inlineStr"/>
      <c r="I353" s="21" t="inlineStr">
        <is>
          <t>RICHARD REIS FARIAS</t>
        </is>
      </c>
      <c r="J353" s="21" t="inlineStr">
        <is>
          <t>Sócio-Administrador (RFB partner)</t>
        </is>
      </c>
      <c r="K353" s="21" t="inlineStr">
        <is>
          <t>(35) 3427-7000</t>
        </is>
      </c>
      <c r="L353" s="21" t="inlineStr">
        <is>
          <t>(35) 3427-7012</t>
        </is>
      </c>
      <c r="M353" s="21" t="inlineStr"/>
      <c r="N353" s="21" t="inlineStr"/>
      <c r="O353" s="21" t="inlineStr"/>
      <c r="P353" s="21" t="inlineStr"/>
      <c r="Q353" s="21" t="inlineStr"/>
      <c r="R353" s="21" t="inlineStr"/>
      <c r="S353" s="21" t="inlineStr"/>
      <c r="T353" s="21" t="inlineStr">
        <is>
          <t>RFB partner (QSA); no Apollo match</t>
        </is>
      </c>
      <c r="U353" s="22" t="n">
        <v>569654.02</v>
      </c>
      <c r="V353" s="32" t="inlineStr">
        <is>
          <t>U</t>
        </is>
      </c>
      <c r="W353" s="24">
        <f>IFERROR(VLOOKUP(V353,Assumptions!$A$7:$F$11,2,FALSE),0)</f>
        <v/>
      </c>
      <c r="X353" s="25">
        <f>IF(V353="A",MAX(1,IFERROR(VLOOKUP(V353,Assumptions!$A$7:$F$11,3,FALSE),3)+IFERROR(VLOOKUP(V353,Assumptions!$A$7:$F$11,4,FALSE),8)/2-MAX(0,IF(AO353="",0,YEAR(TODAY())-AO353)-IFERROR(VLOOKUP(V353,Assumptions!$A$7:$F$11,5,FALSE),1.5))),IFERROR(VLOOKUP(V353,Assumptions!$A$7:$F$11,5,FALSE),2.5)+IFERROR(VLOOKUP(V353,Assumptions!$A$7:$F$11,3,FALSE),3)+IFERROR(VLOOKUP(V353,Assumptions!$A$7:$F$11,4,FALSE),8)/2)</f>
        <v/>
      </c>
      <c r="Y353" s="22">
        <f>U353*W353/(1+Assumptions!$B$3)^X353</f>
        <v/>
      </c>
      <c r="Z353" s="26">
        <f>IF(U353=0,"",ROUND(Y353/U353*100,1))</f>
        <v/>
      </c>
      <c r="AA353" s="27">
        <f>Y353*Assumptions!$B$4</f>
        <v/>
      </c>
      <c r="AB353" s="26">
        <f>IF(U353=0,"",ROUND(AA353/U353*100,1))</f>
        <v/>
      </c>
      <c r="AC353" s="27">
        <f>Y353-AA353</f>
        <v/>
      </c>
      <c r="AD353" s="26">
        <f>IF(U353=0,"",ROUND((Y353-AA353)/U353*100,1))</f>
        <v/>
      </c>
      <c r="AE353" s="28" t="inlineStr">
        <is>
          <t>OK — totals reconciled</t>
        </is>
      </c>
      <c r="AF353" s="29" t="inlineStr">
        <is>
          <t>http://bernardobicalho.com.br/login/app/documents/Rela%C3%A7%C3%A3o%20de%20Credores/6.%20RVC-%20Nutricium%20-%20simplificada.pdf</t>
        </is>
      </c>
      <c r="AG353" s="28" t="inlineStr">
        <is>
          <t>p3 r7</t>
        </is>
      </c>
      <c r="AH353" s="28" t="inlineStr">
        <is>
          <t>p3: R$ 569.654,02</t>
        </is>
      </c>
      <c r="AI353" s="28" t="inlineStr">
        <is>
          <t>AJ list (art. 7 §2)</t>
        </is>
      </c>
      <c r="AJ353" s="28" t="inlineStr"/>
      <c r="AK353" s="28" t="inlineStr">
        <is>
          <t>NONE FOUND</t>
        </is>
      </c>
      <c r="AL353" s="30" t="inlineStr">
        <is>
          <t>(not printed)</t>
        </is>
      </c>
      <c r="AM353" s="30" t="inlineStr"/>
      <c r="AN353" s="30" t="inlineStr"/>
      <c r="AO353" s="30" t="inlineStr"/>
      <c r="AP353" s="30" t="inlineStr">
        <is>
          <t>RJ case number not identified on the document</t>
        </is>
      </c>
      <c r="AQ353" s="30" t="inlineStr"/>
      <c r="AR353" s="30" t="inlineStr">
        <is>
          <t>not identified</t>
        </is>
      </c>
      <c r="AS353" s="30" t="inlineStr">
        <is>
          <t>POUSO ALEGRE</t>
        </is>
      </c>
      <c r="AT353" s="30" t="inlineStr">
        <is>
          <t>MG</t>
        </is>
      </c>
      <c r="AU353" s="30" t="inlineStr">
        <is>
          <t>Fabricação de materiais para medicina e odontologia</t>
        </is>
      </c>
      <c r="AV353" s="30" t="inlineStr">
        <is>
          <t>DEMAIS</t>
        </is>
      </c>
      <c r="AW353" s="31" t="n">
        <v>500000</v>
      </c>
      <c r="AX353" s="30" t="inlineStr">
        <is>
          <t>MID-MARKET</t>
        </is>
      </c>
      <c r="AY353" s="30" t="inlineStr">
        <is>
          <t>05216859</t>
        </is>
      </c>
      <c r="AZ353" s="30" t="n">
        <v>1</v>
      </c>
      <c r="BA353" s="30" t="inlineStr">
        <is>
          <t>CASE_NUMBER_MISSING ROWS:p3r7</t>
        </is>
      </c>
    </row>
    <row r="354">
      <c r="A354" s="16" t="inlineStr">
        <is>
          <t>SANTIN - EQUIPAMENTOS, TRANSPORTES, IMPORTACAO E EXPORTACAO LTDA</t>
        </is>
      </c>
      <c r="B354" s="17" t="n">
        <v>565326.29</v>
      </c>
      <c r="C354" s="18" t="inlineStr">
        <is>
          <t>EGESA ENGENHARIA S/A (Consórcio ETDI)</t>
        </is>
      </c>
      <c r="D354" s="19" t="inlineStr">
        <is>
          <t>NEW</t>
        </is>
      </c>
      <c r="E354" s="20" t="inlineStr"/>
      <c r="F354" s="19" t="inlineStr"/>
      <c r="G354" s="20" t="inlineStr"/>
      <c r="H354" s="19" t="inlineStr"/>
      <c r="I354" s="21" t="inlineStr">
        <is>
          <t>ALEXANDRE BARBIERI SANTIN</t>
        </is>
      </c>
      <c r="J354" s="21" t="inlineStr">
        <is>
          <t>Sócio-Administrador (RFB partner)</t>
        </is>
      </c>
      <c r="K354" s="21" t="inlineStr">
        <is>
          <t>(16) 3393-9999</t>
        </is>
      </c>
      <c r="L354" s="21" t="inlineStr"/>
      <c r="M354" s="21" t="inlineStr"/>
      <c r="N354" s="21" t="inlineStr"/>
      <c r="O354" s="21" t="inlineStr"/>
      <c r="P354" s="21" t="inlineStr">
        <is>
          <t>FERNANDO BARBIERI SANTIN</t>
        </is>
      </c>
      <c r="Q354" s="21" t="inlineStr">
        <is>
          <t>Sócio-Administrador (RFB partner)</t>
        </is>
      </c>
      <c r="R354" s="21" t="inlineStr"/>
      <c r="S354" s="21" t="inlineStr"/>
      <c r="T354" s="21" t="inlineStr">
        <is>
          <t>RFB partner (QSA); no Apollo match</t>
        </is>
      </c>
      <c r="U354" s="22" t="n">
        <v>565326.29</v>
      </c>
      <c r="V354" s="32" t="inlineStr">
        <is>
          <t>U</t>
        </is>
      </c>
      <c r="W354" s="24">
        <f>IFERROR(VLOOKUP(V354,Assumptions!$A$7:$F$11,2,FALSE),0)</f>
        <v/>
      </c>
      <c r="X354" s="25">
        <f>IF(V354="A",MAX(1,IFERROR(VLOOKUP(V354,Assumptions!$A$7:$F$11,3,FALSE),3)+IFERROR(VLOOKUP(V354,Assumptions!$A$7:$F$11,4,FALSE),8)/2-MAX(0,IF(AO354="",0,YEAR(TODAY())-AO354)-IFERROR(VLOOKUP(V354,Assumptions!$A$7:$F$11,5,FALSE),1.5))),IFERROR(VLOOKUP(V354,Assumptions!$A$7:$F$11,5,FALSE),2.5)+IFERROR(VLOOKUP(V354,Assumptions!$A$7:$F$11,3,FALSE),3)+IFERROR(VLOOKUP(V354,Assumptions!$A$7:$F$11,4,FALSE),8)/2)</f>
        <v/>
      </c>
      <c r="Y354" s="22">
        <f>U354*W354/(1+Assumptions!$B$3)^X354</f>
        <v/>
      </c>
      <c r="Z354" s="26">
        <f>IF(U354=0,"",ROUND(Y354/U354*100,1))</f>
        <v/>
      </c>
      <c r="AA354" s="27">
        <f>Y354*Assumptions!$B$4</f>
        <v/>
      </c>
      <c r="AB354" s="26">
        <f>IF(U354=0,"",ROUND(AA354/U354*100,1))</f>
        <v/>
      </c>
      <c r="AC354" s="27">
        <f>Y354-AA354</f>
        <v/>
      </c>
      <c r="AD354" s="26">
        <f>IF(U354=0,"",ROUND((Y354-AA354)/U354*100,1))</f>
        <v/>
      </c>
      <c r="AE354" s="28" t="inlineStr">
        <is>
          <t>OK — totals reconciled</t>
        </is>
      </c>
      <c r="AF354" s="29" t="inlineStr">
        <is>
          <t>https://scalzilliaj.com.br/sgc/download.php?file=files/processo_documento/processo_documento09514021082025_1_.pdf&amp;nome=04 - Relação de credores das Recuperandas</t>
        </is>
      </c>
      <c r="AG354" s="28" t="inlineStr">
        <is>
          <t>p72 r16</t>
        </is>
      </c>
      <c r="AH354" s="28" t="inlineStr">
        <is>
          <t>p72: R$ 565.326,29</t>
        </is>
      </c>
      <c r="AI354" s="28" t="inlineStr">
        <is>
          <t>Debtor list (art. 51)</t>
        </is>
      </c>
      <c r="AJ354" s="28" t="inlineStr"/>
      <c r="AK354" s="28" t="inlineStr">
        <is>
          <t>NONE FOUND</t>
        </is>
      </c>
      <c r="AL354" s="30" t="inlineStr">
        <is>
          <t>(not printed)</t>
        </is>
      </c>
      <c r="AM354" s="30" t="inlineStr"/>
      <c r="AN354" s="30" t="inlineStr"/>
      <c r="AO354" s="30" t="inlineStr"/>
      <c r="AP354" s="30" t="inlineStr">
        <is>
          <t>RJ case number not identified on the document</t>
        </is>
      </c>
      <c r="AQ354" s="30" t="inlineStr"/>
      <c r="AR354" s="30" t="inlineStr">
        <is>
          <t>portal page title / URL — not printed on the list</t>
        </is>
      </c>
      <c r="AS354" s="30" t="inlineStr">
        <is>
          <t>AMERICO BRASILIENSE</t>
        </is>
      </c>
      <c r="AT354" s="30" t="inlineStr">
        <is>
          <t>SP</t>
        </is>
      </c>
      <c r="AU354" s="30" t="inlineStr">
        <is>
          <t>Transporte rodoviário de carga, exceto produtos perigosos e mudanças, intermunicipal, interestadual e internacional</t>
        </is>
      </c>
      <c r="AV354" s="30" t="inlineStr">
        <is>
          <t>DEMAIS</t>
        </is>
      </c>
      <c r="AW354" s="31" t="n">
        <v>4848000</v>
      </c>
      <c r="AX354" s="30" t="inlineStr">
        <is>
          <t>MID-MARKET</t>
        </is>
      </c>
      <c r="AY354" s="30" t="inlineStr">
        <is>
          <t>05134355</t>
        </is>
      </c>
      <c r="AZ354" s="30" t="n">
        <v>1</v>
      </c>
      <c r="BA354" s="30" t="inlineStr">
        <is>
          <t>ROWS:p72r16 VALUE_COL:Valor_Atualizado CASE_NUMBER_CORRECTED</t>
        </is>
      </c>
    </row>
    <row r="355">
      <c r="A355" s="16" t="inlineStr">
        <is>
          <t>FTI CONSULTORIA LTDA</t>
        </is>
      </c>
      <c r="B355" s="17" t="n">
        <v>301076.07</v>
      </c>
      <c r="C355" s="18" t="inlineStr">
        <is>
          <t>Grupo Rech</t>
        </is>
      </c>
      <c r="D355" s="19" t="inlineStr">
        <is>
          <t>NEW</t>
        </is>
      </c>
      <c r="E355" s="20" t="inlineStr"/>
      <c r="F355" s="19" t="inlineStr"/>
      <c r="G355" s="20" t="inlineStr"/>
      <c r="H355" s="19" t="inlineStr"/>
      <c r="I355" s="21" t="inlineStr">
        <is>
          <t>Luciano Lindemann</t>
        </is>
      </c>
      <c r="J355" s="21" t="inlineStr">
        <is>
          <t>Senior Managing Director, Corporate Finance | Restructuring</t>
        </is>
      </c>
      <c r="K355" s="21" t="inlineStr">
        <is>
          <t>(11) 3150-7000</t>
        </is>
      </c>
      <c r="L355" s="21" t="inlineStr"/>
      <c r="M355" s="21" t="inlineStr"/>
      <c r="N355" s="21" t="inlineStr">
        <is>
          <t>luciano.lindemann@fticonsulting.com</t>
        </is>
      </c>
      <c r="O355" s="21" t="inlineStr">
        <is>
          <t>andre.malandrino@fticonsulting.com</t>
        </is>
      </c>
      <c r="P355" s="21" t="inlineStr">
        <is>
          <t>Andre Malandrino</t>
        </is>
      </c>
      <c r="Q355" s="21" t="inlineStr">
        <is>
          <t>Corporate Finance &amp; Restructuring Director</t>
        </is>
      </c>
      <c r="R355" s="21" t="inlineStr"/>
      <c r="S355" s="21" t="inlineStr">
        <is>
          <t>andre.malandrino@fticonsulting.com</t>
        </is>
      </c>
      <c r="T355" s="21" t="inlineStr">
        <is>
          <t>email verified by Apollo</t>
        </is>
      </c>
      <c r="U355" s="22" t="n">
        <v>301076.07</v>
      </c>
      <c r="V355" s="23" t="inlineStr">
        <is>
          <t>B</t>
        </is>
      </c>
      <c r="W355" s="24">
        <f>IFERROR(VLOOKUP(V355,Assumptions!$A$7:$F$11,2,FALSE),0)</f>
        <v/>
      </c>
      <c r="X355" s="25">
        <f>IF(V355="A",MAX(1,IFERROR(VLOOKUP(V355,Assumptions!$A$7:$F$11,3,FALSE),3)+IFERROR(VLOOKUP(V355,Assumptions!$A$7:$F$11,4,FALSE),8)/2-MAX(0,IF(AO355="",0,YEAR(TODAY())-AO355)-IFERROR(VLOOKUP(V355,Assumptions!$A$7:$F$11,5,FALSE),1.5))),IFERROR(VLOOKUP(V355,Assumptions!$A$7:$F$11,5,FALSE),2.5)+IFERROR(VLOOKUP(V355,Assumptions!$A$7:$F$11,3,FALSE),3)+IFERROR(VLOOKUP(V355,Assumptions!$A$7:$F$11,4,FALSE),8)/2)</f>
        <v/>
      </c>
      <c r="Y355" s="22">
        <f>U355*W355/(1+Assumptions!$B$3)^X355</f>
        <v/>
      </c>
      <c r="Z355" s="26">
        <f>IF(U355=0,"",ROUND(Y355/U355*100,1))</f>
        <v/>
      </c>
      <c r="AA355" s="27">
        <f>Y355*Assumptions!$B$4</f>
        <v/>
      </c>
      <c r="AB355" s="26">
        <f>IF(U355=0,"",ROUND(AA355/U355*100,1))</f>
        <v/>
      </c>
      <c r="AC355" s="27">
        <f>Y355-AA355</f>
        <v/>
      </c>
      <c r="AD355" s="26">
        <f>IF(U355=0,"",ROUND((Y355-AA355)/U355*100,1))</f>
        <v/>
      </c>
      <c r="AE355" s="36" t="inlineStr">
        <is>
          <t>CHECK — source is not a statutory creditor list</t>
        </is>
      </c>
      <c r="AF355" s="29" t="inlineStr">
        <is>
          <t>https://credibilita.com.br/wp-content/uploads/2025/09/Relacao-Credores-29.04.2026.pdf</t>
        </is>
      </c>
      <c r="AG355" s="28" t="inlineStr">
        <is>
          <t>p1 r24</t>
        </is>
      </c>
      <c r="AH355" s="28" t="inlineStr">
        <is>
          <t>p1: R$ 301.076,07</t>
        </is>
      </c>
      <c r="AI355" s="28" t="inlineStr">
        <is>
          <t>Quorum list — NOT an art. 7/51 list</t>
        </is>
      </c>
      <c r="AJ355" s="28" t="inlineStr"/>
      <c r="AK355" s="28" t="inlineStr">
        <is>
          <t>NONE FOUND</t>
        </is>
      </c>
      <c r="AL355" s="30" t="inlineStr">
        <is>
          <t>5057720-48.2025.8.24.0023</t>
        </is>
      </c>
      <c r="AM355" s="30" t="inlineStr">
        <is>
          <t>TJSC</t>
        </is>
      </c>
      <c r="AN355" s="30" t="inlineStr"/>
      <c r="AO355" s="30" t="n">
        <v>2025</v>
      </c>
      <c r="AP355" s="30" t="inlineStr">
        <is>
          <t>live case, no plan document yet</t>
        </is>
      </c>
      <c r="AQ355" s="30" t="inlineStr"/>
      <c r="AR355" s="30" t="inlineStr">
        <is>
          <t>portal page title / URL — not printed on the list</t>
        </is>
      </c>
      <c r="AS355" s="30" t="inlineStr">
        <is>
          <t>SAO PAULO</t>
        </is>
      </c>
      <c r="AT355" s="30" t="inlineStr">
        <is>
          <t>SP</t>
        </is>
      </c>
      <c r="AU355" s="30" t="inlineStr">
        <is>
          <t>Atividades de consultoria em gestão empresarial, exceto consultoria técnica específica</t>
        </is>
      </c>
      <c r="AV355" s="30" t="inlineStr">
        <is>
          <t>DEMAIS</t>
        </is>
      </c>
      <c r="AW355" s="31" t="n">
        <v>9111425</v>
      </c>
      <c r="AX355" s="30" t="inlineStr">
        <is>
          <t>MID-MARKET</t>
        </is>
      </c>
      <c r="AY355" s="30" t="inlineStr">
        <is>
          <t>07174869</t>
        </is>
      </c>
      <c r="AZ355" s="30" t="n">
        <v>1</v>
      </c>
      <c r="BA355" s="30" t="inlineStr">
        <is>
          <t>ROWS:p1r24 UNRECONCILED_SOURCE VALUE_COL:Valor_Após_Analise CASE_NUMBER_CORRECTED</t>
        </is>
      </c>
    </row>
    <row r="356">
      <c r="A356" s="16" t="inlineStr">
        <is>
          <t>DOCK TECNOLOGIA S.A.</t>
        </is>
      </c>
      <c r="B356" s="17" t="n">
        <v>300283.06</v>
      </c>
      <c r="C356" s="18" t="inlineStr">
        <is>
          <t>GRUPO CATTAN</t>
        </is>
      </c>
      <c r="D356" s="19" t="inlineStr">
        <is>
          <t>NEW</t>
        </is>
      </c>
      <c r="E356" s="20" t="inlineStr"/>
      <c r="F356" s="19" t="inlineStr"/>
      <c r="G356" s="20" t="inlineStr"/>
      <c r="H356" s="19" t="inlineStr"/>
      <c r="I356" s="21" t="inlineStr">
        <is>
          <t>Valerio Zarro</t>
        </is>
      </c>
      <c r="J356" s="21" t="inlineStr">
        <is>
          <t>Chief Financial Officer</t>
        </is>
      </c>
      <c r="K356" s="21" t="inlineStr">
        <is>
          <t>(11) 3889-1800</t>
        </is>
      </c>
      <c r="L356" s="21" t="inlineStr"/>
      <c r="M356" s="21" t="inlineStr"/>
      <c r="N356" s="21" t="inlineStr">
        <is>
          <t>valerio.zarro@dock.tech</t>
        </is>
      </c>
      <c r="O356" s="21" t="inlineStr">
        <is>
          <t>estela.souza@dock.tech</t>
        </is>
      </c>
      <c r="P356" s="21" t="inlineStr">
        <is>
          <t>Estela Souza</t>
        </is>
      </c>
      <c r="Q356" s="21" t="inlineStr">
        <is>
          <t>Analista de Cobrança Pleno</t>
        </is>
      </c>
      <c r="R356" s="21" t="inlineStr"/>
      <c r="S356" s="21" t="inlineStr">
        <is>
          <t>estela.souza@dock.tech</t>
        </is>
      </c>
      <c r="T356" s="21" t="inlineStr">
        <is>
          <t>email verified by Apollo</t>
        </is>
      </c>
      <c r="U356" s="22" t="n">
        <v>300283.06</v>
      </c>
      <c r="V356" s="23" t="inlineStr">
        <is>
          <t>B</t>
        </is>
      </c>
      <c r="W356" s="24">
        <f>IFERROR(VLOOKUP(V356,Assumptions!$A$7:$F$11,2,FALSE),0)</f>
        <v/>
      </c>
      <c r="X356" s="25">
        <f>IF(V356="A",MAX(1,IFERROR(VLOOKUP(V356,Assumptions!$A$7:$F$11,3,FALSE),3)+IFERROR(VLOOKUP(V356,Assumptions!$A$7:$F$11,4,FALSE),8)/2-MAX(0,IF(AO356="",0,YEAR(TODAY())-AO356)-IFERROR(VLOOKUP(V356,Assumptions!$A$7:$F$11,5,FALSE),1.5))),IFERROR(VLOOKUP(V356,Assumptions!$A$7:$F$11,5,FALSE),2.5)+IFERROR(VLOOKUP(V356,Assumptions!$A$7:$F$11,3,FALSE),3)+IFERROR(VLOOKUP(V356,Assumptions!$A$7:$F$11,4,FALSE),8)/2)</f>
        <v/>
      </c>
      <c r="Y356" s="22">
        <f>U356*W356/(1+Assumptions!$B$3)^X356</f>
        <v/>
      </c>
      <c r="Z356" s="26">
        <f>IF(U356=0,"",ROUND(Y356/U356*100,1))</f>
        <v/>
      </c>
      <c r="AA356" s="27">
        <f>Y356*Assumptions!$B$4</f>
        <v/>
      </c>
      <c r="AB356" s="26">
        <f>IF(U356=0,"",ROUND(AA356/U356*100,1))</f>
        <v/>
      </c>
      <c r="AC356" s="27">
        <f>Y356-AA356</f>
        <v/>
      </c>
      <c r="AD356" s="26">
        <f>IF(U356=0,"",ROUND((Y356-AA356)/U356*100,1))</f>
        <v/>
      </c>
      <c r="AE356" s="34" t="inlineStr">
        <is>
          <t>PARTIAL — class III reconciled, other classes not</t>
        </is>
      </c>
      <c r="AF356" s="29" t="inlineStr">
        <is>
          <t>https://lrflideres.com.br/wp-content/plugins/download-attachments/includes/download.php?id=4023</t>
        </is>
      </c>
      <c r="AG356" s="28" t="inlineStr">
        <is>
          <t>p7 r85</t>
        </is>
      </c>
      <c r="AH356" s="28" t="inlineStr">
        <is>
          <t>p7: R$ 300.283,06</t>
        </is>
      </c>
      <c r="AI356" s="28" t="inlineStr">
        <is>
          <t>Debtor list (art. 51)</t>
        </is>
      </c>
      <c r="AJ356" s="28" t="inlineStr"/>
      <c r="AK356" s="28" t="inlineStr">
        <is>
          <t>NONE FOUND</t>
        </is>
      </c>
      <c r="AL356" s="30" t="inlineStr">
        <is>
          <t>0002484-82.2022.8.17.2001</t>
        </is>
      </c>
      <c r="AM356" s="30" t="inlineStr">
        <is>
          <t>TJPE</t>
        </is>
      </c>
      <c r="AN356" s="30" t="inlineStr">
        <is>
          <t>ACTIVE</t>
        </is>
      </c>
      <c r="AO356" s="30" t="n">
        <v>2022</v>
      </c>
      <c r="AP356" s="30" t="inlineStr">
        <is>
          <t>live case, no plan document yet</t>
        </is>
      </c>
      <c r="AQ356" s="30" t="inlineStr"/>
      <c r="AR356" s="30" t="inlineStr">
        <is>
          <t>printed on the list (read twice)</t>
        </is>
      </c>
      <c r="AS356" s="30" t="inlineStr">
        <is>
          <t>BARUERI</t>
        </is>
      </c>
      <c r="AT356" s="30" t="inlineStr">
        <is>
          <t>SP</t>
        </is>
      </c>
      <c r="AU356" s="30" t="inlineStr">
        <is>
          <t>Atividades de consultoria em gestão empresarial, exceto consultoria técnica específica</t>
        </is>
      </c>
      <c r="AV356" s="30" t="inlineStr">
        <is>
          <t>DEMAIS</t>
        </is>
      </c>
      <c r="AW356" s="31" t="n">
        <v>791908740</v>
      </c>
      <c r="AX356" s="30" t="inlineStr">
        <is>
          <t>LARGE CORP</t>
        </is>
      </c>
      <c r="AY356" s="30" t="inlineStr">
        <is>
          <t>03645772</t>
        </is>
      </c>
      <c r="AZ356" s="30" t="n">
        <v>1</v>
      </c>
      <c r="BA356" s="30" t="inlineStr">
        <is>
          <t>PARTIAL_DOC_CLASS_III_RECONCILED ROWS:p7r85</t>
        </is>
      </c>
    </row>
    <row r="357">
      <c r="A357" s="16" t="inlineStr">
        <is>
          <t>ERPLASTI INDUSTRIA E COMERCIO DE PLASTICOS LTDA</t>
        </is>
      </c>
      <c r="B357" s="17" t="n">
        <v>299861.9</v>
      </c>
      <c r="C357" s="18" t="inlineStr">
        <is>
          <t>TOP TEXTIL EMBALAGENS LTDA</t>
        </is>
      </c>
      <c r="D357" s="19" t="inlineStr">
        <is>
          <t>NEW</t>
        </is>
      </c>
      <c r="E357" s="20" t="inlineStr"/>
      <c r="F357" s="19" t="inlineStr"/>
      <c r="G357" s="20" t="inlineStr"/>
      <c r="H357" s="19" t="inlineStr"/>
      <c r="I357" s="21" t="inlineStr">
        <is>
          <t>Daniela Sprandel</t>
        </is>
      </c>
      <c r="J357" s="21" t="inlineStr">
        <is>
          <t>Financial Manager</t>
        </is>
      </c>
      <c r="K357" s="21" t="inlineStr">
        <is>
          <t>(51) 8163-9936</t>
        </is>
      </c>
      <c r="L357" s="21" t="inlineStr"/>
      <c r="M357" s="21" t="inlineStr"/>
      <c r="N357" s="21" t="inlineStr">
        <is>
          <t>dgsprandel@erplasti.com.br</t>
        </is>
      </c>
      <c r="O357" s="21" t="inlineStr">
        <is>
          <t>aerthal@erplasti.com.br</t>
        </is>
      </c>
      <c r="P357" s="21" t="inlineStr">
        <is>
          <t>Andressa Erthal</t>
        </is>
      </c>
      <c r="Q357" s="21" t="inlineStr">
        <is>
          <t>Administradora na Erplasti</t>
        </is>
      </c>
      <c r="R357" s="21" t="inlineStr"/>
      <c r="S357" s="21" t="inlineStr">
        <is>
          <t>aerthal@erplasti.com.br</t>
        </is>
      </c>
      <c r="T357" s="21" t="inlineStr">
        <is>
          <t>email verified by Apollo</t>
        </is>
      </c>
      <c r="U357" s="22" t="n">
        <v>299861.9</v>
      </c>
      <c r="V357" s="23" t="inlineStr">
        <is>
          <t>B</t>
        </is>
      </c>
      <c r="W357" s="24">
        <f>IFERROR(VLOOKUP(V357,Assumptions!$A$7:$F$11,2,FALSE),0)</f>
        <v/>
      </c>
      <c r="X357" s="25">
        <f>IF(V357="A",MAX(1,IFERROR(VLOOKUP(V357,Assumptions!$A$7:$F$11,3,FALSE),3)+IFERROR(VLOOKUP(V357,Assumptions!$A$7:$F$11,4,FALSE),8)/2-MAX(0,IF(AO357="",0,YEAR(TODAY())-AO357)-IFERROR(VLOOKUP(V357,Assumptions!$A$7:$F$11,5,FALSE),1.5))),IFERROR(VLOOKUP(V357,Assumptions!$A$7:$F$11,5,FALSE),2.5)+IFERROR(VLOOKUP(V357,Assumptions!$A$7:$F$11,3,FALSE),3)+IFERROR(VLOOKUP(V357,Assumptions!$A$7:$F$11,4,FALSE),8)/2)</f>
        <v/>
      </c>
      <c r="Y357" s="22">
        <f>U357*W357/(1+Assumptions!$B$3)^X357</f>
        <v/>
      </c>
      <c r="Z357" s="26">
        <f>IF(U357=0,"",ROUND(Y357/U357*100,1))</f>
        <v/>
      </c>
      <c r="AA357" s="27">
        <f>Y357*Assumptions!$B$4</f>
        <v/>
      </c>
      <c r="AB357" s="26">
        <f>IF(U357=0,"",ROUND(AA357/U357*100,1))</f>
        <v/>
      </c>
      <c r="AC357" s="27">
        <f>Y357-AA357</f>
        <v/>
      </c>
      <c r="AD357" s="26">
        <f>IF(U357=0,"",ROUND((Y357-AA357)/U357*100,1))</f>
        <v/>
      </c>
      <c r="AE357" s="33" t="inlineStr">
        <is>
          <t>NO TOTALS — list prints none; check page</t>
        </is>
      </c>
      <c r="AF357" s="29" t="inlineStr">
        <is>
          <t>https://cataliseaj.com.br/sgc/download.php?file=files/processo_documento/processo_documento15092204102024_1_.pdf&amp;nome=02. RELAÇÃO DE CREDORES</t>
        </is>
      </c>
      <c r="AG357" s="28" t="inlineStr">
        <is>
          <t>p2 r36</t>
        </is>
      </c>
      <c r="AH357" s="28" t="inlineStr">
        <is>
          <t>p2: R$ 299.861,90</t>
        </is>
      </c>
      <c r="AI357" s="28" t="inlineStr">
        <is>
          <t>Debtor list (art. 51)</t>
        </is>
      </c>
      <c r="AJ357" s="28" t="inlineStr"/>
      <c r="AK357" s="28" t="inlineStr">
        <is>
          <t>NONE FOUND</t>
        </is>
      </c>
      <c r="AL357" s="30" t="inlineStr">
        <is>
          <t>5011460-87.2023.8.24.0020</t>
        </is>
      </c>
      <c r="AM357" s="30" t="inlineStr">
        <is>
          <t>TJSC</t>
        </is>
      </c>
      <c r="AN357" s="30" t="inlineStr">
        <is>
          <t>ACTIVE</t>
        </is>
      </c>
      <c r="AO357" s="30" t="n">
        <v>2023</v>
      </c>
      <c r="AP357" s="30" t="inlineStr">
        <is>
          <t>live case, no plan document yet</t>
        </is>
      </c>
      <c r="AQ357" s="30" t="inlineStr">
        <is>
          <t>26.588.741/0001-29</t>
        </is>
      </c>
      <c r="AR357" s="30" t="inlineStr">
        <is>
          <t>printed on the list (read twice)</t>
        </is>
      </c>
      <c r="AS357" s="30" t="inlineStr">
        <is>
          <t>MONTENEGRO</t>
        </is>
      </c>
      <c r="AT357" s="30" t="inlineStr">
        <is>
          <t>RS</t>
        </is>
      </c>
      <c r="AU357" s="30" t="inlineStr">
        <is>
          <t>Fabricação de laminados planos e tubulares de material plástico</t>
        </is>
      </c>
      <c r="AV357" s="30" t="inlineStr">
        <is>
          <t>DEMAIS</t>
        </is>
      </c>
      <c r="AW357" s="31" t="inlineStr"/>
      <c r="AX357" s="30" t="inlineStr">
        <is>
          <t>MID-MARKET</t>
        </is>
      </c>
      <c r="AY357" s="30" t="inlineStr">
        <is>
          <t>92185008</t>
        </is>
      </c>
      <c r="AZ357" s="30" t="n">
        <v>1</v>
      </c>
      <c r="BA357" s="30" t="inlineStr">
        <is>
          <t>ROWS:p2r36 UNRECONCILED_SOURCE</t>
        </is>
      </c>
    </row>
    <row r="358">
      <c r="A358" s="16" t="inlineStr">
        <is>
          <t>CIL - COMERCIO DE INFORMATICA LTDA</t>
        </is>
      </c>
      <c r="B358" s="17" t="n">
        <v>1166163.86</v>
      </c>
      <c r="C358" s="18" t="inlineStr">
        <is>
          <t>CREDIMÓVEIS NOVOLAR LTDA.</t>
        </is>
      </c>
      <c r="D358" s="19" t="inlineStr">
        <is>
          <t>NEW</t>
        </is>
      </c>
      <c r="E358" s="20" t="inlineStr"/>
      <c r="F358" s="19" t="inlineStr"/>
      <c r="G358" s="20" t="inlineStr"/>
      <c r="H358" s="19" t="inlineStr"/>
      <c r="I358" s="21" t="inlineStr">
        <is>
          <t>Edgar Assis</t>
        </is>
      </c>
      <c r="J358" s="21" t="inlineStr">
        <is>
          <t>Gerente Administrativo / Financeiro</t>
        </is>
      </c>
      <c r="K358" s="21" t="inlineStr">
        <is>
          <t>(81) 2121-2000</t>
        </is>
      </c>
      <c r="L358" s="21" t="inlineStr">
        <is>
          <t>(81) 2121-2000</t>
        </is>
      </c>
      <c r="M358" s="21" t="inlineStr"/>
      <c r="N358" s="21" t="inlineStr">
        <is>
          <t>edgar.assis@nagem.com.br</t>
        </is>
      </c>
      <c r="O358" s="21" t="inlineStr">
        <is>
          <t>alexandre.barbosa@nagem.com.br</t>
        </is>
      </c>
      <c r="P358" s="21" t="inlineStr">
        <is>
          <t>Alexandre Barbosa</t>
        </is>
      </c>
      <c r="Q358" s="21" t="inlineStr">
        <is>
          <t>Coordenador de Crédito e Cobrança</t>
        </is>
      </c>
      <c r="R358" s="21" t="inlineStr"/>
      <c r="S358" s="21" t="inlineStr">
        <is>
          <t>alexandre.barbosa@nagem.com.br</t>
        </is>
      </c>
      <c r="T358" s="21" t="inlineStr">
        <is>
          <t>email verified by Apollo</t>
        </is>
      </c>
      <c r="U358" s="22" t="n">
        <v>1166163.86</v>
      </c>
      <c r="V358" s="38" t="inlineStr">
        <is>
          <t>C</t>
        </is>
      </c>
      <c r="W358" s="24">
        <f>IFERROR(VLOOKUP(V358,Assumptions!$A$7:$F$11,2,FALSE),0)</f>
        <v/>
      </c>
      <c r="X358" s="25">
        <f>IF(V358="A",MAX(1,IFERROR(VLOOKUP(V358,Assumptions!$A$7:$F$11,3,FALSE),3)+IFERROR(VLOOKUP(V358,Assumptions!$A$7:$F$11,4,FALSE),8)/2-MAX(0,IF(AO358="",0,YEAR(TODAY())-AO358)-IFERROR(VLOOKUP(V358,Assumptions!$A$7:$F$11,5,FALSE),1.5))),IFERROR(VLOOKUP(V358,Assumptions!$A$7:$F$11,5,FALSE),2.5)+IFERROR(VLOOKUP(V358,Assumptions!$A$7:$F$11,3,FALSE),3)+IFERROR(VLOOKUP(V358,Assumptions!$A$7:$F$11,4,FALSE),8)/2)</f>
        <v/>
      </c>
      <c r="Y358" s="22">
        <f>U358*W358/(1+Assumptions!$B$3)^X358</f>
        <v/>
      </c>
      <c r="Z358" s="26">
        <f>IF(U358=0,"",ROUND(Y358/U358*100,1))</f>
        <v/>
      </c>
      <c r="AA358" s="27">
        <f>Y358*Assumptions!$B$4</f>
        <v/>
      </c>
      <c r="AB358" s="26">
        <f>IF(U358=0,"",ROUND(AA358/U358*100,1))</f>
        <v/>
      </c>
      <c r="AC358" s="27">
        <f>Y358-AA358</f>
        <v/>
      </c>
      <c r="AD358" s="26">
        <f>IF(U358=0,"",ROUND((Y358-AA358)/U358*100,1))</f>
        <v/>
      </c>
      <c r="AE358" s="28" t="inlineStr">
        <is>
          <t>OK — totals reconciled</t>
        </is>
      </c>
      <c r="AF358" s="29" t="inlineStr">
        <is>
          <t>https://recuperacaojudicial.squarespace.com/s/RJ-Credimoveis-QGC-01082025.pdf</t>
        </is>
      </c>
      <c r="AG358" s="28" t="inlineStr">
        <is>
          <t>p15 r31</t>
        </is>
      </c>
      <c r="AH358" s="28" t="inlineStr">
        <is>
          <t>p15: R$ 1.166.163,86</t>
        </is>
      </c>
      <c r="AI358" s="28" t="inlineStr">
        <is>
          <t>QGC (art. 18)</t>
        </is>
      </c>
      <c r="AJ358" s="28" t="inlineStr">
        <is>
          <t>2026-01-28</t>
        </is>
      </c>
      <c r="AK358" s="28" t="inlineStr">
        <is>
          <t>NONE FOUND</t>
        </is>
      </c>
      <c r="AL358" s="30" t="inlineStr">
        <is>
          <t>0007565-40.2020.8.17.2370</t>
        </is>
      </c>
      <c r="AM358" s="30" t="inlineStr">
        <is>
          <t>TJPE</t>
        </is>
      </c>
      <c r="AN358" s="30" t="inlineStr">
        <is>
          <t>ACTIVE</t>
        </is>
      </c>
      <c r="AO358" s="30" t="n">
        <v>2020</v>
      </c>
      <c r="AP358" s="30" t="inlineStr">
        <is>
          <t>6y since filing, no plan document</t>
        </is>
      </c>
      <c r="AQ358" s="30" t="inlineStr">
        <is>
          <t>09.930.165/0001-37</t>
        </is>
      </c>
      <c r="AR358" s="30" t="inlineStr">
        <is>
          <t>printed on the list (read twice)</t>
        </is>
      </c>
      <c r="AS358" s="30" t="inlineStr">
        <is>
          <t>RECIFE</t>
        </is>
      </c>
      <c r="AT358" s="30" t="inlineStr">
        <is>
          <t>PE</t>
        </is>
      </c>
      <c r="AU358" s="30" t="inlineStr">
        <is>
          <t>Comércio atacadista de suprimentos para informática</t>
        </is>
      </c>
      <c r="AV358" s="30" t="inlineStr">
        <is>
          <t>DEMAIS</t>
        </is>
      </c>
      <c r="AW358" s="31" t="n">
        <v>143000000</v>
      </c>
      <c r="AX358" s="30" t="inlineStr">
        <is>
          <t>MID-MARKET</t>
        </is>
      </c>
      <c r="AY358" s="30" t="inlineStr">
        <is>
          <t>24073694</t>
        </is>
      </c>
      <c r="AZ358" s="30" t="n">
        <v>1</v>
      </c>
      <c r="BA358" s="30" t="inlineStr">
        <is>
          <t>ROWS:p15r31</t>
        </is>
      </c>
    </row>
    <row r="359">
      <c r="A359" s="16" t="inlineStr">
        <is>
          <t>EMPRESA DE TERMOPLASTICOS DO NORDESTE ETENO LTDA</t>
        </is>
      </c>
      <c r="B359" s="17" t="n">
        <v>296123.94</v>
      </c>
      <c r="C359" s="18" t="inlineStr">
        <is>
          <t>GRUPO IMPLASVERDE</t>
        </is>
      </c>
      <c r="D359" s="19" t="inlineStr">
        <is>
          <t>NEW</t>
        </is>
      </c>
      <c r="E359" s="20" t="inlineStr"/>
      <c r="F359" s="19" t="inlineStr"/>
      <c r="G359" s="20" t="inlineStr"/>
      <c r="H359" s="19" t="inlineStr"/>
      <c r="I359" s="21" t="inlineStr">
        <is>
          <t>Leonardo Santana</t>
        </is>
      </c>
      <c r="J359" s="21" t="inlineStr">
        <is>
          <t>Financial Coordinator</t>
        </is>
      </c>
      <c r="K359" s="21" t="inlineStr">
        <is>
          <t>(81) 3342-2323</t>
        </is>
      </c>
      <c r="L359" s="21" t="inlineStr"/>
      <c r="M359" s="21" t="inlineStr"/>
      <c r="N359" s="21" t="inlineStr">
        <is>
          <t>leonardo.melo@eteno.com.br</t>
        </is>
      </c>
      <c r="O359" s="21" t="inlineStr">
        <is>
          <t>rodrigo.fernandes@eteno.com.br</t>
        </is>
      </c>
      <c r="P359" s="21" t="inlineStr">
        <is>
          <t>Rodrigo Fernandes</t>
        </is>
      </c>
      <c r="Q359" s="21" t="inlineStr">
        <is>
          <t>Director</t>
        </is>
      </c>
      <c r="R359" s="21" t="inlineStr"/>
      <c r="S359" s="21" t="inlineStr">
        <is>
          <t>rodrigo.fernandes@eteno.com.br</t>
        </is>
      </c>
      <c r="T359" s="21" t="inlineStr">
        <is>
          <t>email verified by Apollo</t>
        </is>
      </c>
      <c r="U359" s="22" t="n">
        <v>296123.94</v>
      </c>
      <c r="V359" s="23" t="inlineStr">
        <is>
          <t>B</t>
        </is>
      </c>
      <c r="W359" s="24">
        <f>IFERROR(VLOOKUP(V359,Assumptions!$A$7:$F$11,2,FALSE),0)</f>
        <v/>
      </c>
      <c r="X359" s="25">
        <f>IF(V359="A",MAX(1,IFERROR(VLOOKUP(V359,Assumptions!$A$7:$F$11,3,FALSE),3)+IFERROR(VLOOKUP(V359,Assumptions!$A$7:$F$11,4,FALSE),8)/2-MAX(0,IF(AO359="",0,YEAR(TODAY())-AO359)-IFERROR(VLOOKUP(V359,Assumptions!$A$7:$F$11,5,FALSE),1.5))),IFERROR(VLOOKUP(V359,Assumptions!$A$7:$F$11,5,FALSE),2.5)+IFERROR(VLOOKUP(V359,Assumptions!$A$7:$F$11,3,FALSE),3)+IFERROR(VLOOKUP(V359,Assumptions!$A$7:$F$11,4,FALSE),8)/2)</f>
        <v/>
      </c>
      <c r="Y359" s="22">
        <f>U359*W359/(1+Assumptions!$B$3)^X359</f>
        <v/>
      </c>
      <c r="Z359" s="26">
        <f>IF(U359=0,"",ROUND(Y359/U359*100,1))</f>
        <v/>
      </c>
      <c r="AA359" s="27">
        <f>Y359*Assumptions!$B$4</f>
        <v/>
      </c>
      <c r="AB359" s="26">
        <f>IF(U359=0,"",ROUND(AA359/U359*100,1))</f>
        <v/>
      </c>
      <c r="AC359" s="27">
        <f>Y359-AA359</f>
        <v/>
      </c>
      <c r="AD359" s="26">
        <f>IF(U359=0,"",ROUND((Y359-AA359)/U359*100,1))</f>
        <v/>
      </c>
      <c r="AE359" s="28" t="inlineStr">
        <is>
          <t>OK — totals reconciled</t>
        </is>
      </c>
      <c r="AF359" s="29" t="inlineStr">
        <is>
          <t>http://recuperacaojudicial.squarespace.com/s/LISTA-DE-CREDORES-CONSOLIDADA-ATE-04102024.pdf</t>
        </is>
      </c>
      <c r="AG359" s="28" t="inlineStr">
        <is>
          <t>p6 r12</t>
        </is>
      </c>
      <c r="AH359" s="28" t="inlineStr">
        <is>
          <t>p6: R$ 296.123,94</t>
        </is>
      </c>
      <c r="AI359" s="28" t="inlineStr">
        <is>
          <t>AJ list (art. 7 §2)</t>
        </is>
      </c>
      <c r="AJ359" s="28" t="inlineStr">
        <is>
          <t>2024-10-04</t>
        </is>
      </c>
      <c r="AK359" s="28" t="inlineStr">
        <is>
          <t>NONE FOUND</t>
        </is>
      </c>
      <c r="AL359" s="30" t="inlineStr">
        <is>
          <t>0800778-16.2023.8.20.5104</t>
        </is>
      </c>
      <c r="AM359" s="30" t="inlineStr">
        <is>
          <t>TJRN</t>
        </is>
      </c>
      <c r="AN359" s="30" t="inlineStr">
        <is>
          <t>ACTIVE</t>
        </is>
      </c>
      <c r="AO359" s="30" t="n">
        <v>2023</v>
      </c>
      <c r="AP359" s="30" t="inlineStr">
        <is>
          <t>live case, no plan document yet</t>
        </is>
      </c>
      <c r="AQ359" s="30" t="inlineStr"/>
      <c r="AR359" s="30" t="inlineStr">
        <is>
          <t>printed on the list (read twice)</t>
        </is>
      </c>
      <c r="AS359" s="30" t="inlineStr">
        <is>
          <t>RECIFE</t>
        </is>
      </c>
      <c r="AT359" s="30" t="inlineStr">
        <is>
          <t>PE</t>
        </is>
      </c>
      <c r="AU359" s="30" t="inlineStr">
        <is>
          <t>Fabricação de resinas termoplásticas</t>
        </is>
      </c>
      <c r="AV359" s="30" t="inlineStr">
        <is>
          <t>DEMAIS</t>
        </is>
      </c>
      <c r="AW359" s="31" t="n">
        <v>20000000</v>
      </c>
      <c r="AX359" s="30" t="inlineStr">
        <is>
          <t>MID-MARKET</t>
        </is>
      </c>
      <c r="AY359" s="30" t="inlineStr">
        <is>
          <t>08516950</t>
        </is>
      </c>
      <c r="AZ359" s="30" t="n">
        <v>1</v>
      </c>
      <c r="BA359" s="30" t="inlineStr">
        <is>
          <t>ROWS:p6r12 VALUE_COL:Valor_Do_Crédito</t>
        </is>
      </c>
    </row>
    <row r="360">
      <c r="A360" s="16" t="inlineStr">
        <is>
          <t>EPHOXAL DO BRASIL INDUSTRIA E COMERCIO LTDA</t>
        </is>
      </c>
      <c r="B360" s="17" t="n">
        <v>1130990.79</v>
      </c>
      <c r="C360" s="18" t="inlineStr">
        <is>
          <t>BLUTRAFOS BLUMENAU TRANSFORMADORES LTDA</t>
        </is>
      </c>
      <c r="D360" s="19" t="inlineStr">
        <is>
          <t>NEW</t>
        </is>
      </c>
      <c r="E360" s="20" t="inlineStr"/>
      <c r="F360" s="19" t="inlineStr"/>
      <c r="G360" s="20" t="inlineStr"/>
      <c r="H360" s="19" t="inlineStr"/>
      <c r="I360" s="21" t="inlineStr">
        <is>
          <t>LUIZ CARLOS LAGO</t>
        </is>
      </c>
      <c r="J360" s="21" t="inlineStr">
        <is>
          <t>Sócio-Administrador (RFB partner)</t>
        </is>
      </c>
      <c r="K360" s="21" t="inlineStr">
        <is>
          <t>(11) 4138-9347</t>
        </is>
      </c>
      <c r="L360" s="21" t="inlineStr"/>
      <c r="M360" s="21" t="inlineStr"/>
      <c r="N360" s="21" t="inlineStr"/>
      <c r="O360" s="21" t="inlineStr"/>
      <c r="P360" s="21" t="inlineStr">
        <is>
          <t>MARIA HELENA TOMASSI</t>
        </is>
      </c>
      <c r="Q360" s="21" t="inlineStr">
        <is>
          <t>Administrador (RFB partner)</t>
        </is>
      </c>
      <c r="R360" s="21" t="inlineStr"/>
      <c r="S360" s="21" t="inlineStr"/>
      <c r="T360" s="21" t="inlineStr">
        <is>
          <t>RFB partner (QSA); no Apollo match</t>
        </is>
      </c>
      <c r="U360" s="22" t="n">
        <v>1130990.79</v>
      </c>
      <c r="V360" s="38" t="inlineStr">
        <is>
          <t>C</t>
        </is>
      </c>
      <c r="W360" s="24">
        <f>IFERROR(VLOOKUP(V360,Assumptions!$A$7:$F$11,2,FALSE),0)</f>
        <v/>
      </c>
      <c r="X360" s="25">
        <f>IF(V360="A",MAX(1,IFERROR(VLOOKUP(V360,Assumptions!$A$7:$F$11,3,FALSE),3)+IFERROR(VLOOKUP(V360,Assumptions!$A$7:$F$11,4,FALSE),8)/2-MAX(0,IF(AO360="",0,YEAR(TODAY())-AO360)-IFERROR(VLOOKUP(V360,Assumptions!$A$7:$F$11,5,FALSE),1.5))),IFERROR(VLOOKUP(V360,Assumptions!$A$7:$F$11,5,FALSE),2.5)+IFERROR(VLOOKUP(V360,Assumptions!$A$7:$F$11,3,FALSE),3)+IFERROR(VLOOKUP(V360,Assumptions!$A$7:$F$11,4,FALSE),8)/2)</f>
        <v/>
      </c>
      <c r="Y360" s="22">
        <f>U360*W360/(1+Assumptions!$B$3)^X360</f>
        <v/>
      </c>
      <c r="Z360" s="26">
        <f>IF(U360=0,"",ROUND(Y360/U360*100,1))</f>
        <v/>
      </c>
      <c r="AA360" s="27">
        <f>Y360*Assumptions!$B$4</f>
        <v/>
      </c>
      <c r="AB360" s="26">
        <f>IF(U360=0,"",ROUND(AA360/U360*100,1))</f>
        <v/>
      </c>
      <c r="AC360" s="27">
        <f>Y360-AA360</f>
        <v/>
      </c>
      <c r="AD360" s="26">
        <f>IF(U360=0,"",ROUND((Y360-AA360)/U360*100,1))</f>
        <v/>
      </c>
      <c r="AE360" s="28" t="inlineStr">
        <is>
          <t>OK — totals reconciled</t>
        </is>
      </c>
      <c r="AF360" s="29" t="inlineStr">
        <is>
          <t>https://administradorajudicialgs.com.br/wp-content/uploads/2023/08/advogados-sgrott-doc-22-relacao-de-credores-do-administrador-judicial-classe-iii-05-02-14.pdf</t>
        </is>
      </c>
      <c r="AG360" s="28" t="inlineStr">
        <is>
          <t>p2 r46</t>
        </is>
      </c>
      <c r="AH360" s="28" t="inlineStr">
        <is>
          <t>p2: R$ 1.130.990,79</t>
        </is>
      </c>
      <c r="AI360" s="28" t="inlineStr">
        <is>
          <t>Unclassified list</t>
        </is>
      </c>
      <c r="AJ360" s="28" t="inlineStr"/>
      <c r="AK360" s="28" t="inlineStr">
        <is>
          <t>NONE FOUND</t>
        </is>
      </c>
      <c r="AL360" s="30" t="inlineStr">
        <is>
          <t>0022845-08.2013.8.24.0008</t>
        </is>
      </c>
      <c r="AM360" s="30" t="inlineStr">
        <is>
          <t>TJSC</t>
        </is>
      </c>
      <c r="AN360" s="30" t="inlineStr"/>
      <c r="AO360" s="30" t="n">
        <v>2013</v>
      </c>
      <c r="AP360" s="30" t="inlineStr">
        <is>
          <t>13y since filing, no plan document</t>
        </is>
      </c>
      <c r="AQ360" s="30" t="inlineStr"/>
      <c r="AR360" s="30" t="inlineStr">
        <is>
          <t>portal page title / URL — not printed on the list</t>
        </is>
      </c>
      <c r="AS360" s="30" t="inlineStr">
        <is>
          <t>EMBU DAS ARTES</t>
        </is>
      </c>
      <c r="AT360" s="30" t="inlineStr">
        <is>
          <t>SP</t>
        </is>
      </c>
      <c r="AU360" s="30" t="inlineStr">
        <is>
          <t>Fabricação de resinas termofixas</t>
        </is>
      </c>
      <c r="AV360" s="30" t="inlineStr">
        <is>
          <t>DEMAIS</t>
        </is>
      </c>
      <c r="AW360" s="31" t="n">
        <v>500000</v>
      </c>
      <c r="AX360" s="30" t="inlineStr">
        <is>
          <t>MID-MARKET</t>
        </is>
      </c>
      <c r="AY360" s="30" t="inlineStr">
        <is>
          <t>02770062</t>
        </is>
      </c>
      <c r="AZ360" s="30" t="n">
        <v>1</v>
      </c>
      <c r="BA360" s="30" t="inlineStr">
        <is>
          <t>ROWS:p2r46</t>
        </is>
      </c>
    </row>
    <row r="361">
      <c r="A361" s="16" t="inlineStr">
        <is>
          <t>A X M ADMINISTRACAO E PARTICIPACOES LTDA</t>
        </is>
      </c>
      <c r="B361" s="17" t="n">
        <v>288256.26</v>
      </c>
      <c r="C361" s="18" t="inlineStr">
        <is>
          <t>GRUPO CATTAN</t>
        </is>
      </c>
      <c r="D361" s="19" t="inlineStr">
        <is>
          <t>NEW</t>
        </is>
      </c>
      <c r="E361" s="20" t="inlineStr"/>
      <c r="F361" s="19" t="inlineStr"/>
      <c r="G361" s="20" t="inlineStr"/>
      <c r="H361" s="19" t="inlineStr"/>
      <c r="I361" s="21" t="inlineStr">
        <is>
          <t>ANA LUCIA LEITE GIACCIO</t>
        </is>
      </c>
      <c r="J361" s="21" t="inlineStr">
        <is>
          <t>Sócio-Administrador (RFB partner)</t>
        </is>
      </c>
      <c r="K361" s="21" t="inlineStr">
        <is>
          <t>(41) 3233-9848</t>
        </is>
      </c>
      <c r="L361" s="21" t="inlineStr"/>
      <c r="M361" s="21" t="inlineStr"/>
      <c r="N361" s="21" t="inlineStr"/>
      <c r="O361" s="21" t="inlineStr"/>
      <c r="P361" s="21" t="inlineStr">
        <is>
          <t>MARCELO DE AMORIM LEITE</t>
        </is>
      </c>
      <c r="Q361" s="21" t="inlineStr">
        <is>
          <t>Sócio-Administrador (RFB partner)</t>
        </is>
      </c>
      <c r="R361" s="21" t="inlineStr"/>
      <c r="S361" s="21" t="inlineStr"/>
      <c r="T361" s="21" t="inlineStr">
        <is>
          <t>RFB partner (QSA); no Apollo match</t>
        </is>
      </c>
      <c r="U361" s="22" t="n">
        <v>288256.26</v>
      </c>
      <c r="V361" s="23" t="inlineStr">
        <is>
          <t>B</t>
        </is>
      </c>
      <c r="W361" s="24">
        <f>IFERROR(VLOOKUP(V361,Assumptions!$A$7:$F$11,2,FALSE),0)</f>
        <v/>
      </c>
      <c r="X361" s="25">
        <f>IF(V361="A",MAX(1,IFERROR(VLOOKUP(V361,Assumptions!$A$7:$F$11,3,FALSE),3)+IFERROR(VLOOKUP(V361,Assumptions!$A$7:$F$11,4,FALSE),8)/2-MAX(0,IF(AO361="",0,YEAR(TODAY())-AO361)-IFERROR(VLOOKUP(V361,Assumptions!$A$7:$F$11,5,FALSE),1.5))),IFERROR(VLOOKUP(V361,Assumptions!$A$7:$F$11,5,FALSE),2.5)+IFERROR(VLOOKUP(V361,Assumptions!$A$7:$F$11,3,FALSE),3)+IFERROR(VLOOKUP(V361,Assumptions!$A$7:$F$11,4,FALSE),8)/2)</f>
        <v/>
      </c>
      <c r="Y361" s="22">
        <f>U361*W361/(1+Assumptions!$B$3)^X361</f>
        <v/>
      </c>
      <c r="Z361" s="26">
        <f>IF(U361=0,"",ROUND(Y361/U361*100,1))</f>
        <v/>
      </c>
      <c r="AA361" s="27">
        <f>Y361*Assumptions!$B$4</f>
        <v/>
      </c>
      <c r="AB361" s="26">
        <f>IF(U361=0,"",ROUND(AA361/U361*100,1))</f>
        <v/>
      </c>
      <c r="AC361" s="27">
        <f>Y361-AA361</f>
        <v/>
      </c>
      <c r="AD361" s="26">
        <f>IF(U361=0,"",ROUND((Y361-AA361)/U361*100,1))</f>
        <v/>
      </c>
      <c r="AE361" s="34" t="inlineStr">
        <is>
          <t>PARTIAL — class III reconciled, other classes not</t>
        </is>
      </c>
      <c r="AF361" s="29" t="inlineStr">
        <is>
          <t>https://lrflideres.com.br/wp-content/plugins/download-attachments/includes/download.php?id=4023</t>
        </is>
      </c>
      <c r="AG361" s="28" t="inlineStr">
        <is>
          <t>p4 r54</t>
        </is>
      </c>
      <c r="AH361" s="28" t="inlineStr">
        <is>
          <t>p4: R$ 288.256,26</t>
        </is>
      </c>
      <c r="AI361" s="28" t="inlineStr">
        <is>
          <t>Debtor list (art. 51)</t>
        </is>
      </c>
      <c r="AJ361" s="28" t="inlineStr"/>
      <c r="AK361" s="28" t="inlineStr">
        <is>
          <t>NONE FOUND</t>
        </is>
      </c>
      <c r="AL361" s="30" t="inlineStr">
        <is>
          <t>0002484-82.2022.8.17.2001</t>
        </is>
      </c>
      <c r="AM361" s="30" t="inlineStr">
        <is>
          <t>TJPE</t>
        </is>
      </c>
      <c r="AN361" s="30" t="inlineStr">
        <is>
          <t>ACTIVE</t>
        </is>
      </c>
      <c r="AO361" s="30" t="n">
        <v>2022</v>
      </c>
      <c r="AP361" s="30" t="inlineStr">
        <is>
          <t>live case, no plan document yet</t>
        </is>
      </c>
      <c r="AQ361" s="30" t="inlineStr"/>
      <c r="AR361" s="30" t="inlineStr">
        <is>
          <t>printed on the list (read twice)</t>
        </is>
      </c>
      <c r="AS361" s="30" t="inlineStr">
        <is>
          <t>CURITIBA</t>
        </is>
      </c>
      <c r="AT361" s="30" t="inlineStr">
        <is>
          <t>PR</t>
        </is>
      </c>
      <c r="AU361" s="30" t="inlineStr">
        <is>
          <t>Aluguel de imóveis próprios</t>
        </is>
      </c>
      <c r="AV361" s="30" t="inlineStr">
        <is>
          <t>DEMAIS</t>
        </is>
      </c>
      <c r="AW361" s="31" t="n">
        <v>15000</v>
      </c>
      <c r="AX361" s="30" t="inlineStr">
        <is>
          <t>MID-MARKET</t>
        </is>
      </c>
      <c r="AY361" s="30" t="inlineStr">
        <is>
          <t>24649441</t>
        </is>
      </c>
      <c r="AZ361" s="30" t="n">
        <v>1</v>
      </c>
      <c r="BA361" s="30" t="inlineStr">
        <is>
          <t>PARTIAL_DOC_CLASS_III_RECONCILED ROWS:p4r54</t>
        </is>
      </c>
    </row>
    <row r="362">
      <c r="A362" s="16" t="inlineStr">
        <is>
          <t>GG ADMINISTRADORA DE BENS S/A</t>
        </is>
      </c>
      <c r="B362" s="17" t="n">
        <v>288256.26</v>
      </c>
      <c r="C362" s="18" t="inlineStr">
        <is>
          <t>GRUPO CATTAN</t>
        </is>
      </c>
      <c r="D362" s="19" t="inlineStr">
        <is>
          <t>NEW</t>
        </is>
      </c>
      <c r="E362" s="20" t="inlineStr"/>
      <c r="F362" s="19" t="inlineStr"/>
      <c r="G362" s="20" t="inlineStr"/>
      <c r="H362" s="19" t="inlineStr"/>
      <c r="I362" s="21" t="inlineStr">
        <is>
          <t>ANA LUCIA LEITE GIACCIO</t>
        </is>
      </c>
      <c r="J362" s="21" t="inlineStr">
        <is>
          <t>Diretor (RFB partner)</t>
        </is>
      </c>
      <c r="K362" s="21" t="inlineStr">
        <is>
          <t>(48) 9961-4240</t>
        </is>
      </c>
      <c r="L362" s="21" t="inlineStr"/>
      <c r="M362" s="21" t="inlineStr"/>
      <c r="N362" s="21" t="inlineStr"/>
      <c r="O362" s="21" t="inlineStr"/>
      <c r="P362" s="21" t="inlineStr">
        <is>
          <t>GABRIELA LEITE GIACCIO BEWALSKI</t>
        </is>
      </c>
      <c r="Q362" s="21" t="inlineStr">
        <is>
          <t>Diretor (RFB partner)</t>
        </is>
      </c>
      <c r="R362" s="21" t="inlineStr"/>
      <c r="S362" s="21" t="inlineStr"/>
      <c r="T362" s="21" t="inlineStr">
        <is>
          <t>RFB partner (QSA); no Apollo match</t>
        </is>
      </c>
      <c r="U362" s="22" t="n">
        <v>288256.26</v>
      </c>
      <c r="V362" s="23" t="inlineStr">
        <is>
          <t>B</t>
        </is>
      </c>
      <c r="W362" s="24">
        <f>IFERROR(VLOOKUP(V362,Assumptions!$A$7:$F$11,2,FALSE),0)</f>
        <v/>
      </c>
      <c r="X362" s="25">
        <f>IF(V362="A",MAX(1,IFERROR(VLOOKUP(V362,Assumptions!$A$7:$F$11,3,FALSE),3)+IFERROR(VLOOKUP(V362,Assumptions!$A$7:$F$11,4,FALSE),8)/2-MAX(0,IF(AO362="",0,YEAR(TODAY())-AO362)-IFERROR(VLOOKUP(V362,Assumptions!$A$7:$F$11,5,FALSE),1.5))),IFERROR(VLOOKUP(V362,Assumptions!$A$7:$F$11,5,FALSE),2.5)+IFERROR(VLOOKUP(V362,Assumptions!$A$7:$F$11,3,FALSE),3)+IFERROR(VLOOKUP(V362,Assumptions!$A$7:$F$11,4,FALSE),8)/2)</f>
        <v/>
      </c>
      <c r="Y362" s="22">
        <f>U362*W362/(1+Assumptions!$B$3)^X362</f>
        <v/>
      </c>
      <c r="Z362" s="26">
        <f>IF(U362=0,"",ROUND(Y362/U362*100,1))</f>
        <v/>
      </c>
      <c r="AA362" s="27">
        <f>Y362*Assumptions!$B$4</f>
        <v/>
      </c>
      <c r="AB362" s="26">
        <f>IF(U362=0,"",ROUND(AA362/U362*100,1))</f>
        <v/>
      </c>
      <c r="AC362" s="27">
        <f>Y362-AA362</f>
        <v/>
      </c>
      <c r="AD362" s="26">
        <f>IF(U362=0,"",ROUND((Y362-AA362)/U362*100,1))</f>
        <v/>
      </c>
      <c r="AE362" s="34" t="inlineStr">
        <is>
          <t>PARTIAL — class III reconciled, other classes not</t>
        </is>
      </c>
      <c r="AF362" s="29" t="inlineStr">
        <is>
          <t>https://lrflideres.com.br/wp-content/plugins/download-attachments/includes/download.php?id=4023</t>
        </is>
      </c>
      <c r="AG362" s="28" t="inlineStr">
        <is>
          <t>p4 r75</t>
        </is>
      </c>
      <c r="AH362" s="28" t="inlineStr">
        <is>
          <t>p4: R$ 288.256,26</t>
        </is>
      </c>
      <c r="AI362" s="28" t="inlineStr">
        <is>
          <t>Debtor list (art. 51)</t>
        </is>
      </c>
      <c r="AJ362" s="28" t="inlineStr"/>
      <c r="AK362" s="28" t="inlineStr">
        <is>
          <t>NONE FOUND</t>
        </is>
      </c>
      <c r="AL362" s="30" t="inlineStr">
        <is>
          <t>0002484-82.2022.8.17.2001</t>
        </is>
      </c>
      <c r="AM362" s="30" t="inlineStr">
        <is>
          <t>TJPE</t>
        </is>
      </c>
      <c r="AN362" s="30" t="inlineStr">
        <is>
          <t>ACTIVE</t>
        </is>
      </c>
      <c r="AO362" s="30" t="n">
        <v>2022</v>
      </c>
      <c r="AP362" s="30" t="inlineStr">
        <is>
          <t>live case, no plan document yet</t>
        </is>
      </c>
      <c r="AQ362" s="30" t="inlineStr"/>
      <c r="AR362" s="30" t="inlineStr">
        <is>
          <t>printed on the list (read twice)</t>
        </is>
      </c>
      <c r="AS362" s="30" t="inlineStr">
        <is>
          <t>CURITIBA</t>
        </is>
      </c>
      <c r="AT362" s="30" t="inlineStr">
        <is>
          <t>PR</t>
        </is>
      </c>
      <c r="AU362" s="30" t="inlineStr">
        <is>
          <t>Aluguel de imóveis próprios</t>
        </is>
      </c>
      <c r="AV362" s="30" t="inlineStr">
        <is>
          <t>DEMAIS</t>
        </is>
      </c>
      <c r="AW362" s="31" t="n">
        <v>10000</v>
      </c>
      <c r="AX362" s="30" t="inlineStr">
        <is>
          <t>MID-MARKET</t>
        </is>
      </c>
      <c r="AY362" s="30" t="inlineStr">
        <is>
          <t>24221282</t>
        </is>
      </c>
      <c r="AZ362" s="30" t="n">
        <v>1</v>
      </c>
      <c r="BA362" s="30" t="inlineStr">
        <is>
          <t>PARTIAL_DOC_CLASS_III_RECONCILED ROWS:p4r75</t>
        </is>
      </c>
    </row>
    <row r="363">
      <c r="A363" s="16" t="inlineStr">
        <is>
          <t>CTVA PROTECAO DE CULTIVOS LTDA.</t>
        </is>
      </c>
      <c r="B363" s="17" t="n">
        <v>286835.99</v>
      </c>
      <c r="C363" s="37" t="inlineStr">
        <is>
          <t>(debtor not identified — see proof)</t>
        </is>
      </c>
      <c r="D363" s="19" t="inlineStr">
        <is>
          <t>NEW</t>
        </is>
      </c>
      <c r="E363" s="20" t="inlineStr"/>
      <c r="F363" s="19" t="inlineStr"/>
      <c r="G363" s="20" t="inlineStr"/>
      <c r="H363" s="19" t="inlineStr"/>
      <c r="I363" s="21" t="inlineStr">
        <is>
          <t>Catia Oliveira</t>
        </is>
      </c>
      <c r="J363" s="21" t="inlineStr">
        <is>
          <t>Supervisoras de Cobrança</t>
        </is>
      </c>
      <c r="K363" s="21" t="inlineStr">
        <is>
          <t>(11) 4166-8122</t>
        </is>
      </c>
      <c r="L363" s="21" t="inlineStr"/>
      <c r="M363" s="21" t="inlineStr"/>
      <c r="N363" s="21" t="inlineStr">
        <is>
          <t>catia.oliveira@corteva.com</t>
        </is>
      </c>
      <c r="O363" s="21" t="inlineStr">
        <is>
          <t>jesuaine.santos@corteva.com</t>
        </is>
      </c>
      <c r="P363" s="21" t="inlineStr">
        <is>
          <t>Jesuaine Santos</t>
        </is>
      </c>
      <c r="Q363" s="21" t="inlineStr">
        <is>
          <t>Supervisora de Contas a Receber e Cobrança</t>
        </is>
      </c>
      <c r="R363" s="21" t="inlineStr"/>
      <c r="S363" s="21" t="inlineStr">
        <is>
          <t>jesuaine.santos@corteva.com</t>
        </is>
      </c>
      <c r="T363" s="21" t="inlineStr">
        <is>
          <t>email is pattern-guessed, not verified</t>
        </is>
      </c>
      <c r="U363" s="22" t="n">
        <v>286835.99</v>
      </c>
      <c r="V363" s="23" t="inlineStr">
        <is>
          <t>B</t>
        </is>
      </c>
      <c r="W363" s="24">
        <f>IFERROR(VLOOKUP(V363,Assumptions!$A$7:$F$11,2,FALSE),0)</f>
        <v/>
      </c>
      <c r="X363" s="25">
        <f>IF(V363="A",MAX(1,IFERROR(VLOOKUP(V363,Assumptions!$A$7:$F$11,3,FALSE),3)+IFERROR(VLOOKUP(V363,Assumptions!$A$7:$F$11,4,FALSE),8)/2-MAX(0,IF(AO363="",0,YEAR(TODAY())-AO363)-IFERROR(VLOOKUP(V363,Assumptions!$A$7:$F$11,5,FALSE),1.5))),IFERROR(VLOOKUP(V363,Assumptions!$A$7:$F$11,5,FALSE),2.5)+IFERROR(VLOOKUP(V363,Assumptions!$A$7:$F$11,3,FALSE),3)+IFERROR(VLOOKUP(V363,Assumptions!$A$7:$F$11,4,FALSE),8)/2)</f>
        <v/>
      </c>
      <c r="Y363" s="22">
        <f>U363*W363/(1+Assumptions!$B$3)^X363</f>
        <v/>
      </c>
      <c r="Z363" s="26">
        <f>IF(U363=0,"",ROUND(Y363/U363*100,1))</f>
        <v/>
      </c>
      <c r="AA363" s="27">
        <f>Y363*Assumptions!$B$4</f>
        <v/>
      </c>
      <c r="AB363" s="26">
        <f>IF(U363=0,"",ROUND(AA363/U363*100,1))</f>
        <v/>
      </c>
      <c r="AC363" s="27">
        <f>Y363-AA363</f>
        <v/>
      </c>
      <c r="AD363" s="26">
        <f>IF(U363=0,"",ROUND((Y363-AA363)/U363*100,1))</f>
        <v/>
      </c>
      <c r="AE363" s="33" t="inlineStr">
        <is>
          <t>NO TOTALS — list prints none; check page</t>
        </is>
      </c>
      <c r="AF363" s="29" t="inlineStr">
        <is>
          <t>https://scalzilliaj.com.br/sgc/download.php?file=files/processo_documento/processo_documento11421222052026_1_.pdf&amp;nome=08. Lista de credores do edital do art. 52, §1º da LREF</t>
        </is>
      </c>
      <c r="AG363" s="28" t="inlineStr">
        <is>
          <t>p4 r10</t>
        </is>
      </c>
      <c r="AH363" s="28" t="inlineStr">
        <is>
          <t>p4: R$ 286.835,99</t>
        </is>
      </c>
      <c r="AI363" s="28" t="inlineStr">
        <is>
          <t>Unclassified list</t>
        </is>
      </c>
      <c r="AJ363" s="28" t="inlineStr"/>
      <c r="AK363" s="28" t="inlineStr">
        <is>
          <t>NONE FOUND</t>
        </is>
      </c>
      <c r="AL363" s="30" t="inlineStr">
        <is>
          <t>5011369-81.2026.8.09.0093</t>
        </is>
      </c>
      <c r="AM363" s="30" t="inlineStr">
        <is>
          <t>TJGO</t>
        </is>
      </c>
      <c r="AN363" s="30" t="inlineStr">
        <is>
          <t>ACTIVE</t>
        </is>
      </c>
      <c r="AO363" s="30" t="n">
        <v>2026</v>
      </c>
      <c r="AP363" s="30" t="inlineStr">
        <is>
          <t>live case, no plan document yet</t>
        </is>
      </c>
      <c r="AQ363" s="30" t="inlineStr"/>
      <c r="AR363" s="30" t="inlineStr">
        <is>
          <t>not identified</t>
        </is>
      </c>
      <c r="AS363" s="30" t="inlineStr">
        <is>
          <t>BARUERI</t>
        </is>
      </c>
      <c r="AT363" s="30" t="inlineStr">
        <is>
          <t>SP</t>
        </is>
      </c>
      <c r="AU363" s="30" t="inlineStr">
        <is>
          <t>Atividades de consultoria em gestão empresarial, exceto consultoria técnica específica</t>
        </is>
      </c>
      <c r="AV363" s="30" t="inlineStr">
        <is>
          <t>DEMAIS</t>
        </is>
      </c>
      <c r="AW363" s="31" t="n">
        <v>1121700000</v>
      </c>
      <c r="AX363" s="30" t="inlineStr">
        <is>
          <t>LARGE CORP</t>
        </is>
      </c>
      <c r="AY363" s="30" t="inlineStr">
        <is>
          <t>47180625</t>
        </is>
      </c>
      <c r="AZ363" s="30" t="n">
        <v>1</v>
      </c>
      <c r="BA363" s="30" t="inlineStr">
        <is>
          <t>ROWS:p4r10 UNRECONCILED_SOURCE</t>
        </is>
      </c>
    </row>
    <row r="364">
      <c r="A364" s="16" t="inlineStr">
        <is>
          <t>ALIRIO COMERCIO DE CONFECCOES LTDA</t>
        </is>
      </c>
      <c r="B364" s="17" t="n">
        <v>284189.67</v>
      </c>
      <c r="C364" s="18" t="inlineStr">
        <is>
          <t>GRUPO CATTAN</t>
        </is>
      </c>
      <c r="D364" s="19" t="inlineStr">
        <is>
          <t>NEW</t>
        </is>
      </c>
      <c r="E364" s="20" t="inlineStr"/>
      <c r="F364" s="19" t="inlineStr"/>
      <c r="G364" s="20" t="inlineStr"/>
      <c r="H364" s="19" t="inlineStr"/>
      <c r="I364" s="21" t="inlineStr">
        <is>
          <t>CHARLES NAHRA</t>
        </is>
      </c>
      <c r="J364" s="21" t="inlineStr">
        <is>
          <t>Sócio-Administrador (RFB partner)</t>
        </is>
      </c>
      <c r="K364" s="21" t="inlineStr">
        <is>
          <t>(11) 2081-6261</t>
        </is>
      </c>
      <c r="L364" s="21" t="inlineStr"/>
      <c r="M364" s="21" t="inlineStr"/>
      <c r="N364" s="21" t="inlineStr"/>
      <c r="O364" s="21" t="inlineStr"/>
      <c r="P364" s="21" t="inlineStr"/>
      <c r="Q364" s="21" t="inlineStr"/>
      <c r="R364" s="21" t="inlineStr"/>
      <c r="S364" s="21" t="inlineStr"/>
      <c r="T364" s="21" t="inlineStr">
        <is>
          <t>RFB partner (QSA); no Apollo match</t>
        </is>
      </c>
      <c r="U364" s="22" t="n">
        <v>284189.67</v>
      </c>
      <c r="V364" s="23" t="inlineStr">
        <is>
          <t>B</t>
        </is>
      </c>
      <c r="W364" s="24">
        <f>IFERROR(VLOOKUP(V364,Assumptions!$A$7:$F$11,2,FALSE),0)</f>
        <v/>
      </c>
      <c r="X364" s="25">
        <f>IF(V364="A",MAX(1,IFERROR(VLOOKUP(V364,Assumptions!$A$7:$F$11,3,FALSE),3)+IFERROR(VLOOKUP(V364,Assumptions!$A$7:$F$11,4,FALSE),8)/2-MAX(0,IF(AO364="",0,YEAR(TODAY())-AO364)-IFERROR(VLOOKUP(V364,Assumptions!$A$7:$F$11,5,FALSE),1.5))),IFERROR(VLOOKUP(V364,Assumptions!$A$7:$F$11,5,FALSE),2.5)+IFERROR(VLOOKUP(V364,Assumptions!$A$7:$F$11,3,FALSE),3)+IFERROR(VLOOKUP(V364,Assumptions!$A$7:$F$11,4,FALSE),8)/2)</f>
        <v/>
      </c>
      <c r="Y364" s="22">
        <f>U364*W364/(1+Assumptions!$B$3)^X364</f>
        <v/>
      </c>
      <c r="Z364" s="26">
        <f>IF(U364=0,"",ROUND(Y364/U364*100,1))</f>
        <v/>
      </c>
      <c r="AA364" s="27">
        <f>Y364*Assumptions!$B$4</f>
        <v/>
      </c>
      <c r="AB364" s="26">
        <f>IF(U364=0,"",ROUND(AA364/U364*100,1))</f>
        <v/>
      </c>
      <c r="AC364" s="27">
        <f>Y364-AA364</f>
        <v/>
      </c>
      <c r="AD364" s="26">
        <f>IF(U364=0,"",ROUND((Y364-AA364)/U364*100,1))</f>
        <v/>
      </c>
      <c r="AE364" s="34" t="inlineStr">
        <is>
          <t>PARTIAL — class III reconciled, other classes not</t>
        </is>
      </c>
      <c r="AF364" s="29" t="inlineStr">
        <is>
          <t>https://lrflideres.com.br/wp-content/plugins/download-attachments/includes/download.php?id=4023</t>
        </is>
      </c>
      <c r="AG364" s="28" t="inlineStr">
        <is>
          <t>p7 r70; p9 r53</t>
        </is>
      </c>
      <c r="AH364" s="28" t="inlineStr">
        <is>
          <t>p7: R$ 241.980,69; p9: R$ 42.208,98</t>
        </is>
      </c>
      <c r="AI364" s="28" t="inlineStr">
        <is>
          <t>Debtor list (art. 51)</t>
        </is>
      </c>
      <c r="AJ364" s="28" t="inlineStr"/>
      <c r="AK364" s="28" t="inlineStr">
        <is>
          <t>NONE FOUND</t>
        </is>
      </c>
      <c r="AL364" s="30" t="inlineStr">
        <is>
          <t>0002484-82.2022.8.17.2001</t>
        </is>
      </c>
      <c r="AM364" s="30" t="inlineStr">
        <is>
          <t>TJPE</t>
        </is>
      </c>
      <c r="AN364" s="30" t="inlineStr">
        <is>
          <t>ACTIVE</t>
        </is>
      </c>
      <c r="AO364" s="30" t="n">
        <v>2022</v>
      </c>
      <c r="AP364" s="30" t="inlineStr">
        <is>
          <t>live case, no plan document yet</t>
        </is>
      </c>
      <c r="AQ364" s="30" t="inlineStr"/>
      <c r="AR364" s="30" t="inlineStr">
        <is>
          <t>printed on the list (read twice)</t>
        </is>
      </c>
      <c r="AS364" s="30" t="inlineStr">
        <is>
          <t>ARAQUARI</t>
        </is>
      </c>
      <c r="AT364" s="30" t="inlineStr">
        <is>
          <t>SC</t>
        </is>
      </c>
      <c r="AU364" s="30" t="inlineStr">
        <is>
          <t>Comércio atacadista de artigos do vestuário e acessórios, exceto profissionais e de segurança</t>
        </is>
      </c>
      <c r="AV364" s="30" t="inlineStr">
        <is>
          <t>DEMAIS</t>
        </is>
      </c>
      <c r="AW364" s="31" t="n">
        <v>500000</v>
      </c>
      <c r="AX364" s="30" t="inlineStr">
        <is>
          <t>MID-MARKET</t>
        </is>
      </c>
      <c r="AY364" s="30" t="inlineStr">
        <is>
          <t>20203358</t>
        </is>
      </c>
      <c r="AZ364" s="30" t="n">
        <v>2</v>
      </c>
      <c r="BA364" s="30" t="inlineStr">
        <is>
          <t>PARTIAL_DOC_CLASS_III_RECONCILED ROWS:p7r70,p9r53</t>
        </is>
      </c>
    </row>
    <row r="365">
      <c r="A365" s="16" t="inlineStr">
        <is>
          <t>ASFALTOS NORDESTE LTDA</t>
        </is>
      </c>
      <c r="B365" s="17" t="n">
        <v>531958.59</v>
      </c>
      <c r="C365" s="18" t="inlineStr">
        <is>
          <t>EGESA ENGENHARIA S/A (Consórcio ETDI)</t>
        </is>
      </c>
      <c r="D365" s="19" t="inlineStr">
        <is>
          <t>NEW</t>
        </is>
      </c>
      <c r="E365" s="20" t="inlineStr"/>
      <c r="F365" s="19" t="inlineStr"/>
      <c r="G365" s="20" t="inlineStr"/>
      <c r="H365" s="19" t="inlineStr"/>
      <c r="I365" s="21" t="inlineStr">
        <is>
          <t>Edson Radnai</t>
        </is>
      </c>
      <c r="J365" s="21" t="inlineStr">
        <is>
          <t>Industrial Manager</t>
        </is>
      </c>
      <c r="K365" s="21" t="inlineStr">
        <is>
          <t>(85) 3311-2811</t>
        </is>
      </c>
      <c r="L365" s="21" t="inlineStr">
        <is>
          <t>(85) 3311-2844</t>
        </is>
      </c>
      <c r="M365" s="21" t="inlineStr"/>
      <c r="N365" s="21" t="inlineStr">
        <is>
          <t>edsonradnai@asfaltosnordeste.com.br</t>
        </is>
      </c>
      <c r="O365" s="21" t="inlineStr">
        <is>
          <t>edsonradnai@asfaltosnordeste.com.br</t>
        </is>
      </c>
      <c r="P365" s="21" t="inlineStr">
        <is>
          <t>Edson Radnai</t>
        </is>
      </c>
      <c r="Q365" s="21" t="inlineStr">
        <is>
          <t>Industrial Manager</t>
        </is>
      </c>
      <c r="R365" s="21" t="inlineStr"/>
      <c r="S365" s="21" t="inlineStr">
        <is>
          <t>edsonradnai@asfaltosnordeste.com.br</t>
        </is>
      </c>
      <c r="T365" s="21" t="inlineStr">
        <is>
          <t>email verified by Apollo</t>
        </is>
      </c>
      <c r="U365" s="22" t="n">
        <v>531958.59</v>
      </c>
      <c r="V365" s="32" t="inlineStr">
        <is>
          <t>U</t>
        </is>
      </c>
      <c r="W365" s="24">
        <f>IFERROR(VLOOKUP(V365,Assumptions!$A$7:$F$11,2,FALSE),0)</f>
        <v/>
      </c>
      <c r="X365" s="25">
        <f>IF(V365="A",MAX(1,IFERROR(VLOOKUP(V365,Assumptions!$A$7:$F$11,3,FALSE),3)+IFERROR(VLOOKUP(V365,Assumptions!$A$7:$F$11,4,FALSE),8)/2-MAX(0,IF(AO365="",0,YEAR(TODAY())-AO365)-IFERROR(VLOOKUP(V365,Assumptions!$A$7:$F$11,5,FALSE),1.5))),IFERROR(VLOOKUP(V365,Assumptions!$A$7:$F$11,5,FALSE),2.5)+IFERROR(VLOOKUP(V365,Assumptions!$A$7:$F$11,3,FALSE),3)+IFERROR(VLOOKUP(V365,Assumptions!$A$7:$F$11,4,FALSE),8)/2)</f>
        <v/>
      </c>
      <c r="Y365" s="22">
        <f>U365*W365/(1+Assumptions!$B$3)^X365</f>
        <v/>
      </c>
      <c r="Z365" s="26">
        <f>IF(U365=0,"",ROUND(Y365/U365*100,1))</f>
        <v/>
      </c>
      <c r="AA365" s="27">
        <f>Y365*Assumptions!$B$4</f>
        <v/>
      </c>
      <c r="AB365" s="26">
        <f>IF(U365=0,"",ROUND(AA365/U365*100,1))</f>
        <v/>
      </c>
      <c r="AC365" s="27">
        <f>Y365-AA365</f>
        <v/>
      </c>
      <c r="AD365" s="26">
        <f>IF(U365=0,"",ROUND((Y365-AA365)/U365*100,1))</f>
        <v/>
      </c>
      <c r="AE365" s="28" t="inlineStr">
        <is>
          <t>OK — totals reconciled</t>
        </is>
      </c>
      <c r="AF365" s="29" t="inlineStr">
        <is>
          <t>https://scalzilliaj.com.br/sgc/download.php?file=files/processo_documento/processo_documento09514021082025_1_.pdf&amp;nome=04 - Relação de credores das Recuperandas</t>
        </is>
      </c>
      <c r="AG365" s="28" t="inlineStr">
        <is>
          <t>p62 r11</t>
        </is>
      </c>
      <c r="AH365" s="28" t="inlineStr">
        <is>
          <t>p62: R$ 531.958,59</t>
        </is>
      </c>
      <c r="AI365" s="28" t="inlineStr">
        <is>
          <t>Debtor list (art. 51)</t>
        </is>
      </c>
      <c r="AJ365" s="28" t="inlineStr"/>
      <c r="AK365" s="28" t="inlineStr">
        <is>
          <t>NONE FOUND</t>
        </is>
      </c>
      <c r="AL365" s="30" t="inlineStr">
        <is>
          <t>(not printed)</t>
        </is>
      </c>
      <c r="AM365" s="30" t="inlineStr"/>
      <c r="AN365" s="30" t="inlineStr"/>
      <c r="AO365" s="30" t="inlineStr"/>
      <c r="AP365" s="30" t="inlineStr">
        <is>
          <t>RJ case number not identified on the document</t>
        </is>
      </c>
      <c r="AQ365" s="30" t="inlineStr"/>
      <c r="AR365" s="30" t="inlineStr">
        <is>
          <t>portal page title / URL — not printed on the list</t>
        </is>
      </c>
      <c r="AS365" s="30" t="inlineStr">
        <is>
          <t>MARACANAU</t>
        </is>
      </c>
      <c r="AT365" s="30" t="inlineStr">
        <is>
          <t>CE</t>
        </is>
      </c>
      <c r="AU365" s="30" t="inlineStr">
        <is>
          <t>Fabricação de impermeabilizantes, solventes e produtos afins</t>
        </is>
      </c>
      <c r="AV365" s="30" t="inlineStr">
        <is>
          <t>DEMAIS</t>
        </is>
      </c>
      <c r="AW365" s="31" t="n">
        <v>21984000</v>
      </c>
      <c r="AX365" s="30" t="inlineStr">
        <is>
          <t>MID-MARKET</t>
        </is>
      </c>
      <c r="AY365" s="30" t="inlineStr">
        <is>
          <t>01791741</t>
        </is>
      </c>
      <c r="AZ365" s="30" t="n">
        <v>1</v>
      </c>
      <c r="BA365" s="30" t="inlineStr">
        <is>
          <t>ROWS:p62r11 VALUE_COL:Valor_Atualizado CASE_NUMBER_CORRECTED</t>
        </is>
      </c>
    </row>
    <row r="366">
      <c r="A366" s="16" t="inlineStr">
        <is>
          <t>CONTATTI COMERCIO E REPRESENTACOES LTDA</t>
        </is>
      </c>
      <c r="B366" s="17" t="n">
        <v>283293.5</v>
      </c>
      <c r="C366" s="18" t="inlineStr">
        <is>
          <t>ASSOCIAÇÃO DE CARIDADE SANTA CASA DO RIO GRANDE</t>
        </is>
      </c>
      <c r="D366" s="19" t="inlineStr">
        <is>
          <t>NEW</t>
        </is>
      </c>
      <c r="E366" s="20" t="inlineStr"/>
      <c r="F366" s="19" t="inlineStr"/>
      <c r="G366" s="20" t="inlineStr"/>
      <c r="H366" s="19" t="inlineStr"/>
      <c r="I366" s="21" t="inlineStr">
        <is>
          <t>Jessica Galski</t>
        </is>
      </c>
      <c r="J366" s="21" t="inlineStr">
        <is>
          <t>Financial Analyst</t>
        </is>
      </c>
      <c r="K366" s="21" t="inlineStr">
        <is>
          <t>(51) 2104-9500</t>
        </is>
      </c>
      <c r="L366" s="21" t="inlineStr"/>
      <c r="M366" s="21" t="inlineStr"/>
      <c r="N366" s="21" t="inlineStr">
        <is>
          <t>jessica.galski@contatti.com.br</t>
        </is>
      </c>
      <c r="O366" s="21" t="inlineStr"/>
      <c r="P366" s="21" t="inlineStr">
        <is>
          <t>Paulo Junior</t>
        </is>
      </c>
      <c r="Q366" s="21" t="inlineStr">
        <is>
          <t>Controller Analyst</t>
        </is>
      </c>
      <c r="R366" s="21" t="inlineStr"/>
      <c r="S366" s="21" t="inlineStr"/>
      <c r="T366" s="21" t="inlineStr">
        <is>
          <t>email verified by Apollo</t>
        </is>
      </c>
      <c r="U366" s="22" t="n">
        <v>283293.5</v>
      </c>
      <c r="V366" s="23" t="inlineStr">
        <is>
          <t>B</t>
        </is>
      </c>
      <c r="W366" s="24">
        <f>IFERROR(VLOOKUP(V366,Assumptions!$A$7:$F$11,2,FALSE),0)</f>
        <v/>
      </c>
      <c r="X366" s="25">
        <f>IF(V366="A",MAX(1,IFERROR(VLOOKUP(V366,Assumptions!$A$7:$F$11,3,FALSE),3)+IFERROR(VLOOKUP(V366,Assumptions!$A$7:$F$11,4,FALSE),8)/2-MAX(0,IF(AO366="",0,YEAR(TODAY())-AO366)-IFERROR(VLOOKUP(V366,Assumptions!$A$7:$F$11,5,FALSE),1.5))),IFERROR(VLOOKUP(V366,Assumptions!$A$7:$F$11,5,FALSE),2.5)+IFERROR(VLOOKUP(V366,Assumptions!$A$7:$F$11,3,FALSE),3)+IFERROR(VLOOKUP(V366,Assumptions!$A$7:$F$11,4,FALSE),8)/2)</f>
        <v/>
      </c>
      <c r="Y366" s="22">
        <f>U366*W366/(1+Assumptions!$B$3)^X366</f>
        <v/>
      </c>
      <c r="Z366" s="26">
        <f>IF(U366=0,"",ROUND(Y366/U366*100,1))</f>
        <v/>
      </c>
      <c r="AA366" s="27">
        <f>Y366*Assumptions!$B$4</f>
        <v/>
      </c>
      <c r="AB366" s="26">
        <f>IF(U366=0,"",ROUND(AA366/U366*100,1))</f>
        <v/>
      </c>
      <c r="AC366" s="27">
        <f>Y366-AA366</f>
        <v/>
      </c>
      <c r="AD366" s="26">
        <f>IF(U366=0,"",ROUND((Y366-AA366)/U366*100,1))</f>
        <v/>
      </c>
      <c r="AE366" s="33" t="inlineStr">
        <is>
          <t>NO TOTALS — list prints none; check page</t>
        </is>
      </c>
      <c r="AF366" s="29" t="inlineStr">
        <is>
          <t>https://scalzilliaj.com.br/sgc/download.php?file=files/processo_documento/processo_documento09120721032023_1_.pdf&amp;nome=15 - Edital do art. 7º, §2º e 53 da Lei 11.101/2005 (segunda lista de credores e recebimento do plano))</t>
        </is>
      </c>
      <c r="AG366" s="28" t="inlineStr">
        <is>
          <t>p26 r46</t>
        </is>
      </c>
      <c r="AH366" s="28" t="inlineStr">
        <is>
          <t>p26: R$ 283.293,50</t>
        </is>
      </c>
      <c r="AI366" s="28" t="inlineStr">
        <is>
          <t>AJ list (art. 7 §2)</t>
        </is>
      </c>
      <c r="AJ366" s="28" t="inlineStr">
        <is>
          <t>2023-03-21</t>
        </is>
      </c>
      <c r="AK366" s="28" t="inlineStr">
        <is>
          <t>NONE FOUND</t>
        </is>
      </c>
      <c r="AL366" s="30" t="inlineStr">
        <is>
          <t>5012306-16.2022.8.21.0023</t>
        </is>
      </c>
      <c r="AM366" s="30" t="inlineStr">
        <is>
          <t>TJRS</t>
        </is>
      </c>
      <c r="AN366" s="30" t="inlineStr">
        <is>
          <t>ACTIVE</t>
        </is>
      </c>
      <c r="AO366" s="30" t="n">
        <v>2022</v>
      </c>
      <c r="AP366" s="30" t="inlineStr">
        <is>
          <t>live case, no plan document yet</t>
        </is>
      </c>
      <c r="AQ366" s="30" t="inlineStr"/>
      <c r="AR366" s="30" t="inlineStr">
        <is>
          <t>printed on the list (read twice)</t>
        </is>
      </c>
      <c r="AS366" s="30" t="inlineStr">
        <is>
          <t>PORTO ALEGRE</t>
        </is>
      </c>
      <c r="AT366" s="30" t="inlineStr">
        <is>
          <t>RS</t>
        </is>
      </c>
      <c r="AU366" s="30" t="inlineStr">
        <is>
          <t>Comércio atacadista de instrumentos e materiais para uso médico, cirúrgico, hospitalar e de laboratórios</t>
        </is>
      </c>
      <c r="AV366" s="30" t="inlineStr">
        <is>
          <t>DEMAIS</t>
        </is>
      </c>
      <c r="AW366" s="31" t="n">
        <v>12000000</v>
      </c>
      <c r="AX366" s="30" t="inlineStr">
        <is>
          <t>MID-MARKET</t>
        </is>
      </c>
      <c r="AY366" s="30" t="inlineStr">
        <is>
          <t>90108283</t>
        </is>
      </c>
      <c r="AZ366" s="30" t="n">
        <v>1</v>
      </c>
      <c r="BA366" s="30" t="inlineStr">
        <is>
          <t>ROWS:p26r46 UNRECONCILED_SOURCE</t>
        </is>
      </c>
    </row>
    <row r="367">
      <c r="A367" s="16" t="inlineStr">
        <is>
          <t>BRANDT SOLUCOES EM AGRICULTURA LTDA</t>
        </is>
      </c>
      <c r="B367" s="17" t="n">
        <v>282047</v>
      </c>
      <c r="C367" s="18" t="inlineStr">
        <is>
          <t>SOJAL COMERCIAL AGRICOLA LTDA e OUTROS</t>
        </is>
      </c>
      <c r="D367" s="19" t="inlineStr">
        <is>
          <t>NEW</t>
        </is>
      </c>
      <c r="E367" s="20" t="inlineStr"/>
      <c r="F367" s="19" t="inlineStr"/>
      <c r="G367" s="20" t="inlineStr"/>
      <c r="H367" s="19" t="inlineStr"/>
      <c r="I367" s="21" t="inlineStr">
        <is>
          <t>Michael</t>
        </is>
      </c>
      <c r="J367" s="21" t="inlineStr">
        <is>
          <t>Coordenador de Custos e Controladoria</t>
        </is>
      </c>
      <c r="K367" s="21" t="inlineStr">
        <is>
          <t>(43) 3345-2323</t>
        </is>
      </c>
      <c r="L367" s="21" t="inlineStr"/>
      <c r="M367" s="21" t="inlineStr"/>
      <c r="N367" s="21" t="inlineStr"/>
      <c r="O367" s="21" t="inlineStr">
        <is>
          <t>barbara.semeghini@brandt.co</t>
        </is>
      </c>
      <c r="P367" s="21" t="inlineStr">
        <is>
          <t>Barbara Semeghini</t>
        </is>
      </c>
      <c r="Q367" s="21" t="inlineStr">
        <is>
          <t>Financial Analyst</t>
        </is>
      </c>
      <c r="R367" s="21" t="inlineStr"/>
      <c r="S367" s="21" t="inlineStr">
        <is>
          <t>barbara.semeghini@brandt.co</t>
        </is>
      </c>
      <c r="T367" s="21" t="inlineStr">
        <is>
          <t>no work email found in Apollo</t>
        </is>
      </c>
      <c r="U367" s="22" t="n">
        <v>282047</v>
      </c>
      <c r="V367" s="23" t="inlineStr">
        <is>
          <t>B</t>
        </is>
      </c>
      <c r="W367" s="24">
        <f>IFERROR(VLOOKUP(V367,Assumptions!$A$7:$F$11,2,FALSE),0)</f>
        <v/>
      </c>
      <c r="X367" s="25">
        <f>IF(V367="A",MAX(1,IFERROR(VLOOKUP(V367,Assumptions!$A$7:$F$11,3,FALSE),3)+IFERROR(VLOOKUP(V367,Assumptions!$A$7:$F$11,4,FALSE),8)/2-MAX(0,IF(AO367="",0,YEAR(TODAY())-AO367)-IFERROR(VLOOKUP(V367,Assumptions!$A$7:$F$11,5,FALSE),1.5))),IFERROR(VLOOKUP(V367,Assumptions!$A$7:$F$11,5,FALSE),2.5)+IFERROR(VLOOKUP(V367,Assumptions!$A$7:$F$11,3,FALSE),3)+IFERROR(VLOOKUP(V367,Assumptions!$A$7:$F$11,4,FALSE),8)/2)</f>
        <v/>
      </c>
      <c r="Y367" s="22">
        <f>U367*W367/(1+Assumptions!$B$3)^X367</f>
        <v/>
      </c>
      <c r="Z367" s="26">
        <f>IF(U367=0,"",ROUND(Y367/U367*100,1))</f>
        <v/>
      </c>
      <c r="AA367" s="27">
        <f>Y367*Assumptions!$B$4</f>
        <v/>
      </c>
      <c r="AB367" s="26">
        <f>IF(U367=0,"",ROUND(AA367/U367*100,1))</f>
        <v/>
      </c>
      <c r="AC367" s="27">
        <f>Y367-AA367</f>
        <v/>
      </c>
      <c r="AD367" s="26">
        <f>IF(U367=0,"",ROUND((Y367-AA367)/U367*100,1))</f>
        <v/>
      </c>
      <c r="AE367" s="28" t="inlineStr">
        <is>
          <t>OK — totals reconciled</t>
        </is>
      </c>
      <c r="AF367" s="29" t="inlineStr">
        <is>
          <t>https://lrflideres.com.br/wp-content/plugins/download-attachments/includes/download.php?id=6879</t>
        </is>
      </c>
      <c r="AG367" s="28" t="inlineStr">
        <is>
          <t>p1 r7</t>
        </is>
      </c>
      <c r="AH367" s="28" t="inlineStr">
        <is>
          <t>p1: R$ 282.047,00</t>
        </is>
      </c>
      <c r="AI367" s="28" t="inlineStr">
        <is>
          <t>AJ list (art. 7 §2)</t>
        </is>
      </c>
      <c r="AJ367" s="28" t="inlineStr">
        <is>
          <t>2026-01-15</t>
        </is>
      </c>
      <c r="AK367" s="28" t="inlineStr">
        <is>
          <t>NONE FOUND</t>
        </is>
      </c>
      <c r="AL367" s="30" t="inlineStr">
        <is>
          <t>0804401-51.2025.8.14.0039</t>
        </is>
      </c>
      <c r="AM367" s="30" t="inlineStr">
        <is>
          <t>TJPA</t>
        </is>
      </c>
      <c r="AN367" s="30" t="inlineStr">
        <is>
          <t>ACTIVE</t>
        </is>
      </c>
      <c r="AO367" s="30" t="n">
        <v>2025</v>
      </c>
      <c r="AP367" s="30" t="inlineStr">
        <is>
          <t>live case, no plan document yet</t>
        </is>
      </c>
      <c r="AQ367" s="30" t="inlineStr">
        <is>
          <t>15.626.673/0003-90</t>
        </is>
      </c>
      <c r="AR367" s="30" t="inlineStr">
        <is>
          <t>printed on the list (read twice)</t>
        </is>
      </c>
      <c r="AS367" s="30" t="inlineStr">
        <is>
          <t>CAMBE</t>
        </is>
      </c>
      <c r="AT367" s="30" t="inlineStr">
        <is>
          <t>PR</t>
        </is>
      </c>
      <c r="AU367" s="30" t="inlineStr">
        <is>
          <t>Fabricação de adubos e fertilizantes, exceto organo-minerais</t>
        </is>
      </c>
      <c r="AV367" s="30" t="inlineStr">
        <is>
          <t>DEMAIS</t>
        </is>
      </c>
      <c r="AW367" s="31" t="n">
        <v>106661360</v>
      </c>
      <c r="AX367" s="30" t="inlineStr">
        <is>
          <t>MID-MARKET</t>
        </is>
      </c>
      <c r="AY367" s="30" t="inlineStr">
        <is>
          <t>11516792</t>
        </is>
      </c>
      <c r="AZ367" s="30" t="n">
        <v>1</v>
      </c>
      <c r="BA367" s="30" t="inlineStr">
        <is>
          <t>ROWS:p1r7</t>
        </is>
      </c>
    </row>
    <row r="368">
      <c r="A368" s="16" t="inlineStr">
        <is>
          <t>DANTAS CONFECCOES E COMERCIO LTDA - EM RECUPERACAO JUDICIAL</t>
        </is>
      </c>
      <c r="B368" s="17" t="n">
        <v>280000</v>
      </c>
      <c r="C368" s="18" t="inlineStr">
        <is>
          <t>GRUPO CATTAN</t>
        </is>
      </c>
      <c r="D368" s="19" t="inlineStr">
        <is>
          <t>NEW</t>
        </is>
      </c>
      <c r="E368" s="20" t="inlineStr"/>
      <c r="F368" s="19" t="inlineStr"/>
      <c r="G368" s="20" t="inlineStr"/>
      <c r="H368" s="19" t="inlineStr"/>
      <c r="I368" s="21" t="inlineStr">
        <is>
          <t>FLAVIO DANTAS CATAO</t>
        </is>
      </c>
      <c r="J368" s="21" t="inlineStr">
        <is>
          <t>Sócio-Administrador (RFB partner)</t>
        </is>
      </c>
      <c r="K368" s="21" t="inlineStr">
        <is>
          <t>(81) 3419-8550</t>
        </is>
      </c>
      <c r="L368" s="21" t="inlineStr">
        <is>
          <t>(81) 3032-8400</t>
        </is>
      </c>
      <c r="M368" s="21" t="inlineStr"/>
      <c r="N368" s="21" t="inlineStr"/>
      <c r="O368" s="21" t="inlineStr"/>
      <c r="P368" s="21" t="inlineStr"/>
      <c r="Q368" s="21" t="inlineStr"/>
      <c r="R368" s="21" t="inlineStr"/>
      <c r="S368" s="21" t="inlineStr"/>
      <c r="T368" s="21" t="inlineStr">
        <is>
          <t>RFB partner (QSA); no Apollo match</t>
        </is>
      </c>
      <c r="U368" s="22" t="n">
        <v>280000</v>
      </c>
      <c r="V368" s="23" t="inlineStr">
        <is>
          <t>B</t>
        </is>
      </c>
      <c r="W368" s="24">
        <f>IFERROR(VLOOKUP(V368,Assumptions!$A$7:$F$11,2,FALSE),0)</f>
        <v/>
      </c>
      <c r="X368" s="25">
        <f>IF(V368="A",MAX(1,IFERROR(VLOOKUP(V368,Assumptions!$A$7:$F$11,3,FALSE),3)+IFERROR(VLOOKUP(V368,Assumptions!$A$7:$F$11,4,FALSE),8)/2-MAX(0,IF(AO368="",0,YEAR(TODAY())-AO368)-IFERROR(VLOOKUP(V368,Assumptions!$A$7:$F$11,5,FALSE),1.5))),IFERROR(VLOOKUP(V368,Assumptions!$A$7:$F$11,5,FALSE),2.5)+IFERROR(VLOOKUP(V368,Assumptions!$A$7:$F$11,3,FALSE),3)+IFERROR(VLOOKUP(V368,Assumptions!$A$7:$F$11,4,FALSE),8)/2)</f>
        <v/>
      </c>
      <c r="Y368" s="22">
        <f>U368*W368/(1+Assumptions!$B$3)^X368</f>
        <v/>
      </c>
      <c r="Z368" s="26">
        <f>IF(U368=0,"",ROUND(Y368/U368*100,1))</f>
        <v/>
      </c>
      <c r="AA368" s="27">
        <f>Y368*Assumptions!$B$4</f>
        <v/>
      </c>
      <c r="AB368" s="26">
        <f>IF(U368=0,"",ROUND(AA368/U368*100,1))</f>
        <v/>
      </c>
      <c r="AC368" s="27">
        <f>Y368-AA368</f>
        <v/>
      </c>
      <c r="AD368" s="26">
        <f>IF(U368=0,"",ROUND((Y368-AA368)/U368*100,1))</f>
        <v/>
      </c>
      <c r="AE368" s="34" t="inlineStr">
        <is>
          <t>PARTIAL — class III reconciled, other classes not</t>
        </is>
      </c>
      <c r="AF368" s="29" t="inlineStr">
        <is>
          <t>https://lrflideres.com.br/wp-content/plugins/download-attachments/includes/download.php?id=4023</t>
        </is>
      </c>
      <c r="AG368" s="28" t="inlineStr">
        <is>
          <t>p4 r67; p9 r67</t>
        </is>
      </c>
      <c r="AH368" s="28" t="inlineStr">
        <is>
          <t>p4: R$ 270.000,00; p9: R$ 10.000,00</t>
        </is>
      </c>
      <c r="AI368" s="28" t="inlineStr">
        <is>
          <t>Debtor list (art. 51)</t>
        </is>
      </c>
      <c r="AJ368" s="28" t="inlineStr"/>
      <c r="AK368" s="28" t="inlineStr">
        <is>
          <t>NONE FOUND</t>
        </is>
      </c>
      <c r="AL368" s="30" t="inlineStr">
        <is>
          <t>0002484-82.2022.8.17.2001</t>
        </is>
      </c>
      <c r="AM368" s="30" t="inlineStr">
        <is>
          <t>TJPE</t>
        </is>
      </c>
      <c r="AN368" s="30" t="inlineStr">
        <is>
          <t>ACTIVE</t>
        </is>
      </c>
      <c r="AO368" s="30" t="n">
        <v>2022</v>
      </c>
      <c r="AP368" s="30" t="inlineStr">
        <is>
          <t>live case, no plan document yet</t>
        </is>
      </c>
      <c r="AQ368" s="30" t="inlineStr"/>
      <c r="AR368" s="30" t="inlineStr">
        <is>
          <t>printed on the list (read twice)</t>
        </is>
      </c>
      <c r="AS368" s="30" t="inlineStr">
        <is>
          <t>RECIFE</t>
        </is>
      </c>
      <c r="AT368" s="30" t="inlineStr">
        <is>
          <t>PE</t>
        </is>
      </c>
      <c r="AU368" s="30" t="inlineStr">
        <is>
          <t>Comércio varejista de artigos do vestuário e acessórios</t>
        </is>
      </c>
      <c r="AV368" s="30" t="inlineStr">
        <is>
          <t>DEMAIS</t>
        </is>
      </c>
      <c r="AW368" s="31" t="n">
        <v>50000</v>
      </c>
      <c r="AX368" s="30" t="inlineStr">
        <is>
          <t>MID-MARKET</t>
        </is>
      </c>
      <c r="AY368" s="30" t="inlineStr">
        <is>
          <t>08627082</t>
        </is>
      </c>
      <c r="AZ368" s="30" t="n">
        <v>2</v>
      </c>
      <c r="BA368" s="30" t="inlineStr">
        <is>
          <t>PARTIAL_DOC_CLASS_III_RECONCILED ROWS:p4r67,p9r67</t>
        </is>
      </c>
    </row>
    <row r="369">
      <c r="A369" s="16" t="inlineStr">
        <is>
          <t>JOHNSON &amp; JOHNSON DO BRASIL INDUSTRIA E COMERCIO DE PRODUTOS PARA SAUDE LTDA.</t>
        </is>
      </c>
      <c r="B369" s="17" t="n">
        <v>278216.77</v>
      </c>
      <c r="C369" s="18" t="inlineStr">
        <is>
          <t>ASSOCIAÇÃO DE CARIDADE SANTA CASA DO RIO GRANDE</t>
        </is>
      </c>
      <c r="D369" s="19" t="inlineStr">
        <is>
          <t>NEW</t>
        </is>
      </c>
      <c r="E369" s="20" t="inlineStr"/>
      <c r="F369" s="19" t="inlineStr"/>
      <c r="G369" s="20" t="inlineStr"/>
      <c r="H369" s="19" t="inlineStr"/>
      <c r="I369" s="21" t="inlineStr">
        <is>
          <t>Saulo Koga</t>
        </is>
      </c>
      <c r="J369" s="21" t="inlineStr">
        <is>
          <t>CFO - J&amp;J MedTech Brazil</t>
        </is>
      </c>
      <c r="K369" s="21" t="inlineStr">
        <is>
          <t>(11) 2788-1332</t>
        </is>
      </c>
      <c r="L369" s="21" t="inlineStr"/>
      <c r="M369" s="21" t="inlineStr"/>
      <c r="N369" s="21" t="inlineStr">
        <is>
          <t>skoga@its.jnj.com</t>
        </is>
      </c>
      <c r="O369" s="21" t="inlineStr">
        <is>
          <t>plima77@its.jnj.com</t>
        </is>
      </c>
      <c r="P369" s="21" t="inlineStr">
        <is>
          <t>Paolla Lima</t>
        </is>
      </c>
      <c r="Q369" s="21" t="inlineStr">
        <is>
          <t>Coordenador Credito e Cobrança</t>
        </is>
      </c>
      <c r="R369" s="21" t="inlineStr"/>
      <c r="S369" s="21" t="inlineStr">
        <is>
          <t>plima77@its.jnj.com</t>
        </is>
      </c>
      <c r="T369" s="21" t="inlineStr">
        <is>
          <t>email verified by Apollo</t>
        </is>
      </c>
      <c r="U369" s="22" t="n">
        <v>278216.77</v>
      </c>
      <c r="V369" s="23" t="inlineStr">
        <is>
          <t>B</t>
        </is>
      </c>
      <c r="W369" s="24">
        <f>IFERROR(VLOOKUP(V369,Assumptions!$A$7:$F$11,2,FALSE),0)</f>
        <v/>
      </c>
      <c r="X369" s="25">
        <f>IF(V369="A",MAX(1,IFERROR(VLOOKUP(V369,Assumptions!$A$7:$F$11,3,FALSE),3)+IFERROR(VLOOKUP(V369,Assumptions!$A$7:$F$11,4,FALSE),8)/2-MAX(0,IF(AO369="",0,YEAR(TODAY())-AO369)-IFERROR(VLOOKUP(V369,Assumptions!$A$7:$F$11,5,FALSE),1.5))),IFERROR(VLOOKUP(V369,Assumptions!$A$7:$F$11,5,FALSE),2.5)+IFERROR(VLOOKUP(V369,Assumptions!$A$7:$F$11,3,FALSE),3)+IFERROR(VLOOKUP(V369,Assumptions!$A$7:$F$11,4,FALSE),8)/2)</f>
        <v/>
      </c>
      <c r="Y369" s="22">
        <f>U369*W369/(1+Assumptions!$B$3)^X369</f>
        <v/>
      </c>
      <c r="Z369" s="26">
        <f>IF(U369=0,"",ROUND(Y369/U369*100,1))</f>
        <v/>
      </c>
      <c r="AA369" s="27">
        <f>Y369*Assumptions!$B$4</f>
        <v/>
      </c>
      <c r="AB369" s="26">
        <f>IF(U369=0,"",ROUND(AA369/U369*100,1))</f>
        <v/>
      </c>
      <c r="AC369" s="27">
        <f>Y369-AA369</f>
        <v/>
      </c>
      <c r="AD369" s="26">
        <f>IF(U369=0,"",ROUND((Y369-AA369)/U369*100,1))</f>
        <v/>
      </c>
      <c r="AE369" s="33" t="inlineStr">
        <is>
          <t>NO TOTALS — list prints none; check page</t>
        </is>
      </c>
      <c r="AF369" s="29" t="inlineStr">
        <is>
          <t>https://scalzilliaj.com.br/sgc/download.php?file=files/processo_documento/processo_documento09120721032023_1_.pdf&amp;nome=15 - Edital do art. 7º, §2º e 53 da Lei 11.101/2005 (segunda lista de credores e recebimento do plano))</t>
        </is>
      </c>
      <c r="AG369" s="28" t="inlineStr">
        <is>
          <t>p28 r19; p28 r20</t>
        </is>
      </c>
      <c r="AH369" s="28" t="inlineStr">
        <is>
          <t>p28: R$ 11.892,00; p28: R$ 266.324,77</t>
        </is>
      </c>
      <c r="AI369" s="28" t="inlineStr">
        <is>
          <t>AJ list (art. 7 §2)</t>
        </is>
      </c>
      <c r="AJ369" s="28" t="inlineStr">
        <is>
          <t>2023-03-21</t>
        </is>
      </c>
      <c r="AK369" s="28" t="inlineStr">
        <is>
          <t>NONE FOUND</t>
        </is>
      </c>
      <c r="AL369" s="30" t="inlineStr">
        <is>
          <t>5012306-16.2022.8.21.0023</t>
        </is>
      </c>
      <c r="AM369" s="30" t="inlineStr">
        <is>
          <t>TJRS</t>
        </is>
      </c>
      <c r="AN369" s="30" t="inlineStr">
        <is>
          <t>ACTIVE</t>
        </is>
      </c>
      <c r="AO369" s="30" t="n">
        <v>2022</v>
      </c>
      <c r="AP369" s="30" t="inlineStr">
        <is>
          <t>live case, no plan document yet</t>
        </is>
      </c>
      <c r="AQ369" s="30" t="inlineStr"/>
      <c r="AR369" s="30" t="inlineStr">
        <is>
          <t>printed on the list (read twice)</t>
        </is>
      </c>
      <c r="AS369" s="30" t="inlineStr">
        <is>
          <t>SAO PAULO</t>
        </is>
      </c>
      <c r="AT369" s="30" t="inlineStr">
        <is>
          <t>SP</t>
        </is>
      </c>
      <c r="AU369" s="30" t="inlineStr">
        <is>
          <t>Fabricação de instrumentos não-eletrônicos e utensílios para uso médico, cirúrgico, odontológico e de laboratório</t>
        </is>
      </c>
      <c r="AV369" s="30" t="inlineStr">
        <is>
          <t>DEMAIS</t>
        </is>
      </c>
      <c r="AW369" s="31" t="n">
        <v>3111107800</v>
      </c>
      <c r="AX369" s="30" t="inlineStr">
        <is>
          <t>LARGE CORP</t>
        </is>
      </c>
      <c r="AY369" s="30" t="inlineStr">
        <is>
          <t>54516661</t>
        </is>
      </c>
      <c r="AZ369" s="30" t="n">
        <v>2</v>
      </c>
      <c r="BA369" s="30" t="inlineStr">
        <is>
          <t>ROWS:p28r19,p28r20 UNRECONCILED_SOURCE</t>
        </is>
      </c>
    </row>
    <row r="370">
      <c r="A370" s="16" t="inlineStr">
        <is>
          <t>IPIRANGA PRODUTOS DE PETROLEO S.A.</t>
        </is>
      </c>
      <c r="B370" s="17" t="n">
        <v>521273.61</v>
      </c>
      <c r="C370" s="18" t="inlineStr">
        <is>
          <t>EGESA ENGENHARIA S/A (Consórcio ETDI)</t>
        </is>
      </c>
      <c r="D370" s="19" t="inlineStr">
        <is>
          <t>NEW</t>
        </is>
      </c>
      <c r="E370" s="20" t="inlineStr"/>
      <c r="F370" s="19" t="inlineStr"/>
      <c r="G370" s="20" t="inlineStr"/>
      <c r="H370" s="19" t="inlineStr"/>
      <c r="I370" s="21" t="inlineStr">
        <is>
          <t>CARLOS FREDERICO RESENDE</t>
        </is>
      </c>
      <c r="J370" s="21" t="inlineStr">
        <is>
          <t>Administrador (RFB partner)</t>
        </is>
      </c>
      <c r="K370" s="21" t="inlineStr">
        <is>
          <t>(21) 2574-5858</t>
        </is>
      </c>
      <c r="L370" s="21" t="inlineStr"/>
      <c r="M370" s="21" t="inlineStr"/>
      <c r="N370" s="21" t="inlineStr"/>
      <c r="O370" s="21" t="inlineStr"/>
      <c r="P370" s="21" t="inlineStr">
        <is>
          <t>CRISTIANE SILVA LEITE</t>
        </is>
      </c>
      <c r="Q370" s="21" t="inlineStr">
        <is>
          <t>Diretor (RFB partner)</t>
        </is>
      </c>
      <c r="R370" s="21" t="inlineStr"/>
      <c r="S370" s="21" t="inlineStr"/>
      <c r="T370" s="21" t="inlineStr">
        <is>
          <t>RFB partner (QSA); no Apollo match</t>
        </is>
      </c>
      <c r="U370" s="22" t="n">
        <v>521273.61</v>
      </c>
      <c r="V370" s="32" t="inlineStr">
        <is>
          <t>U</t>
        </is>
      </c>
      <c r="W370" s="24">
        <f>IFERROR(VLOOKUP(V370,Assumptions!$A$7:$F$11,2,FALSE),0)</f>
        <v/>
      </c>
      <c r="X370" s="25">
        <f>IF(V370="A",MAX(1,IFERROR(VLOOKUP(V370,Assumptions!$A$7:$F$11,3,FALSE),3)+IFERROR(VLOOKUP(V370,Assumptions!$A$7:$F$11,4,FALSE),8)/2-MAX(0,IF(AO370="",0,YEAR(TODAY())-AO370)-IFERROR(VLOOKUP(V370,Assumptions!$A$7:$F$11,5,FALSE),1.5))),IFERROR(VLOOKUP(V370,Assumptions!$A$7:$F$11,5,FALSE),2.5)+IFERROR(VLOOKUP(V370,Assumptions!$A$7:$F$11,3,FALSE),3)+IFERROR(VLOOKUP(V370,Assumptions!$A$7:$F$11,4,FALSE),8)/2)</f>
        <v/>
      </c>
      <c r="Y370" s="22">
        <f>U370*W370/(1+Assumptions!$B$3)^X370</f>
        <v/>
      </c>
      <c r="Z370" s="26">
        <f>IF(U370=0,"",ROUND(Y370/U370*100,1))</f>
        <v/>
      </c>
      <c r="AA370" s="27">
        <f>Y370*Assumptions!$B$4</f>
        <v/>
      </c>
      <c r="AB370" s="26">
        <f>IF(U370=0,"",ROUND(AA370/U370*100,1))</f>
        <v/>
      </c>
      <c r="AC370" s="27">
        <f>Y370-AA370</f>
        <v/>
      </c>
      <c r="AD370" s="26">
        <f>IF(U370=0,"",ROUND((Y370-AA370)/U370*100,1))</f>
        <v/>
      </c>
      <c r="AE370" s="28" t="inlineStr">
        <is>
          <t>OK — totals reconciled</t>
        </is>
      </c>
      <c r="AF370" s="29" t="inlineStr">
        <is>
          <t>https://scalzilliaj.com.br/sgc/download.php?file=files/processo_documento/processo_documento09514021082025_1_.pdf&amp;nome=04 - Relação de credores das Recuperandas</t>
        </is>
      </c>
      <c r="AG370" s="28" t="inlineStr">
        <is>
          <t>p68 r8; p68 r9; p68 r10</t>
        </is>
      </c>
      <c r="AH370" s="28" t="inlineStr">
        <is>
          <t>p68: R$ 103.415,90; p68: R$ 36.620,21; p68: R$ 381.237,50</t>
        </is>
      </c>
      <c r="AI370" s="28" t="inlineStr">
        <is>
          <t>Debtor list (art. 51)</t>
        </is>
      </c>
      <c r="AJ370" s="28" t="inlineStr"/>
      <c r="AK370" s="28" t="inlineStr">
        <is>
          <t>NONE FOUND</t>
        </is>
      </c>
      <c r="AL370" s="30" t="inlineStr">
        <is>
          <t>(not printed)</t>
        </is>
      </c>
      <c r="AM370" s="30" t="inlineStr"/>
      <c r="AN370" s="30" t="inlineStr"/>
      <c r="AO370" s="30" t="inlineStr"/>
      <c r="AP370" s="30" t="inlineStr">
        <is>
          <t>RJ case number not identified on the document</t>
        </is>
      </c>
      <c r="AQ370" s="30" t="inlineStr"/>
      <c r="AR370" s="30" t="inlineStr">
        <is>
          <t>portal page title / URL — not printed on the list</t>
        </is>
      </c>
      <c r="AS370" s="30" t="inlineStr">
        <is>
          <t>RIO DE JANEIRO</t>
        </is>
      </c>
      <c r="AT370" s="30" t="inlineStr">
        <is>
          <t>RJ</t>
        </is>
      </c>
      <c r="AU370" s="30" t="inlineStr">
        <is>
          <t>Comércio atacadista de álcool carburante, biodiesel, gasolina e demais derivados de petróleo, exceto lubrificantes, não realizado por transportador re</t>
        </is>
      </c>
      <c r="AV370" s="30" t="inlineStr">
        <is>
          <t>DEMAIS</t>
        </is>
      </c>
      <c r="AW370" s="31" t="n">
        <v>4668601300</v>
      </c>
      <c r="AX370" s="30" t="inlineStr">
        <is>
          <t>LARGE CORP</t>
        </is>
      </c>
      <c r="AY370" s="30" t="inlineStr">
        <is>
          <t>33337122</t>
        </is>
      </c>
      <c r="AZ370" s="30" t="n">
        <v>3</v>
      </c>
      <c r="BA370" s="30" t="inlineStr">
        <is>
          <t>ROWS:p68r8,p68r9,p68r10 VALUE_COL:Valor_Atualizado CASE_NUMBER_CORRECTED</t>
        </is>
      </c>
    </row>
    <row r="371">
      <c r="A371" s="16" t="inlineStr">
        <is>
          <t>GFE EQUIPAMENTOS ELETRICOS LTDA</t>
        </is>
      </c>
      <c r="B371" s="17" t="n">
        <v>1054854.54</v>
      </c>
      <c r="C371" s="18" t="inlineStr">
        <is>
          <t>BLUTRAFOS BLUMENAU TRANSFORMADORES LTDA</t>
        </is>
      </c>
      <c r="D371" s="19" t="inlineStr">
        <is>
          <t>NEW</t>
        </is>
      </c>
      <c r="E371" s="20" t="inlineStr"/>
      <c r="F371" s="19" t="inlineStr"/>
      <c r="G371" s="20" t="inlineStr"/>
      <c r="H371" s="19" t="inlineStr"/>
      <c r="I371" s="21" t="inlineStr">
        <is>
          <t>OSCAR LIBERATO MARTINS FILHO</t>
        </is>
      </c>
      <c r="J371" s="21" t="inlineStr">
        <is>
          <t>Sócio-Administrador (RFB partner)</t>
        </is>
      </c>
      <c r="K371" s="21" t="inlineStr">
        <is>
          <t>(47) 3039-9330</t>
        </is>
      </c>
      <c r="L371" s="21" t="inlineStr"/>
      <c r="M371" s="21" t="inlineStr"/>
      <c r="N371" s="21" t="inlineStr"/>
      <c r="O371" s="21" t="inlineStr"/>
      <c r="P371" s="21" t="inlineStr"/>
      <c r="Q371" s="21" t="inlineStr"/>
      <c r="R371" s="21" t="inlineStr"/>
      <c r="S371" s="21" t="inlineStr"/>
      <c r="T371" s="21" t="inlineStr">
        <is>
          <t>RFB partner (QSA); no Apollo match</t>
        </is>
      </c>
      <c r="U371" s="22" t="n">
        <v>1054854.54</v>
      </c>
      <c r="V371" s="38" t="inlineStr">
        <is>
          <t>C</t>
        </is>
      </c>
      <c r="W371" s="24">
        <f>IFERROR(VLOOKUP(V371,Assumptions!$A$7:$F$11,2,FALSE),0)</f>
        <v/>
      </c>
      <c r="X371" s="25">
        <f>IF(V371="A",MAX(1,IFERROR(VLOOKUP(V371,Assumptions!$A$7:$F$11,3,FALSE),3)+IFERROR(VLOOKUP(V371,Assumptions!$A$7:$F$11,4,FALSE),8)/2-MAX(0,IF(AO371="",0,YEAR(TODAY())-AO371)-IFERROR(VLOOKUP(V371,Assumptions!$A$7:$F$11,5,FALSE),1.5))),IFERROR(VLOOKUP(V371,Assumptions!$A$7:$F$11,5,FALSE),2.5)+IFERROR(VLOOKUP(V371,Assumptions!$A$7:$F$11,3,FALSE),3)+IFERROR(VLOOKUP(V371,Assumptions!$A$7:$F$11,4,FALSE),8)/2)</f>
        <v/>
      </c>
      <c r="Y371" s="22">
        <f>U371*W371/(1+Assumptions!$B$3)^X371</f>
        <v/>
      </c>
      <c r="Z371" s="26">
        <f>IF(U371=0,"",ROUND(Y371/U371*100,1))</f>
        <v/>
      </c>
      <c r="AA371" s="27">
        <f>Y371*Assumptions!$B$4</f>
        <v/>
      </c>
      <c r="AB371" s="26">
        <f>IF(U371=0,"",ROUND(AA371/U371*100,1))</f>
        <v/>
      </c>
      <c r="AC371" s="27">
        <f>Y371-AA371</f>
        <v/>
      </c>
      <c r="AD371" s="26">
        <f>IF(U371=0,"",ROUND((Y371-AA371)/U371*100,1))</f>
        <v/>
      </c>
      <c r="AE371" s="28" t="inlineStr">
        <is>
          <t>OK — totals reconciled</t>
        </is>
      </c>
      <c r="AF371" s="29" t="inlineStr">
        <is>
          <t>https://administradorajudicialgs.com.br/wp-content/uploads/2023/08/advogados-sgrott-doc-22-relacao-de-credores-do-administrador-judicial-classe-iii-05-02-14.pdf</t>
        </is>
      </c>
      <c r="AG371" s="28" t="inlineStr">
        <is>
          <t>p3 r8</t>
        </is>
      </c>
      <c r="AH371" s="28" t="inlineStr">
        <is>
          <t>p3: R$ 1.054.854,54</t>
        </is>
      </c>
      <c r="AI371" s="28" t="inlineStr">
        <is>
          <t>Unclassified list</t>
        </is>
      </c>
      <c r="AJ371" s="28" t="inlineStr"/>
      <c r="AK371" s="28" t="inlineStr">
        <is>
          <t>NONE FOUND</t>
        </is>
      </c>
      <c r="AL371" s="30" t="inlineStr">
        <is>
          <t>0022845-08.2013.8.24.0008</t>
        </is>
      </c>
      <c r="AM371" s="30" t="inlineStr">
        <is>
          <t>TJSC</t>
        </is>
      </c>
      <c r="AN371" s="30" t="inlineStr"/>
      <c r="AO371" s="30" t="n">
        <v>2013</v>
      </c>
      <c r="AP371" s="30" t="inlineStr">
        <is>
          <t>13y since filing, no plan document</t>
        </is>
      </c>
      <c r="AQ371" s="30" t="inlineStr"/>
      <c r="AR371" s="30" t="inlineStr">
        <is>
          <t>portal page title / URL — not printed on the list</t>
        </is>
      </c>
      <c r="AS371" s="30" t="inlineStr">
        <is>
          <t>INDAIAL</t>
        </is>
      </c>
      <c r="AT371" s="30" t="inlineStr">
        <is>
          <t>SC</t>
        </is>
      </c>
      <c r="AU371" s="30" t="inlineStr">
        <is>
          <t>Fabricação de transformadores, indutores, conversores, sincronizadores e semelhantes, peças e acessórios</t>
        </is>
      </c>
      <c r="AV371" s="30" t="inlineStr">
        <is>
          <t>EMPRESA DE PEQUENO PORTE</t>
        </is>
      </c>
      <c r="AW371" s="31" t="n">
        <v>300000</v>
      </c>
      <c r="AX371" s="30" t="inlineStr">
        <is>
          <t>SMALL</t>
        </is>
      </c>
      <c r="AY371" s="30" t="inlineStr">
        <is>
          <t>04756153</t>
        </is>
      </c>
      <c r="AZ371" s="30" t="n">
        <v>1</v>
      </c>
      <c r="BA371" s="30" t="inlineStr">
        <is>
          <t>ROWS:p3r8</t>
        </is>
      </c>
    </row>
    <row r="372">
      <c r="A372" s="16" t="inlineStr">
        <is>
          <t>OPTIMUM CONSULTORIA EM GESTAO PUBLICA E EMPRESARIAL LTDA</t>
        </is>
      </c>
      <c r="B372" s="17" t="n">
        <v>267635.55</v>
      </c>
      <c r="C372" s="18" t="inlineStr">
        <is>
          <t>TREZE FUTEBOL CLUBE</t>
        </is>
      </c>
      <c r="D372" s="19" t="inlineStr">
        <is>
          <t>NEW</t>
        </is>
      </c>
      <c r="E372" s="20" t="inlineStr"/>
      <c r="F372" s="19" t="inlineStr"/>
      <c r="G372" s="20" t="inlineStr"/>
      <c r="H372" s="19" t="inlineStr"/>
      <c r="I372" s="21" t="inlineStr">
        <is>
          <t>EOLO DE SOUZA SALES</t>
        </is>
      </c>
      <c r="J372" s="21" t="inlineStr">
        <is>
          <t>Sócio-Administrador (RFB partner)</t>
        </is>
      </c>
      <c r="K372" s="21" t="inlineStr">
        <is>
          <t>(83) 9975-0001</t>
        </is>
      </c>
      <c r="L372" s="21" t="inlineStr"/>
      <c r="M372" s="21" t="inlineStr"/>
      <c r="N372" s="21" t="inlineStr"/>
      <c r="O372" s="21" t="inlineStr"/>
      <c r="P372" s="21" t="inlineStr"/>
      <c r="Q372" s="21" t="inlineStr"/>
      <c r="R372" s="21" t="inlineStr"/>
      <c r="S372" s="21" t="inlineStr"/>
      <c r="T372" s="21" t="inlineStr">
        <is>
          <t>RFB partner (QSA); no Apollo match</t>
        </is>
      </c>
      <c r="U372" s="22" t="n">
        <v>267635.55</v>
      </c>
      <c r="V372" s="23" t="inlineStr">
        <is>
          <t>B</t>
        </is>
      </c>
      <c r="W372" s="24">
        <f>IFERROR(VLOOKUP(V372,Assumptions!$A$7:$F$11,2,FALSE),0)</f>
        <v/>
      </c>
      <c r="X372" s="25">
        <f>IF(V372="A",MAX(1,IFERROR(VLOOKUP(V372,Assumptions!$A$7:$F$11,3,FALSE),3)+IFERROR(VLOOKUP(V372,Assumptions!$A$7:$F$11,4,FALSE),8)/2-MAX(0,IF(AO372="",0,YEAR(TODAY())-AO372)-IFERROR(VLOOKUP(V372,Assumptions!$A$7:$F$11,5,FALSE),1.5))),IFERROR(VLOOKUP(V372,Assumptions!$A$7:$F$11,5,FALSE),2.5)+IFERROR(VLOOKUP(V372,Assumptions!$A$7:$F$11,3,FALSE),3)+IFERROR(VLOOKUP(V372,Assumptions!$A$7:$F$11,4,FALSE),8)/2)</f>
        <v/>
      </c>
      <c r="Y372" s="22">
        <f>U372*W372/(1+Assumptions!$B$3)^X372</f>
        <v/>
      </c>
      <c r="Z372" s="26">
        <f>IF(U372=0,"",ROUND(Y372/U372*100,1))</f>
        <v/>
      </c>
      <c r="AA372" s="27">
        <f>Y372*Assumptions!$B$4</f>
        <v/>
      </c>
      <c r="AB372" s="26">
        <f>IF(U372=0,"",ROUND(AA372/U372*100,1))</f>
        <v/>
      </c>
      <c r="AC372" s="27">
        <f>Y372-AA372</f>
        <v/>
      </c>
      <c r="AD372" s="26">
        <f>IF(U372=0,"",ROUND((Y372-AA372)/U372*100,1))</f>
        <v/>
      </c>
      <c r="AE372" s="28" t="inlineStr">
        <is>
          <t>OK — totals reconciled</t>
        </is>
      </c>
      <c r="AF372" s="29" t="inlineStr">
        <is>
          <t>https://lrflideres.com.br/wp-content/plugins/download-attachments/includes/download.php?id=5828</t>
        </is>
      </c>
      <c r="AG372" s="28" t="inlineStr">
        <is>
          <t>p3 r19</t>
        </is>
      </c>
      <c r="AH372" s="28" t="inlineStr">
        <is>
          <t>p3: R$ 267.635,55</t>
        </is>
      </c>
      <c r="AI372" s="28" t="inlineStr">
        <is>
          <t>AJ list (art. 7 §2)</t>
        </is>
      </c>
      <c r="AJ372" s="28" t="inlineStr">
        <is>
          <t>2024-04-18</t>
        </is>
      </c>
      <c r="AK372" s="28" t="inlineStr">
        <is>
          <t>NONE FOUND</t>
        </is>
      </c>
      <c r="AL372" s="30" t="inlineStr">
        <is>
          <t>0829315-43.2023.8.15.0001</t>
        </is>
      </c>
      <c r="AM372" s="30" t="inlineStr">
        <is>
          <t>TJPB</t>
        </is>
      </c>
      <c r="AN372" s="30" t="inlineStr">
        <is>
          <t>ACTIVE</t>
        </is>
      </c>
      <c r="AO372" s="30" t="n">
        <v>2023</v>
      </c>
      <c r="AP372" s="30" t="inlineStr">
        <is>
          <t>live case, no plan document yet</t>
        </is>
      </c>
      <c r="AQ372" s="30" t="inlineStr"/>
      <c r="AR372" s="30" t="inlineStr">
        <is>
          <t>printed on the list (read twice)</t>
        </is>
      </c>
      <c r="AS372" s="30" t="inlineStr">
        <is>
          <t>CAMPINA GRANDE</t>
        </is>
      </c>
      <c r="AT372" s="30" t="inlineStr">
        <is>
          <t>PB</t>
        </is>
      </c>
      <c r="AU372" s="30" t="inlineStr">
        <is>
          <t>Atividades de consultoria em gestão empresarial, exceto consultoria técnica específica</t>
        </is>
      </c>
      <c r="AV372" s="30" t="inlineStr">
        <is>
          <t>MICRO EMPRESA</t>
        </is>
      </c>
      <c r="AW372" s="31" t="n">
        <v>12000</v>
      </c>
      <c r="AX372" s="30" t="inlineStr">
        <is>
          <t>SMALL</t>
        </is>
      </c>
      <c r="AY372" s="30" t="inlineStr">
        <is>
          <t>10925045</t>
        </is>
      </c>
      <c r="AZ372" s="30" t="n">
        <v>1</v>
      </c>
      <c r="BA372" s="30" t="inlineStr">
        <is>
          <t>ROWS:p3r19</t>
        </is>
      </c>
    </row>
    <row r="373">
      <c r="A373" s="16" t="inlineStr">
        <is>
          <t>WHIRLPOOL S.A</t>
        </is>
      </c>
      <c r="B373" s="17" t="n">
        <v>1044824.45</v>
      </c>
      <c r="C373" s="18" t="inlineStr">
        <is>
          <t>CREDIMÓVEIS NOVOLAR LTDA.</t>
        </is>
      </c>
      <c r="D373" s="19" t="inlineStr">
        <is>
          <t>NEW</t>
        </is>
      </c>
      <c r="E373" s="20" t="inlineStr"/>
      <c r="F373" s="19" t="inlineStr"/>
      <c r="G373" s="20" t="inlineStr"/>
      <c r="H373" s="19" t="inlineStr"/>
      <c r="I373" s="21" t="inlineStr">
        <is>
          <t>CARLOS ROBERTO BARBERY</t>
        </is>
      </c>
      <c r="J373" s="21" t="inlineStr">
        <is>
          <t>Diretor (RFB partner)</t>
        </is>
      </c>
      <c r="K373" s="21" t="inlineStr">
        <is>
          <t>(11) 3566-1431</t>
        </is>
      </c>
      <c r="L373" s="21" t="inlineStr"/>
      <c r="M373" s="21" t="inlineStr"/>
      <c r="N373" s="21" t="inlineStr"/>
      <c r="O373" s="21" t="inlineStr"/>
      <c r="P373" s="21" t="inlineStr">
        <is>
          <t>FRANCISCO AUGUSTO SEMERARO NETO</t>
        </is>
      </c>
      <c r="Q373" s="21" t="inlineStr">
        <is>
          <t>Diretor (RFB partner)</t>
        </is>
      </c>
      <c r="R373" s="21" t="inlineStr"/>
      <c r="S373" s="21" t="inlineStr"/>
      <c r="T373" s="21" t="inlineStr">
        <is>
          <t>RFB partner (QSA); no Apollo match</t>
        </is>
      </c>
      <c r="U373" s="22" t="n">
        <v>1044824.45</v>
      </c>
      <c r="V373" s="38" t="inlineStr">
        <is>
          <t>C</t>
        </is>
      </c>
      <c r="W373" s="24">
        <f>IFERROR(VLOOKUP(V373,Assumptions!$A$7:$F$11,2,FALSE),0)</f>
        <v/>
      </c>
      <c r="X373" s="25">
        <f>IF(V373="A",MAX(1,IFERROR(VLOOKUP(V373,Assumptions!$A$7:$F$11,3,FALSE),3)+IFERROR(VLOOKUP(V373,Assumptions!$A$7:$F$11,4,FALSE),8)/2-MAX(0,IF(AO373="",0,YEAR(TODAY())-AO373)-IFERROR(VLOOKUP(V373,Assumptions!$A$7:$F$11,5,FALSE),1.5))),IFERROR(VLOOKUP(V373,Assumptions!$A$7:$F$11,5,FALSE),2.5)+IFERROR(VLOOKUP(V373,Assumptions!$A$7:$F$11,3,FALSE),3)+IFERROR(VLOOKUP(V373,Assumptions!$A$7:$F$11,4,FALSE),8)/2)</f>
        <v/>
      </c>
      <c r="Y373" s="22">
        <f>U373*W373/(1+Assumptions!$B$3)^X373</f>
        <v/>
      </c>
      <c r="Z373" s="26">
        <f>IF(U373=0,"",ROUND(Y373/U373*100,1))</f>
        <v/>
      </c>
      <c r="AA373" s="27">
        <f>Y373*Assumptions!$B$4</f>
        <v/>
      </c>
      <c r="AB373" s="26">
        <f>IF(U373=0,"",ROUND(AA373/U373*100,1))</f>
        <v/>
      </c>
      <c r="AC373" s="27">
        <f>Y373-AA373</f>
        <v/>
      </c>
      <c r="AD373" s="26">
        <f>IF(U373=0,"",ROUND((Y373-AA373)/U373*100,1))</f>
        <v/>
      </c>
      <c r="AE373" s="28" t="inlineStr">
        <is>
          <t>OK — totals reconciled</t>
        </is>
      </c>
      <c r="AF373" s="29" t="inlineStr">
        <is>
          <t>https://recuperacaojudicial.squarespace.com/s/RJ-Credimoveis-QGC-01082025.pdf</t>
        </is>
      </c>
      <c r="AG373" s="28" t="inlineStr">
        <is>
          <t>p17 r11</t>
        </is>
      </c>
      <c r="AH373" s="28" t="inlineStr">
        <is>
          <t>p17: R$ 1.044.824,45</t>
        </is>
      </c>
      <c r="AI373" s="28" t="inlineStr">
        <is>
          <t>QGC (art. 18)</t>
        </is>
      </c>
      <c r="AJ373" s="28" t="inlineStr">
        <is>
          <t>2026-01-28</t>
        </is>
      </c>
      <c r="AK373" s="28" t="inlineStr">
        <is>
          <t>NONE FOUND</t>
        </is>
      </c>
      <c r="AL373" s="30" t="inlineStr">
        <is>
          <t>0007565-40.2020.8.17.2370</t>
        </is>
      </c>
      <c r="AM373" s="30" t="inlineStr">
        <is>
          <t>TJPE</t>
        </is>
      </c>
      <c r="AN373" s="30" t="inlineStr">
        <is>
          <t>ACTIVE</t>
        </is>
      </c>
      <c r="AO373" s="30" t="n">
        <v>2020</v>
      </c>
      <c r="AP373" s="30" t="inlineStr">
        <is>
          <t>6y since filing, no plan document</t>
        </is>
      </c>
      <c r="AQ373" s="30" t="inlineStr">
        <is>
          <t>09.930.165/0001-37</t>
        </is>
      </c>
      <c r="AR373" s="30" t="inlineStr">
        <is>
          <t>printed on the list (read twice)</t>
        </is>
      </c>
      <c r="AS373" s="30" t="inlineStr">
        <is>
          <t>SAO PAULO</t>
        </is>
      </c>
      <c r="AT373" s="30" t="inlineStr">
        <is>
          <t>SP</t>
        </is>
      </c>
      <c r="AU373" s="30" t="inlineStr">
        <is>
          <t>Fabricação de fogões, refrigeradores e máquinas de lavar e secar para uso doméstico, peças e acessórios</t>
        </is>
      </c>
      <c r="AV373" s="30" t="inlineStr">
        <is>
          <t>DEMAIS</t>
        </is>
      </c>
      <c r="AW373" s="31" t="n">
        <v>859102340</v>
      </c>
      <c r="AX373" s="30" t="inlineStr">
        <is>
          <t>LARGE CORP</t>
        </is>
      </c>
      <c r="AY373" s="30" t="inlineStr">
        <is>
          <t>59105999</t>
        </is>
      </c>
      <c r="AZ373" s="30" t="n">
        <v>1</v>
      </c>
      <c r="BA373" s="30" t="inlineStr">
        <is>
          <t>ROWS:p17r11</t>
        </is>
      </c>
    </row>
    <row r="374">
      <c r="A374" s="16" t="inlineStr">
        <is>
          <t>SOAGRO - SOCIEDADE AGRO-PECUARIA LTDA</t>
        </is>
      </c>
      <c r="B374" s="17" t="n">
        <v>264931.98</v>
      </c>
      <c r="C374" s="37" t="inlineStr">
        <is>
          <t>(debtor not identified — see proof)</t>
        </is>
      </c>
      <c r="D374" s="19" t="inlineStr">
        <is>
          <t>NEW</t>
        </is>
      </c>
      <c r="E374" s="20" t="inlineStr"/>
      <c r="F374" s="19" t="inlineStr"/>
      <c r="G374" s="20" t="inlineStr"/>
      <c r="H374" s="19" t="inlineStr"/>
      <c r="I374" s="21" t="inlineStr">
        <is>
          <t>Gerson Guimaraes</t>
        </is>
      </c>
      <c r="J374" s="21" t="inlineStr">
        <is>
          <t>Administrative Manager</t>
        </is>
      </c>
      <c r="K374" s="21" t="inlineStr">
        <is>
          <t>(64) 2101-4000</t>
        </is>
      </c>
      <c r="L374" s="21" t="inlineStr"/>
      <c r="M374" s="21" t="inlineStr"/>
      <c r="N374" s="21" t="inlineStr">
        <is>
          <t>gerson@soagro.com.br</t>
        </is>
      </c>
      <c r="O374" s="21" t="inlineStr">
        <is>
          <t>cmaciel@soagro.com.br</t>
        </is>
      </c>
      <c r="P374" s="21" t="inlineStr">
        <is>
          <t>Carlos Oliveira</t>
        </is>
      </c>
      <c r="Q374" s="21" t="inlineStr">
        <is>
          <t>Director</t>
        </is>
      </c>
      <c r="R374" s="21" t="inlineStr"/>
      <c r="S374" s="21" t="inlineStr">
        <is>
          <t>cmaciel@soagro.com.br</t>
        </is>
      </c>
      <c r="T374" s="21" t="inlineStr">
        <is>
          <t>email verified by Apollo</t>
        </is>
      </c>
      <c r="U374" s="22" t="n">
        <v>264931.98</v>
      </c>
      <c r="V374" s="23" t="inlineStr">
        <is>
          <t>B</t>
        </is>
      </c>
      <c r="W374" s="24">
        <f>IFERROR(VLOOKUP(V374,Assumptions!$A$7:$F$11,2,FALSE),0)</f>
        <v/>
      </c>
      <c r="X374" s="25">
        <f>IF(V374="A",MAX(1,IFERROR(VLOOKUP(V374,Assumptions!$A$7:$F$11,3,FALSE),3)+IFERROR(VLOOKUP(V374,Assumptions!$A$7:$F$11,4,FALSE),8)/2-MAX(0,IF(AO374="",0,YEAR(TODAY())-AO374)-IFERROR(VLOOKUP(V374,Assumptions!$A$7:$F$11,5,FALSE),1.5))),IFERROR(VLOOKUP(V374,Assumptions!$A$7:$F$11,5,FALSE),2.5)+IFERROR(VLOOKUP(V374,Assumptions!$A$7:$F$11,3,FALSE),3)+IFERROR(VLOOKUP(V374,Assumptions!$A$7:$F$11,4,FALSE),8)/2)</f>
        <v/>
      </c>
      <c r="Y374" s="22">
        <f>U374*W374/(1+Assumptions!$B$3)^X374</f>
        <v/>
      </c>
      <c r="Z374" s="26">
        <f>IF(U374=0,"",ROUND(Y374/U374*100,1))</f>
        <v/>
      </c>
      <c r="AA374" s="27">
        <f>Y374*Assumptions!$B$4</f>
        <v/>
      </c>
      <c r="AB374" s="26">
        <f>IF(U374=0,"",ROUND(AA374/U374*100,1))</f>
        <v/>
      </c>
      <c r="AC374" s="27">
        <f>Y374-AA374</f>
        <v/>
      </c>
      <c r="AD374" s="26">
        <f>IF(U374=0,"",ROUND((Y374-AA374)/U374*100,1))</f>
        <v/>
      </c>
      <c r="AE374" s="33" t="inlineStr">
        <is>
          <t>NO TOTALS — list prints none; check page</t>
        </is>
      </c>
      <c r="AF374" s="29" t="inlineStr">
        <is>
          <t>https://scalzilliaj.com.br/sgc/download.php?file=files/processo_documento/processo_documento11421222052026_1_.pdf&amp;nome=08. Lista de credores do edital do art. 52, §1º da LREF</t>
        </is>
      </c>
      <c r="AG374" s="28" t="inlineStr">
        <is>
          <t>p2 r4</t>
        </is>
      </c>
      <c r="AH374" s="28" t="inlineStr">
        <is>
          <t>p2: R$ 264.931,98</t>
        </is>
      </c>
      <c r="AI374" s="28" t="inlineStr">
        <is>
          <t>Unclassified list</t>
        </is>
      </c>
      <c r="AJ374" s="28" t="inlineStr"/>
      <c r="AK374" s="28" t="inlineStr">
        <is>
          <t>NONE FOUND</t>
        </is>
      </c>
      <c r="AL374" s="30" t="inlineStr">
        <is>
          <t>5011369-81.2026.8.09.0093</t>
        </is>
      </c>
      <c r="AM374" s="30" t="inlineStr">
        <is>
          <t>TJGO</t>
        </is>
      </c>
      <c r="AN374" s="30" t="inlineStr">
        <is>
          <t>ACTIVE</t>
        </is>
      </c>
      <c r="AO374" s="30" t="n">
        <v>2026</v>
      </c>
      <c r="AP374" s="30" t="inlineStr">
        <is>
          <t>live case, no plan document yet</t>
        </is>
      </c>
      <c r="AQ374" s="30" t="inlineStr"/>
      <c r="AR374" s="30" t="inlineStr">
        <is>
          <t>not identified</t>
        </is>
      </c>
      <c r="AS374" s="30" t="inlineStr">
        <is>
          <t>RIO VERDE</t>
        </is>
      </c>
      <c r="AT374" s="30" t="inlineStr">
        <is>
          <t>GO</t>
        </is>
      </c>
      <c r="AU374" s="30" t="inlineStr">
        <is>
          <t>Comércio atacadista de defensivos agrícolas, adubos, fertilizantes e corretivos do solo</t>
        </is>
      </c>
      <c r="AV374" s="30" t="inlineStr">
        <is>
          <t>DEMAIS</t>
        </is>
      </c>
      <c r="AW374" s="31" t="n">
        <v>10000000</v>
      </c>
      <c r="AX374" s="30" t="inlineStr">
        <is>
          <t>MID-MARKET</t>
        </is>
      </c>
      <c r="AY374" s="30" t="inlineStr">
        <is>
          <t>02676351</t>
        </is>
      </c>
      <c r="AZ374" s="30" t="n">
        <v>1</v>
      </c>
      <c r="BA374" s="30" t="inlineStr">
        <is>
          <t>ROWS:p2r4 UNRECONCILED_SOURCE</t>
        </is>
      </c>
    </row>
    <row r="375">
      <c r="A375" s="16" t="inlineStr">
        <is>
          <t>SALUX - INFORMATIZACAO EM SAUDE S.A.</t>
        </is>
      </c>
      <c r="B375" s="17" t="n">
        <v>260799.62</v>
      </c>
      <c r="C375" s="18" t="inlineStr">
        <is>
          <t>ASSOCIAÇÃO DE CARIDADE SANTA CASA DO RIO GRANDE</t>
        </is>
      </c>
      <c r="D375" s="19" t="inlineStr">
        <is>
          <t>NEW</t>
        </is>
      </c>
      <c r="E375" s="20" t="inlineStr"/>
      <c r="F375" s="19" t="inlineStr"/>
      <c r="G375" s="20" t="inlineStr"/>
      <c r="H375" s="19" t="inlineStr"/>
      <c r="I375" s="21" t="inlineStr">
        <is>
          <t>Sibele Carvalho</t>
        </is>
      </c>
      <c r="J375" s="21" t="inlineStr">
        <is>
          <t>Financial Administrative Manager</t>
        </is>
      </c>
      <c r="K375" s="21" t="inlineStr">
        <is>
          <t>(51) 3021-0055</t>
        </is>
      </c>
      <c r="L375" s="21" t="inlineStr"/>
      <c r="M375" s="21" t="inlineStr"/>
      <c r="N375" s="21" t="inlineStr">
        <is>
          <t>sibele.carvalho@salux.com.br</t>
        </is>
      </c>
      <c r="O375" s="21" t="inlineStr">
        <is>
          <t>brenda.oliveira@salux.com.br</t>
        </is>
      </c>
      <c r="P375" s="21" t="inlineStr">
        <is>
          <t>Brenda Oliveira</t>
        </is>
      </c>
      <c r="Q375" s="21" t="inlineStr">
        <is>
          <t>Analista Adm. Financeiro</t>
        </is>
      </c>
      <c r="R375" s="21" t="inlineStr"/>
      <c r="S375" s="21" t="inlineStr">
        <is>
          <t>brenda.oliveira@salux.com.br</t>
        </is>
      </c>
      <c r="T375" s="21" t="inlineStr">
        <is>
          <t>email verified by Apollo</t>
        </is>
      </c>
      <c r="U375" s="22" t="n">
        <v>260799.62</v>
      </c>
      <c r="V375" s="23" t="inlineStr">
        <is>
          <t>B</t>
        </is>
      </c>
      <c r="W375" s="24">
        <f>IFERROR(VLOOKUP(V375,Assumptions!$A$7:$F$11,2,FALSE),0)</f>
        <v/>
      </c>
      <c r="X375" s="25">
        <f>IF(V375="A",MAX(1,IFERROR(VLOOKUP(V375,Assumptions!$A$7:$F$11,3,FALSE),3)+IFERROR(VLOOKUP(V375,Assumptions!$A$7:$F$11,4,FALSE),8)/2-MAX(0,IF(AO375="",0,YEAR(TODAY())-AO375)-IFERROR(VLOOKUP(V375,Assumptions!$A$7:$F$11,5,FALSE),1.5))),IFERROR(VLOOKUP(V375,Assumptions!$A$7:$F$11,5,FALSE),2.5)+IFERROR(VLOOKUP(V375,Assumptions!$A$7:$F$11,3,FALSE),3)+IFERROR(VLOOKUP(V375,Assumptions!$A$7:$F$11,4,FALSE),8)/2)</f>
        <v/>
      </c>
      <c r="Y375" s="22">
        <f>U375*W375/(1+Assumptions!$B$3)^X375</f>
        <v/>
      </c>
      <c r="Z375" s="26">
        <f>IF(U375=0,"",ROUND(Y375/U375*100,1))</f>
        <v/>
      </c>
      <c r="AA375" s="27">
        <f>Y375*Assumptions!$B$4</f>
        <v/>
      </c>
      <c r="AB375" s="26">
        <f>IF(U375=0,"",ROUND(AA375/U375*100,1))</f>
        <v/>
      </c>
      <c r="AC375" s="27">
        <f>Y375-AA375</f>
        <v/>
      </c>
      <c r="AD375" s="26">
        <f>IF(U375=0,"",ROUND((Y375-AA375)/U375*100,1))</f>
        <v/>
      </c>
      <c r="AE375" s="33" t="inlineStr">
        <is>
          <t>NO TOTALS — list prints none; check page</t>
        </is>
      </c>
      <c r="AF375" s="29" t="inlineStr">
        <is>
          <t>https://scalzilliaj.com.br/sgc/download.php?file=files/processo_documento/processo_documento09120721032023_1_.pdf&amp;nome=15 - Edital do art. 7º, §2º e 53 da Lei 11.101/2005 (segunda lista de credores e recebimento do plano))</t>
        </is>
      </c>
      <c r="AG375" s="28" t="inlineStr">
        <is>
          <t>p29 r43</t>
        </is>
      </c>
      <c r="AH375" s="28" t="inlineStr">
        <is>
          <t>p29: R$ 260.799,62</t>
        </is>
      </c>
      <c r="AI375" s="28" t="inlineStr">
        <is>
          <t>AJ list (art. 7 §2)</t>
        </is>
      </c>
      <c r="AJ375" s="28" t="inlineStr">
        <is>
          <t>2023-03-21</t>
        </is>
      </c>
      <c r="AK375" s="28" t="inlineStr">
        <is>
          <t>NONE FOUND</t>
        </is>
      </c>
      <c r="AL375" s="30" t="inlineStr">
        <is>
          <t>5012306-16.2022.8.21.0023</t>
        </is>
      </c>
      <c r="AM375" s="30" t="inlineStr">
        <is>
          <t>TJRS</t>
        </is>
      </c>
      <c r="AN375" s="30" t="inlineStr">
        <is>
          <t>ACTIVE</t>
        </is>
      </c>
      <c r="AO375" s="30" t="n">
        <v>2022</v>
      </c>
      <c r="AP375" s="30" t="inlineStr">
        <is>
          <t>live case, no plan document yet</t>
        </is>
      </c>
      <c r="AQ375" s="30" t="inlineStr"/>
      <c r="AR375" s="30" t="inlineStr">
        <is>
          <t>printed on the list (read twice)</t>
        </is>
      </c>
      <c r="AS375" s="30" t="inlineStr">
        <is>
          <t>PORTO ALEGRE</t>
        </is>
      </c>
      <c r="AT375" s="30" t="inlineStr">
        <is>
          <t>RS</t>
        </is>
      </c>
      <c r="AU375" s="30" t="inlineStr">
        <is>
          <t>Desenvolvimento e licenciamento de programas de computador customizáveis</t>
        </is>
      </c>
      <c r="AV375" s="30" t="inlineStr">
        <is>
          <t>DEMAIS</t>
        </is>
      </c>
      <c r="AW375" s="31" t="n">
        <v>6200000</v>
      </c>
      <c r="AX375" s="30" t="inlineStr">
        <is>
          <t>MID-MARKET</t>
        </is>
      </c>
      <c r="AY375" s="30" t="inlineStr">
        <is>
          <t>05113942</t>
        </is>
      </c>
      <c r="AZ375" s="30" t="n">
        <v>1</v>
      </c>
      <c r="BA375" s="30" t="inlineStr">
        <is>
          <t>ROWS:p29r43 UNRECONCILED_SOURCE</t>
        </is>
      </c>
    </row>
    <row r="376">
      <c r="A376" s="16" t="inlineStr">
        <is>
          <t>AUTO POSTO PRA FRENTE BRASIL LTDA</t>
        </is>
      </c>
      <c r="B376" s="17" t="n">
        <v>260175.73</v>
      </c>
      <c r="C376" s="18" t="inlineStr">
        <is>
          <t>Grupo Agromeal</t>
        </is>
      </c>
      <c r="D376" s="19" t="inlineStr">
        <is>
          <t>NEW</t>
        </is>
      </c>
      <c r="E376" s="20" t="inlineStr"/>
      <c r="F376" s="19" t="inlineStr"/>
      <c r="G376" s="20" t="inlineStr"/>
      <c r="H376" s="19" t="inlineStr"/>
      <c r="I376" s="21" t="inlineStr">
        <is>
          <t>Raul Neto</t>
        </is>
      </c>
      <c r="J376" s="21" t="inlineStr">
        <is>
          <t>Finance Manager</t>
        </is>
      </c>
      <c r="K376" s="21" t="inlineStr">
        <is>
          <t>(45) 3333-2000</t>
        </is>
      </c>
      <c r="L376" s="21" t="inlineStr">
        <is>
          <t>(45) 3228-1515</t>
        </is>
      </c>
      <c r="M376" s="21" t="inlineStr"/>
      <c r="N376" s="21" t="inlineStr"/>
      <c r="O376" s="21" t="inlineStr">
        <is>
          <t>jean@prafrentebrasil.com.br</t>
        </is>
      </c>
      <c r="P376" s="21" t="inlineStr">
        <is>
          <t>Jean Zini</t>
        </is>
      </c>
      <c r="Q376" s="21" t="inlineStr">
        <is>
          <t>Vice-president</t>
        </is>
      </c>
      <c r="R376" s="21" t="inlineStr"/>
      <c r="S376" s="21" t="inlineStr">
        <is>
          <t>jean@prafrentebrasil.com.br</t>
        </is>
      </c>
      <c r="T376" s="21" t="inlineStr">
        <is>
          <t>no work email found in Apollo</t>
        </is>
      </c>
      <c r="U376" s="22" t="n">
        <v>260175.73</v>
      </c>
      <c r="V376" s="23" t="inlineStr">
        <is>
          <t>B</t>
        </is>
      </c>
      <c r="W376" s="24">
        <f>IFERROR(VLOOKUP(V376,Assumptions!$A$7:$F$11,2,FALSE),0)</f>
        <v/>
      </c>
      <c r="X376" s="25">
        <f>IF(V376="A",MAX(1,IFERROR(VLOOKUP(V376,Assumptions!$A$7:$F$11,3,FALSE),3)+IFERROR(VLOOKUP(V376,Assumptions!$A$7:$F$11,4,FALSE),8)/2-MAX(0,IF(AO376="",0,YEAR(TODAY())-AO376)-IFERROR(VLOOKUP(V376,Assumptions!$A$7:$F$11,5,FALSE),1.5))),IFERROR(VLOOKUP(V376,Assumptions!$A$7:$F$11,5,FALSE),2.5)+IFERROR(VLOOKUP(V376,Assumptions!$A$7:$F$11,3,FALSE),3)+IFERROR(VLOOKUP(V376,Assumptions!$A$7:$F$11,4,FALSE),8)/2)</f>
        <v/>
      </c>
      <c r="Y376" s="22">
        <f>U376*W376/(1+Assumptions!$B$3)^X376</f>
        <v/>
      </c>
      <c r="Z376" s="26">
        <f>IF(U376=0,"",ROUND(Y376/U376*100,1))</f>
        <v/>
      </c>
      <c r="AA376" s="27">
        <f>Y376*Assumptions!$B$4</f>
        <v/>
      </c>
      <c r="AB376" s="26">
        <f>IF(U376=0,"",ROUND(AA376/U376*100,1))</f>
        <v/>
      </c>
      <c r="AC376" s="27">
        <f>Y376-AA376</f>
        <v/>
      </c>
      <c r="AD376" s="26">
        <f>IF(U376=0,"",ROUND((Y376-AA376)/U376*100,1))</f>
        <v/>
      </c>
      <c r="AE376" s="34" t="inlineStr">
        <is>
          <t>PARTIAL — class III reconciled, other classes not</t>
        </is>
      </c>
      <c r="AF376" s="29" t="inlineStr">
        <is>
          <t>https://marquesadmjudicial.com.br/sgc/download.php?file=files/processo_documento/processo_documento17040729052024_1_.pdf&amp;nome=Relação Nominal de Credores AJ-Sintética</t>
        </is>
      </c>
      <c r="AG376" s="28" t="inlineStr">
        <is>
          <t>p9 r12</t>
        </is>
      </c>
      <c r="AH376" s="28" t="inlineStr">
        <is>
          <t>p9: R$ 260.175,73</t>
        </is>
      </c>
      <c r="AI376" s="28" t="inlineStr">
        <is>
          <t>AJ list (art. 7 §2)</t>
        </is>
      </c>
      <c r="AJ376" s="28" t="inlineStr">
        <is>
          <t>2024-05-27</t>
        </is>
      </c>
      <c r="AK376" s="28" t="inlineStr">
        <is>
          <t>NONE FOUND</t>
        </is>
      </c>
      <c r="AL376" s="30" t="inlineStr">
        <is>
          <t>0003971-03.2023.8.16.0119</t>
        </is>
      </c>
      <c r="AM376" s="30" t="inlineStr">
        <is>
          <t>TJPR</t>
        </is>
      </c>
      <c r="AN376" s="30" t="inlineStr">
        <is>
          <t>ACTIVE</t>
        </is>
      </c>
      <c r="AO376" s="30" t="n">
        <v>2023</v>
      </c>
      <c r="AP376" s="30" t="inlineStr">
        <is>
          <t>live case, no plan document yet</t>
        </is>
      </c>
      <c r="AQ376" s="30" t="inlineStr">
        <is>
          <t>11.624.776/0001-07</t>
        </is>
      </c>
      <c r="AR376" s="30" t="inlineStr">
        <is>
          <t>printed on the list (read twice)</t>
        </is>
      </c>
      <c r="AS376" s="30" t="inlineStr">
        <is>
          <t>CASCAVEL</t>
        </is>
      </c>
      <c r="AT376" s="30" t="inlineStr">
        <is>
          <t>PR</t>
        </is>
      </c>
      <c r="AU376" s="30" t="inlineStr">
        <is>
          <t>Comércio varejista de combustíveis para veículos automotores</t>
        </is>
      </c>
      <c r="AV376" s="30" t="inlineStr">
        <is>
          <t>DEMAIS</t>
        </is>
      </c>
      <c r="AW376" s="31" t="n">
        <v>2633137</v>
      </c>
      <c r="AX376" s="30" t="inlineStr">
        <is>
          <t>MID-MARKET</t>
        </is>
      </c>
      <c r="AY376" s="30" t="inlineStr">
        <is>
          <t>04868412</t>
        </is>
      </c>
      <c r="AZ376" s="30" t="n">
        <v>1</v>
      </c>
      <c r="BA376" s="30" t="inlineStr">
        <is>
          <t>PARTIAL_DOC_CLASS_III_RECONCILED ROWS:p9r12</t>
        </is>
      </c>
    </row>
    <row r="377">
      <c r="A377" s="16" t="inlineStr">
        <is>
          <t>SELENE INDUSTRIA TEXTIL S A</t>
        </is>
      </c>
      <c r="B377" s="17" t="n">
        <v>259498.98</v>
      </c>
      <c r="C377" s="18" t="inlineStr">
        <is>
          <t>GRUPO CATTAN</t>
        </is>
      </c>
      <c r="D377" s="19" t="inlineStr">
        <is>
          <t>NEW</t>
        </is>
      </c>
      <c r="E377" s="20" t="inlineStr"/>
      <c r="F377" s="19" t="inlineStr"/>
      <c r="G377" s="20" t="inlineStr"/>
      <c r="H377" s="19" t="inlineStr"/>
      <c r="I377" s="21" t="inlineStr">
        <is>
          <t>Cristiane Covatti</t>
        </is>
      </c>
      <c r="J377" s="21" t="inlineStr">
        <is>
          <t>Financial Director</t>
        </is>
      </c>
      <c r="K377" s="21" t="inlineStr">
        <is>
          <t>(15) 3384-8888</t>
        </is>
      </c>
      <c r="L377" s="21" t="inlineStr"/>
      <c r="M377" s="21" t="inlineStr"/>
      <c r="N377" s="21" t="inlineStr">
        <is>
          <t>cristiane.covatti@selene.com.br</t>
        </is>
      </c>
      <c r="O377" s="21" t="inlineStr">
        <is>
          <t>claudio.dalava@selene.com.br</t>
        </is>
      </c>
      <c r="P377" s="21" t="inlineStr">
        <is>
          <t>Claudio Dalava</t>
        </is>
      </c>
      <c r="Q377" s="21" t="inlineStr">
        <is>
          <t>Coordenador Crédito e Cobrança</t>
        </is>
      </c>
      <c r="R377" s="21" t="inlineStr"/>
      <c r="S377" s="21" t="inlineStr">
        <is>
          <t>claudio.dalava@selene.com.br</t>
        </is>
      </c>
      <c r="T377" s="21" t="inlineStr">
        <is>
          <t>email verified by Apollo</t>
        </is>
      </c>
      <c r="U377" s="22" t="n">
        <v>259498.98</v>
      </c>
      <c r="V377" s="23" t="inlineStr">
        <is>
          <t>B</t>
        </is>
      </c>
      <c r="W377" s="24">
        <f>IFERROR(VLOOKUP(V377,Assumptions!$A$7:$F$11,2,FALSE),0)</f>
        <v/>
      </c>
      <c r="X377" s="25">
        <f>IF(V377="A",MAX(1,IFERROR(VLOOKUP(V377,Assumptions!$A$7:$F$11,3,FALSE),3)+IFERROR(VLOOKUP(V377,Assumptions!$A$7:$F$11,4,FALSE),8)/2-MAX(0,IF(AO377="",0,YEAR(TODAY())-AO377)-IFERROR(VLOOKUP(V377,Assumptions!$A$7:$F$11,5,FALSE),1.5))),IFERROR(VLOOKUP(V377,Assumptions!$A$7:$F$11,5,FALSE),2.5)+IFERROR(VLOOKUP(V377,Assumptions!$A$7:$F$11,3,FALSE),3)+IFERROR(VLOOKUP(V377,Assumptions!$A$7:$F$11,4,FALSE),8)/2)</f>
        <v/>
      </c>
      <c r="Y377" s="22">
        <f>U377*W377/(1+Assumptions!$B$3)^X377</f>
        <v/>
      </c>
      <c r="Z377" s="26">
        <f>IF(U377=0,"",ROUND(Y377/U377*100,1))</f>
        <v/>
      </c>
      <c r="AA377" s="27">
        <f>Y377*Assumptions!$B$4</f>
        <v/>
      </c>
      <c r="AB377" s="26">
        <f>IF(U377=0,"",ROUND(AA377/U377*100,1))</f>
        <v/>
      </c>
      <c r="AC377" s="27">
        <f>Y377-AA377</f>
        <v/>
      </c>
      <c r="AD377" s="26">
        <f>IF(U377=0,"",ROUND((Y377-AA377)/U377*100,1))</f>
        <v/>
      </c>
      <c r="AE377" s="34" t="inlineStr">
        <is>
          <t>PARTIAL — class III reconciled, other classes not</t>
        </is>
      </c>
      <c r="AF377" s="29" t="inlineStr">
        <is>
          <t>https://lrflideres.com.br/wp-content/plugins/download-attachments/includes/download.php?id=4023</t>
        </is>
      </c>
      <c r="AG377" s="28" t="inlineStr">
        <is>
          <t>p4 r90; p7 r120; p9 r89</t>
        </is>
      </c>
      <c r="AH377" s="28" t="inlineStr">
        <is>
          <t>p4: R$ 63.666,17; p7: R$ 158.338,98; p9: R$ 37.493,83</t>
        </is>
      </c>
      <c r="AI377" s="28" t="inlineStr">
        <is>
          <t>Debtor list (art. 51)</t>
        </is>
      </c>
      <c r="AJ377" s="28" t="inlineStr"/>
      <c r="AK377" s="28" t="inlineStr">
        <is>
          <t>NONE FOUND</t>
        </is>
      </c>
      <c r="AL377" s="30" t="inlineStr">
        <is>
          <t>0002484-82.2022.8.17.2001</t>
        </is>
      </c>
      <c r="AM377" s="30" t="inlineStr">
        <is>
          <t>TJPE</t>
        </is>
      </c>
      <c r="AN377" s="30" t="inlineStr">
        <is>
          <t>ACTIVE</t>
        </is>
      </c>
      <c r="AO377" s="30" t="n">
        <v>2022</v>
      </c>
      <c r="AP377" s="30" t="inlineStr">
        <is>
          <t>live case, no plan document yet</t>
        </is>
      </c>
      <c r="AQ377" s="30" t="inlineStr"/>
      <c r="AR377" s="30" t="inlineStr">
        <is>
          <t>printed on the list (read twice)</t>
        </is>
      </c>
      <c r="AS377" s="30" t="inlineStr">
        <is>
          <t>CERQUILHO</t>
        </is>
      </c>
      <c r="AT377" s="30" t="inlineStr">
        <is>
          <t>SP</t>
        </is>
      </c>
      <c r="AU377" s="30" t="inlineStr">
        <is>
          <t>Fabricação de meias</t>
        </is>
      </c>
      <c r="AV377" s="30" t="inlineStr">
        <is>
          <t>DEMAIS</t>
        </is>
      </c>
      <c r="AW377" s="31" t="n">
        <v>333685000</v>
      </c>
      <c r="AX377" s="30" t="inlineStr">
        <is>
          <t>MID-MARKET</t>
        </is>
      </c>
      <c r="AY377" s="30" t="inlineStr">
        <is>
          <t>47254545</t>
        </is>
      </c>
      <c r="AZ377" s="30" t="n">
        <v>3</v>
      </c>
      <c r="BA377" s="30" t="inlineStr">
        <is>
          <t>PARTIAL_DOC_CLASS_III_RECONCILED ROWS:p4r90,p7r120,p9r89</t>
        </is>
      </c>
    </row>
    <row r="378">
      <c r="A378" s="16" t="inlineStr">
        <is>
          <t>HUESKER LTDA</t>
        </is>
      </c>
      <c r="B378" s="17" t="n">
        <v>483478.41</v>
      </c>
      <c r="C378" s="18" t="inlineStr">
        <is>
          <t>EGESA ENGENHARIA S/A (Consórcio ETDI)</t>
        </is>
      </c>
      <c r="D378" s="19" t="inlineStr">
        <is>
          <t>NEW</t>
        </is>
      </c>
      <c r="E378" s="20" t="inlineStr"/>
      <c r="F378" s="19" t="inlineStr"/>
      <c r="G378" s="20" t="inlineStr"/>
      <c r="H378" s="19" t="inlineStr"/>
      <c r="I378" s="21" t="inlineStr">
        <is>
          <t>Fernando Wickert</t>
        </is>
      </c>
      <c r="J378" s="21" t="inlineStr">
        <is>
          <t>Commercial Director</t>
        </is>
      </c>
      <c r="K378" s="21" t="inlineStr">
        <is>
          <t>(12) 3903-9300</t>
        </is>
      </c>
      <c r="L378" s="21" t="inlineStr">
        <is>
          <t>(12) 2138-8200</t>
        </is>
      </c>
      <c r="M378" s="21" t="inlineStr"/>
      <c r="N378" s="21" t="inlineStr">
        <is>
          <t>fernando.wickert@huesker.com.br</t>
        </is>
      </c>
      <c r="O378" s="21" t="inlineStr"/>
      <c r="P378" s="21" t="inlineStr">
        <is>
          <t>Jose Pandolpho</t>
        </is>
      </c>
      <c r="Q378" s="21" t="inlineStr">
        <is>
          <t>Director</t>
        </is>
      </c>
      <c r="R378" s="21" t="inlineStr"/>
      <c r="S378" s="21" t="inlineStr"/>
      <c r="T378" s="21" t="inlineStr">
        <is>
          <t>email verified by Apollo</t>
        </is>
      </c>
      <c r="U378" s="22" t="n">
        <v>483478.41</v>
      </c>
      <c r="V378" s="32" t="inlineStr">
        <is>
          <t>U</t>
        </is>
      </c>
      <c r="W378" s="24">
        <f>IFERROR(VLOOKUP(V378,Assumptions!$A$7:$F$11,2,FALSE),0)</f>
        <v/>
      </c>
      <c r="X378" s="25">
        <f>IF(V378="A",MAX(1,IFERROR(VLOOKUP(V378,Assumptions!$A$7:$F$11,3,FALSE),3)+IFERROR(VLOOKUP(V378,Assumptions!$A$7:$F$11,4,FALSE),8)/2-MAX(0,IF(AO378="",0,YEAR(TODAY())-AO378)-IFERROR(VLOOKUP(V378,Assumptions!$A$7:$F$11,5,FALSE),1.5))),IFERROR(VLOOKUP(V378,Assumptions!$A$7:$F$11,5,FALSE),2.5)+IFERROR(VLOOKUP(V378,Assumptions!$A$7:$F$11,3,FALSE),3)+IFERROR(VLOOKUP(V378,Assumptions!$A$7:$F$11,4,FALSE),8)/2)</f>
        <v/>
      </c>
      <c r="Y378" s="22">
        <f>U378*W378/(1+Assumptions!$B$3)^X378</f>
        <v/>
      </c>
      <c r="Z378" s="26">
        <f>IF(U378=0,"",ROUND(Y378/U378*100,1))</f>
        <v/>
      </c>
      <c r="AA378" s="27">
        <f>Y378*Assumptions!$B$4</f>
        <v/>
      </c>
      <c r="AB378" s="26">
        <f>IF(U378=0,"",ROUND(AA378/U378*100,1))</f>
        <v/>
      </c>
      <c r="AC378" s="27">
        <f>Y378-AA378</f>
        <v/>
      </c>
      <c r="AD378" s="26">
        <f>IF(U378=0,"",ROUND((Y378-AA378)/U378*100,1))</f>
        <v/>
      </c>
      <c r="AE378" s="28" t="inlineStr">
        <is>
          <t>OK — totals reconciled</t>
        </is>
      </c>
      <c r="AF378" s="29" t="inlineStr">
        <is>
          <t>https://scalzilliaj.com.br/sgc/download.php?file=files/processo_documento/processo_documento09514021082025_1_.pdf&amp;nome=04 - Relação de credores das Recuperandas</t>
        </is>
      </c>
      <c r="AG378" s="28" t="inlineStr">
        <is>
          <t>p68 r2</t>
        </is>
      </c>
      <c r="AH378" s="28" t="inlineStr">
        <is>
          <t>p68: R$ 483.478,41</t>
        </is>
      </c>
      <c r="AI378" s="28" t="inlineStr">
        <is>
          <t>Debtor list (art. 51)</t>
        </is>
      </c>
      <c r="AJ378" s="28" t="inlineStr"/>
      <c r="AK378" s="28" t="inlineStr">
        <is>
          <t>NONE FOUND</t>
        </is>
      </c>
      <c r="AL378" s="30" t="inlineStr">
        <is>
          <t>(not printed)</t>
        </is>
      </c>
      <c r="AM378" s="30" t="inlineStr"/>
      <c r="AN378" s="30" t="inlineStr"/>
      <c r="AO378" s="30" t="inlineStr"/>
      <c r="AP378" s="30" t="inlineStr">
        <is>
          <t>RJ case number not identified on the document</t>
        </is>
      </c>
      <c r="AQ378" s="30" t="inlineStr"/>
      <c r="AR378" s="30" t="inlineStr">
        <is>
          <t>portal page title / URL — not printed on the list</t>
        </is>
      </c>
      <c r="AS378" s="30" t="inlineStr">
        <is>
          <t>SAO JOSE DOS CAMPOS</t>
        </is>
      </c>
      <c r="AT378" s="30" t="inlineStr">
        <is>
          <t>SP</t>
        </is>
      </c>
      <c r="AU378" s="30" t="inlineStr">
        <is>
          <t>Comércio atacadista especializado de materiais de construção não especificados anteriormente</t>
        </is>
      </c>
      <c r="AV378" s="30" t="inlineStr">
        <is>
          <t>DEMAIS</t>
        </is>
      </c>
      <c r="AW378" s="31" t="n">
        <v>158000</v>
      </c>
      <c r="AX378" s="30" t="inlineStr">
        <is>
          <t>MID-MARKET</t>
        </is>
      </c>
      <c r="AY378" s="30" t="inlineStr">
        <is>
          <t>02565876</t>
        </is>
      </c>
      <c r="AZ378" s="30" t="n">
        <v>1</v>
      </c>
      <c r="BA378" s="30" t="inlineStr">
        <is>
          <t>ROWS:p68r2 VALUE_COL:Valor_Atualizado CASE_NUMBER_CORRECTED</t>
        </is>
      </c>
    </row>
    <row r="379">
      <c r="A379" s="16" t="inlineStr">
        <is>
          <t>AGROBRASILCHEMICAL INDUSTRIA E COMERCIO LTDA EM RECUPERACAO JUDICIAL</t>
        </is>
      </c>
      <c r="B379" s="17" t="n">
        <v>257434.5</v>
      </c>
      <c r="C379" s="18" t="inlineStr">
        <is>
          <t>Grupo Agromeal</t>
        </is>
      </c>
      <c r="D379" s="19" t="inlineStr">
        <is>
          <t>NEW</t>
        </is>
      </c>
      <c r="E379" s="20" t="inlineStr"/>
      <c r="F379" s="19" t="inlineStr"/>
      <c r="G379" s="20" t="inlineStr"/>
      <c r="H379" s="19" t="inlineStr"/>
      <c r="I379" s="21" t="inlineStr">
        <is>
          <t>RICARDO CASTELHANO</t>
        </is>
      </c>
      <c r="J379" s="21" t="inlineStr">
        <is>
          <t>Sócio-Administrador (RFB partner)</t>
        </is>
      </c>
      <c r="K379" s="21" t="inlineStr">
        <is>
          <t>(44) 9932-7251</t>
        </is>
      </c>
      <c r="L379" s="21" t="inlineStr"/>
      <c r="M379" s="21" t="inlineStr"/>
      <c r="N379" s="21" t="inlineStr"/>
      <c r="O379" s="21" t="inlineStr"/>
      <c r="P379" s="21" t="inlineStr"/>
      <c r="Q379" s="21" t="inlineStr"/>
      <c r="R379" s="21" t="inlineStr"/>
      <c r="S379" s="21" t="inlineStr"/>
      <c r="T379" s="21" t="inlineStr">
        <is>
          <t>RFB partner (QSA); no Apollo match</t>
        </is>
      </c>
      <c r="U379" s="22" t="n">
        <v>257434.5</v>
      </c>
      <c r="V379" s="23" t="inlineStr">
        <is>
          <t>B</t>
        </is>
      </c>
      <c r="W379" s="24">
        <f>IFERROR(VLOOKUP(V379,Assumptions!$A$7:$F$11,2,FALSE),0)</f>
        <v/>
      </c>
      <c r="X379" s="25">
        <f>IF(V379="A",MAX(1,IFERROR(VLOOKUP(V379,Assumptions!$A$7:$F$11,3,FALSE),3)+IFERROR(VLOOKUP(V379,Assumptions!$A$7:$F$11,4,FALSE),8)/2-MAX(0,IF(AO379="",0,YEAR(TODAY())-AO379)-IFERROR(VLOOKUP(V379,Assumptions!$A$7:$F$11,5,FALSE),1.5))),IFERROR(VLOOKUP(V379,Assumptions!$A$7:$F$11,5,FALSE),2.5)+IFERROR(VLOOKUP(V379,Assumptions!$A$7:$F$11,3,FALSE),3)+IFERROR(VLOOKUP(V379,Assumptions!$A$7:$F$11,4,FALSE),8)/2)</f>
        <v/>
      </c>
      <c r="Y379" s="22">
        <f>U379*W379/(1+Assumptions!$B$3)^X379</f>
        <v/>
      </c>
      <c r="Z379" s="26">
        <f>IF(U379=0,"",ROUND(Y379/U379*100,1))</f>
        <v/>
      </c>
      <c r="AA379" s="27">
        <f>Y379*Assumptions!$B$4</f>
        <v/>
      </c>
      <c r="AB379" s="26">
        <f>IF(U379=0,"",ROUND(AA379/U379*100,1))</f>
        <v/>
      </c>
      <c r="AC379" s="27">
        <f>Y379-AA379</f>
        <v/>
      </c>
      <c r="AD379" s="26">
        <f>IF(U379=0,"",ROUND((Y379-AA379)/U379*100,1))</f>
        <v/>
      </c>
      <c r="AE379" s="34" t="inlineStr">
        <is>
          <t>PARTIAL — class III reconciled, other classes not</t>
        </is>
      </c>
      <c r="AF379" s="29" t="inlineStr">
        <is>
          <t>https://marquesadmjudicial.com.br/sgc/download.php?file=files/processo_documento/processo_documento17040729052024_1_.pdf&amp;nome=Relação Nominal de Credores AJ-Sintética</t>
        </is>
      </c>
      <c r="AG379" s="28" t="inlineStr">
        <is>
          <t>p9 r3</t>
        </is>
      </c>
      <c r="AH379" s="28" t="inlineStr">
        <is>
          <t>p9: R$ 257.434,50</t>
        </is>
      </c>
      <c r="AI379" s="28" t="inlineStr">
        <is>
          <t>AJ list (art. 7 §2)</t>
        </is>
      </c>
      <c r="AJ379" s="28" t="inlineStr">
        <is>
          <t>2024-05-27</t>
        </is>
      </c>
      <c r="AK379" s="28" t="inlineStr">
        <is>
          <t>NONE FOUND</t>
        </is>
      </c>
      <c r="AL379" s="30" t="inlineStr">
        <is>
          <t>0003971-03.2023.8.16.0119</t>
        </is>
      </c>
      <c r="AM379" s="30" t="inlineStr">
        <is>
          <t>TJPR</t>
        </is>
      </c>
      <c r="AN379" s="30" t="inlineStr">
        <is>
          <t>ACTIVE</t>
        </is>
      </c>
      <c r="AO379" s="30" t="n">
        <v>2023</v>
      </c>
      <c r="AP379" s="30" t="inlineStr">
        <is>
          <t>live case, no plan document yet</t>
        </is>
      </c>
      <c r="AQ379" s="30" t="inlineStr">
        <is>
          <t>11.624.776/0001-07</t>
        </is>
      </c>
      <c r="AR379" s="30" t="inlineStr">
        <is>
          <t>printed on the list (read twice)</t>
        </is>
      </c>
      <c r="AS379" s="30" t="inlineStr">
        <is>
          <t>MANDAGUARI</t>
        </is>
      </c>
      <c r="AT379" s="30" t="inlineStr">
        <is>
          <t>PR</t>
        </is>
      </c>
      <c r="AU379" s="30" t="inlineStr">
        <is>
          <t>Fabricação de produtos de limpeza e polimento</t>
        </is>
      </c>
      <c r="AV379" s="30" t="inlineStr">
        <is>
          <t>DEMAIS</t>
        </is>
      </c>
      <c r="AW379" s="31" t="n">
        <v>367000</v>
      </c>
      <c r="AX379" s="30" t="inlineStr">
        <is>
          <t>MID-MARKET</t>
        </is>
      </c>
      <c r="AY379" s="30" t="inlineStr">
        <is>
          <t>18773359</t>
        </is>
      </c>
      <c r="AZ379" s="30" t="n">
        <v>1</v>
      </c>
      <c r="BA379" s="30" t="inlineStr">
        <is>
          <t>PARTIAL_DOC_CLASS_III_RECONCILED ROWS:p9r3</t>
        </is>
      </c>
    </row>
    <row r="380">
      <c r="A380" s="16" t="inlineStr">
        <is>
          <t>NOVA TRIGO RESINAS TERMOPLASTICAS LTDA.</t>
        </is>
      </c>
      <c r="B380" s="17" t="n">
        <v>257394.62</v>
      </c>
      <c r="C380" s="37" t="inlineStr">
        <is>
          <t>(debtor not identified — see proof)</t>
        </is>
      </c>
      <c r="D380" s="19" t="inlineStr">
        <is>
          <t>NEW</t>
        </is>
      </c>
      <c r="E380" s="20" t="inlineStr"/>
      <c r="F380" s="19" t="inlineStr"/>
      <c r="G380" s="20" t="inlineStr"/>
      <c r="H380" s="19" t="inlineStr"/>
      <c r="I380" s="21" t="inlineStr">
        <is>
          <t>ELIANE PEDROSO TRIGO</t>
        </is>
      </c>
      <c r="J380" s="21" t="inlineStr">
        <is>
          <t>Sócio-Administrador (RFB partner)</t>
        </is>
      </c>
      <c r="K380" s="21" t="inlineStr">
        <is>
          <t>(11) 4424-1553</t>
        </is>
      </c>
      <c r="L380" s="21" t="inlineStr"/>
      <c r="M380" s="21" t="inlineStr"/>
      <c r="N380" s="21" t="inlineStr"/>
      <c r="O380" s="21" t="inlineStr"/>
      <c r="P380" s="21" t="inlineStr">
        <is>
          <t>SANDRO CARRAPEIRO TRIGO</t>
        </is>
      </c>
      <c r="Q380" s="21" t="inlineStr">
        <is>
          <t>Sócio-Administrador (RFB partner)</t>
        </is>
      </c>
      <c r="R380" s="21" t="inlineStr"/>
      <c r="S380" s="21" t="inlineStr"/>
      <c r="T380" s="21" t="inlineStr">
        <is>
          <t>RFB partner (QSA); no Apollo match</t>
        </is>
      </c>
      <c r="U380" s="22" t="n">
        <v>257394.62</v>
      </c>
      <c r="V380" s="23" t="inlineStr">
        <is>
          <t>B</t>
        </is>
      </c>
      <c r="W380" s="24">
        <f>IFERROR(VLOOKUP(V380,Assumptions!$A$7:$F$11,2,FALSE),0)</f>
        <v/>
      </c>
      <c r="X380" s="25">
        <f>IF(V380="A",MAX(1,IFERROR(VLOOKUP(V380,Assumptions!$A$7:$F$11,3,FALSE),3)+IFERROR(VLOOKUP(V380,Assumptions!$A$7:$F$11,4,FALSE),8)/2-MAX(0,IF(AO380="",0,YEAR(TODAY())-AO380)-IFERROR(VLOOKUP(V380,Assumptions!$A$7:$F$11,5,FALSE),1.5))),IFERROR(VLOOKUP(V380,Assumptions!$A$7:$F$11,5,FALSE),2.5)+IFERROR(VLOOKUP(V380,Assumptions!$A$7:$F$11,3,FALSE),3)+IFERROR(VLOOKUP(V380,Assumptions!$A$7:$F$11,4,FALSE),8)/2)</f>
        <v/>
      </c>
      <c r="Y380" s="22">
        <f>U380*W380/(1+Assumptions!$B$3)^X380</f>
        <v/>
      </c>
      <c r="Z380" s="26">
        <f>IF(U380=0,"",ROUND(Y380/U380*100,1))</f>
        <v/>
      </c>
      <c r="AA380" s="27">
        <f>Y380*Assumptions!$B$4</f>
        <v/>
      </c>
      <c r="AB380" s="26">
        <f>IF(U380=0,"",ROUND(AA380/U380*100,1))</f>
        <v/>
      </c>
      <c r="AC380" s="27">
        <f>Y380-AA380</f>
        <v/>
      </c>
      <c r="AD380" s="26">
        <f>IF(U380=0,"",ROUND((Y380-AA380)/U380*100,1))</f>
        <v/>
      </c>
      <c r="AE380" s="28" t="inlineStr">
        <is>
          <t>OK — totals reconciled</t>
        </is>
      </c>
      <c r="AF380" s="29" t="inlineStr">
        <is>
          <t>https://ajruiz.com.br/sites/default/files/public/arquivos-processos/2024-04/relacao_de_credores_recuperanda_1.pdf</t>
        </is>
      </c>
      <c r="AG380" s="28" t="inlineStr">
        <is>
          <t>p9 r3; p9 r4</t>
        </is>
      </c>
      <c r="AH380" s="28" t="inlineStr">
        <is>
          <t>p9: R$ 137.709,69; p9: R$ 119.684,93</t>
        </is>
      </c>
      <c r="AI380" s="28" t="inlineStr">
        <is>
          <t>QGC (art. 18)</t>
        </is>
      </c>
      <c r="AJ380" s="28" t="inlineStr">
        <is>
          <t>2024-01-31</t>
        </is>
      </c>
      <c r="AK380" s="28" t="inlineStr">
        <is>
          <t>NONE FOUND</t>
        </is>
      </c>
      <c r="AL380" s="30" t="inlineStr">
        <is>
          <t>1022634-27.2024.8.26.0100</t>
        </is>
      </c>
      <c r="AM380" s="30" t="inlineStr">
        <is>
          <t>TJSP</t>
        </is>
      </c>
      <c r="AN380" s="30" t="inlineStr"/>
      <c r="AO380" s="30" t="n">
        <v>2024</v>
      </c>
      <c r="AP380" s="30" t="inlineStr">
        <is>
          <t>live case, no plan document yet</t>
        </is>
      </c>
      <c r="AQ380" s="30" t="inlineStr"/>
      <c r="AR380" s="30" t="inlineStr">
        <is>
          <t>not identified</t>
        </is>
      </c>
      <c r="AS380" s="30" t="inlineStr">
        <is>
          <t>SAO BERNARDO DO CAMPO</t>
        </is>
      </c>
      <c r="AT380" s="30" t="inlineStr">
        <is>
          <t>SP</t>
        </is>
      </c>
      <c r="AU380" s="30" t="inlineStr">
        <is>
          <t>Comércio atacadista de outros produtos químicos e petroquímicos não especificados anteriormente</t>
        </is>
      </c>
      <c r="AV380" s="30" t="inlineStr">
        <is>
          <t>DEMAIS</t>
        </is>
      </c>
      <c r="AW380" s="31" t="n">
        <v>120000</v>
      </c>
      <c r="AX380" s="30" t="inlineStr">
        <is>
          <t>MID-MARKET</t>
        </is>
      </c>
      <c r="AY380" s="30" t="inlineStr">
        <is>
          <t>07094272</t>
        </is>
      </c>
      <c r="AZ380" s="30" t="n">
        <v>2</v>
      </c>
      <c r="BA380" s="30" t="inlineStr">
        <is>
          <t>ROWS:p9r3,p9r4 CASE_NUMBER_CORRECTED</t>
        </is>
      </c>
    </row>
    <row r="381">
      <c r="A381" s="16" t="inlineStr">
        <is>
          <t>3- PLASTIC SOLUCOES EM COMERCIO DE POLIMEROS LTDA</t>
        </is>
      </c>
      <c r="B381" s="17" t="n">
        <v>256709.29</v>
      </c>
      <c r="C381" s="37" t="inlineStr">
        <is>
          <t>(debtor not identified — see proof)</t>
        </is>
      </c>
      <c r="D381" s="19" t="inlineStr">
        <is>
          <t>NEW</t>
        </is>
      </c>
      <c r="E381" s="20" t="inlineStr"/>
      <c r="F381" s="19" t="inlineStr"/>
      <c r="G381" s="20" t="inlineStr"/>
      <c r="H381" s="19" t="inlineStr"/>
      <c r="I381" s="21" t="inlineStr">
        <is>
          <t>Ademir Alcantara</t>
        </is>
      </c>
      <c r="J381" s="21" t="inlineStr">
        <is>
          <t>Partner</t>
        </is>
      </c>
      <c r="K381" s="21" t="inlineStr">
        <is>
          <t>(19) 8123-1209</t>
        </is>
      </c>
      <c r="L381" s="21" t="inlineStr"/>
      <c r="M381" s="21" t="inlineStr"/>
      <c r="N381" s="21" t="inlineStr">
        <is>
          <t>ademir@3-plastic.com.br</t>
        </is>
      </c>
      <c r="O381" s="21" t="inlineStr"/>
      <c r="P381" s="21" t="inlineStr">
        <is>
          <t>Marcela Cruz</t>
        </is>
      </c>
      <c r="Q381" s="21" t="inlineStr">
        <is>
          <t>Financial Administrative Assistant</t>
        </is>
      </c>
      <c r="R381" s="21" t="inlineStr"/>
      <c r="S381" s="21" t="inlineStr"/>
      <c r="T381" s="21" t="inlineStr">
        <is>
          <t>email verified by Apollo</t>
        </is>
      </c>
      <c r="U381" s="22" t="n">
        <v>256709.29</v>
      </c>
      <c r="V381" s="23" t="inlineStr">
        <is>
          <t>B</t>
        </is>
      </c>
      <c r="W381" s="24">
        <f>IFERROR(VLOOKUP(V381,Assumptions!$A$7:$F$11,2,FALSE),0)</f>
        <v/>
      </c>
      <c r="X381" s="25">
        <f>IF(V381="A",MAX(1,IFERROR(VLOOKUP(V381,Assumptions!$A$7:$F$11,3,FALSE),3)+IFERROR(VLOOKUP(V381,Assumptions!$A$7:$F$11,4,FALSE),8)/2-MAX(0,IF(AO381="",0,YEAR(TODAY())-AO381)-IFERROR(VLOOKUP(V381,Assumptions!$A$7:$F$11,5,FALSE),1.5))),IFERROR(VLOOKUP(V381,Assumptions!$A$7:$F$11,5,FALSE),2.5)+IFERROR(VLOOKUP(V381,Assumptions!$A$7:$F$11,3,FALSE),3)+IFERROR(VLOOKUP(V381,Assumptions!$A$7:$F$11,4,FALSE),8)/2)</f>
        <v/>
      </c>
      <c r="Y381" s="22">
        <f>U381*W381/(1+Assumptions!$B$3)^X381</f>
        <v/>
      </c>
      <c r="Z381" s="26">
        <f>IF(U381=0,"",ROUND(Y381/U381*100,1))</f>
        <v/>
      </c>
      <c r="AA381" s="27">
        <f>Y381*Assumptions!$B$4</f>
        <v/>
      </c>
      <c r="AB381" s="26">
        <f>IF(U381=0,"",ROUND(AA381/U381*100,1))</f>
        <v/>
      </c>
      <c r="AC381" s="27">
        <f>Y381-AA381</f>
        <v/>
      </c>
      <c r="AD381" s="26">
        <f>IF(U381=0,"",ROUND((Y381-AA381)/U381*100,1))</f>
        <v/>
      </c>
      <c r="AE381" s="28" t="inlineStr">
        <is>
          <t>OK — totals reconciled</t>
        </is>
      </c>
      <c r="AF381" s="29" t="inlineStr">
        <is>
          <t>https://ajruiz.com.br/sites/default/files/public/arquivos-processos/2024-04/relacao_de_credores_recuperanda_1.pdf</t>
        </is>
      </c>
      <c r="AG381" s="28" t="inlineStr">
        <is>
          <t>p2 r2</t>
        </is>
      </c>
      <c r="AH381" s="28" t="inlineStr">
        <is>
          <t>p2: R$ 256.709,29</t>
        </is>
      </c>
      <c r="AI381" s="28" t="inlineStr">
        <is>
          <t>QGC (art. 18)</t>
        </is>
      </c>
      <c r="AJ381" s="28" t="inlineStr">
        <is>
          <t>2024-01-31</t>
        </is>
      </c>
      <c r="AK381" s="28" t="inlineStr">
        <is>
          <t>NONE FOUND</t>
        </is>
      </c>
      <c r="AL381" s="30" t="inlineStr">
        <is>
          <t>1022634-27.2024.8.26.0100</t>
        </is>
      </c>
      <c r="AM381" s="30" t="inlineStr">
        <is>
          <t>TJSP</t>
        </is>
      </c>
      <c r="AN381" s="30" t="inlineStr"/>
      <c r="AO381" s="30" t="n">
        <v>2024</v>
      </c>
      <c r="AP381" s="30" t="inlineStr">
        <is>
          <t>live case, no plan document yet</t>
        </is>
      </c>
      <c r="AQ381" s="30" t="inlineStr"/>
      <c r="AR381" s="30" t="inlineStr">
        <is>
          <t>not identified</t>
        </is>
      </c>
      <c r="AS381" s="30" t="inlineStr">
        <is>
          <t>AMERICANA</t>
        </is>
      </c>
      <c r="AT381" s="30" t="inlineStr">
        <is>
          <t>SP</t>
        </is>
      </c>
      <c r="AU381" s="30" t="inlineStr">
        <is>
          <t>Comércio atacadista de resinas e elastômeros</t>
        </is>
      </c>
      <c r="AV381" s="30" t="inlineStr">
        <is>
          <t>DEMAIS</t>
        </is>
      </c>
      <c r="AW381" s="31" t="n">
        <v>350000</v>
      </c>
      <c r="AX381" s="30" t="inlineStr">
        <is>
          <t>MID-MARKET</t>
        </is>
      </c>
      <c r="AY381" s="30" t="inlineStr">
        <is>
          <t>46167507</t>
        </is>
      </c>
      <c r="AZ381" s="30" t="n">
        <v>1</v>
      </c>
      <c r="BA381" s="30" t="inlineStr">
        <is>
          <t>ROWS:p2r2 VALUE_COL:Valor_Atualizado_Do_Débito CASE_NUMBER_CORRECTED</t>
        </is>
      </c>
    </row>
    <row r="382">
      <c r="A382" s="16" t="inlineStr">
        <is>
          <t>LOGOMAR COMERCIO, IMPORTACAO E EXPORTACAO LTDA</t>
        </is>
      </c>
      <c r="B382" s="17" t="n">
        <v>256557.88</v>
      </c>
      <c r="C382" s="18" t="inlineStr">
        <is>
          <t>AZEPLAST INDÚSTRIA E COMÉRCIO LTDA</t>
        </is>
      </c>
      <c r="D382" s="19" t="inlineStr">
        <is>
          <t>NEW</t>
        </is>
      </c>
      <c r="E382" s="20" t="inlineStr"/>
      <c r="F382" s="19" t="inlineStr"/>
      <c r="G382" s="20" t="inlineStr"/>
      <c r="H382" s="19" t="inlineStr"/>
      <c r="I382" s="21" t="inlineStr">
        <is>
          <t>Eduardo Andrade</t>
        </is>
      </c>
      <c r="J382" s="21" t="inlineStr">
        <is>
          <t>Partner</t>
        </is>
      </c>
      <c r="K382" s="21" t="inlineStr">
        <is>
          <t>(47) 3349-9700</t>
        </is>
      </c>
      <c r="L382" s="21" t="inlineStr"/>
      <c r="M382" s="21" t="inlineStr"/>
      <c r="N382" s="21" t="inlineStr">
        <is>
          <t>eduardo@logomar.com.br</t>
        </is>
      </c>
      <c r="O382" s="21" t="inlineStr"/>
      <c r="P382" s="21" t="inlineStr">
        <is>
          <t>Renan Maia</t>
        </is>
      </c>
      <c r="Q382" s="21" t="inlineStr">
        <is>
          <t>Project Manager</t>
        </is>
      </c>
      <c r="R382" s="21" t="inlineStr"/>
      <c r="S382" s="21" t="inlineStr"/>
      <c r="T382" s="21" t="inlineStr">
        <is>
          <t>email verified by Apollo</t>
        </is>
      </c>
      <c r="U382" s="22" t="n">
        <v>256557.88</v>
      </c>
      <c r="V382" s="23" t="inlineStr">
        <is>
          <t>B</t>
        </is>
      </c>
      <c r="W382" s="24">
        <f>IFERROR(VLOOKUP(V382,Assumptions!$A$7:$F$11,2,FALSE),0)</f>
        <v/>
      </c>
      <c r="X382" s="25">
        <f>IF(V382="A",MAX(1,IFERROR(VLOOKUP(V382,Assumptions!$A$7:$F$11,3,FALSE),3)+IFERROR(VLOOKUP(V382,Assumptions!$A$7:$F$11,4,FALSE),8)/2-MAX(0,IF(AO382="",0,YEAR(TODAY())-AO382)-IFERROR(VLOOKUP(V382,Assumptions!$A$7:$F$11,5,FALSE),1.5))),IFERROR(VLOOKUP(V382,Assumptions!$A$7:$F$11,5,FALSE),2.5)+IFERROR(VLOOKUP(V382,Assumptions!$A$7:$F$11,3,FALSE),3)+IFERROR(VLOOKUP(V382,Assumptions!$A$7:$F$11,4,FALSE),8)/2)</f>
        <v/>
      </c>
      <c r="Y382" s="22">
        <f>U382*W382/(1+Assumptions!$B$3)^X382</f>
        <v/>
      </c>
      <c r="Z382" s="26">
        <f>IF(U382=0,"",ROUND(Y382/U382*100,1))</f>
        <v/>
      </c>
      <c r="AA382" s="27">
        <f>Y382*Assumptions!$B$4</f>
        <v/>
      </c>
      <c r="AB382" s="26">
        <f>IF(U382=0,"",ROUND(AA382/U382*100,1))</f>
        <v/>
      </c>
      <c r="AC382" s="27">
        <f>Y382-AA382</f>
        <v/>
      </c>
      <c r="AD382" s="26">
        <f>IF(U382=0,"",ROUND((Y382-AA382)/U382*100,1))</f>
        <v/>
      </c>
      <c r="AE382" s="34" t="inlineStr">
        <is>
          <t>PARTIAL — class III reconciled, other classes not</t>
        </is>
      </c>
      <c r="AF382" s="29" t="inlineStr">
        <is>
          <t>https://ajruiz.com.br/sites/default/files/public/arquivos-processos/2026-08/qgc_azeplast_julho_2026.pdf</t>
        </is>
      </c>
      <c r="AG382" s="28" t="inlineStr">
        <is>
          <t>p1 r39</t>
        </is>
      </c>
      <c r="AH382" s="28" t="inlineStr">
        <is>
          <t>p1: R$ 256.557,88</t>
        </is>
      </c>
      <c r="AI382" s="28" t="inlineStr">
        <is>
          <t>QGC (art. 18)</t>
        </is>
      </c>
      <c r="AJ382" s="28" t="inlineStr"/>
      <c r="AK382" s="28" t="inlineStr">
        <is>
          <t>NONE FOUND</t>
        </is>
      </c>
      <c r="AL382" s="30" t="inlineStr">
        <is>
          <t>5008793-34.2023.8.24.0019</t>
        </is>
      </c>
      <c r="AM382" s="30" t="inlineStr">
        <is>
          <t>TJSC</t>
        </is>
      </c>
      <c r="AN382" s="30" t="inlineStr">
        <is>
          <t>ACTIVE</t>
        </is>
      </c>
      <c r="AO382" s="30" t="n">
        <v>2023</v>
      </c>
      <c r="AP382" s="30" t="inlineStr">
        <is>
          <t>live case, no plan document yet</t>
        </is>
      </c>
      <c r="AQ382" s="30" t="inlineStr">
        <is>
          <t>05.378.317/0001-80</t>
        </is>
      </c>
      <c r="AR382" s="30" t="inlineStr">
        <is>
          <t>printed on the list (read twice)</t>
        </is>
      </c>
      <c r="AS382" s="30" t="inlineStr">
        <is>
          <t>ITAJAI</t>
        </is>
      </c>
      <c r="AT382" s="30" t="inlineStr">
        <is>
          <t>SC</t>
        </is>
      </c>
      <c r="AU382" s="30" t="inlineStr">
        <is>
          <t>Comércio atacadista de resinas e elastômeros</t>
        </is>
      </c>
      <c r="AV382" s="30" t="inlineStr">
        <is>
          <t>DEMAIS</t>
        </is>
      </c>
      <c r="AW382" s="31" t="n">
        <v>200000</v>
      </c>
      <c r="AX382" s="30" t="inlineStr">
        <is>
          <t>MID-MARKET</t>
        </is>
      </c>
      <c r="AY382" s="30" t="inlineStr">
        <is>
          <t>12863297</t>
        </is>
      </c>
      <c r="AZ382" s="30" t="n">
        <v>1</v>
      </c>
      <c r="BA382" s="30" t="inlineStr">
        <is>
          <t>PARTIAL_DOC_CLASS_III_RECONCILED ROWS:p1r39</t>
        </is>
      </c>
    </row>
    <row r="383">
      <c r="A383" s="16" t="inlineStr">
        <is>
          <t>TECELAGEM JOLITEX LTDA</t>
        </is>
      </c>
      <c r="B383" s="17" t="n">
        <v>1828397.18</v>
      </c>
      <c r="C383" s="18" t="inlineStr">
        <is>
          <t>Mannes</t>
        </is>
      </c>
      <c r="D383" s="19" t="inlineStr">
        <is>
          <t>NEW</t>
        </is>
      </c>
      <c r="E383" s="20" t="inlineStr"/>
      <c r="F383" s="19" t="inlineStr"/>
      <c r="G383" s="20" t="inlineStr"/>
      <c r="H383" s="19" t="inlineStr"/>
      <c r="I383" s="21" t="inlineStr">
        <is>
          <t>Josiane Oliveira</t>
        </is>
      </c>
      <c r="J383" s="21" t="inlineStr">
        <is>
          <t>Purchasing Coordinator</t>
        </is>
      </c>
      <c r="K383" s="21" t="inlineStr"/>
      <c r="L383" s="21" t="inlineStr"/>
      <c r="M383" s="21" t="inlineStr"/>
      <c r="N383" s="21" t="inlineStr">
        <is>
          <t>josiane@jolitex.com.br</t>
        </is>
      </c>
      <c r="O383" s="21" t="inlineStr"/>
      <c r="P383" s="21" t="inlineStr">
        <is>
          <t>Moise Sutton</t>
        </is>
      </c>
      <c r="Q383" s="21" t="inlineStr">
        <is>
          <t>Gerente Financeiro &amp; Planejamento de Custos</t>
        </is>
      </c>
      <c r="R383" s="21" t="inlineStr"/>
      <c r="S383" s="21" t="inlineStr"/>
      <c r="T383" s="21" t="inlineStr">
        <is>
          <t>email verified by Apollo</t>
        </is>
      </c>
      <c r="U383" s="22" t="n">
        <v>1828397.18</v>
      </c>
      <c r="V383" s="39" t="inlineStr">
        <is>
          <t>D</t>
        </is>
      </c>
      <c r="W383" s="24">
        <f>IFERROR(VLOOKUP(V383,Assumptions!$A$7:$F$11,2,FALSE),0)</f>
        <v/>
      </c>
      <c r="X383" s="25">
        <f>IF(V383="A",MAX(1,IFERROR(VLOOKUP(V383,Assumptions!$A$7:$F$11,3,FALSE),3)+IFERROR(VLOOKUP(V383,Assumptions!$A$7:$F$11,4,FALSE),8)/2-MAX(0,IF(AO383="",0,YEAR(TODAY())-AO383)-IFERROR(VLOOKUP(V383,Assumptions!$A$7:$F$11,5,FALSE),1.5))),IFERROR(VLOOKUP(V383,Assumptions!$A$7:$F$11,5,FALSE),2.5)+IFERROR(VLOOKUP(V383,Assumptions!$A$7:$F$11,3,FALSE),3)+IFERROR(VLOOKUP(V383,Assumptions!$A$7:$F$11,4,FALSE),8)/2)</f>
        <v/>
      </c>
      <c r="Y383" s="22">
        <f>U383*W383/(1+Assumptions!$B$3)^X383</f>
        <v/>
      </c>
      <c r="Z383" s="26">
        <f>IF(U383=0,"",ROUND(Y383/U383*100,1))</f>
        <v/>
      </c>
      <c r="AA383" s="27">
        <f>Y383*Assumptions!$B$4</f>
        <v/>
      </c>
      <c r="AB383" s="26">
        <f>IF(U383=0,"",ROUND(AA383/U383*100,1))</f>
        <v/>
      </c>
      <c r="AC383" s="27">
        <f>Y383-AA383</f>
        <v/>
      </c>
      <c r="AD383" s="26">
        <f>IF(U383=0,"",ROUND((Y383-AA383)/U383*100,1))</f>
        <v/>
      </c>
      <c r="AE383" s="36" t="inlineStr">
        <is>
          <t>CHECK — source is not a statutory creditor list</t>
        </is>
      </c>
      <c r="AF383" s="29" t="inlineStr">
        <is>
          <t>https://administradorajudicialgs.com.br/wp-content/uploads/2024/12/relacao-de-credores-da-falida.pdf</t>
        </is>
      </c>
      <c r="AG383" s="28" t="inlineStr">
        <is>
          <t>p18 r50</t>
        </is>
      </c>
      <c r="AH383" s="28" t="inlineStr">
        <is>
          <t>p18: R$ 1.828.397,18</t>
        </is>
      </c>
      <c r="AI383" s="28" t="inlineStr">
        <is>
          <t>Other filing — NOT an art. 7/51 list</t>
        </is>
      </c>
      <c r="AJ383" s="28" t="inlineStr">
        <is>
          <t>2025-03-25</t>
        </is>
      </c>
      <c r="AK383" s="28" t="inlineStr">
        <is>
          <t>NONE FOUND</t>
        </is>
      </c>
      <c r="AL383" s="30" t="inlineStr">
        <is>
          <t>0005010-50.2013.8.24.0026</t>
        </is>
      </c>
      <c r="AM383" s="30" t="inlineStr">
        <is>
          <t>TJSC</t>
        </is>
      </c>
      <c r="AN383" s="30" t="inlineStr"/>
      <c r="AO383" s="30" t="n">
        <v>2013</v>
      </c>
      <c r="AP383" s="30" t="inlineStr">
        <is>
          <t>document is a falência (bankruptcy) list</t>
        </is>
      </c>
      <c r="AQ383" s="30" t="inlineStr"/>
      <c r="AR383" s="30" t="inlineStr">
        <is>
          <t>printed on the list (read twice)</t>
        </is>
      </c>
      <c r="AS383" s="30" t="inlineStr">
        <is>
          <t>AMERICANA</t>
        </is>
      </c>
      <c r="AT383" s="30" t="inlineStr">
        <is>
          <t>SP</t>
        </is>
      </c>
      <c r="AU383" s="30" t="inlineStr">
        <is>
          <t>Preparação e fiação de fibras de algodão</t>
        </is>
      </c>
      <c r="AV383" s="30" t="inlineStr">
        <is>
          <t>DEMAIS</t>
        </is>
      </c>
      <c r="AW383" s="31" t="n">
        <v>12000000</v>
      </c>
      <c r="AX383" s="30" t="inlineStr">
        <is>
          <t>MID-MARKET</t>
        </is>
      </c>
      <c r="AY383" s="30" t="inlineStr">
        <is>
          <t>43237254</t>
        </is>
      </c>
      <c r="AZ383" s="30" t="n">
        <v>1</v>
      </c>
      <c r="BA383" s="30" t="inlineStr">
        <is>
          <t>ROWS:p18r50 UNRECONCILED_SOURCE CASE_NUMBER_CORRECTED</t>
        </is>
      </c>
    </row>
    <row r="384">
      <c r="A384" s="16" t="inlineStr">
        <is>
          <t>CASA NOVA EMPREENDIMENTOS IMOBILIARIOS LTDA</t>
        </is>
      </c>
      <c r="B384" s="17" t="n">
        <v>255115.32</v>
      </c>
      <c r="C384" s="18" t="inlineStr">
        <is>
          <t>GRUPO IMOBI</t>
        </is>
      </c>
      <c r="D384" s="19" t="inlineStr">
        <is>
          <t>NEW</t>
        </is>
      </c>
      <c r="E384" s="20" t="inlineStr"/>
      <c r="F384" s="19" t="inlineStr"/>
      <c r="G384" s="20" t="inlineStr"/>
      <c r="H384" s="19" t="inlineStr"/>
      <c r="I384" s="21" t="inlineStr">
        <is>
          <t>Andre Figueiredo</t>
        </is>
      </c>
      <c r="J384" s="21" t="inlineStr">
        <is>
          <t>Civil Engineer</t>
        </is>
      </c>
      <c r="K384" s="21" t="inlineStr">
        <is>
          <t>(81) 9267-8720</t>
        </is>
      </c>
      <c r="L384" s="21" t="inlineStr">
        <is>
          <t>(81) 9267-8720</t>
        </is>
      </c>
      <c r="M384" s="21" t="inlineStr"/>
      <c r="N384" s="21" t="inlineStr"/>
      <c r="O384" s="21" t="inlineStr"/>
      <c r="P384" s="21" t="inlineStr"/>
      <c r="Q384" s="21" t="inlineStr"/>
      <c r="R384" s="21" t="inlineStr"/>
      <c r="S384" s="21" t="inlineStr"/>
      <c r="T384" s="21" t="inlineStr">
        <is>
          <t>no work email found in Apollo</t>
        </is>
      </c>
      <c r="U384" s="22" t="n">
        <v>255115.32</v>
      </c>
      <c r="V384" s="23" t="inlineStr">
        <is>
          <t>B</t>
        </is>
      </c>
      <c r="W384" s="24">
        <f>IFERROR(VLOOKUP(V384,Assumptions!$A$7:$F$11,2,FALSE),0)</f>
        <v/>
      </c>
      <c r="X384" s="25">
        <f>IF(V384="A",MAX(1,IFERROR(VLOOKUP(V384,Assumptions!$A$7:$F$11,3,FALSE),3)+IFERROR(VLOOKUP(V384,Assumptions!$A$7:$F$11,4,FALSE),8)/2-MAX(0,IF(AO384="",0,YEAR(TODAY())-AO384)-IFERROR(VLOOKUP(V384,Assumptions!$A$7:$F$11,5,FALSE),1.5))),IFERROR(VLOOKUP(V384,Assumptions!$A$7:$F$11,5,FALSE),2.5)+IFERROR(VLOOKUP(V384,Assumptions!$A$7:$F$11,3,FALSE),3)+IFERROR(VLOOKUP(V384,Assumptions!$A$7:$F$11,4,FALSE),8)/2)</f>
        <v/>
      </c>
      <c r="Y384" s="22">
        <f>U384*W384/(1+Assumptions!$B$3)^X384</f>
        <v/>
      </c>
      <c r="Z384" s="26">
        <f>IF(U384=0,"",ROUND(Y384/U384*100,1))</f>
        <v/>
      </c>
      <c r="AA384" s="27">
        <f>Y384*Assumptions!$B$4</f>
        <v/>
      </c>
      <c r="AB384" s="26">
        <f>IF(U384=0,"",ROUND(AA384/U384*100,1))</f>
        <v/>
      </c>
      <c r="AC384" s="27">
        <f>Y384-AA384</f>
        <v/>
      </c>
      <c r="AD384" s="26">
        <f>IF(U384=0,"",ROUND((Y384-AA384)/U384*100,1))</f>
        <v/>
      </c>
      <c r="AE384" s="28" t="inlineStr">
        <is>
          <t>OK — totals reconciled</t>
        </is>
      </c>
      <c r="AF384" s="29" t="inlineStr">
        <is>
          <t>https://lrflideres.com.br/wp-content/plugins/download-attachments/includes/download.php?id=6273</t>
        </is>
      </c>
      <c r="AG384" s="28" t="inlineStr">
        <is>
          <t>p4 r13</t>
        </is>
      </c>
      <c r="AH384" s="28" t="inlineStr">
        <is>
          <t>p4: R$ 255.115,32</t>
        </is>
      </c>
      <c r="AI384" s="28" t="inlineStr">
        <is>
          <t>AJ list (art. 7 §2)</t>
        </is>
      </c>
      <c r="AJ384" s="28" t="inlineStr">
        <is>
          <t>2024-11-14</t>
        </is>
      </c>
      <c r="AK384" s="28" t="inlineStr">
        <is>
          <t>NONE FOUND</t>
        </is>
      </c>
      <c r="AL384" s="30" t="inlineStr">
        <is>
          <t>0074500-63.2024.8.17.2001</t>
        </is>
      </c>
      <c r="AM384" s="30" t="inlineStr">
        <is>
          <t>TJPE</t>
        </is>
      </c>
      <c r="AN384" s="30" t="inlineStr">
        <is>
          <t>ACTIVE</t>
        </is>
      </c>
      <c r="AO384" s="30" t="n">
        <v>2024</v>
      </c>
      <c r="AP384" s="30" t="inlineStr">
        <is>
          <t>live case, no plan document yet</t>
        </is>
      </c>
      <c r="AQ384" s="30" t="inlineStr">
        <is>
          <t>02.284.048/0001-02</t>
        </is>
      </c>
      <c r="AR384" s="30" t="inlineStr">
        <is>
          <t>printed on the list (read twice)</t>
        </is>
      </c>
      <c r="AS384" s="30" t="inlineStr">
        <is>
          <t>OLINDA</t>
        </is>
      </c>
      <c r="AT384" s="30" t="inlineStr">
        <is>
          <t>PE</t>
        </is>
      </c>
      <c r="AU384" s="30" t="inlineStr">
        <is>
          <t>Construção de edifícios</t>
        </is>
      </c>
      <c r="AV384" s="30" t="inlineStr">
        <is>
          <t>DEMAIS</t>
        </is>
      </c>
      <c r="AW384" s="31" t="n">
        <v>5000</v>
      </c>
      <c r="AX384" s="30" t="inlineStr">
        <is>
          <t>MID-MARKET</t>
        </is>
      </c>
      <c r="AY384" s="30" t="inlineStr">
        <is>
          <t>16629296</t>
        </is>
      </c>
      <c r="AZ384" s="30" t="n">
        <v>1</v>
      </c>
      <c r="BA384" s="30" t="inlineStr">
        <is>
          <t>ROWS:p4r13</t>
        </is>
      </c>
    </row>
    <row r="385">
      <c r="A385" s="16" t="inlineStr">
        <is>
          <t>SERASA S.A.</t>
        </is>
      </c>
      <c r="B385" s="17" t="n">
        <v>254832.18</v>
      </c>
      <c r="C385" s="18" t="inlineStr">
        <is>
          <t>Grupo Rech</t>
        </is>
      </c>
      <c r="D385" s="19" t="inlineStr">
        <is>
          <t>NEW</t>
        </is>
      </c>
      <c r="E385" s="20" t="inlineStr"/>
      <c r="F385" s="19" t="inlineStr"/>
      <c r="G385" s="20" t="inlineStr"/>
      <c r="H385" s="19" t="inlineStr"/>
      <c r="I385" s="21" t="inlineStr">
        <is>
          <t>Fabiana Ferreira</t>
        </is>
      </c>
      <c r="J385" s="21" t="inlineStr">
        <is>
          <t>Gerente Credito e Cobrança</t>
        </is>
      </c>
      <c r="K385" s="21" t="inlineStr">
        <is>
          <t>(11) 2847-9061</t>
        </is>
      </c>
      <c r="L385" s="21" t="inlineStr"/>
      <c r="M385" s="21" t="inlineStr"/>
      <c r="N385" s="21" t="inlineStr">
        <is>
          <t>fabiana.ferreira@br.experian.com</t>
        </is>
      </c>
      <c r="O385" s="21" t="inlineStr">
        <is>
          <t>alysson.pedra@br.experian.com</t>
        </is>
      </c>
      <c r="P385" s="21" t="inlineStr">
        <is>
          <t>Alysson Pedra</t>
        </is>
      </c>
      <c r="Q385" s="21" t="inlineStr">
        <is>
          <t>Gerente Financeiro - Tesouraria</t>
        </is>
      </c>
      <c r="R385" s="21" t="inlineStr"/>
      <c r="S385" s="21" t="inlineStr">
        <is>
          <t>alysson.pedra@br.experian.com</t>
        </is>
      </c>
      <c r="T385" s="21" t="inlineStr">
        <is>
          <t>email verified by Apollo</t>
        </is>
      </c>
      <c r="U385" s="22" t="n">
        <v>254832.18</v>
      </c>
      <c r="V385" s="23" t="inlineStr">
        <is>
          <t>B</t>
        </is>
      </c>
      <c r="W385" s="24">
        <f>IFERROR(VLOOKUP(V385,Assumptions!$A$7:$F$11,2,FALSE),0)</f>
        <v/>
      </c>
      <c r="X385" s="25">
        <f>IF(V385="A",MAX(1,IFERROR(VLOOKUP(V385,Assumptions!$A$7:$F$11,3,FALSE),3)+IFERROR(VLOOKUP(V385,Assumptions!$A$7:$F$11,4,FALSE),8)/2-MAX(0,IF(AO385="",0,YEAR(TODAY())-AO385)-IFERROR(VLOOKUP(V385,Assumptions!$A$7:$F$11,5,FALSE),1.5))),IFERROR(VLOOKUP(V385,Assumptions!$A$7:$F$11,5,FALSE),2.5)+IFERROR(VLOOKUP(V385,Assumptions!$A$7:$F$11,3,FALSE),3)+IFERROR(VLOOKUP(V385,Assumptions!$A$7:$F$11,4,FALSE),8)/2)</f>
        <v/>
      </c>
      <c r="Y385" s="22">
        <f>U385*W385/(1+Assumptions!$B$3)^X385</f>
        <v/>
      </c>
      <c r="Z385" s="26">
        <f>IF(U385=0,"",ROUND(Y385/U385*100,1))</f>
        <v/>
      </c>
      <c r="AA385" s="27">
        <f>Y385*Assumptions!$B$4</f>
        <v/>
      </c>
      <c r="AB385" s="26">
        <f>IF(U385=0,"",ROUND(AA385/U385*100,1))</f>
        <v/>
      </c>
      <c r="AC385" s="27">
        <f>Y385-AA385</f>
        <v/>
      </c>
      <c r="AD385" s="26">
        <f>IF(U385=0,"",ROUND((Y385-AA385)/U385*100,1))</f>
        <v/>
      </c>
      <c r="AE385" s="36" t="inlineStr">
        <is>
          <t>CHECK — source is not a statutory creditor list</t>
        </is>
      </c>
      <c r="AF385" s="29" t="inlineStr">
        <is>
          <t>https://credibilita.com.br/wp-content/uploads/2025/09/Relacao-Credores-29.04.2026.pdf</t>
        </is>
      </c>
      <c r="AG385" s="28" t="inlineStr">
        <is>
          <t>p2 r17</t>
        </is>
      </c>
      <c r="AH385" s="28" t="inlineStr">
        <is>
          <t>p2: R$ 254.832,18</t>
        </is>
      </c>
      <c r="AI385" s="28" t="inlineStr">
        <is>
          <t>Quorum list — NOT an art. 7/51 list</t>
        </is>
      </c>
      <c r="AJ385" s="28" t="inlineStr"/>
      <c r="AK385" s="28" t="inlineStr">
        <is>
          <t>NONE FOUND</t>
        </is>
      </c>
      <c r="AL385" s="30" t="inlineStr">
        <is>
          <t>5057720-48.2025.8.24.0023</t>
        </is>
      </c>
      <c r="AM385" s="30" t="inlineStr">
        <is>
          <t>TJSC</t>
        </is>
      </c>
      <c r="AN385" s="30" t="inlineStr"/>
      <c r="AO385" s="30" t="n">
        <v>2025</v>
      </c>
      <c r="AP385" s="30" t="inlineStr">
        <is>
          <t>live case, no plan document yet</t>
        </is>
      </c>
      <c r="AQ385" s="30" t="inlineStr"/>
      <c r="AR385" s="30" t="inlineStr">
        <is>
          <t>portal page title / URL — not printed on the list</t>
        </is>
      </c>
      <c r="AS385" s="30" t="inlineStr">
        <is>
          <t>SAO PAULO</t>
        </is>
      </c>
      <c r="AT385" s="30" t="inlineStr">
        <is>
          <t>SP</t>
        </is>
      </c>
      <c r="AU385" s="30" t="inlineStr">
        <is>
          <t>Atividades de consultoria em gestão empresarial, exceto consultoria técnica específica</t>
        </is>
      </c>
      <c r="AV385" s="30" t="inlineStr">
        <is>
          <t>DEMAIS</t>
        </is>
      </c>
      <c r="AW385" s="31" t="n">
        <v>1628949000</v>
      </c>
      <c r="AX385" s="30" t="inlineStr">
        <is>
          <t>LARGE CORP</t>
        </is>
      </c>
      <c r="AY385" s="30" t="inlineStr">
        <is>
          <t>62173620</t>
        </is>
      </c>
      <c r="AZ385" s="30" t="n">
        <v>1</v>
      </c>
      <c r="BA385" s="30" t="inlineStr">
        <is>
          <t>ROWS:p2r17 UNRECONCILED_SOURCE VALUE_COL:Valor_Após_Analise CASE_NUMBER_CORRECTED</t>
        </is>
      </c>
    </row>
    <row r="386">
      <c r="A386" s="16" t="inlineStr">
        <is>
          <t>CM HOSPITALAR S.A.</t>
        </is>
      </c>
      <c r="B386" s="17" t="n">
        <v>254179.99</v>
      </c>
      <c r="C386" s="18" t="inlineStr">
        <is>
          <t>ASSOCIAÇÃO DE CARIDADE SANTA CASA DO RIO GRANDE</t>
        </is>
      </c>
      <c r="D386" s="19" t="inlineStr">
        <is>
          <t>NEW</t>
        </is>
      </c>
      <c r="E386" s="20" t="inlineStr"/>
      <c r="F386" s="19" t="inlineStr"/>
      <c r="G386" s="20" t="inlineStr"/>
      <c r="H386" s="19" t="inlineStr"/>
      <c r="I386" s="21" t="inlineStr">
        <is>
          <t>Marcelo Ribeiro</t>
        </is>
      </c>
      <c r="J386" s="21" t="inlineStr">
        <is>
          <t>Financial Manager</t>
        </is>
      </c>
      <c r="K386" s="21" t="inlineStr">
        <is>
          <t>(47) 3321-8450</t>
        </is>
      </c>
      <c r="L386" s="21" t="inlineStr">
        <is>
          <t>(16) 3995-9401</t>
        </is>
      </c>
      <c r="M386" s="21" t="inlineStr"/>
      <c r="N386" s="21" t="inlineStr">
        <is>
          <t>marcelo.ribeiro@mafrasaude.com.br</t>
        </is>
      </c>
      <c r="O386" s="21" t="inlineStr">
        <is>
          <t>framos.maria@mafrahospitalar.com.br</t>
        </is>
      </c>
      <c r="P386" s="21" t="inlineStr">
        <is>
          <t>Maria Framos</t>
        </is>
      </c>
      <c r="Q386" s="21" t="inlineStr">
        <is>
          <t>Coordenadora de Projetos - Controladoria</t>
        </is>
      </c>
      <c r="R386" s="21" t="inlineStr"/>
      <c r="S386" s="21" t="inlineStr">
        <is>
          <t>framos.maria@mafrahospitalar.com.br</t>
        </is>
      </c>
      <c r="T386" s="21" t="inlineStr">
        <is>
          <t>email verified by Apollo</t>
        </is>
      </c>
      <c r="U386" s="22" t="n">
        <v>254179.99</v>
      </c>
      <c r="V386" s="23" t="inlineStr">
        <is>
          <t>B</t>
        </is>
      </c>
      <c r="W386" s="24">
        <f>IFERROR(VLOOKUP(V386,Assumptions!$A$7:$F$11,2,FALSE),0)</f>
        <v/>
      </c>
      <c r="X386" s="25">
        <f>IF(V386="A",MAX(1,IFERROR(VLOOKUP(V386,Assumptions!$A$7:$F$11,3,FALSE),3)+IFERROR(VLOOKUP(V386,Assumptions!$A$7:$F$11,4,FALSE),8)/2-MAX(0,IF(AO386="",0,YEAR(TODAY())-AO386)-IFERROR(VLOOKUP(V386,Assumptions!$A$7:$F$11,5,FALSE),1.5))),IFERROR(VLOOKUP(V386,Assumptions!$A$7:$F$11,5,FALSE),2.5)+IFERROR(VLOOKUP(V386,Assumptions!$A$7:$F$11,3,FALSE),3)+IFERROR(VLOOKUP(V386,Assumptions!$A$7:$F$11,4,FALSE),8)/2)</f>
        <v/>
      </c>
      <c r="Y386" s="22">
        <f>U386*W386/(1+Assumptions!$B$3)^X386</f>
        <v/>
      </c>
      <c r="Z386" s="26">
        <f>IF(U386=0,"",ROUND(Y386/U386*100,1))</f>
        <v/>
      </c>
      <c r="AA386" s="27">
        <f>Y386*Assumptions!$B$4</f>
        <v/>
      </c>
      <c r="AB386" s="26">
        <f>IF(U386=0,"",ROUND(AA386/U386*100,1))</f>
        <v/>
      </c>
      <c r="AC386" s="27">
        <f>Y386-AA386</f>
        <v/>
      </c>
      <c r="AD386" s="26">
        <f>IF(U386=0,"",ROUND((Y386-AA386)/U386*100,1))</f>
        <v/>
      </c>
      <c r="AE386" s="33" t="inlineStr">
        <is>
          <t>NO TOTALS — list prints none; check page</t>
        </is>
      </c>
      <c r="AF386" s="29" t="inlineStr">
        <is>
          <t>https://scalzilliaj.com.br/sgc/download.php?file=files/processo_documento/processo_documento09120721032023_1_.pdf&amp;nome=15 - Edital do art. 7º, §2º e 53 da Lei 11.101/2005 (segunda lista de credores e recebimento do plano))</t>
        </is>
      </c>
      <c r="AG386" s="28" t="inlineStr">
        <is>
          <t>p26 r35; p26 r36; p26 r37</t>
        </is>
      </c>
      <c r="AH386" s="28" t="inlineStr">
        <is>
          <t>p26: R$ 115.725,39; p26: R$ 21.768,85; p26: R$ 116.685,75</t>
        </is>
      </c>
      <c r="AI386" s="28" t="inlineStr">
        <is>
          <t>AJ list (art. 7 §2)</t>
        </is>
      </c>
      <c r="AJ386" s="28" t="inlineStr">
        <is>
          <t>2023-03-21</t>
        </is>
      </c>
      <c r="AK386" s="28" t="inlineStr">
        <is>
          <t>NONE FOUND</t>
        </is>
      </c>
      <c r="AL386" s="30" t="inlineStr">
        <is>
          <t>5012306-16.2022.8.21.0023</t>
        </is>
      </c>
      <c r="AM386" s="30" t="inlineStr">
        <is>
          <t>TJRS</t>
        </is>
      </c>
      <c r="AN386" s="30" t="inlineStr">
        <is>
          <t>ACTIVE</t>
        </is>
      </c>
      <c r="AO386" s="30" t="n">
        <v>2022</v>
      </c>
      <c r="AP386" s="30" t="inlineStr">
        <is>
          <t>live case, no plan document yet</t>
        </is>
      </c>
      <c r="AQ386" s="30" t="inlineStr"/>
      <c r="AR386" s="30" t="inlineStr">
        <is>
          <t>printed on the list (read twice)</t>
        </is>
      </c>
      <c r="AS386" s="30" t="inlineStr">
        <is>
          <t>RIBEIRAO PRETO</t>
        </is>
      </c>
      <c r="AT386" s="30" t="inlineStr">
        <is>
          <t>SP</t>
        </is>
      </c>
      <c r="AU386" s="30" t="inlineStr">
        <is>
          <t>Comércio atacadista de medicamentos e drogas de uso humano</t>
        </is>
      </c>
      <c r="AV386" s="30" t="inlineStr">
        <is>
          <t>DEMAIS</t>
        </is>
      </c>
      <c r="AW386" s="31" t="n">
        <v>2549392400</v>
      </c>
      <c r="AX386" s="30" t="inlineStr">
        <is>
          <t>LARGE CORP</t>
        </is>
      </c>
      <c r="AY386" s="30" t="inlineStr">
        <is>
          <t>12420164</t>
        </is>
      </c>
      <c r="AZ386" s="30" t="n">
        <v>3</v>
      </c>
      <c r="BA386" s="30" t="inlineStr">
        <is>
          <t>ROWS:p26r35,p26r36,p26r37 UNRECONCILED_SOURCE</t>
        </is>
      </c>
    </row>
    <row r="387">
      <c r="A387" s="16" t="inlineStr">
        <is>
          <t>VITAMEDIC INDUSTRIA FARMACEUTICA LTDA</t>
        </is>
      </c>
      <c r="B387" s="17" t="n">
        <v>250921.84</v>
      </c>
      <c r="C387" s="18" t="inlineStr">
        <is>
          <t>GRUPO DP4</t>
        </is>
      </c>
      <c r="D387" s="19" t="inlineStr">
        <is>
          <t>NEW</t>
        </is>
      </c>
      <c r="E387" s="20" t="inlineStr"/>
      <c r="F387" s="19" t="inlineStr"/>
      <c r="G387" s="20" t="inlineStr"/>
      <c r="H387" s="19" t="inlineStr"/>
      <c r="I387" s="21" t="inlineStr">
        <is>
          <t>Katia Gomes</t>
        </is>
      </c>
      <c r="J387" s="21" t="inlineStr">
        <is>
          <t>Financial Administrative Analyst</t>
        </is>
      </c>
      <c r="K387" s="21" t="inlineStr">
        <is>
          <t>(62) 3902-6100</t>
        </is>
      </c>
      <c r="L387" s="21" t="inlineStr">
        <is>
          <t>(62) 3902-6134</t>
        </is>
      </c>
      <c r="M387" s="21" t="inlineStr"/>
      <c r="N387" s="21" t="inlineStr">
        <is>
          <t>katia.silva@vitamedic.ind.br</t>
        </is>
      </c>
      <c r="O387" s="21" t="inlineStr">
        <is>
          <t>valeria.costa@vitamedic.ind.br</t>
        </is>
      </c>
      <c r="P387" s="21" t="inlineStr">
        <is>
          <t>Valeria Costa</t>
        </is>
      </c>
      <c r="Q387" s="21" t="inlineStr">
        <is>
          <t>Coordenadora de Controladoria de Resultados Fiscal</t>
        </is>
      </c>
      <c r="R387" s="21" t="inlineStr"/>
      <c r="S387" s="21" t="inlineStr">
        <is>
          <t>valeria.costa@vitamedic.ind.br</t>
        </is>
      </c>
      <c r="T387" s="21" t="inlineStr">
        <is>
          <t>email verified by Apollo</t>
        </is>
      </c>
      <c r="U387" s="22" t="n">
        <v>250921.84</v>
      </c>
      <c r="V387" s="23" t="inlineStr">
        <is>
          <t>B</t>
        </is>
      </c>
      <c r="W387" s="24">
        <f>IFERROR(VLOOKUP(V387,Assumptions!$A$7:$F$11,2,FALSE),0)</f>
        <v/>
      </c>
      <c r="X387" s="25">
        <f>IF(V387="A",MAX(1,IFERROR(VLOOKUP(V387,Assumptions!$A$7:$F$11,3,FALSE),3)+IFERROR(VLOOKUP(V387,Assumptions!$A$7:$F$11,4,FALSE),8)/2-MAX(0,IF(AO387="",0,YEAR(TODAY())-AO387)-IFERROR(VLOOKUP(V387,Assumptions!$A$7:$F$11,5,FALSE),1.5))),IFERROR(VLOOKUP(V387,Assumptions!$A$7:$F$11,5,FALSE),2.5)+IFERROR(VLOOKUP(V387,Assumptions!$A$7:$F$11,3,FALSE),3)+IFERROR(VLOOKUP(V387,Assumptions!$A$7:$F$11,4,FALSE),8)/2)</f>
        <v/>
      </c>
      <c r="Y387" s="22">
        <f>U387*W387/(1+Assumptions!$B$3)^X387</f>
        <v/>
      </c>
      <c r="Z387" s="26">
        <f>IF(U387=0,"",ROUND(Y387/U387*100,1))</f>
        <v/>
      </c>
      <c r="AA387" s="27">
        <f>Y387*Assumptions!$B$4</f>
        <v/>
      </c>
      <c r="AB387" s="26">
        <f>IF(U387=0,"",ROUND(AA387/U387*100,1))</f>
        <v/>
      </c>
      <c r="AC387" s="27">
        <f>Y387-AA387</f>
        <v/>
      </c>
      <c r="AD387" s="26">
        <f>IF(U387=0,"",ROUND((Y387-AA387)/U387*100,1))</f>
        <v/>
      </c>
      <c r="AE387" s="34" t="inlineStr">
        <is>
          <t>PARTIAL — class III reconciled, other classes not</t>
        </is>
      </c>
      <c r="AF387" s="29" t="inlineStr">
        <is>
          <t>https://marquesadmjudicial.com.br/sgc/download.php?file=files/processo_documento/processo_documento15293208032024_1_.pdf&amp;nome=Relação Nominal de Credores da AJ-Sintética</t>
        </is>
      </c>
      <c r="AG387" s="28" t="inlineStr">
        <is>
          <t>p32 r9</t>
        </is>
      </c>
      <c r="AH387" s="28" t="inlineStr">
        <is>
          <t>p32: R$ 250.921,84</t>
        </is>
      </c>
      <c r="AI387" s="28" t="inlineStr">
        <is>
          <t>AJ list (art. 7 §2)</t>
        </is>
      </c>
      <c r="AJ387" s="28" t="inlineStr">
        <is>
          <t>2023-03-02</t>
        </is>
      </c>
      <c r="AK387" s="28" t="inlineStr">
        <is>
          <t>NONE FOUND</t>
        </is>
      </c>
      <c r="AL387" s="30" t="inlineStr">
        <is>
          <t>0005010-98.2023.8.16.0001</t>
        </is>
      </c>
      <c r="AM387" s="30" t="inlineStr">
        <is>
          <t>TJPR</t>
        </is>
      </c>
      <c r="AN387" s="30" t="inlineStr">
        <is>
          <t>ACTIVE</t>
        </is>
      </c>
      <c r="AO387" s="30" t="n">
        <v>2023</v>
      </c>
      <c r="AP387" s="30" t="inlineStr">
        <is>
          <t>live case, no plan document yet</t>
        </is>
      </c>
      <c r="AQ387" s="30" t="inlineStr"/>
      <c r="AR387" s="30" t="inlineStr">
        <is>
          <t>printed on the list (read twice)</t>
        </is>
      </c>
      <c r="AS387" s="30" t="inlineStr">
        <is>
          <t>ANAPOLIS</t>
        </is>
      </c>
      <c r="AT387" s="30" t="inlineStr">
        <is>
          <t>GO</t>
        </is>
      </c>
      <c r="AU387" s="30" t="inlineStr">
        <is>
          <t>Fabricação de medicamentos alopáticos para uso humano</t>
        </is>
      </c>
      <c r="AV387" s="30" t="inlineStr">
        <is>
          <t>DEMAIS</t>
        </is>
      </c>
      <c r="AW387" s="31" t="n">
        <v>995417800</v>
      </c>
      <c r="AX387" s="30" t="inlineStr">
        <is>
          <t>MID-MARKET</t>
        </is>
      </c>
      <c r="AY387" s="30" t="inlineStr">
        <is>
          <t>30222814</t>
        </is>
      </c>
      <c r="AZ387" s="30" t="n">
        <v>1</v>
      </c>
      <c r="BA387" s="30" t="inlineStr">
        <is>
          <t>PARTIAL_DOC_CLASS_III_RECONCILED ROWS:p32r9</t>
        </is>
      </c>
    </row>
    <row r="388">
      <c r="A388" s="16" t="inlineStr">
        <is>
          <t>SUPERMIX CONCRETO S/A</t>
        </is>
      </c>
      <c r="B388" s="17" t="n">
        <v>470287.72</v>
      </c>
      <c r="C388" s="18" t="inlineStr">
        <is>
          <t>EGESA ENGENHARIA S/A (Consórcio ETDI)</t>
        </is>
      </c>
      <c r="D388" s="19" t="inlineStr">
        <is>
          <t>NEW</t>
        </is>
      </c>
      <c r="E388" s="20" t="inlineStr"/>
      <c r="F388" s="19" t="inlineStr"/>
      <c r="G388" s="20" t="inlineStr"/>
      <c r="H388" s="19" t="inlineStr"/>
      <c r="I388" s="21" t="inlineStr">
        <is>
          <t>ALESSANDRO VERISSIMO SOUZA</t>
        </is>
      </c>
      <c r="J388" s="21" t="inlineStr">
        <is>
          <t>Diretor (RFB partner)</t>
        </is>
      </c>
      <c r="K388" s="21" t="inlineStr"/>
      <c r="L388" s="21" t="inlineStr"/>
      <c r="M388" s="21" t="inlineStr"/>
      <c r="N388" s="21" t="inlineStr"/>
      <c r="O388" s="21" t="inlineStr"/>
      <c r="P388" s="21" t="inlineStr">
        <is>
          <t>FERNANDO AZEREDO DINIZ</t>
        </is>
      </c>
      <c r="Q388" s="21" t="inlineStr">
        <is>
          <t>Diretor (RFB partner)</t>
        </is>
      </c>
      <c r="R388" s="21" t="inlineStr"/>
      <c r="S388" s="21" t="inlineStr"/>
      <c r="T388" s="21" t="inlineStr">
        <is>
          <t>RFB partner (QSA); no Apollo match</t>
        </is>
      </c>
      <c r="U388" s="22" t="n">
        <v>470287.72</v>
      </c>
      <c r="V388" s="32" t="inlineStr">
        <is>
          <t>U</t>
        </is>
      </c>
      <c r="W388" s="24">
        <f>IFERROR(VLOOKUP(V388,Assumptions!$A$7:$F$11,2,FALSE),0)</f>
        <v/>
      </c>
      <c r="X388" s="25">
        <f>IF(V388="A",MAX(1,IFERROR(VLOOKUP(V388,Assumptions!$A$7:$F$11,3,FALSE),3)+IFERROR(VLOOKUP(V388,Assumptions!$A$7:$F$11,4,FALSE),8)/2-MAX(0,IF(AO388="",0,YEAR(TODAY())-AO388)-IFERROR(VLOOKUP(V388,Assumptions!$A$7:$F$11,5,FALSE),1.5))),IFERROR(VLOOKUP(V388,Assumptions!$A$7:$F$11,5,FALSE),2.5)+IFERROR(VLOOKUP(V388,Assumptions!$A$7:$F$11,3,FALSE),3)+IFERROR(VLOOKUP(V388,Assumptions!$A$7:$F$11,4,FALSE),8)/2)</f>
        <v/>
      </c>
      <c r="Y388" s="22">
        <f>U388*W388/(1+Assumptions!$B$3)^X388</f>
        <v/>
      </c>
      <c r="Z388" s="26">
        <f>IF(U388=0,"",ROUND(Y388/U388*100,1))</f>
        <v/>
      </c>
      <c r="AA388" s="27">
        <f>Y388*Assumptions!$B$4</f>
        <v/>
      </c>
      <c r="AB388" s="26">
        <f>IF(U388=0,"",ROUND(AA388/U388*100,1))</f>
        <v/>
      </c>
      <c r="AC388" s="27">
        <f>Y388-AA388</f>
        <v/>
      </c>
      <c r="AD388" s="26">
        <f>IF(U388=0,"",ROUND((Y388-AA388)/U388*100,1))</f>
        <v/>
      </c>
      <c r="AE388" s="28" t="inlineStr">
        <is>
          <t>OK — totals reconciled</t>
        </is>
      </c>
      <c r="AF388" s="29" t="inlineStr">
        <is>
          <t>https://scalzilliaj.com.br/sgc/download.php?file=files/processo_documento/processo_documento09514021082025_1_.pdf&amp;nome=04 - Relação de credores das Recuperandas</t>
        </is>
      </c>
      <c r="AG388" s="28" t="inlineStr">
        <is>
          <t>p73 r14; p73 r15</t>
        </is>
      </c>
      <c r="AH388" s="28" t="inlineStr">
        <is>
          <t>p73: R$ 381.839,83; p73: R$ 88.447,89</t>
        </is>
      </c>
      <c r="AI388" s="28" t="inlineStr">
        <is>
          <t>Debtor list (art. 51)</t>
        </is>
      </c>
      <c r="AJ388" s="28" t="inlineStr"/>
      <c r="AK388" s="28" t="inlineStr">
        <is>
          <t>NONE FOUND</t>
        </is>
      </c>
      <c r="AL388" s="30" t="inlineStr">
        <is>
          <t>(not printed)</t>
        </is>
      </c>
      <c r="AM388" s="30" t="inlineStr"/>
      <c r="AN388" s="30" t="inlineStr"/>
      <c r="AO388" s="30" t="inlineStr"/>
      <c r="AP388" s="30" t="inlineStr">
        <is>
          <t>RJ case number not identified on the document</t>
        </is>
      </c>
      <c r="AQ388" s="30" t="inlineStr"/>
      <c r="AR388" s="30" t="inlineStr">
        <is>
          <t>portal page title / URL — not printed on the list</t>
        </is>
      </c>
      <c r="AS388" s="30" t="inlineStr">
        <is>
          <t>BELO HORIZONTE</t>
        </is>
      </c>
      <c r="AT388" s="30" t="inlineStr">
        <is>
          <t>MG</t>
        </is>
      </c>
      <c r="AU388" s="30" t="inlineStr">
        <is>
          <t>Outras obras de engenharia civil não especificadas anteriormente</t>
        </is>
      </c>
      <c r="AV388" s="30" t="inlineStr">
        <is>
          <t>DEMAIS</t>
        </is>
      </c>
      <c r="AW388" s="31" t="n">
        <v>160000000</v>
      </c>
      <c r="AX388" s="30" t="inlineStr">
        <is>
          <t>MID-MARKET</t>
        </is>
      </c>
      <c r="AY388" s="30" t="inlineStr">
        <is>
          <t>34230979</t>
        </is>
      </c>
      <c r="AZ388" s="30" t="n">
        <v>2</v>
      </c>
      <c r="BA388" s="30" t="inlineStr">
        <is>
          <t>ROWS:p73r14,p73r15 VALUE_COL:Valor_Atualizado CASE_NUMBER_CORRECTED</t>
        </is>
      </c>
    </row>
    <row r="389">
      <c r="A389" s="16" t="inlineStr">
        <is>
          <t>CATIVA TEXTIL INDUSTRIA E COMERCIO LTDA</t>
        </is>
      </c>
      <c r="B389" s="17" t="n">
        <v>249899.16</v>
      </c>
      <c r="C389" s="18" t="inlineStr">
        <is>
          <t>GRUPO CATTAN</t>
        </is>
      </c>
      <c r="D389" s="19" t="inlineStr">
        <is>
          <t>NEW</t>
        </is>
      </c>
      <c r="E389" s="20" t="inlineStr"/>
      <c r="F389" s="19" t="inlineStr"/>
      <c r="G389" s="20" t="inlineStr"/>
      <c r="H389" s="19" t="inlineStr"/>
      <c r="I389" s="21" t="inlineStr">
        <is>
          <t>Marcelo Kamchen</t>
        </is>
      </c>
      <c r="J389" s="21" t="inlineStr">
        <is>
          <t>Diretor Adm/Financeiro</t>
        </is>
      </c>
      <c r="K389" s="21" t="inlineStr">
        <is>
          <t>(47) 3387-9999</t>
        </is>
      </c>
      <c r="L389" s="21" t="inlineStr"/>
      <c r="M389" s="21" t="inlineStr"/>
      <c r="N389" s="21" t="inlineStr">
        <is>
          <t>marcelo.kamchen@cativa.com.br</t>
        </is>
      </c>
      <c r="O389" s="21" t="inlineStr">
        <is>
          <t>vilmar.schonfelder@cativa.com.br</t>
        </is>
      </c>
      <c r="P389" s="21" t="inlineStr">
        <is>
          <t>Vilmar Schonfelder</t>
        </is>
      </c>
      <c r="Q389" s="21" t="inlineStr">
        <is>
          <t>Financial Analyst</t>
        </is>
      </c>
      <c r="R389" s="21" t="inlineStr"/>
      <c r="S389" s="21" t="inlineStr">
        <is>
          <t>vilmar.schonfelder@cativa.com.br</t>
        </is>
      </c>
      <c r="T389" s="21" t="inlineStr">
        <is>
          <t>email verified by Apollo</t>
        </is>
      </c>
      <c r="U389" s="22" t="n">
        <v>249899.16</v>
      </c>
      <c r="V389" s="23" t="inlineStr">
        <is>
          <t>B</t>
        </is>
      </c>
      <c r="W389" s="24">
        <f>IFERROR(VLOOKUP(V389,Assumptions!$A$7:$F$11,2,FALSE),0)</f>
        <v/>
      </c>
      <c r="X389" s="25">
        <f>IF(V389="A",MAX(1,IFERROR(VLOOKUP(V389,Assumptions!$A$7:$F$11,3,FALSE),3)+IFERROR(VLOOKUP(V389,Assumptions!$A$7:$F$11,4,FALSE),8)/2-MAX(0,IF(AO389="",0,YEAR(TODAY())-AO389)-IFERROR(VLOOKUP(V389,Assumptions!$A$7:$F$11,5,FALSE),1.5))),IFERROR(VLOOKUP(V389,Assumptions!$A$7:$F$11,5,FALSE),2.5)+IFERROR(VLOOKUP(V389,Assumptions!$A$7:$F$11,3,FALSE),3)+IFERROR(VLOOKUP(V389,Assumptions!$A$7:$F$11,4,FALSE),8)/2)</f>
        <v/>
      </c>
      <c r="Y389" s="22">
        <f>U389*W389/(1+Assumptions!$B$3)^X389</f>
        <v/>
      </c>
      <c r="Z389" s="26">
        <f>IF(U389=0,"",ROUND(Y389/U389*100,1))</f>
        <v/>
      </c>
      <c r="AA389" s="27">
        <f>Y389*Assumptions!$B$4</f>
        <v/>
      </c>
      <c r="AB389" s="26">
        <f>IF(U389=0,"",ROUND(AA389/U389*100,1))</f>
        <v/>
      </c>
      <c r="AC389" s="27">
        <f>Y389-AA389</f>
        <v/>
      </c>
      <c r="AD389" s="26">
        <f>IF(U389=0,"",ROUND((Y389-AA389)/U389*100,1))</f>
        <v/>
      </c>
      <c r="AE389" s="34" t="inlineStr">
        <is>
          <t>PARTIAL — class III reconciled, other classes not</t>
        </is>
      </c>
      <c r="AF389" s="29" t="inlineStr">
        <is>
          <t>https://lrflideres.com.br/wp-content/plugins/download-attachments/includes/download.php?id=4023</t>
        </is>
      </c>
      <c r="AG389" s="28" t="inlineStr">
        <is>
          <t>p4 r61; p7 r84; p9 r63</t>
        </is>
      </c>
      <c r="AH389" s="28" t="inlineStr">
        <is>
          <t>p4: R$ 61.029,24; p7: R$ 155.348,64; p9: R$ 33.521,28</t>
        </is>
      </c>
      <c r="AI389" s="28" t="inlineStr">
        <is>
          <t>Debtor list (art. 51)</t>
        </is>
      </c>
      <c r="AJ389" s="28" t="inlineStr"/>
      <c r="AK389" s="28" t="inlineStr">
        <is>
          <t>NONE FOUND</t>
        </is>
      </c>
      <c r="AL389" s="30" t="inlineStr">
        <is>
          <t>0002484-82.2022.8.17.2001</t>
        </is>
      </c>
      <c r="AM389" s="30" t="inlineStr">
        <is>
          <t>TJPE</t>
        </is>
      </c>
      <c r="AN389" s="30" t="inlineStr">
        <is>
          <t>ACTIVE</t>
        </is>
      </c>
      <c r="AO389" s="30" t="n">
        <v>2022</v>
      </c>
      <c r="AP389" s="30" t="inlineStr">
        <is>
          <t>live case, no plan document yet</t>
        </is>
      </c>
      <c r="AQ389" s="30" t="inlineStr"/>
      <c r="AR389" s="30" t="inlineStr">
        <is>
          <t>printed on the list (read twice)</t>
        </is>
      </c>
      <c r="AS389" s="30" t="inlineStr">
        <is>
          <t>POMERODE</t>
        </is>
      </c>
      <c r="AT389" s="30" t="inlineStr">
        <is>
          <t>SC</t>
        </is>
      </c>
      <c r="AU389" s="30" t="inlineStr">
        <is>
          <t>Confecção de peças de vestuário, exceto roupas íntimas e as confeccionadas sob medida</t>
        </is>
      </c>
      <c r="AV389" s="30" t="inlineStr">
        <is>
          <t>DEMAIS</t>
        </is>
      </c>
      <c r="AW389" s="31" t="n">
        <v>1404995</v>
      </c>
      <c r="AX389" s="30" t="inlineStr">
        <is>
          <t>MID-MARKET</t>
        </is>
      </c>
      <c r="AY389" s="30" t="inlineStr">
        <is>
          <t>80959513</t>
        </is>
      </c>
      <c r="AZ389" s="30" t="n">
        <v>3</v>
      </c>
      <c r="BA389" s="30" t="inlineStr">
        <is>
          <t>PARTIAL_DOC_CLASS_III_RECONCILED ROWS:p4r61,p7r84,p9r63</t>
        </is>
      </c>
    </row>
    <row r="390">
      <c r="A390" s="16" t="inlineStr">
        <is>
          <t>TERTO TRANSPORTES LTDA</t>
        </is>
      </c>
      <c r="B390" s="17" t="n">
        <v>247935.21</v>
      </c>
      <c r="C390" s="18" t="inlineStr">
        <is>
          <t>Grupo Agromeal</t>
        </is>
      </c>
      <c r="D390" s="19" t="inlineStr">
        <is>
          <t>NEW</t>
        </is>
      </c>
      <c r="E390" s="20" t="inlineStr"/>
      <c r="F390" s="19" t="inlineStr"/>
      <c r="G390" s="20" t="inlineStr"/>
      <c r="H390" s="19" t="inlineStr"/>
      <c r="I390" s="21" t="inlineStr">
        <is>
          <t>FERNANDO HENRIQUE CAMARGO</t>
        </is>
      </c>
      <c r="J390" s="21" t="inlineStr">
        <is>
          <t>Sócio-Administrador (RFB partner)</t>
        </is>
      </c>
      <c r="K390" s="21" t="inlineStr">
        <is>
          <t>(43) 9187-7904</t>
        </is>
      </c>
      <c r="L390" s="21" t="inlineStr"/>
      <c r="M390" s="21" t="inlineStr"/>
      <c r="N390" s="21" t="inlineStr"/>
      <c r="O390" s="21" t="inlineStr"/>
      <c r="P390" s="21" t="inlineStr"/>
      <c r="Q390" s="21" t="inlineStr"/>
      <c r="R390" s="21" t="inlineStr"/>
      <c r="S390" s="21" t="inlineStr"/>
      <c r="T390" s="21" t="inlineStr">
        <is>
          <t>RFB partner (QSA); no Apollo match</t>
        </is>
      </c>
      <c r="U390" s="22" t="n">
        <v>247935.21</v>
      </c>
      <c r="V390" s="23" t="inlineStr">
        <is>
          <t>B</t>
        </is>
      </c>
      <c r="W390" s="24">
        <f>IFERROR(VLOOKUP(V390,Assumptions!$A$7:$F$11,2,FALSE),0)</f>
        <v/>
      </c>
      <c r="X390" s="25">
        <f>IF(V390="A",MAX(1,IFERROR(VLOOKUP(V390,Assumptions!$A$7:$F$11,3,FALSE),3)+IFERROR(VLOOKUP(V390,Assumptions!$A$7:$F$11,4,FALSE),8)/2-MAX(0,IF(AO390="",0,YEAR(TODAY())-AO390)-IFERROR(VLOOKUP(V390,Assumptions!$A$7:$F$11,5,FALSE),1.5))),IFERROR(VLOOKUP(V390,Assumptions!$A$7:$F$11,5,FALSE),2.5)+IFERROR(VLOOKUP(V390,Assumptions!$A$7:$F$11,3,FALSE),3)+IFERROR(VLOOKUP(V390,Assumptions!$A$7:$F$11,4,FALSE),8)/2)</f>
        <v/>
      </c>
      <c r="Y390" s="22">
        <f>U390*W390/(1+Assumptions!$B$3)^X390</f>
        <v/>
      </c>
      <c r="Z390" s="26">
        <f>IF(U390=0,"",ROUND(Y390/U390*100,1))</f>
        <v/>
      </c>
      <c r="AA390" s="27">
        <f>Y390*Assumptions!$B$4</f>
        <v/>
      </c>
      <c r="AB390" s="26">
        <f>IF(U390=0,"",ROUND(AA390/U390*100,1))</f>
        <v/>
      </c>
      <c r="AC390" s="27">
        <f>Y390-AA390</f>
        <v/>
      </c>
      <c r="AD390" s="26">
        <f>IF(U390=0,"",ROUND((Y390-AA390)/U390*100,1))</f>
        <v/>
      </c>
      <c r="AE390" s="34" t="inlineStr">
        <is>
          <t>PARTIAL — class III reconciled, other classes not</t>
        </is>
      </c>
      <c r="AF390" s="29" t="inlineStr">
        <is>
          <t>https://marquesadmjudicial.com.br/sgc/download.php?file=files/processo_documento/processo_documento17040729052024_1_.pdf&amp;nome=Relação Nominal de Credores AJ-Sintética</t>
        </is>
      </c>
      <c r="AG390" s="28" t="inlineStr">
        <is>
          <t>p13 r8</t>
        </is>
      </c>
      <c r="AH390" s="28" t="inlineStr">
        <is>
          <t>p13: R$ 247.935,21</t>
        </is>
      </c>
      <c r="AI390" s="28" t="inlineStr">
        <is>
          <t>AJ list (art. 7 §2)</t>
        </is>
      </c>
      <c r="AJ390" s="28" t="inlineStr">
        <is>
          <t>2024-05-27</t>
        </is>
      </c>
      <c r="AK390" s="28" t="inlineStr">
        <is>
          <t>NONE FOUND</t>
        </is>
      </c>
      <c r="AL390" s="30" t="inlineStr">
        <is>
          <t>0003971-03.2023.8.16.0119</t>
        </is>
      </c>
      <c r="AM390" s="30" t="inlineStr">
        <is>
          <t>TJPR</t>
        </is>
      </c>
      <c r="AN390" s="30" t="inlineStr">
        <is>
          <t>ACTIVE</t>
        </is>
      </c>
      <c r="AO390" s="30" t="n">
        <v>2023</v>
      </c>
      <c r="AP390" s="30" t="inlineStr">
        <is>
          <t>live case, no plan document yet</t>
        </is>
      </c>
      <c r="AQ390" s="30" t="inlineStr">
        <is>
          <t>11.624.776/0001-07</t>
        </is>
      </c>
      <c r="AR390" s="30" t="inlineStr">
        <is>
          <t>printed on the list (read twice)</t>
        </is>
      </c>
      <c r="AS390" s="30" t="inlineStr">
        <is>
          <t>APUCARANA</t>
        </is>
      </c>
      <c r="AT390" s="30" t="inlineStr">
        <is>
          <t>PR</t>
        </is>
      </c>
      <c r="AU390" s="30" t="inlineStr">
        <is>
          <t>Transporte rodoviário de carga, exceto produtos perigosos e mudanças, intermunicipal, interestadual e internacional</t>
        </is>
      </c>
      <c r="AV390" s="30" t="inlineStr">
        <is>
          <t>DEMAIS</t>
        </is>
      </c>
      <c r="AW390" s="31" t="n">
        <v>50000</v>
      </c>
      <c r="AX390" s="30" t="inlineStr">
        <is>
          <t>MID-MARKET</t>
        </is>
      </c>
      <c r="AY390" s="30" t="inlineStr">
        <is>
          <t>43026198</t>
        </is>
      </c>
      <c r="AZ390" s="30" t="n">
        <v>1</v>
      </c>
      <c r="BA390" s="30" t="inlineStr">
        <is>
          <t>PARTIAL_DOC_CLASS_III_RECONCILED ROWS:p13r8</t>
        </is>
      </c>
    </row>
    <row r="391">
      <c r="A391" s="16" t="inlineStr">
        <is>
          <t>TOP50 LOCADORA DE EQUIPAMENTOS LTDA</t>
        </is>
      </c>
      <c r="B391" s="17" t="n">
        <v>462152.49</v>
      </c>
      <c r="C391" s="18" t="inlineStr">
        <is>
          <t>EGESA ENGENHARIA S/A (Consórcio ETDI)</t>
        </is>
      </c>
      <c r="D391" s="19" t="inlineStr">
        <is>
          <t>NEW</t>
        </is>
      </c>
      <c r="E391" s="20" t="inlineStr"/>
      <c r="F391" s="19" t="inlineStr"/>
      <c r="G391" s="20" t="inlineStr"/>
      <c r="H391" s="19" t="inlineStr"/>
      <c r="I391" s="21" t="inlineStr">
        <is>
          <t>FERNANDO GODOY BUZOLIN</t>
        </is>
      </c>
      <c r="J391" s="21" t="inlineStr">
        <is>
          <t>Administrador (RFB partner)</t>
        </is>
      </c>
      <c r="K391" s="21" t="inlineStr">
        <is>
          <t>(11) 3116-5050</t>
        </is>
      </c>
      <c r="L391" s="21" t="inlineStr"/>
      <c r="M391" s="21" t="inlineStr"/>
      <c r="N391" s="21" t="inlineStr"/>
      <c r="O391" s="21" t="inlineStr"/>
      <c r="P391" s="21" t="inlineStr">
        <is>
          <t>REINALDO FRANCISCO DE MESQUITA</t>
        </is>
      </c>
      <c r="Q391" s="21" t="inlineStr">
        <is>
          <t>Administrador (RFB partner)</t>
        </is>
      </c>
      <c r="R391" s="21" t="inlineStr"/>
      <c r="S391" s="21" t="inlineStr"/>
      <c r="T391" s="21" t="inlineStr">
        <is>
          <t>RFB partner (QSA); no Apollo match</t>
        </is>
      </c>
      <c r="U391" s="22" t="n">
        <v>462152.49</v>
      </c>
      <c r="V391" s="32" t="inlineStr">
        <is>
          <t>U</t>
        </is>
      </c>
      <c r="W391" s="24">
        <f>IFERROR(VLOOKUP(V391,Assumptions!$A$7:$F$11,2,FALSE),0)</f>
        <v/>
      </c>
      <c r="X391" s="25">
        <f>IF(V391="A",MAX(1,IFERROR(VLOOKUP(V391,Assumptions!$A$7:$F$11,3,FALSE),3)+IFERROR(VLOOKUP(V391,Assumptions!$A$7:$F$11,4,FALSE),8)/2-MAX(0,IF(AO391="",0,YEAR(TODAY())-AO391)-IFERROR(VLOOKUP(V391,Assumptions!$A$7:$F$11,5,FALSE),1.5))),IFERROR(VLOOKUP(V391,Assumptions!$A$7:$F$11,5,FALSE),2.5)+IFERROR(VLOOKUP(V391,Assumptions!$A$7:$F$11,3,FALSE),3)+IFERROR(VLOOKUP(V391,Assumptions!$A$7:$F$11,4,FALSE),8)/2)</f>
        <v/>
      </c>
      <c r="Y391" s="22">
        <f>U391*W391/(1+Assumptions!$B$3)^X391</f>
        <v/>
      </c>
      <c r="Z391" s="26">
        <f>IF(U391=0,"",ROUND(Y391/U391*100,1))</f>
        <v/>
      </c>
      <c r="AA391" s="27">
        <f>Y391*Assumptions!$B$4</f>
        <v/>
      </c>
      <c r="AB391" s="26">
        <f>IF(U391=0,"",ROUND(AA391/U391*100,1))</f>
        <v/>
      </c>
      <c r="AC391" s="27">
        <f>Y391-AA391</f>
        <v/>
      </c>
      <c r="AD391" s="26">
        <f>IF(U391=0,"",ROUND((Y391-AA391)/U391*100,1))</f>
        <v/>
      </c>
      <c r="AE391" s="28" t="inlineStr">
        <is>
          <t>OK — totals reconciled</t>
        </is>
      </c>
      <c r="AF391" s="29" t="inlineStr">
        <is>
          <t>https://scalzilliaj.com.br/sgc/download.php?file=files/processo_documento/processo_documento09514021082025_1_.pdf&amp;nome=04 - Relação de credores das Recuperandas</t>
        </is>
      </c>
      <c r="AG391" s="28" t="inlineStr">
        <is>
          <t>p65 r7</t>
        </is>
      </c>
      <c r="AH391" s="28" t="inlineStr">
        <is>
          <t>p65: R$ 462.152,49</t>
        </is>
      </c>
      <c r="AI391" s="28" t="inlineStr">
        <is>
          <t>Debtor list (art. 51)</t>
        </is>
      </c>
      <c r="AJ391" s="28" t="inlineStr"/>
      <c r="AK391" s="28" t="inlineStr">
        <is>
          <t>NONE FOUND</t>
        </is>
      </c>
      <c r="AL391" s="30" t="inlineStr">
        <is>
          <t>(not printed)</t>
        </is>
      </c>
      <c r="AM391" s="30" t="inlineStr"/>
      <c r="AN391" s="30" t="inlineStr"/>
      <c r="AO391" s="30" t="inlineStr"/>
      <c r="AP391" s="30" t="inlineStr">
        <is>
          <t>RJ case number not identified on the document</t>
        </is>
      </c>
      <c r="AQ391" s="30" t="inlineStr"/>
      <c r="AR391" s="30" t="inlineStr">
        <is>
          <t>portal page title / URL — not printed on the list</t>
        </is>
      </c>
      <c r="AS391" s="30" t="inlineStr">
        <is>
          <t>GUARULHOS</t>
        </is>
      </c>
      <c r="AT391" s="30" t="inlineStr">
        <is>
          <t>SP</t>
        </is>
      </c>
      <c r="AU391" s="30" t="inlineStr">
        <is>
          <t>Aluguel de máquinas e equipamentos para construção sem operador, exceto andaimes</t>
        </is>
      </c>
      <c r="AV391" s="30" t="inlineStr">
        <is>
          <t>DEMAIS</t>
        </is>
      </c>
      <c r="AW391" s="31" t="n">
        <v>45212532</v>
      </c>
      <c r="AX391" s="30" t="inlineStr">
        <is>
          <t>MID-MARKET</t>
        </is>
      </c>
      <c r="AY391" s="30" t="inlineStr">
        <is>
          <t>29958527</t>
        </is>
      </c>
      <c r="AZ391" s="30" t="n">
        <v>1</v>
      </c>
      <c r="BA391" s="30" t="inlineStr">
        <is>
          <t>ROWS:p65r7 VALUE_COL:Valor_Atualizado CASE_NUMBER_CORRECTED</t>
        </is>
      </c>
    </row>
    <row r="392">
      <c r="A392" s="16" t="inlineStr">
        <is>
          <t>JOAO DE DEUS TRANSPORTES E COMERCIO LTDA</t>
        </is>
      </c>
      <c r="B392" s="17" t="n">
        <v>458601.25</v>
      </c>
      <c r="C392" s="18" t="inlineStr">
        <is>
          <t>EGESA ENGENHARIA S/A (Consórcio ETDI)</t>
        </is>
      </c>
      <c r="D392" s="19" t="inlineStr">
        <is>
          <t>NEW</t>
        </is>
      </c>
      <c r="E392" s="20" t="inlineStr"/>
      <c r="F392" s="19" t="inlineStr"/>
      <c r="G392" s="20" t="inlineStr"/>
      <c r="H392" s="19" t="inlineStr"/>
      <c r="I392" s="21" t="inlineStr">
        <is>
          <t>JOAO DE DEUS BARBOSA ALVES</t>
        </is>
      </c>
      <c r="J392" s="21" t="inlineStr">
        <is>
          <t>Sócio-Administrador (RFB partner)</t>
        </is>
      </c>
      <c r="K392" s="21" t="inlineStr">
        <is>
          <t>(31) 3417-3964</t>
        </is>
      </c>
      <c r="L392" s="21" t="inlineStr">
        <is>
          <t>(31) 9972-3745</t>
        </is>
      </c>
      <c r="M392" s="21" t="inlineStr"/>
      <c r="N392" s="21" t="inlineStr"/>
      <c r="O392" s="21" t="inlineStr"/>
      <c r="P392" s="21" t="inlineStr"/>
      <c r="Q392" s="21" t="inlineStr"/>
      <c r="R392" s="21" t="inlineStr"/>
      <c r="S392" s="21" t="inlineStr"/>
      <c r="T392" s="21" t="inlineStr">
        <is>
          <t>RFB partner (QSA); no Apollo match</t>
        </is>
      </c>
      <c r="U392" s="22" t="n">
        <v>458601.25</v>
      </c>
      <c r="V392" s="32" t="inlineStr">
        <is>
          <t>U</t>
        </is>
      </c>
      <c r="W392" s="24">
        <f>IFERROR(VLOOKUP(V392,Assumptions!$A$7:$F$11,2,FALSE),0)</f>
        <v/>
      </c>
      <c r="X392" s="25">
        <f>IF(V392="A",MAX(1,IFERROR(VLOOKUP(V392,Assumptions!$A$7:$F$11,3,FALSE),3)+IFERROR(VLOOKUP(V392,Assumptions!$A$7:$F$11,4,FALSE),8)/2-MAX(0,IF(AO392="",0,YEAR(TODAY())-AO392)-IFERROR(VLOOKUP(V392,Assumptions!$A$7:$F$11,5,FALSE),1.5))),IFERROR(VLOOKUP(V392,Assumptions!$A$7:$F$11,5,FALSE),2.5)+IFERROR(VLOOKUP(V392,Assumptions!$A$7:$F$11,3,FALSE),3)+IFERROR(VLOOKUP(V392,Assumptions!$A$7:$F$11,4,FALSE),8)/2)</f>
        <v/>
      </c>
      <c r="Y392" s="22">
        <f>U392*W392/(1+Assumptions!$B$3)^X392</f>
        <v/>
      </c>
      <c r="Z392" s="26">
        <f>IF(U392=0,"",ROUND(Y392/U392*100,1))</f>
        <v/>
      </c>
      <c r="AA392" s="27">
        <f>Y392*Assumptions!$B$4</f>
        <v/>
      </c>
      <c r="AB392" s="26">
        <f>IF(U392=0,"",ROUND(AA392/U392*100,1))</f>
        <v/>
      </c>
      <c r="AC392" s="27">
        <f>Y392-AA392</f>
        <v/>
      </c>
      <c r="AD392" s="26">
        <f>IF(U392=0,"",ROUND((Y392-AA392)/U392*100,1))</f>
        <v/>
      </c>
      <c r="AE392" s="28" t="inlineStr">
        <is>
          <t>OK — totals reconciled</t>
        </is>
      </c>
      <c r="AF392" s="29" t="inlineStr">
        <is>
          <t>https://scalzilliaj.com.br/sgc/download.php?file=files/processo_documento/processo_documento09514021082025_1_.pdf&amp;nome=04 - Relação de credores das Recuperandas</t>
        </is>
      </c>
      <c r="AG392" s="28" t="inlineStr">
        <is>
          <t>p68 r14</t>
        </is>
      </c>
      <c r="AH392" s="28" t="inlineStr">
        <is>
          <t>p68: R$ 458.601,25</t>
        </is>
      </c>
      <c r="AI392" s="28" t="inlineStr">
        <is>
          <t>Debtor list (art. 51)</t>
        </is>
      </c>
      <c r="AJ392" s="28" t="inlineStr"/>
      <c r="AK392" s="28" t="inlineStr">
        <is>
          <t>NONE FOUND</t>
        </is>
      </c>
      <c r="AL392" s="30" t="inlineStr">
        <is>
          <t>(not printed)</t>
        </is>
      </c>
      <c r="AM392" s="30" t="inlineStr"/>
      <c r="AN392" s="30" t="inlineStr"/>
      <c r="AO392" s="30" t="inlineStr"/>
      <c r="AP392" s="30" t="inlineStr">
        <is>
          <t>RJ case number not identified on the document</t>
        </is>
      </c>
      <c r="AQ392" s="30" t="inlineStr"/>
      <c r="AR392" s="30" t="inlineStr">
        <is>
          <t>portal page title / URL — not printed on the list</t>
        </is>
      </c>
      <c r="AS392" s="30" t="inlineStr">
        <is>
          <t>BELO HORIZONTE</t>
        </is>
      </c>
      <c r="AT392" s="30" t="inlineStr">
        <is>
          <t>MG</t>
        </is>
      </c>
      <c r="AU392" s="30" t="inlineStr">
        <is>
          <t>Transporte rodoviário de carga, exceto produtos perigosos e mudanças, municipal.</t>
        </is>
      </c>
      <c r="AV392" s="30" t="inlineStr">
        <is>
          <t>MICRO EMPRESA</t>
        </is>
      </c>
      <c r="AW392" s="31" t="n">
        <v>170000</v>
      </c>
      <c r="AX392" s="30" t="inlineStr">
        <is>
          <t>SMALL</t>
        </is>
      </c>
      <c r="AY392" s="30" t="inlineStr">
        <is>
          <t>09236766</t>
        </is>
      </c>
      <c r="AZ392" s="30" t="n">
        <v>1</v>
      </c>
      <c r="BA392" s="30" t="inlineStr">
        <is>
          <t>ROWS:p68r14 VALUE_COL:Valor_Atualizado CASE_NUMBER_CORRECTED</t>
        </is>
      </c>
    </row>
    <row r="393">
      <c r="A393" s="16" t="inlineStr">
        <is>
          <t>OGAN SERVICOS ADMINISTRATIVOS LTDA</t>
        </is>
      </c>
      <c r="B393" s="17" t="n">
        <v>244053.12</v>
      </c>
      <c r="C393" s="37" t="inlineStr">
        <is>
          <t>(debtor not identified — see proof)</t>
        </is>
      </c>
      <c r="D393" s="19" t="inlineStr">
        <is>
          <t>NEW</t>
        </is>
      </c>
      <c r="E393" s="20" t="inlineStr"/>
      <c r="F393" s="19" t="inlineStr"/>
      <c r="G393" s="20" t="inlineStr"/>
      <c r="H393" s="19" t="inlineStr"/>
      <c r="I393" s="21" t="inlineStr">
        <is>
          <t>GLEIVINILSON DOS SANTOS</t>
        </is>
      </c>
      <c r="J393" s="21" t="inlineStr">
        <is>
          <t>Sócio-Administrador (RFB partner)</t>
        </is>
      </c>
      <c r="K393" s="21" t="inlineStr">
        <is>
          <t>(11) 5061-7968</t>
        </is>
      </c>
      <c r="L393" s="21" t="inlineStr">
        <is>
          <t>(11) 5061-7971</t>
        </is>
      </c>
      <c r="M393" s="21" t="inlineStr"/>
      <c r="N393" s="21" t="inlineStr"/>
      <c r="O393" s="21" t="inlineStr"/>
      <c r="P393" s="21" t="inlineStr"/>
      <c r="Q393" s="21" t="inlineStr"/>
      <c r="R393" s="21" t="inlineStr"/>
      <c r="S393" s="21" t="inlineStr"/>
      <c r="T393" s="21" t="inlineStr">
        <is>
          <t>RFB partner (QSA); no Apollo match</t>
        </is>
      </c>
      <c r="U393" s="22" t="n">
        <v>244053.12</v>
      </c>
      <c r="V393" s="23" t="inlineStr">
        <is>
          <t>B</t>
        </is>
      </c>
      <c r="W393" s="24">
        <f>IFERROR(VLOOKUP(V393,Assumptions!$A$7:$F$11,2,FALSE),0)</f>
        <v/>
      </c>
      <c r="X393" s="25">
        <f>IF(V393="A",MAX(1,IFERROR(VLOOKUP(V393,Assumptions!$A$7:$F$11,3,FALSE),3)+IFERROR(VLOOKUP(V393,Assumptions!$A$7:$F$11,4,FALSE),8)/2-MAX(0,IF(AO393="",0,YEAR(TODAY())-AO393)-IFERROR(VLOOKUP(V393,Assumptions!$A$7:$F$11,5,FALSE),1.5))),IFERROR(VLOOKUP(V393,Assumptions!$A$7:$F$11,5,FALSE),2.5)+IFERROR(VLOOKUP(V393,Assumptions!$A$7:$F$11,3,FALSE),3)+IFERROR(VLOOKUP(V393,Assumptions!$A$7:$F$11,4,FALSE),8)/2)</f>
        <v/>
      </c>
      <c r="Y393" s="22">
        <f>U393*W393/(1+Assumptions!$B$3)^X393</f>
        <v/>
      </c>
      <c r="Z393" s="26">
        <f>IF(U393=0,"",ROUND(Y393/U393*100,1))</f>
        <v/>
      </c>
      <c r="AA393" s="27">
        <f>Y393*Assumptions!$B$4</f>
        <v/>
      </c>
      <c r="AB393" s="26">
        <f>IF(U393=0,"",ROUND(AA393/U393*100,1))</f>
        <v/>
      </c>
      <c r="AC393" s="27">
        <f>Y393-AA393</f>
        <v/>
      </c>
      <c r="AD393" s="26">
        <f>IF(U393=0,"",ROUND((Y393-AA393)/U393*100,1))</f>
        <v/>
      </c>
      <c r="AE393" s="28" t="inlineStr">
        <is>
          <t>OK — totals reconciled</t>
        </is>
      </c>
      <c r="AF393" s="29" t="inlineStr">
        <is>
          <t>https://ajruiz.com.br/sites/default/files/public/arquivos-processos/2024-04/relacao_de_credores_recuperanda_1.pdf</t>
        </is>
      </c>
      <c r="AG393" s="28" t="inlineStr">
        <is>
          <t>p10 r1; p10 r2</t>
        </is>
      </c>
      <c r="AH393" s="28" t="inlineStr">
        <is>
          <t>p10: R$ 128.165,62; p10: R$ 115.887,50</t>
        </is>
      </c>
      <c r="AI393" s="28" t="inlineStr">
        <is>
          <t>QGC (art. 18)</t>
        </is>
      </c>
      <c r="AJ393" s="28" t="inlineStr">
        <is>
          <t>2024-01-31</t>
        </is>
      </c>
      <c r="AK393" s="28" t="inlineStr">
        <is>
          <t>NONE FOUND</t>
        </is>
      </c>
      <c r="AL393" s="30" t="inlineStr">
        <is>
          <t>1022634-27.2024.8.26.0100</t>
        </is>
      </c>
      <c r="AM393" s="30" t="inlineStr">
        <is>
          <t>TJSP</t>
        </is>
      </c>
      <c r="AN393" s="30" t="inlineStr"/>
      <c r="AO393" s="30" t="n">
        <v>2024</v>
      </c>
      <c r="AP393" s="30" t="inlineStr">
        <is>
          <t>live case, no plan document yet</t>
        </is>
      </c>
      <c r="AQ393" s="30" t="inlineStr"/>
      <c r="AR393" s="30" t="inlineStr">
        <is>
          <t>not identified</t>
        </is>
      </c>
      <c r="AS393" s="30" t="inlineStr">
        <is>
          <t>SAO BERNARDO DO CAMPO</t>
        </is>
      </c>
      <c r="AT393" s="30" t="inlineStr">
        <is>
          <t>SP</t>
        </is>
      </c>
      <c r="AU393" s="30" t="inlineStr">
        <is>
          <t>Serviços combinados de escritório e apoio administrativo</t>
        </is>
      </c>
      <c r="AV393" s="30" t="inlineStr">
        <is>
          <t>DEMAIS</t>
        </is>
      </c>
      <c r="AW393" s="31" t="n">
        <v>1000000</v>
      </c>
      <c r="AX393" s="30" t="inlineStr">
        <is>
          <t>MID-MARKET</t>
        </is>
      </c>
      <c r="AY393" s="30" t="inlineStr">
        <is>
          <t>08981590</t>
        </is>
      </c>
      <c r="AZ393" s="30" t="n">
        <v>2</v>
      </c>
      <c r="BA393" s="30" t="inlineStr">
        <is>
          <t>ROWS:p10r1,p10r2 CASE_NUMBER_CORRECTED</t>
        </is>
      </c>
    </row>
    <row r="394">
      <c r="A394" s="16" t="inlineStr">
        <is>
          <t>TECNOPLAST S.A - INDUSTRIA E COMERCIO DE PLASTICOS</t>
        </is>
      </c>
      <c r="B394" s="17" t="n">
        <v>243641.39</v>
      </c>
      <c r="C394" s="18" t="inlineStr">
        <is>
          <t>TOP TEXTIL EMBALAGENS LTDA</t>
        </is>
      </c>
      <c r="D394" s="19" t="inlineStr">
        <is>
          <t>NEW</t>
        </is>
      </c>
      <c r="E394" s="20" t="inlineStr"/>
      <c r="F394" s="19" t="inlineStr"/>
      <c r="G394" s="20" t="inlineStr"/>
      <c r="H394" s="19" t="inlineStr"/>
      <c r="I394" s="21" t="inlineStr">
        <is>
          <t>Ingride Costa</t>
        </is>
      </c>
      <c r="J394" s="21" t="inlineStr">
        <is>
          <t>Financial</t>
        </is>
      </c>
      <c r="K394" s="21" t="inlineStr">
        <is>
          <t>(41) 3332-8383</t>
        </is>
      </c>
      <c r="L394" s="21" t="inlineStr">
        <is>
          <t>(41) 3075-8000</t>
        </is>
      </c>
      <c r="M394" s="21" t="inlineStr"/>
      <c r="N394" s="21" t="inlineStr"/>
      <c r="O394" s="21" t="inlineStr">
        <is>
          <t>aramos@tecnoplast.com.br</t>
        </is>
      </c>
      <c r="P394" s="21" t="inlineStr">
        <is>
          <t>Alexandre Ramos</t>
        </is>
      </c>
      <c r="Q394" s="21" t="inlineStr">
        <is>
          <t>Managing Director</t>
        </is>
      </c>
      <c r="R394" s="21" t="inlineStr"/>
      <c r="S394" s="21" t="inlineStr">
        <is>
          <t>aramos@tecnoplast.com.br</t>
        </is>
      </c>
      <c r="T394" s="21" t="inlineStr">
        <is>
          <t>no work email found in Apollo</t>
        </is>
      </c>
      <c r="U394" s="22" t="n">
        <v>243641.39</v>
      </c>
      <c r="V394" s="23" t="inlineStr">
        <is>
          <t>B</t>
        </is>
      </c>
      <c r="W394" s="24">
        <f>IFERROR(VLOOKUP(V394,Assumptions!$A$7:$F$11,2,FALSE),0)</f>
        <v/>
      </c>
      <c r="X394" s="25">
        <f>IF(V394="A",MAX(1,IFERROR(VLOOKUP(V394,Assumptions!$A$7:$F$11,3,FALSE),3)+IFERROR(VLOOKUP(V394,Assumptions!$A$7:$F$11,4,FALSE),8)/2-MAX(0,IF(AO394="",0,YEAR(TODAY())-AO394)-IFERROR(VLOOKUP(V394,Assumptions!$A$7:$F$11,5,FALSE),1.5))),IFERROR(VLOOKUP(V394,Assumptions!$A$7:$F$11,5,FALSE),2.5)+IFERROR(VLOOKUP(V394,Assumptions!$A$7:$F$11,3,FALSE),3)+IFERROR(VLOOKUP(V394,Assumptions!$A$7:$F$11,4,FALSE),8)/2)</f>
        <v/>
      </c>
      <c r="Y394" s="22">
        <f>U394*W394/(1+Assumptions!$B$3)^X394</f>
        <v/>
      </c>
      <c r="Z394" s="26">
        <f>IF(U394=0,"",ROUND(Y394/U394*100,1))</f>
        <v/>
      </c>
      <c r="AA394" s="27">
        <f>Y394*Assumptions!$B$4</f>
        <v/>
      </c>
      <c r="AB394" s="26">
        <f>IF(U394=0,"",ROUND(AA394/U394*100,1))</f>
        <v/>
      </c>
      <c r="AC394" s="27">
        <f>Y394-AA394</f>
        <v/>
      </c>
      <c r="AD394" s="26">
        <f>IF(U394=0,"",ROUND((Y394-AA394)/U394*100,1))</f>
        <v/>
      </c>
      <c r="AE394" s="33" t="inlineStr">
        <is>
          <t>NO TOTALS — list prints none; check page</t>
        </is>
      </c>
      <c r="AF394" s="29" t="inlineStr">
        <is>
          <t>https://cataliseaj.com.br/sgc/download.php?file=files/processo_documento/processo_documento15092204102024_1_.pdf&amp;nome=02. RELAÇÃO DE CREDORES</t>
        </is>
      </c>
      <c r="AG394" s="28" t="inlineStr">
        <is>
          <t>p3 r26</t>
        </is>
      </c>
      <c r="AH394" s="28" t="inlineStr">
        <is>
          <t>p3: R$ 243.641,39</t>
        </is>
      </c>
      <c r="AI394" s="28" t="inlineStr">
        <is>
          <t>Debtor list (art. 51)</t>
        </is>
      </c>
      <c r="AJ394" s="28" t="inlineStr"/>
      <c r="AK394" s="28" t="inlineStr">
        <is>
          <t>NONE FOUND</t>
        </is>
      </c>
      <c r="AL394" s="30" t="inlineStr">
        <is>
          <t>5011460-87.2023.8.24.0020</t>
        </is>
      </c>
      <c r="AM394" s="30" t="inlineStr">
        <is>
          <t>TJSC</t>
        </is>
      </c>
      <c r="AN394" s="30" t="inlineStr">
        <is>
          <t>ACTIVE</t>
        </is>
      </c>
      <c r="AO394" s="30" t="n">
        <v>2023</v>
      </c>
      <c r="AP394" s="30" t="inlineStr">
        <is>
          <t>live case, no plan document yet</t>
        </is>
      </c>
      <c r="AQ394" s="30" t="inlineStr">
        <is>
          <t>26.588.741/0001-29</t>
        </is>
      </c>
      <c r="AR394" s="30" t="inlineStr">
        <is>
          <t>printed on the list (read twice)</t>
        </is>
      </c>
      <c r="AS394" s="30" t="inlineStr">
        <is>
          <t>CURITIBA</t>
        </is>
      </c>
      <c r="AT394" s="30" t="inlineStr">
        <is>
          <t>PR</t>
        </is>
      </c>
      <c r="AU394" s="30" t="inlineStr">
        <is>
          <t>Fiação de fibras artificiais e sintéticas</t>
        </is>
      </c>
      <c r="AV394" s="30" t="inlineStr">
        <is>
          <t>DEMAIS</t>
        </is>
      </c>
      <c r="AW394" s="31" t="n">
        <v>330000</v>
      </c>
      <c r="AX394" s="30" t="inlineStr">
        <is>
          <t>MID-MARKET</t>
        </is>
      </c>
      <c r="AY394" s="30" t="inlineStr">
        <is>
          <t>12995199</t>
        </is>
      </c>
      <c r="AZ394" s="30" t="n">
        <v>1</v>
      </c>
      <c r="BA394" s="30" t="inlineStr">
        <is>
          <t>ROWS:p3r26 UNRECONCILED_SOURCE</t>
        </is>
      </c>
    </row>
    <row r="395">
      <c r="A395" s="16" t="inlineStr">
        <is>
          <t>SARAIVA EQUIPAMENTOS LTDA</t>
        </is>
      </c>
      <c r="B395" s="17" t="n">
        <v>455807.91</v>
      </c>
      <c r="C395" s="18" t="inlineStr">
        <is>
          <t>EGESA ENGENHARIA S/A (Consórcio ETDI)</t>
        </is>
      </c>
      <c r="D395" s="19" t="inlineStr">
        <is>
          <t>NEW</t>
        </is>
      </c>
      <c r="E395" s="20" t="inlineStr"/>
      <c r="F395" s="19" t="inlineStr"/>
      <c r="G395" s="20" t="inlineStr"/>
      <c r="H395" s="19" t="inlineStr"/>
      <c r="I395" s="21" t="inlineStr">
        <is>
          <t>Nivaldo Fidelis</t>
        </is>
      </c>
      <c r="J395" s="21" t="inlineStr">
        <is>
          <t>Commercial Director</t>
        </is>
      </c>
      <c r="K395" s="21" t="inlineStr"/>
      <c r="L395" s="21" t="inlineStr"/>
      <c r="M395" s="21" t="inlineStr"/>
      <c r="N395" s="21" t="inlineStr"/>
      <c r="O395" s="21" t="inlineStr">
        <is>
          <t>elvis_sales@saraivaequipamentos.com.br</t>
        </is>
      </c>
      <c r="P395" s="21" t="inlineStr">
        <is>
          <t>Elvis Sales</t>
        </is>
      </c>
      <c r="Q395" s="21" t="inlineStr">
        <is>
          <t>IT Manager</t>
        </is>
      </c>
      <c r="R395" s="21" t="inlineStr"/>
      <c r="S395" s="21" t="inlineStr">
        <is>
          <t>elvis_sales@saraivaequipamentos.com.br</t>
        </is>
      </c>
      <c r="T395" s="21" t="inlineStr">
        <is>
          <t>no work email found in Apollo</t>
        </is>
      </c>
      <c r="U395" s="22" t="n">
        <v>455807.91</v>
      </c>
      <c r="V395" s="32" t="inlineStr">
        <is>
          <t>U</t>
        </is>
      </c>
      <c r="W395" s="24">
        <f>IFERROR(VLOOKUP(V395,Assumptions!$A$7:$F$11,2,FALSE),0)</f>
        <v/>
      </c>
      <c r="X395" s="25">
        <f>IF(V395="A",MAX(1,IFERROR(VLOOKUP(V395,Assumptions!$A$7:$F$11,3,FALSE),3)+IFERROR(VLOOKUP(V395,Assumptions!$A$7:$F$11,4,FALSE),8)/2-MAX(0,IF(AO395="",0,YEAR(TODAY())-AO395)-IFERROR(VLOOKUP(V395,Assumptions!$A$7:$F$11,5,FALSE),1.5))),IFERROR(VLOOKUP(V395,Assumptions!$A$7:$F$11,5,FALSE),2.5)+IFERROR(VLOOKUP(V395,Assumptions!$A$7:$F$11,3,FALSE),3)+IFERROR(VLOOKUP(V395,Assumptions!$A$7:$F$11,4,FALSE),8)/2)</f>
        <v/>
      </c>
      <c r="Y395" s="22">
        <f>U395*W395/(1+Assumptions!$B$3)^X395</f>
        <v/>
      </c>
      <c r="Z395" s="26">
        <f>IF(U395=0,"",ROUND(Y395/U395*100,1))</f>
        <v/>
      </c>
      <c r="AA395" s="27">
        <f>Y395*Assumptions!$B$4</f>
        <v/>
      </c>
      <c r="AB395" s="26">
        <f>IF(U395=0,"",ROUND(AA395/U395*100,1))</f>
        <v/>
      </c>
      <c r="AC395" s="27">
        <f>Y395-AA395</f>
        <v/>
      </c>
      <c r="AD395" s="26">
        <f>IF(U395=0,"",ROUND((Y395-AA395)/U395*100,1))</f>
        <v/>
      </c>
      <c r="AE395" s="28" t="inlineStr">
        <is>
          <t>OK — totals reconciled</t>
        </is>
      </c>
      <c r="AF395" s="29" t="inlineStr">
        <is>
          <t>https://scalzilliaj.com.br/sgc/download.php?file=files/processo_documento/processo_documento09514021082025_1_.pdf&amp;nome=04 - Relação de credores das Recuperandas</t>
        </is>
      </c>
      <c r="AG395" s="28" t="inlineStr">
        <is>
          <t>p72 r17; p73 r1; p73 r2; p73 r3; p73 r4</t>
        </is>
      </c>
      <c r="AH395" s="28" t="inlineStr">
        <is>
          <t>p72: R$ 181.478,29; p73: R$ 169.249,60; p73: R$ 86.086,47; p73: R$ 14.323,56; p73: R$ 4.669,99</t>
        </is>
      </c>
      <c r="AI395" s="28" t="inlineStr">
        <is>
          <t>Debtor list (art. 51)</t>
        </is>
      </c>
      <c r="AJ395" s="28" t="inlineStr"/>
      <c r="AK395" s="28" t="inlineStr">
        <is>
          <t>NONE FOUND</t>
        </is>
      </c>
      <c r="AL395" s="30" t="inlineStr">
        <is>
          <t>(not printed)</t>
        </is>
      </c>
      <c r="AM395" s="30" t="inlineStr"/>
      <c r="AN395" s="30" t="inlineStr"/>
      <c r="AO395" s="30" t="inlineStr"/>
      <c r="AP395" s="30" t="inlineStr">
        <is>
          <t>RJ case number not identified on the document</t>
        </is>
      </c>
      <c r="AQ395" s="30" t="inlineStr"/>
      <c r="AR395" s="30" t="inlineStr">
        <is>
          <t>portal page title / URL — not printed on the list</t>
        </is>
      </c>
      <c r="AS395" s="30" t="inlineStr">
        <is>
          <t>RECIFE</t>
        </is>
      </c>
      <c r="AT395" s="30" t="inlineStr">
        <is>
          <t>PE</t>
        </is>
      </c>
      <c r="AU395" s="30" t="inlineStr">
        <is>
          <t>Carga e descarga</t>
        </is>
      </c>
      <c r="AV395" s="30" t="inlineStr">
        <is>
          <t>DEMAIS</t>
        </is>
      </c>
      <c r="AW395" s="31" t="n">
        <v>57000000</v>
      </c>
      <c r="AX395" s="30" t="inlineStr">
        <is>
          <t>MID-MARKET</t>
        </is>
      </c>
      <c r="AY395" s="30" t="inlineStr">
        <is>
          <t>41024712</t>
        </is>
      </c>
      <c r="AZ395" s="30" t="n">
        <v>5</v>
      </c>
      <c r="BA395" s="30" t="inlineStr">
        <is>
          <t>ROWS:p72r17,p73r1,p73r2,p73r3,p73r4 VALUE_COL:Valor_Atualizado CASE_NUMBER_CORRECTED</t>
        </is>
      </c>
    </row>
    <row r="396">
      <c r="A396" s="16" t="inlineStr">
        <is>
          <t>GAZIN ATACADO CENTRO-OESTE LTDA</t>
        </is>
      </c>
      <c r="B396" s="17" t="n">
        <v>242126.42</v>
      </c>
      <c r="C396" s="18" t="inlineStr">
        <is>
          <t>GRUPO DP4</t>
        </is>
      </c>
      <c r="D396" s="19" t="inlineStr">
        <is>
          <t>NEW</t>
        </is>
      </c>
      <c r="E396" s="20" t="inlineStr"/>
      <c r="F396" s="19" t="inlineStr"/>
      <c r="G396" s="20" t="inlineStr"/>
      <c r="H396" s="19" t="inlineStr"/>
      <c r="I396" s="21" t="inlineStr">
        <is>
          <t>Natanael Estevao</t>
        </is>
      </c>
      <c r="J396" s="21" t="inlineStr">
        <is>
          <t>Gerente de Crédito e Cobrança PJ</t>
        </is>
      </c>
      <c r="K396" s="21" t="inlineStr">
        <is>
          <t>(44) 3663-8000</t>
        </is>
      </c>
      <c r="L396" s="21" t="inlineStr"/>
      <c r="M396" s="21" t="inlineStr"/>
      <c r="N396" s="21" t="inlineStr">
        <is>
          <t>natanael.estevao@gazin.com.br</t>
        </is>
      </c>
      <c r="O396" s="21" t="inlineStr"/>
      <c r="P396" s="21" t="inlineStr">
        <is>
          <t>Cristiana Peres</t>
        </is>
      </c>
      <c r="Q396" s="21" t="inlineStr">
        <is>
          <t>Financial Manager</t>
        </is>
      </c>
      <c r="R396" s="21" t="inlineStr"/>
      <c r="S396" s="21" t="inlineStr"/>
      <c r="T396" s="21" t="inlineStr">
        <is>
          <t>email verified by Apollo</t>
        </is>
      </c>
      <c r="U396" s="22" t="n">
        <v>242126.42</v>
      </c>
      <c r="V396" s="23" t="inlineStr">
        <is>
          <t>B</t>
        </is>
      </c>
      <c r="W396" s="24">
        <f>IFERROR(VLOOKUP(V396,Assumptions!$A$7:$F$11,2,FALSE),0)</f>
        <v/>
      </c>
      <c r="X396" s="25">
        <f>IF(V396="A",MAX(1,IFERROR(VLOOKUP(V396,Assumptions!$A$7:$F$11,3,FALSE),3)+IFERROR(VLOOKUP(V396,Assumptions!$A$7:$F$11,4,FALSE),8)/2-MAX(0,IF(AO396="",0,YEAR(TODAY())-AO396)-IFERROR(VLOOKUP(V396,Assumptions!$A$7:$F$11,5,FALSE),1.5))),IFERROR(VLOOKUP(V396,Assumptions!$A$7:$F$11,5,FALSE),2.5)+IFERROR(VLOOKUP(V396,Assumptions!$A$7:$F$11,3,FALSE),3)+IFERROR(VLOOKUP(V396,Assumptions!$A$7:$F$11,4,FALSE),8)/2)</f>
        <v/>
      </c>
      <c r="Y396" s="22">
        <f>U396*W396/(1+Assumptions!$B$3)^X396</f>
        <v/>
      </c>
      <c r="Z396" s="26">
        <f>IF(U396=0,"",ROUND(Y396/U396*100,1))</f>
        <v/>
      </c>
      <c r="AA396" s="27">
        <f>Y396*Assumptions!$B$4</f>
        <v/>
      </c>
      <c r="AB396" s="26">
        <f>IF(U396=0,"",ROUND(AA396/U396*100,1))</f>
        <v/>
      </c>
      <c r="AC396" s="27">
        <f>Y396-AA396</f>
        <v/>
      </c>
      <c r="AD396" s="26">
        <f>IF(U396=0,"",ROUND((Y396-AA396)/U396*100,1))</f>
        <v/>
      </c>
      <c r="AE396" s="34" t="inlineStr">
        <is>
          <t>PARTIAL — class III reconciled, other classes not</t>
        </is>
      </c>
      <c r="AF396" s="29" t="inlineStr">
        <is>
          <t>https://marquesadmjudicial.com.br/sgc/download.php?file=files/processo_documento/processo_documento15293208032024_1_.pdf&amp;nome=Relação Nominal de Credores da AJ-Sintética</t>
        </is>
      </c>
      <c r="AG396" s="28" t="inlineStr">
        <is>
          <t>p26 r2</t>
        </is>
      </c>
      <c r="AH396" s="28" t="inlineStr">
        <is>
          <t>p26: R$ 242.126,42</t>
        </is>
      </c>
      <c r="AI396" s="28" t="inlineStr">
        <is>
          <t>AJ list (art. 7 §2)</t>
        </is>
      </c>
      <c r="AJ396" s="28" t="inlineStr">
        <is>
          <t>2023-03-02</t>
        </is>
      </c>
      <c r="AK396" s="28" t="inlineStr">
        <is>
          <t>NONE FOUND</t>
        </is>
      </c>
      <c r="AL396" s="30" t="inlineStr">
        <is>
          <t>0005010-98.2023.8.16.0001</t>
        </is>
      </c>
      <c r="AM396" s="30" t="inlineStr">
        <is>
          <t>TJPR</t>
        </is>
      </c>
      <c r="AN396" s="30" t="inlineStr">
        <is>
          <t>ACTIVE</t>
        </is>
      </c>
      <c r="AO396" s="30" t="n">
        <v>2023</v>
      </c>
      <c r="AP396" s="30" t="inlineStr">
        <is>
          <t>live case, no plan document yet</t>
        </is>
      </c>
      <c r="AQ396" s="30" t="inlineStr"/>
      <c r="AR396" s="30" t="inlineStr">
        <is>
          <t>printed on the list (read twice)</t>
        </is>
      </c>
      <c r="AS396" s="30" t="inlineStr">
        <is>
          <t>IPAMERI</t>
        </is>
      </c>
      <c r="AT396" s="30" t="inlineStr">
        <is>
          <t>GO</t>
        </is>
      </c>
      <c r="AU396" s="30" t="inlineStr">
        <is>
          <t>Comércio atacadista de equipamentos elétricos de uso pessoal e doméstico</t>
        </is>
      </c>
      <c r="AV396" s="30" t="inlineStr">
        <is>
          <t>DEMAIS</t>
        </is>
      </c>
      <c r="AW396" s="31" t="n">
        <v>275000000</v>
      </c>
      <c r="AX396" s="30" t="inlineStr">
        <is>
          <t>MID-MARKET</t>
        </is>
      </c>
      <c r="AY396" s="30" t="inlineStr">
        <is>
          <t>22962737</t>
        </is>
      </c>
      <c r="AZ396" s="30" t="n">
        <v>1</v>
      </c>
      <c r="BA396" s="30" t="inlineStr">
        <is>
          <t>PARTIAL_DOC_CLASS_III_RECONCILED ROWS:p26r2</t>
        </is>
      </c>
    </row>
    <row r="397">
      <c r="A397" s="16" t="inlineStr">
        <is>
          <t>MDG INDUSTRIA E COMERCIO DE PLASTICOS LTDA</t>
        </is>
      </c>
      <c r="B397" s="17" t="n">
        <v>241458.9</v>
      </c>
      <c r="C397" s="18" t="inlineStr">
        <is>
          <t>AZEPLAST INDÚSTRIA E COMÉRCIO LTDA</t>
        </is>
      </c>
      <c r="D397" s="19" t="inlineStr">
        <is>
          <t>NEW</t>
        </is>
      </c>
      <c r="E397" s="20" t="inlineStr"/>
      <c r="F397" s="19" t="inlineStr"/>
      <c r="G397" s="20" t="inlineStr"/>
      <c r="H397" s="19" t="inlineStr"/>
      <c r="I397" s="21" t="inlineStr">
        <is>
          <t>GLEB BERGER ZOMER</t>
        </is>
      </c>
      <c r="J397" s="21" t="inlineStr">
        <is>
          <t>Administrador (RFB partner)</t>
        </is>
      </c>
      <c r="K397" s="21" t="inlineStr">
        <is>
          <t>(92) 3199-8840</t>
        </is>
      </c>
      <c r="L397" s="21" t="inlineStr"/>
      <c r="M397" s="21" t="inlineStr"/>
      <c r="N397" s="21" t="inlineStr"/>
      <c r="O397" s="21" t="inlineStr"/>
      <c r="P397" s="21" t="inlineStr">
        <is>
          <t>MICHEL BERGER ZOMER</t>
        </is>
      </c>
      <c r="Q397" s="21" t="inlineStr">
        <is>
          <t>Administrador (RFB partner)</t>
        </is>
      </c>
      <c r="R397" s="21" t="inlineStr"/>
      <c r="S397" s="21" t="inlineStr"/>
      <c r="T397" s="21" t="inlineStr">
        <is>
          <t>RFB partner (QSA); no Apollo match</t>
        </is>
      </c>
      <c r="U397" s="22" t="n">
        <v>241458.9</v>
      </c>
      <c r="V397" s="23" t="inlineStr">
        <is>
          <t>B</t>
        </is>
      </c>
      <c r="W397" s="24">
        <f>IFERROR(VLOOKUP(V397,Assumptions!$A$7:$F$11,2,FALSE),0)</f>
        <v/>
      </c>
      <c r="X397" s="25">
        <f>IF(V397="A",MAX(1,IFERROR(VLOOKUP(V397,Assumptions!$A$7:$F$11,3,FALSE),3)+IFERROR(VLOOKUP(V397,Assumptions!$A$7:$F$11,4,FALSE),8)/2-MAX(0,IF(AO397="",0,YEAR(TODAY())-AO397)-IFERROR(VLOOKUP(V397,Assumptions!$A$7:$F$11,5,FALSE),1.5))),IFERROR(VLOOKUP(V397,Assumptions!$A$7:$F$11,5,FALSE),2.5)+IFERROR(VLOOKUP(V397,Assumptions!$A$7:$F$11,3,FALSE),3)+IFERROR(VLOOKUP(V397,Assumptions!$A$7:$F$11,4,FALSE),8)/2)</f>
        <v/>
      </c>
      <c r="Y397" s="22">
        <f>U397*W397/(1+Assumptions!$B$3)^X397</f>
        <v/>
      </c>
      <c r="Z397" s="26">
        <f>IF(U397=0,"",ROUND(Y397/U397*100,1))</f>
        <v/>
      </c>
      <c r="AA397" s="27">
        <f>Y397*Assumptions!$B$4</f>
        <v/>
      </c>
      <c r="AB397" s="26">
        <f>IF(U397=0,"",ROUND(AA397/U397*100,1))</f>
        <v/>
      </c>
      <c r="AC397" s="27">
        <f>Y397-AA397</f>
        <v/>
      </c>
      <c r="AD397" s="26">
        <f>IF(U397=0,"",ROUND((Y397-AA397)/U397*100,1))</f>
        <v/>
      </c>
      <c r="AE397" s="34" t="inlineStr">
        <is>
          <t>PARTIAL — class III reconciled, other classes not</t>
        </is>
      </c>
      <c r="AF397" s="29" t="inlineStr">
        <is>
          <t>https://ajruiz.com.br/sites/default/files/public/arquivos-processos/2026-08/qgc_azeplast_julho_2026.pdf</t>
        </is>
      </c>
      <c r="AG397" s="28" t="inlineStr">
        <is>
          <t>p1 r41</t>
        </is>
      </c>
      <c r="AH397" s="28" t="inlineStr">
        <is>
          <t>p1: R$ 241.458,90</t>
        </is>
      </c>
      <c r="AI397" s="28" t="inlineStr">
        <is>
          <t>QGC (art. 18)</t>
        </is>
      </c>
      <c r="AJ397" s="28" t="inlineStr"/>
      <c r="AK397" s="28" t="inlineStr">
        <is>
          <t>NONE FOUND</t>
        </is>
      </c>
      <c r="AL397" s="30" t="inlineStr">
        <is>
          <t>5008793-34.2023.8.24.0019</t>
        </is>
      </c>
      <c r="AM397" s="30" t="inlineStr">
        <is>
          <t>TJSC</t>
        </is>
      </c>
      <c r="AN397" s="30" t="inlineStr">
        <is>
          <t>ACTIVE</t>
        </is>
      </c>
      <c r="AO397" s="30" t="n">
        <v>2023</v>
      </c>
      <c r="AP397" s="30" t="inlineStr">
        <is>
          <t>live case, no plan document yet</t>
        </is>
      </c>
      <c r="AQ397" s="30" t="inlineStr">
        <is>
          <t>05.378.317/0001-80</t>
        </is>
      </c>
      <c r="AR397" s="30" t="inlineStr">
        <is>
          <t>printed on the list (read twice)</t>
        </is>
      </c>
      <c r="AS397" s="30" t="inlineStr">
        <is>
          <t>MANAUS</t>
        </is>
      </c>
      <c r="AT397" s="30" t="inlineStr">
        <is>
          <t>AM</t>
        </is>
      </c>
      <c r="AU397" s="30" t="inlineStr">
        <is>
          <t>Fabricação de embalagens de material plástico</t>
        </is>
      </c>
      <c r="AV397" s="30" t="inlineStr">
        <is>
          <t>DEMAIS</t>
        </is>
      </c>
      <c r="AW397" s="31" t="n">
        <v>32750000</v>
      </c>
      <c r="AX397" s="30" t="inlineStr">
        <is>
          <t>MID-MARKET</t>
        </is>
      </c>
      <c r="AY397" s="30" t="inlineStr">
        <is>
          <t>35474405</t>
        </is>
      </c>
      <c r="AZ397" s="30" t="n">
        <v>1</v>
      </c>
      <c r="BA397" s="30" t="inlineStr">
        <is>
          <t>PARTIAL_DOC_CLASS_III_RECONCILED ROWS:p1r41</t>
        </is>
      </c>
    </row>
    <row r="398">
      <c r="A398" s="16" t="inlineStr">
        <is>
          <t>PELOZATO HENRIQUE SOCIEDADE INDIVIDUAL DE ADVOCACIA</t>
        </is>
      </c>
      <c r="B398" s="17" t="n">
        <v>240000</v>
      </c>
      <c r="C398" s="18" t="inlineStr">
        <is>
          <t>CENTURY CONSTRUÇÕES COMÉRCIO E SERVIÇOS LTDA.</t>
        </is>
      </c>
      <c r="D398" s="19" t="inlineStr">
        <is>
          <t>NEW</t>
        </is>
      </c>
      <c r="E398" s="20" t="inlineStr"/>
      <c r="F398" s="19" t="inlineStr"/>
      <c r="G398" s="20" t="inlineStr"/>
      <c r="H398" s="19" t="inlineStr"/>
      <c r="I398" s="21" t="inlineStr">
        <is>
          <t>MARCOS PELOZATO HENRIQUE</t>
        </is>
      </c>
      <c r="J398" s="21" t="inlineStr">
        <is>
          <t>Sócio-Administrador (RFB partner)</t>
        </is>
      </c>
      <c r="K398" s="21" t="inlineStr">
        <is>
          <t>(11) 2198-4677</t>
        </is>
      </c>
      <c r="L398" s="21" t="inlineStr"/>
      <c r="M398" s="21" t="inlineStr"/>
      <c r="N398" s="21" t="inlineStr"/>
      <c r="O398" s="21" t="inlineStr"/>
      <c r="P398" s="21" t="inlineStr"/>
      <c r="Q398" s="21" t="inlineStr"/>
      <c r="R398" s="21" t="inlineStr"/>
      <c r="S398" s="21" t="inlineStr"/>
      <c r="T398" s="21" t="inlineStr">
        <is>
          <t>RFB partner (QSA); no Apollo match</t>
        </is>
      </c>
      <c r="U398" s="22" t="n">
        <v>240000</v>
      </c>
      <c r="V398" s="23" t="inlineStr">
        <is>
          <t>B</t>
        </is>
      </c>
      <c r="W398" s="24">
        <f>IFERROR(VLOOKUP(V398,Assumptions!$A$7:$F$11,2,FALSE),0)</f>
        <v/>
      </c>
      <c r="X398" s="25">
        <f>IF(V398="A",MAX(1,IFERROR(VLOOKUP(V398,Assumptions!$A$7:$F$11,3,FALSE),3)+IFERROR(VLOOKUP(V398,Assumptions!$A$7:$F$11,4,FALSE),8)/2-MAX(0,IF(AO398="",0,YEAR(TODAY())-AO398)-IFERROR(VLOOKUP(V398,Assumptions!$A$7:$F$11,5,FALSE),1.5))),IFERROR(VLOOKUP(V398,Assumptions!$A$7:$F$11,5,FALSE),2.5)+IFERROR(VLOOKUP(V398,Assumptions!$A$7:$F$11,3,FALSE),3)+IFERROR(VLOOKUP(V398,Assumptions!$A$7:$F$11,4,FALSE),8)/2)</f>
        <v/>
      </c>
      <c r="Y398" s="22">
        <f>U398*W398/(1+Assumptions!$B$3)^X398</f>
        <v/>
      </c>
      <c r="Z398" s="26">
        <f>IF(U398=0,"",ROUND(Y398/U398*100,1))</f>
        <v/>
      </c>
      <c r="AA398" s="27">
        <f>Y398*Assumptions!$B$4</f>
        <v/>
      </c>
      <c r="AB398" s="26">
        <f>IF(U398=0,"",ROUND(AA398/U398*100,1))</f>
        <v/>
      </c>
      <c r="AC398" s="27">
        <f>Y398-AA398</f>
        <v/>
      </c>
      <c r="AD398" s="26">
        <f>IF(U398=0,"",ROUND((Y398-AA398)/U398*100,1))</f>
        <v/>
      </c>
      <c r="AE398" s="33" t="inlineStr">
        <is>
          <t>NO TOTALS — list prints none; check page</t>
        </is>
      </c>
      <c r="AF398" s="29" t="inlineStr">
        <is>
          <t>https://ativosajce.com.br/admin/download.php?file=files/processo_documento/processo_documento16022716122025_1_.pdf&amp;nome=Relação de credores - art. 52, §1º da Lei 11.101/05 - 15/12/2025</t>
        </is>
      </c>
      <c r="AG398" s="28" t="inlineStr">
        <is>
          <t>p4 r2</t>
        </is>
      </c>
      <c r="AH398" s="28" t="inlineStr">
        <is>
          <t>p4: R$ 240.000,00</t>
        </is>
      </c>
      <c r="AI398" s="28" t="inlineStr">
        <is>
          <t>Unclassified list</t>
        </is>
      </c>
      <c r="AJ398" s="28" t="inlineStr"/>
      <c r="AK398" s="28" t="inlineStr">
        <is>
          <t>NONE FOUND</t>
        </is>
      </c>
      <c r="AL398" s="30" t="inlineStr">
        <is>
          <t>4054599-35.2025.8.26.0100</t>
        </is>
      </c>
      <c r="AM398" s="30" t="inlineStr">
        <is>
          <t>TJSP</t>
        </is>
      </c>
      <c r="AN398" s="30" t="inlineStr">
        <is>
          <t>ACTIVE</t>
        </is>
      </c>
      <c r="AO398" s="30" t="n">
        <v>2025</v>
      </c>
      <c r="AP398" s="30" t="inlineStr">
        <is>
          <t>live case, no plan document yet</t>
        </is>
      </c>
      <c r="AQ398" s="30" t="inlineStr">
        <is>
          <t>03.299.563/0001-10</t>
        </is>
      </c>
      <c r="AR398" s="30" t="inlineStr">
        <is>
          <t>printed on the list (read twice)</t>
        </is>
      </c>
      <c r="AS398" s="30" t="inlineStr">
        <is>
          <t>BARUERI</t>
        </is>
      </c>
      <c r="AT398" s="30" t="inlineStr">
        <is>
          <t>SP</t>
        </is>
      </c>
      <c r="AU398" s="30" t="inlineStr">
        <is>
          <t>Serviços advocatícios</t>
        </is>
      </c>
      <c r="AV398" s="30" t="inlineStr">
        <is>
          <t>DEMAIS</t>
        </is>
      </c>
      <c r="AW398" s="31" t="n">
        <v>10000</v>
      </c>
      <c r="AX398" s="30" t="inlineStr">
        <is>
          <t>MID-MARKET</t>
        </is>
      </c>
      <c r="AY398" s="30" t="inlineStr">
        <is>
          <t>28929686</t>
        </is>
      </c>
      <c r="AZ398" s="30" t="n">
        <v>1</v>
      </c>
      <c r="BA398" s="30" t="inlineStr">
        <is>
          <t>ROWS:p4r2 UNRECONCILED_SOURCE</t>
        </is>
      </c>
    </row>
    <row r="399">
      <c r="A399" s="16" t="inlineStr">
        <is>
          <t>BCR - COMERCIO E DISTRIBUICAO DE IMPLANTES CIRURGICOS LTDA.</t>
        </is>
      </c>
      <c r="B399" s="17" t="n">
        <v>239412.95</v>
      </c>
      <c r="C399" s="18" t="inlineStr">
        <is>
          <t>ASSOCIAÇÃO DE CARIDADE SANTA CASA DO RIO GRANDE</t>
        </is>
      </c>
      <c r="D399" s="19" t="inlineStr">
        <is>
          <t>NEW</t>
        </is>
      </c>
      <c r="E399" s="20" t="inlineStr"/>
      <c r="F399" s="19" t="inlineStr"/>
      <c r="G399" s="20" t="inlineStr"/>
      <c r="H399" s="19" t="inlineStr"/>
      <c r="I399" s="21" t="inlineStr">
        <is>
          <t>Fabio Pedroni</t>
        </is>
      </c>
      <c r="J399" s="21" t="inlineStr">
        <is>
          <t>BCR Medicina Regenerativa</t>
        </is>
      </c>
      <c r="K399" s="21" t="inlineStr">
        <is>
          <t>(51) 3334-8589</t>
        </is>
      </c>
      <c r="L399" s="21" t="inlineStr"/>
      <c r="M399" s="21" t="inlineStr"/>
      <c r="N399" s="21" t="inlineStr"/>
      <c r="O399" s="21" t="inlineStr"/>
      <c r="P399" s="21" t="inlineStr">
        <is>
          <t>ROBER ROSSO</t>
        </is>
      </c>
      <c r="Q399" s="21" t="inlineStr">
        <is>
          <t>Sócio-Administrador (RFB partner)</t>
        </is>
      </c>
      <c r="R399" s="21" t="inlineStr"/>
      <c r="S399" s="21" t="inlineStr"/>
      <c r="T399" s="21" t="inlineStr">
        <is>
          <t>no work email found in Apollo</t>
        </is>
      </c>
      <c r="U399" s="22" t="n">
        <v>239412.95</v>
      </c>
      <c r="V399" s="23" t="inlineStr">
        <is>
          <t>B</t>
        </is>
      </c>
      <c r="W399" s="24">
        <f>IFERROR(VLOOKUP(V399,Assumptions!$A$7:$F$11,2,FALSE),0)</f>
        <v/>
      </c>
      <c r="X399" s="25">
        <f>IF(V399="A",MAX(1,IFERROR(VLOOKUP(V399,Assumptions!$A$7:$F$11,3,FALSE),3)+IFERROR(VLOOKUP(V399,Assumptions!$A$7:$F$11,4,FALSE),8)/2-MAX(0,IF(AO399="",0,YEAR(TODAY())-AO399)-IFERROR(VLOOKUP(V399,Assumptions!$A$7:$F$11,5,FALSE),1.5))),IFERROR(VLOOKUP(V399,Assumptions!$A$7:$F$11,5,FALSE),2.5)+IFERROR(VLOOKUP(V399,Assumptions!$A$7:$F$11,3,FALSE),3)+IFERROR(VLOOKUP(V399,Assumptions!$A$7:$F$11,4,FALSE),8)/2)</f>
        <v/>
      </c>
      <c r="Y399" s="22">
        <f>U399*W399/(1+Assumptions!$B$3)^X399</f>
        <v/>
      </c>
      <c r="Z399" s="26">
        <f>IF(U399=0,"",ROUND(Y399/U399*100,1))</f>
        <v/>
      </c>
      <c r="AA399" s="27">
        <f>Y399*Assumptions!$B$4</f>
        <v/>
      </c>
      <c r="AB399" s="26">
        <f>IF(U399=0,"",ROUND(AA399/U399*100,1))</f>
        <v/>
      </c>
      <c r="AC399" s="27">
        <f>Y399-AA399</f>
        <v/>
      </c>
      <c r="AD399" s="26">
        <f>IF(U399=0,"",ROUND((Y399-AA399)/U399*100,1))</f>
        <v/>
      </c>
      <c r="AE399" s="33" t="inlineStr">
        <is>
          <t>NO TOTALS — list prints none; check page</t>
        </is>
      </c>
      <c r="AF399" s="29" t="inlineStr">
        <is>
          <t>https://scalzilliaj.com.br/sgc/download.php?file=files/processo_documento/processo_documento09120721032023_1_.pdf&amp;nome=15 - Edital do art. 7º, §2º e 53 da Lei 11.101/2005 (segunda lista de credores e recebimento do plano))</t>
        </is>
      </c>
      <c r="AG399" s="28" t="inlineStr">
        <is>
          <t>p26 r3</t>
        </is>
      </c>
      <c r="AH399" s="28" t="inlineStr">
        <is>
          <t>p26: R$ 239.412,95</t>
        </is>
      </c>
      <c r="AI399" s="28" t="inlineStr">
        <is>
          <t>AJ list (art. 7 §2)</t>
        </is>
      </c>
      <c r="AJ399" s="28" t="inlineStr">
        <is>
          <t>2023-03-21</t>
        </is>
      </c>
      <c r="AK399" s="28" t="inlineStr">
        <is>
          <t>NONE FOUND</t>
        </is>
      </c>
      <c r="AL399" s="30" t="inlineStr">
        <is>
          <t>5012306-16.2022.8.21.0023</t>
        </is>
      </c>
      <c r="AM399" s="30" t="inlineStr">
        <is>
          <t>TJRS</t>
        </is>
      </c>
      <c r="AN399" s="30" t="inlineStr">
        <is>
          <t>ACTIVE</t>
        </is>
      </c>
      <c r="AO399" s="30" t="n">
        <v>2022</v>
      </c>
      <c r="AP399" s="30" t="inlineStr">
        <is>
          <t>live case, no plan document yet</t>
        </is>
      </c>
      <c r="AQ399" s="30" t="inlineStr"/>
      <c r="AR399" s="30" t="inlineStr">
        <is>
          <t>printed on the list (read twice)</t>
        </is>
      </c>
      <c r="AS399" s="30" t="inlineStr">
        <is>
          <t>PORTO ALEGRE</t>
        </is>
      </c>
      <c r="AT399" s="30" t="inlineStr">
        <is>
          <t>RS</t>
        </is>
      </c>
      <c r="AU399" s="30" t="inlineStr">
        <is>
          <t>Comércio atacadista de instrumentos e materiais para uso médico, cirúrgico, hospitalar e de laboratórios</t>
        </is>
      </c>
      <c r="AV399" s="30" t="inlineStr">
        <is>
          <t>DEMAIS</t>
        </is>
      </c>
      <c r="AW399" s="31" t="n">
        <v>500000</v>
      </c>
      <c r="AX399" s="30" t="inlineStr">
        <is>
          <t>MID-MARKET</t>
        </is>
      </c>
      <c r="AY399" s="30" t="inlineStr">
        <is>
          <t>17958615</t>
        </is>
      </c>
      <c r="AZ399" s="30" t="n">
        <v>1</v>
      </c>
      <c r="BA399" s="30" t="inlineStr">
        <is>
          <t>ROWS:p26r3 UNRECONCILED_SOURCE</t>
        </is>
      </c>
    </row>
    <row r="400">
      <c r="A400" s="16" t="inlineStr">
        <is>
          <t>UNICAP RENOVADORA DE PNEUS LTDA</t>
        </is>
      </c>
      <c r="B400" s="17" t="n">
        <v>448731</v>
      </c>
      <c r="C400" s="37" t="inlineStr">
        <is>
          <t>(debtor not identified — see proof)</t>
        </is>
      </c>
      <c r="D400" s="19" t="inlineStr">
        <is>
          <t>NEW</t>
        </is>
      </c>
      <c r="E400" s="20" t="inlineStr"/>
      <c r="F400" s="19" t="inlineStr"/>
      <c r="G400" s="20" t="inlineStr"/>
      <c r="H400" s="19" t="inlineStr"/>
      <c r="I400" s="21" t="inlineStr">
        <is>
          <t>Jeferson Ferezini</t>
        </is>
      </c>
      <c r="J400" s="21" t="inlineStr">
        <is>
          <t>Gerente de Desenvolvimento de Negócios de Vendas</t>
        </is>
      </c>
      <c r="K400" s="21" t="inlineStr">
        <is>
          <t>(19) 3341-3700</t>
        </is>
      </c>
      <c r="L400" s="21" t="inlineStr"/>
      <c r="M400" s="21" t="inlineStr"/>
      <c r="N400" s="21" t="inlineStr">
        <is>
          <t>jeferson@unicapradial.com.br</t>
        </is>
      </c>
      <c r="O400" s="21" t="inlineStr">
        <is>
          <t>aformaggio@unicapradial.com.br</t>
        </is>
      </c>
      <c r="P400" s="21" t="inlineStr">
        <is>
          <t>Anderson Formaggio</t>
        </is>
      </c>
      <c r="Q400" s="21" t="inlineStr">
        <is>
          <t>Project Administrator</t>
        </is>
      </c>
      <c r="R400" s="21" t="inlineStr"/>
      <c r="S400" s="21" t="inlineStr">
        <is>
          <t>aformaggio@unicapradial.com.br</t>
        </is>
      </c>
      <c r="T400" s="21" t="inlineStr">
        <is>
          <t>email verified by Apollo</t>
        </is>
      </c>
      <c r="U400" s="22" t="n">
        <v>448731</v>
      </c>
      <c r="V400" s="32" t="inlineStr">
        <is>
          <t>U</t>
        </is>
      </c>
      <c r="W400" s="24">
        <f>IFERROR(VLOOKUP(V400,Assumptions!$A$7:$F$11,2,FALSE),0)</f>
        <v/>
      </c>
      <c r="X400" s="25">
        <f>IF(V400="A",MAX(1,IFERROR(VLOOKUP(V400,Assumptions!$A$7:$F$11,3,FALSE),3)+IFERROR(VLOOKUP(V400,Assumptions!$A$7:$F$11,4,FALSE),8)/2-MAX(0,IF(AO400="",0,YEAR(TODAY())-AO400)-IFERROR(VLOOKUP(V400,Assumptions!$A$7:$F$11,5,FALSE),1.5))),IFERROR(VLOOKUP(V400,Assumptions!$A$7:$F$11,5,FALSE),2.5)+IFERROR(VLOOKUP(V400,Assumptions!$A$7:$F$11,3,FALSE),3)+IFERROR(VLOOKUP(V400,Assumptions!$A$7:$F$11,4,FALSE),8)/2)</f>
        <v/>
      </c>
      <c r="Y400" s="22">
        <f>U400*W400/(1+Assumptions!$B$3)^X400</f>
        <v/>
      </c>
      <c r="Z400" s="26">
        <f>IF(U400=0,"",ROUND(Y400/U400*100,1))</f>
        <v/>
      </c>
      <c r="AA400" s="27">
        <f>Y400*Assumptions!$B$4</f>
        <v/>
      </c>
      <c r="AB400" s="26">
        <f>IF(U400=0,"",ROUND(AA400/U400*100,1))</f>
        <v/>
      </c>
      <c r="AC400" s="27">
        <f>Y400-AA400</f>
        <v/>
      </c>
      <c r="AD400" s="26">
        <f>IF(U400=0,"",ROUND((Y400-AA400)/U400*100,1))</f>
        <v/>
      </c>
      <c r="AE400" s="28" t="inlineStr">
        <is>
          <t>OK — totals reconciled</t>
        </is>
      </c>
      <c r="AF400" s="29" t="inlineStr">
        <is>
          <t>https://ajruiz.com.br/sites/default/files/public/arquivos-processos/2023-11/4_relacao_de_credores_analitica_art._51_iii_da_lre.pdf</t>
        </is>
      </c>
      <c r="AG400" s="28" t="inlineStr">
        <is>
          <t>p4 r20</t>
        </is>
      </c>
      <c r="AH400" s="28" t="inlineStr">
        <is>
          <t>p4: R$ 448.731,00</t>
        </is>
      </c>
      <c r="AI400" s="28" t="inlineStr">
        <is>
          <t>Unclassified list</t>
        </is>
      </c>
      <c r="AJ400" s="28" t="inlineStr"/>
      <c r="AK400" s="28" t="inlineStr">
        <is>
          <t>NONE FOUND</t>
        </is>
      </c>
      <c r="AL400" s="30" t="inlineStr">
        <is>
          <t>(not printed)</t>
        </is>
      </c>
      <c r="AM400" s="30" t="inlineStr"/>
      <c r="AN400" s="30" t="inlineStr"/>
      <c r="AO400" s="30" t="inlineStr"/>
      <c r="AP400" s="30" t="inlineStr">
        <is>
          <t>RJ case number not identified on the document</t>
        </is>
      </c>
      <c r="AQ400" s="30" t="inlineStr"/>
      <c r="AR400" s="30" t="inlineStr">
        <is>
          <t>not identified</t>
        </is>
      </c>
      <c r="AS400" s="30" t="inlineStr">
        <is>
          <t>NOVA ODESSA</t>
        </is>
      </c>
      <c r="AT400" s="30" t="inlineStr">
        <is>
          <t>SP</t>
        </is>
      </c>
      <c r="AU400" s="30" t="inlineStr">
        <is>
          <t>Reforma de pneumáticos usados</t>
        </is>
      </c>
      <c r="AV400" s="30" t="inlineStr">
        <is>
          <t>DEMAIS</t>
        </is>
      </c>
      <c r="AW400" s="31" t="n">
        <v>979642</v>
      </c>
      <c r="AX400" s="30" t="inlineStr">
        <is>
          <t>MID-MARKET</t>
        </is>
      </c>
      <c r="AY400" s="30" t="inlineStr">
        <is>
          <t>67943738</t>
        </is>
      </c>
      <c r="AZ400" s="30" t="n">
        <v>1</v>
      </c>
      <c r="BA400" s="30" t="inlineStr">
        <is>
          <t>ROWS:p4r20 CASE_NUMBER_CORRECTED</t>
        </is>
      </c>
    </row>
    <row r="401">
      <c r="A401" s="16" t="inlineStr">
        <is>
          <t>NIPRO MEDICAL CORPORATION PRODUTOS MEDICOS LTDA.</t>
        </is>
      </c>
      <c r="B401" s="17" t="n">
        <v>928406.79</v>
      </c>
      <c r="C401" s="18" t="inlineStr">
        <is>
          <t>CENTRO DE TRATAMENTO RENAL ZONA SUL LTDA</t>
        </is>
      </c>
      <c r="D401" s="19" t="inlineStr">
        <is>
          <t>NEW</t>
        </is>
      </c>
      <c r="E401" s="20" t="inlineStr"/>
      <c r="F401" s="19" t="inlineStr"/>
      <c r="G401" s="20" t="inlineStr"/>
      <c r="H401" s="19" t="inlineStr"/>
      <c r="I401" s="21" t="inlineStr">
        <is>
          <t>MARTIN ORTIZ DE ZEVALLOS MUNOZ</t>
        </is>
      </c>
      <c r="J401" s="21" t="inlineStr">
        <is>
          <t>Administrador (RFB partner)</t>
        </is>
      </c>
      <c r="K401" s="21" t="inlineStr">
        <is>
          <t>(11) 3643-0555</t>
        </is>
      </c>
      <c r="L401" s="21" t="inlineStr"/>
      <c r="M401" s="21" t="inlineStr"/>
      <c r="N401" s="21" t="inlineStr"/>
      <c r="O401" s="21" t="inlineStr"/>
      <c r="P401" s="21" t="inlineStr"/>
      <c r="Q401" s="21" t="inlineStr"/>
      <c r="R401" s="21" t="inlineStr"/>
      <c r="S401" s="21" t="inlineStr"/>
      <c r="T401" s="21" t="inlineStr">
        <is>
          <t>RFB partner (QSA); no Apollo match</t>
        </is>
      </c>
      <c r="U401" s="22" t="n">
        <v>928406.79</v>
      </c>
      <c r="V401" s="38" t="inlineStr">
        <is>
          <t>C</t>
        </is>
      </c>
      <c r="W401" s="24">
        <f>IFERROR(VLOOKUP(V401,Assumptions!$A$7:$F$11,2,FALSE),0)</f>
        <v/>
      </c>
      <c r="X401" s="25">
        <f>IF(V401="A",MAX(1,IFERROR(VLOOKUP(V401,Assumptions!$A$7:$F$11,3,FALSE),3)+IFERROR(VLOOKUP(V401,Assumptions!$A$7:$F$11,4,FALSE),8)/2-MAX(0,IF(AO401="",0,YEAR(TODAY())-AO401)-IFERROR(VLOOKUP(V401,Assumptions!$A$7:$F$11,5,FALSE),1.5))),IFERROR(VLOOKUP(V401,Assumptions!$A$7:$F$11,5,FALSE),2.5)+IFERROR(VLOOKUP(V401,Assumptions!$A$7:$F$11,3,FALSE),3)+IFERROR(VLOOKUP(V401,Assumptions!$A$7:$F$11,4,FALSE),8)/2)</f>
        <v/>
      </c>
      <c r="Y401" s="22">
        <f>U401*W401/(1+Assumptions!$B$3)^X401</f>
        <v/>
      </c>
      <c r="Z401" s="26">
        <f>IF(U401=0,"",ROUND(Y401/U401*100,1))</f>
        <v/>
      </c>
      <c r="AA401" s="27">
        <f>Y401*Assumptions!$B$4</f>
        <v/>
      </c>
      <c r="AB401" s="26">
        <f>IF(U401=0,"",ROUND(AA401/U401*100,1))</f>
        <v/>
      </c>
      <c r="AC401" s="27">
        <f>Y401-AA401</f>
        <v/>
      </c>
      <c r="AD401" s="26">
        <f>IF(U401=0,"",ROUND((Y401-AA401)/U401*100,1))</f>
        <v/>
      </c>
      <c r="AE401" s="28" t="inlineStr">
        <is>
          <t>OK — totals reconciled</t>
        </is>
      </c>
      <c r="AF401" s="29" t="inlineStr">
        <is>
          <t>https://recuperacaojudicial.squarespace.com/s/4-RJCTREditalda2ListadeCredoresnovembro2019.pdf</t>
        </is>
      </c>
      <c r="AG401" s="28" t="inlineStr">
        <is>
          <t>p3 r36</t>
        </is>
      </c>
      <c r="AH401" s="28" t="inlineStr">
        <is>
          <t>p3: R$ 928.406,79</t>
        </is>
      </c>
      <c r="AI401" s="28" t="inlineStr">
        <is>
          <t>AJ list (art. 7 §2)</t>
        </is>
      </c>
      <c r="AJ401" s="28" t="inlineStr">
        <is>
          <t>2019-11-25</t>
        </is>
      </c>
      <c r="AK401" s="28" t="inlineStr">
        <is>
          <t>NONE FOUND</t>
        </is>
      </c>
      <c r="AL401" s="30" t="inlineStr">
        <is>
          <t>0015488-29.2018.8.17.2810</t>
        </is>
      </c>
      <c r="AM401" s="30" t="inlineStr">
        <is>
          <t>TJPE</t>
        </is>
      </c>
      <c r="AN401" s="30" t="inlineStr"/>
      <c r="AO401" s="30" t="n">
        <v>2018</v>
      </c>
      <c r="AP401" s="30" t="inlineStr">
        <is>
          <t>8y since filing, no plan document</t>
        </is>
      </c>
      <c r="AQ401" s="30" t="inlineStr">
        <is>
          <t>03.648.189/0001-11</t>
        </is>
      </c>
      <c r="AR401" s="30" t="inlineStr">
        <is>
          <t>printed on the list (read twice)</t>
        </is>
      </c>
      <c r="AS401" s="30" t="inlineStr">
        <is>
          <t>SAO PAULO</t>
        </is>
      </c>
      <c r="AT401" s="30" t="inlineStr">
        <is>
          <t>SP</t>
        </is>
      </c>
      <c r="AU401" s="30" t="inlineStr">
        <is>
          <t>Comércio atacadista de instrumentos e materiais para uso médico, cirúrgico, hospitalar e de laboratórios</t>
        </is>
      </c>
      <c r="AV401" s="30" t="inlineStr">
        <is>
          <t>DEMAIS</t>
        </is>
      </c>
      <c r="AW401" s="31" t="n">
        <v>256136930</v>
      </c>
      <c r="AX401" s="30" t="inlineStr">
        <is>
          <t>MID-MARKET</t>
        </is>
      </c>
      <c r="AY401" s="30" t="inlineStr">
        <is>
          <t>13333090</t>
        </is>
      </c>
      <c r="AZ401" s="30" t="n">
        <v>1</v>
      </c>
      <c r="BA401" s="30" t="inlineStr">
        <is>
          <t>ROWS:p3r36</t>
        </is>
      </c>
    </row>
    <row r="402">
      <c r="A402" s="16" t="inlineStr">
        <is>
          <t>IRMAOS D AGOSTO LTDA</t>
        </is>
      </c>
      <c r="B402" s="17" t="n">
        <v>236603.51</v>
      </c>
      <c r="C402" s="18" t="inlineStr">
        <is>
          <t>CENTURY CONSTRUÇÕES COMÉRCIO E SERVIÇOS LTDA.</t>
        </is>
      </c>
      <c r="D402" s="19" t="inlineStr">
        <is>
          <t>NEW</t>
        </is>
      </c>
      <c r="E402" s="20" t="inlineStr"/>
      <c r="F402" s="19" t="inlineStr"/>
      <c r="G402" s="20" t="inlineStr"/>
      <c r="H402" s="19" t="inlineStr"/>
      <c r="I402" s="21" t="inlineStr">
        <is>
          <t>Luciano Martins</t>
        </is>
      </c>
      <c r="J402" s="21" t="inlineStr">
        <is>
          <t>Commercial Manager</t>
        </is>
      </c>
      <c r="K402" s="21" t="inlineStr">
        <is>
          <t>(11) 4032-5923</t>
        </is>
      </c>
      <c r="L402" s="21" t="inlineStr"/>
      <c r="M402" s="21" t="inlineStr"/>
      <c r="N402" s="21" t="inlineStr">
        <is>
          <t>luciano.martins@irmaosdagosto.com.br</t>
        </is>
      </c>
      <c r="O402" s="21" t="inlineStr">
        <is>
          <t>graziella@irmaosdagosto.com.br</t>
        </is>
      </c>
      <c r="P402" s="21" t="inlineStr">
        <is>
          <t>Graziella D'Agosto</t>
        </is>
      </c>
      <c r="Q402" s="21" t="inlineStr">
        <is>
          <t>Advogada | Avvocato</t>
        </is>
      </c>
      <c r="R402" s="21" t="inlineStr"/>
      <c r="S402" s="21" t="inlineStr">
        <is>
          <t>graziella@irmaosdagosto.com.br</t>
        </is>
      </c>
      <c r="T402" s="21" t="inlineStr">
        <is>
          <t>email verified by Apollo</t>
        </is>
      </c>
      <c r="U402" s="22" t="n">
        <v>236603.51</v>
      </c>
      <c r="V402" s="23" t="inlineStr">
        <is>
          <t>B</t>
        </is>
      </c>
      <c r="W402" s="24">
        <f>IFERROR(VLOOKUP(V402,Assumptions!$A$7:$F$11,2,FALSE),0)</f>
        <v/>
      </c>
      <c r="X402" s="25">
        <f>IF(V402="A",MAX(1,IFERROR(VLOOKUP(V402,Assumptions!$A$7:$F$11,3,FALSE),3)+IFERROR(VLOOKUP(V402,Assumptions!$A$7:$F$11,4,FALSE),8)/2-MAX(0,IF(AO402="",0,YEAR(TODAY())-AO402)-IFERROR(VLOOKUP(V402,Assumptions!$A$7:$F$11,5,FALSE),1.5))),IFERROR(VLOOKUP(V402,Assumptions!$A$7:$F$11,5,FALSE),2.5)+IFERROR(VLOOKUP(V402,Assumptions!$A$7:$F$11,3,FALSE),3)+IFERROR(VLOOKUP(V402,Assumptions!$A$7:$F$11,4,FALSE),8)/2)</f>
        <v/>
      </c>
      <c r="Y402" s="22">
        <f>U402*W402/(1+Assumptions!$B$3)^X402</f>
        <v/>
      </c>
      <c r="Z402" s="26">
        <f>IF(U402=0,"",ROUND(Y402/U402*100,1))</f>
        <v/>
      </c>
      <c r="AA402" s="27">
        <f>Y402*Assumptions!$B$4</f>
        <v/>
      </c>
      <c r="AB402" s="26">
        <f>IF(U402=0,"",ROUND(AA402/U402*100,1))</f>
        <v/>
      </c>
      <c r="AC402" s="27">
        <f>Y402-AA402</f>
        <v/>
      </c>
      <c r="AD402" s="26">
        <f>IF(U402=0,"",ROUND((Y402-AA402)/U402*100,1))</f>
        <v/>
      </c>
      <c r="AE402" s="33" t="inlineStr">
        <is>
          <t>NO TOTALS — list prints none; check page</t>
        </is>
      </c>
      <c r="AF402" s="29" t="inlineStr">
        <is>
          <t>https://ativosajce.com.br/admin/download.php?file=files/processo_documento/processo_documento16022716122025_1_.pdf&amp;nome=Relação de credores - art. 52, §1º da Lei 11.101/05 - 15/12/2025</t>
        </is>
      </c>
      <c r="AG402" s="28" t="inlineStr">
        <is>
          <t>p3 r32</t>
        </is>
      </c>
      <c r="AH402" s="28" t="inlineStr">
        <is>
          <t>p3: R$ 236.603,51</t>
        </is>
      </c>
      <c r="AI402" s="28" t="inlineStr">
        <is>
          <t>Unclassified list</t>
        </is>
      </c>
      <c r="AJ402" s="28" t="inlineStr"/>
      <c r="AK402" s="28" t="inlineStr">
        <is>
          <t>NONE FOUND</t>
        </is>
      </c>
      <c r="AL402" s="30" t="inlineStr">
        <is>
          <t>4054599-35.2025.8.26.0100</t>
        </is>
      </c>
      <c r="AM402" s="30" t="inlineStr">
        <is>
          <t>TJSP</t>
        </is>
      </c>
      <c r="AN402" s="30" t="inlineStr">
        <is>
          <t>ACTIVE</t>
        </is>
      </c>
      <c r="AO402" s="30" t="n">
        <v>2025</v>
      </c>
      <c r="AP402" s="30" t="inlineStr">
        <is>
          <t>live case, no plan document yet</t>
        </is>
      </c>
      <c r="AQ402" s="30" t="inlineStr">
        <is>
          <t>03.299.563/0001-10</t>
        </is>
      </c>
      <c r="AR402" s="30" t="inlineStr">
        <is>
          <t>printed on the list (read twice)</t>
        </is>
      </c>
      <c r="AS402" s="30" t="inlineStr">
        <is>
          <t>SAO PAULO</t>
        </is>
      </c>
      <c r="AT402" s="30" t="inlineStr">
        <is>
          <t>SP</t>
        </is>
      </c>
      <c r="AU402" s="30" t="inlineStr">
        <is>
          <t>Serviços combinados de escritório e apoio administrativo</t>
        </is>
      </c>
      <c r="AV402" s="30" t="inlineStr">
        <is>
          <t>DEMAIS</t>
        </is>
      </c>
      <c r="AW402" s="31" t="n">
        <v>2366000</v>
      </c>
      <c r="AX402" s="30" t="inlineStr">
        <is>
          <t>MID-MARKET</t>
        </is>
      </c>
      <c r="AY402" s="30" t="inlineStr">
        <is>
          <t>60752763</t>
        </is>
      </c>
      <c r="AZ402" s="30" t="n">
        <v>1</v>
      </c>
      <c r="BA402" s="30" t="inlineStr">
        <is>
          <t>ROWS:p3r32 UNRECONCILED_SOURCE</t>
        </is>
      </c>
    </row>
    <row r="403">
      <c r="A403" s="16" t="inlineStr">
        <is>
          <t>MWM - TUPY DO BRASIL LTDA.</t>
        </is>
      </c>
      <c r="B403" s="17" t="n">
        <v>236192.33</v>
      </c>
      <c r="C403" s="18" t="inlineStr">
        <is>
          <t>Grupo Rech</t>
        </is>
      </c>
      <c r="D403" s="19" t="inlineStr">
        <is>
          <t>NEW</t>
        </is>
      </c>
      <c r="E403" s="20" t="inlineStr"/>
      <c r="F403" s="19" t="inlineStr"/>
      <c r="G403" s="20" t="inlineStr"/>
      <c r="H403" s="19" t="inlineStr"/>
      <c r="I403" s="21" t="inlineStr">
        <is>
          <t>Luiz Vespoli</t>
        </is>
      </c>
      <c r="J403" s="21" t="inlineStr">
        <is>
          <t>Treasury Manager</t>
        </is>
      </c>
      <c r="K403" s="21" t="inlineStr">
        <is>
          <t>(11) 3882-3200</t>
        </is>
      </c>
      <c r="L403" s="21" t="inlineStr"/>
      <c r="M403" s="21" t="inlineStr"/>
      <c r="N403" s="21" t="inlineStr"/>
      <c r="O403" s="21" t="inlineStr">
        <is>
          <t>carlos.galha@mwm.com.br</t>
        </is>
      </c>
      <c r="P403" s="21" t="inlineStr">
        <is>
          <t>Carlos Galha</t>
        </is>
      </c>
      <c r="Q403" s="21" t="inlineStr">
        <is>
          <t>Financial &amp; Sales Controller Manager / Commercial Key Account</t>
        </is>
      </c>
      <c r="R403" s="21" t="inlineStr"/>
      <c r="S403" s="21" t="inlineStr">
        <is>
          <t>carlos.galha@mwm.com.br</t>
        </is>
      </c>
      <c r="T403" s="21" t="inlineStr">
        <is>
          <t>no work email found in Apollo</t>
        </is>
      </c>
      <c r="U403" s="22" t="n">
        <v>236192.33</v>
      </c>
      <c r="V403" s="23" t="inlineStr">
        <is>
          <t>B</t>
        </is>
      </c>
      <c r="W403" s="24">
        <f>IFERROR(VLOOKUP(V403,Assumptions!$A$7:$F$11,2,FALSE),0)</f>
        <v/>
      </c>
      <c r="X403" s="25">
        <f>IF(V403="A",MAX(1,IFERROR(VLOOKUP(V403,Assumptions!$A$7:$F$11,3,FALSE),3)+IFERROR(VLOOKUP(V403,Assumptions!$A$7:$F$11,4,FALSE),8)/2-MAX(0,IF(AO403="",0,YEAR(TODAY())-AO403)-IFERROR(VLOOKUP(V403,Assumptions!$A$7:$F$11,5,FALSE),1.5))),IFERROR(VLOOKUP(V403,Assumptions!$A$7:$F$11,5,FALSE),2.5)+IFERROR(VLOOKUP(V403,Assumptions!$A$7:$F$11,3,FALSE),3)+IFERROR(VLOOKUP(V403,Assumptions!$A$7:$F$11,4,FALSE),8)/2)</f>
        <v/>
      </c>
      <c r="Y403" s="22">
        <f>U403*W403/(1+Assumptions!$B$3)^X403</f>
        <v/>
      </c>
      <c r="Z403" s="26">
        <f>IF(U403=0,"",ROUND(Y403/U403*100,1))</f>
        <v/>
      </c>
      <c r="AA403" s="27">
        <f>Y403*Assumptions!$B$4</f>
        <v/>
      </c>
      <c r="AB403" s="26">
        <f>IF(U403=0,"",ROUND(AA403/U403*100,1))</f>
        <v/>
      </c>
      <c r="AC403" s="27">
        <f>Y403-AA403</f>
        <v/>
      </c>
      <c r="AD403" s="26">
        <f>IF(U403=0,"",ROUND((Y403-AA403)/U403*100,1))</f>
        <v/>
      </c>
      <c r="AE403" s="36" t="inlineStr">
        <is>
          <t>CHECK — source is not a statutory creditor list</t>
        </is>
      </c>
      <c r="AF403" s="29" t="inlineStr">
        <is>
          <t>https://credibilita.com.br/wp-content/uploads/2025/09/Relacao-Credores-29.04.2026.pdf</t>
        </is>
      </c>
      <c r="AG403" s="28" t="inlineStr">
        <is>
          <t>p2 r6</t>
        </is>
      </c>
      <c r="AH403" s="28" t="inlineStr">
        <is>
          <t>p2: R$ 236.192,33</t>
        </is>
      </c>
      <c r="AI403" s="28" t="inlineStr">
        <is>
          <t>Quorum list — NOT an art. 7/51 list</t>
        </is>
      </c>
      <c r="AJ403" s="28" t="inlineStr"/>
      <c r="AK403" s="28" t="inlineStr">
        <is>
          <t>NONE FOUND</t>
        </is>
      </c>
      <c r="AL403" s="30" t="inlineStr">
        <is>
          <t>5057720-48.2025.8.24.0023</t>
        </is>
      </c>
      <c r="AM403" s="30" t="inlineStr">
        <is>
          <t>TJSC</t>
        </is>
      </c>
      <c r="AN403" s="30" t="inlineStr"/>
      <c r="AO403" s="30" t="n">
        <v>2025</v>
      </c>
      <c r="AP403" s="30" t="inlineStr">
        <is>
          <t>live case, no plan document yet</t>
        </is>
      </c>
      <c r="AQ403" s="30" t="inlineStr"/>
      <c r="AR403" s="30" t="inlineStr">
        <is>
          <t>portal page title / URL — not printed on the list</t>
        </is>
      </c>
      <c r="AS403" s="30" t="inlineStr">
        <is>
          <t>SAO PAULO</t>
        </is>
      </c>
      <c r="AT403" s="30" t="inlineStr">
        <is>
          <t>SP</t>
        </is>
      </c>
      <c r="AU403" s="30" t="inlineStr">
        <is>
          <t>Serviços combinados de escritório e apoio administrativo</t>
        </is>
      </c>
      <c r="AV403" s="30" t="inlineStr">
        <is>
          <t>DEMAIS</t>
        </is>
      </c>
      <c r="AW403" s="31" t="n">
        <v>1006582200</v>
      </c>
      <c r="AX403" s="30" t="inlineStr">
        <is>
          <t>LARGE CORP</t>
        </is>
      </c>
      <c r="AY403" s="30" t="inlineStr">
        <is>
          <t>02162259</t>
        </is>
      </c>
      <c r="AZ403" s="30" t="n">
        <v>1</v>
      </c>
      <c r="BA403" s="30" t="inlineStr">
        <is>
          <t>ROWS:p2r6 UNRECONCILED_SOURCE VALUE_COL:Valor_Após_Analise CASE_NUMBER_CORRECTED</t>
        </is>
      </c>
    </row>
    <row r="404">
      <c r="A404" s="16" t="inlineStr">
        <is>
          <t>LT QUIMICA LTDA</t>
        </is>
      </c>
      <c r="B404" s="17" t="n">
        <v>235156.14</v>
      </c>
      <c r="C404" s="18" t="inlineStr">
        <is>
          <t>GRUPO DIVINA</t>
        </is>
      </c>
      <c r="D404" s="19" t="inlineStr">
        <is>
          <t>NEW</t>
        </is>
      </c>
      <c r="E404" s="20" t="inlineStr"/>
      <c r="F404" s="19" t="inlineStr"/>
      <c r="G404" s="20" t="inlineStr"/>
      <c r="H404" s="19" t="inlineStr"/>
      <c r="I404" s="21" t="inlineStr">
        <is>
          <t>Fabiane Marcon</t>
        </is>
      </c>
      <c r="J404" s="21" t="inlineStr">
        <is>
          <t>Auxiliar de Escritório na Lt Química</t>
        </is>
      </c>
      <c r="K404" s="21" t="inlineStr">
        <is>
          <t>(51) 3561-6000</t>
        </is>
      </c>
      <c r="L404" s="21" t="inlineStr"/>
      <c r="M404" s="21" t="inlineStr"/>
      <c r="N404" s="21" t="inlineStr"/>
      <c r="O404" s="21" t="inlineStr"/>
      <c r="P404" s="21" t="inlineStr">
        <is>
          <t>GILMAR PEREIRA LOURENCO</t>
        </is>
      </c>
      <c r="Q404" s="21" t="inlineStr">
        <is>
          <t>Administrador (RFB partner)</t>
        </is>
      </c>
      <c r="R404" s="21" t="inlineStr"/>
      <c r="S404" s="21" t="inlineStr"/>
      <c r="T404" s="21" t="inlineStr">
        <is>
          <t>no work email found in Apollo</t>
        </is>
      </c>
      <c r="U404" s="22" t="n">
        <v>235156.14</v>
      </c>
      <c r="V404" s="23" t="inlineStr">
        <is>
          <t>B</t>
        </is>
      </c>
      <c r="W404" s="24">
        <f>IFERROR(VLOOKUP(V404,Assumptions!$A$7:$F$11,2,FALSE),0)</f>
        <v/>
      </c>
      <c r="X404" s="25">
        <f>IF(V404="A",MAX(1,IFERROR(VLOOKUP(V404,Assumptions!$A$7:$F$11,3,FALSE),3)+IFERROR(VLOOKUP(V404,Assumptions!$A$7:$F$11,4,FALSE),8)/2-MAX(0,IF(AO404="",0,YEAR(TODAY())-AO404)-IFERROR(VLOOKUP(V404,Assumptions!$A$7:$F$11,5,FALSE),1.5))),IFERROR(VLOOKUP(V404,Assumptions!$A$7:$F$11,5,FALSE),2.5)+IFERROR(VLOOKUP(V404,Assumptions!$A$7:$F$11,3,FALSE),3)+IFERROR(VLOOKUP(V404,Assumptions!$A$7:$F$11,4,FALSE),8)/2)</f>
        <v/>
      </c>
      <c r="Y404" s="22">
        <f>U404*W404/(1+Assumptions!$B$3)^X404</f>
        <v/>
      </c>
      <c r="Z404" s="26">
        <f>IF(U404=0,"",ROUND(Y404/U404*100,1))</f>
        <v/>
      </c>
      <c r="AA404" s="27">
        <f>Y404*Assumptions!$B$4</f>
        <v/>
      </c>
      <c r="AB404" s="26">
        <f>IF(U404=0,"",ROUND(AA404/U404*100,1))</f>
        <v/>
      </c>
      <c r="AC404" s="27">
        <f>Y404-AA404</f>
        <v/>
      </c>
      <c r="AD404" s="26">
        <f>IF(U404=0,"",ROUND((Y404-AA404)/U404*100,1))</f>
        <v/>
      </c>
      <c r="AE404" s="34" t="inlineStr">
        <is>
          <t>PARTIAL — class III reconciled, other classes not</t>
        </is>
      </c>
      <c r="AF404" s="29" t="inlineStr">
        <is>
          <t>https://lrflideres.com.br/wp-content/plugins/download-attachments/includes/download.php?id=6252</t>
        </is>
      </c>
      <c r="AG404" s="28" t="inlineStr">
        <is>
          <t>p2 r58</t>
        </is>
      </c>
      <c r="AH404" s="28" t="inlineStr">
        <is>
          <t>p2: R$ 235.156,14</t>
        </is>
      </c>
      <c r="AI404" s="28" t="inlineStr">
        <is>
          <t>AJ list (art. 7 §2)</t>
        </is>
      </c>
      <c r="AJ404" s="28" t="inlineStr">
        <is>
          <t>2024-11-27</t>
        </is>
      </c>
      <c r="AK404" s="28" t="inlineStr">
        <is>
          <t>NONE FOUND</t>
        </is>
      </c>
      <c r="AL404" s="30" t="inlineStr">
        <is>
          <t>0000721-61.2024.8.17.2620</t>
        </is>
      </c>
      <c r="AM404" s="30" t="inlineStr">
        <is>
          <t>TJPE</t>
        </is>
      </c>
      <c r="AN404" s="30" t="inlineStr">
        <is>
          <t>ACTIVE</t>
        </is>
      </c>
      <c r="AO404" s="30" t="n">
        <v>2024</v>
      </c>
      <c r="AP404" s="30" t="inlineStr">
        <is>
          <t>live case, no plan document yet</t>
        </is>
      </c>
      <c r="AQ404" s="30" t="inlineStr">
        <is>
          <t>08.785.522/0001-58</t>
        </is>
      </c>
      <c r="AR404" s="30" t="inlineStr">
        <is>
          <t>printed on the list (read twice)</t>
        </is>
      </c>
      <c r="AS404" s="30" t="inlineStr">
        <is>
          <t>ESTANCIA VELHA</t>
        </is>
      </c>
      <c r="AT404" s="30" t="inlineStr">
        <is>
          <t>RS</t>
        </is>
      </c>
      <c r="AU404" s="30" t="inlineStr">
        <is>
          <t>Comércio atacadista especializado em outros produtos intermediários não especificados anteriormente</t>
        </is>
      </c>
      <c r="AV404" s="30" t="inlineStr">
        <is>
          <t>DEMAIS</t>
        </is>
      </c>
      <c r="AW404" s="31" t="n">
        <v>300000</v>
      </c>
      <c r="AX404" s="30" t="inlineStr">
        <is>
          <t>MID-MARKET</t>
        </is>
      </c>
      <c r="AY404" s="30" t="inlineStr">
        <is>
          <t>04327273</t>
        </is>
      </c>
      <c r="AZ404" s="30" t="n">
        <v>1</v>
      </c>
      <c r="BA404" s="30" t="inlineStr">
        <is>
          <t>PARTIAL_DOC_CLASS_III_RECONCILED ROWS:p2r58</t>
        </is>
      </c>
    </row>
    <row r="405">
      <c r="A405" s="16" t="inlineStr">
        <is>
          <t>DIMASTER - COMERCIO DE PRODUTOS HOSPITALARES LTDA.</t>
        </is>
      </c>
      <c r="B405" s="17" t="n">
        <v>232250.7</v>
      </c>
      <c r="C405" s="18" t="inlineStr">
        <is>
          <t>ASSOCIAÇÃO DE CARIDADE SANTA CASA DO RIO GRANDE</t>
        </is>
      </c>
      <c r="D405" s="19" t="inlineStr">
        <is>
          <t>NEW</t>
        </is>
      </c>
      <c r="E405" s="20" t="inlineStr"/>
      <c r="F405" s="19" t="inlineStr"/>
      <c r="G405" s="20" t="inlineStr"/>
      <c r="H405" s="19" t="inlineStr"/>
      <c r="I405" s="21" t="inlineStr">
        <is>
          <t>Odair Balestrin</t>
        </is>
      </c>
      <c r="J405" s="21" t="inlineStr">
        <is>
          <t>Director</t>
        </is>
      </c>
      <c r="K405" s="21" t="inlineStr">
        <is>
          <t>(54) 3523-2600</t>
        </is>
      </c>
      <c r="L405" s="21" t="inlineStr"/>
      <c r="M405" s="21" t="inlineStr"/>
      <c r="N405" s="21" t="inlineStr">
        <is>
          <t>odair@dimaster.com.br</t>
        </is>
      </c>
      <c r="O405" s="21" t="inlineStr"/>
      <c r="P405" s="21" t="inlineStr">
        <is>
          <t>Cassiane Bordignon</t>
        </is>
      </c>
      <c r="Q405" s="21" t="inlineStr">
        <is>
          <t>Administrative Supervisor</t>
        </is>
      </c>
      <c r="R405" s="21" t="inlineStr"/>
      <c r="S405" s="21" t="inlineStr"/>
      <c r="T405" s="21" t="inlineStr">
        <is>
          <t>email verified by Apollo</t>
        </is>
      </c>
      <c r="U405" s="22" t="n">
        <v>232250.7</v>
      </c>
      <c r="V405" s="23" t="inlineStr">
        <is>
          <t>B</t>
        </is>
      </c>
      <c r="W405" s="24">
        <f>IFERROR(VLOOKUP(V405,Assumptions!$A$7:$F$11,2,FALSE),0)</f>
        <v/>
      </c>
      <c r="X405" s="25">
        <f>IF(V405="A",MAX(1,IFERROR(VLOOKUP(V405,Assumptions!$A$7:$F$11,3,FALSE),3)+IFERROR(VLOOKUP(V405,Assumptions!$A$7:$F$11,4,FALSE),8)/2-MAX(0,IF(AO405="",0,YEAR(TODAY())-AO405)-IFERROR(VLOOKUP(V405,Assumptions!$A$7:$F$11,5,FALSE),1.5))),IFERROR(VLOOKUP(V405,Assumptions!$A$7:$F$11,5,FALSE),2.5)+IFERROR(VLOOKUP(V405,Assumptions!$A$7:$F$11,3,FALSE),3)+IFERROR(VLOOKUP(V405,Assumptions!$A$7:$F$11,4,FALSE),8)/2)</f>
        <v/>
      </c>
      <c r="Y405" s="22">
        <f>U405*W405/(1+Assumptions!$B$3)^X405</f>
        <v/>
      </c>
      <c r="Z405" s="26">
        <f>IF(U405=0,"",ROUND(Y405/U405*100,1))</f>
        <v/>
      </c>
      <c r="AA405" s="27">
        <f>Y405*Assumptions!$B$4</f>
        <v/>
      </c>
      <c r="AB405" s="26">
        <f>IF(U405=0,"",ROUND(AA405/U405*100,1))</f>
        <v/>
      </c>
      <c r="AC405" s="27">
        <f>Y405-AA405</f>
        <v/>
      </c>
      <c r="AD405" s="26">
        <f>IF(U405=0,"",ROUND((Y405-AA405)/U405*100,1))</f>
        <v/>
      </c>
      <c r="AE405" s="33" t="inlineStr">
        <is>
          <t>NO TOTALS — list prints none; check page</t>
        </is>
      </c>
      <c r="AF405" s="29" t="inlineStr">
        <is>
          <t>https://scalzilliaj.com.br/sgc/download.php?file=files/processo_documento/processo_documento09120721032023_1_.pdf&amp;nome=15 - Edital do art. 7º, §2º e 53 da Lei 11.101/2005 (segunda lista de credores e recebimento do plano))</t>
        </is>
      </c>
      <c r="AG405" s="28" t="inlineStr">
        <is>
          <t>p27 r7</t>
        </is>
      </c>
      <c r="AH405" s="28" t="inlineStr">
        <is>
          <t>p27: R$ 232.250,70</t>
        </is>
      </c>
      <c r="AI405" s="28" t="inlineStr">
        <is>
          <t>AJ list (art. 7 §2)</t>
        </is>
      </c>
      <c r="AJ405" s="28" t="inlineStr">
        <is>
          <t>2023-03-21</t>
        </is>
      </c>
      <c r="AK405" s="28" t="inlineStr">
        <is>
          <t>NONE FOUND</t>
        </is>
      </c>
      <c r="AL405" s="30" t="inlineStr">
        <is>
          <t>5012306-16.2022.8.21.0023</t>
        </is>
      </c>
      <c r="AM405" s="30" t="inlineStr">
        <is>
          <t>TJRS</t>
        </is>
      </c>
      <c r="AN405" s="30" t="inlineStr">
        <is>
          <t>ACTIVE</t>
        </is>
      </c>
      <c r="AO405" s="30" t="n">
        <v>2022</v>
      </c>
      <c r="AP405" s="30" t="inlineStr">
        <is>
          <t>live case, no plan document yet</t>
        </is>
      </c>
      <c r="AQ405" s="30" t="inlineStr"/>
      <c r="AR405" s="30" t="inlineStr">
        <is>
          <t>printed on the list (read twice)</t>
        </is>
      </c>
      <c r="AS405" s="30" t="inlineStr">
        <is>
          <t>BARAO DE COTEGIPE</t>
        </is>
      </c>
      <c r="AT405" s="30" t="inlineStr">
        <is>
          <t>RS</t>
        </is>
      </c>
      <c r="AU405" s="30" t="inlineStr">
        <is>
          <t>Comércio atacadista de medicamentos e drogas de uso humano</t>
        </is>
      </c>
      <c r="AV405" s="30" t="inlineStr">
        <is>
          <t>DEMAIS</t>
        </is>
      </c>
      <c r="AW405" s="31" t="n">
        <v>42915600</v>
      </c>
      <c r="AX405" s="30" t="inlineStr">
        <is>
          <t>MID-MARKET</t>
        </is>
      </c>
      <c r="AY405" s="30" t="inlineStr">
        <is>
          <t>02520829</t>
        </is>
      </c>
      <c r="AZ405" s="30" t="n">
        <v>1</v>
      </c>
      <c r="BA405" s="30" t="inlineStr">
        <is>
          <t>ROWS:p27r7 UNRECONCILED_SOURCE</t>
        </is>
      </c>
    </row>
    <row r="406">
      <c r="A406" s="16" t="inlineStr">
        <is>
          <t>UNICHARM DO BRASIL INDUSTRIA E COMERCIO DE PRODUTOS DE HIGIENE LTDA.,</t>
        </is>
      </c>
      <c r="B406" s="17" t="n">
        <v>228249.92</v>
      </c>
      <c r="C406" s="18" t="inlineStr">
        <is>
          <t>GRUPO DP4</t>
        </is>
      </c>
      <c r="D406" s="19" t="inlineStr">
        <is>
          <t>NEW</t>
        </is>
      </c>
      <c r="E406" s="20" t="inlineStr"/>
      <c r="F406" s="19" t="inlineStr"/>
      <c r="G406" s="20" t="inlineStr"/>
      <c r="H406" s="19" t="inlineStr"/>
      <c r="I406" s="21" t="inlineStr">
        <is>
          <t>Katsumi Fuki</t>
        </is>
      </c>
      <c r="J406" s="21" t="inlineStr">
        <is>
          <t>Diretor Financeiro na Unicharm</t>
        </is>
      </c>
      <c r="K406" s="21" t="inlineStr">
        <is>
          <t>(19) 3370-3249</t>
        </is>
      </c>
      <c r="L406" s="21" t="inlineStr">
        <is>
          <t>(19) 3370-3254</t>
        </is>
      </c>
      <c r="M406" s="21" t="inlineStr"/>
      <c r="N406" s="21" t="inlineStr">
        <is>
          <t>katsumi-fuki@unicharm.com</t>
        </is>
      </c>
      <c r="O406" s="21" t="inlineStr">
        <is>
          <t>gleison-oliveira@unicharm.com</t>
        </is>
      </c>
      <c r="P406" s="21" t="inlineStr">
        <is>
          <t>Gleison Oliveira</t>
        </is>
      </c>
      <c r="Q406" s="21" t="inlineStr">
        <is>
          <t>Controller</t>
        </is>
      </c>
      <c r="R406" s="21" t="inlineStr"/>
      <c r="S406" s="21" t="inlineStr">
        <is>
          <t>gleison-oliveira@unicharm.com</t>
        </is>
      </c>
      <c r="T406" s="21" t="inlineStr">
        <is>
          <t>email verified by Apollo</t>
        </is>
      </c>
      <c r="U406" s="22" t="n">
        <v>228249.92</v>
      </c>
      <c r="V406" s="23" t="inlineStr">
        <is>
          <t>B</t>
        </is>
      </c>
      <c r="W406" s="24">
        <f>IFERROR(VLOOKUP(V406,Assumptions!$A$7:$F$11,2,FALSE),0)</f>
        <v/>
      </c>
      <c r="X406" s="25">
        <f>IF(V406="A",MAX(1,IFERROR(VLOOKUP(V406,Assumptions!$A$7:$F$11,3,FALSE),3)+IFERROR(VLOOKUP(V406,Assumptions!$A$7:$F$11,4,FALSE),8)/2-MAX(0,IF(AO406="",0,YEAR(TODAY())-AO406)-IFERROR(VLOOKUP(V406,Assumptions!$A$7:$F$11,5,FALSE),1.5))),IFERROR(VLOOKUP(V406,Assumptions!$A$7:$F$11,5,FALSE),2.5)+IFERROR(VLOOKUP(V406,Assumptions!$A$7:$F$11,3,FALSE),3)+IFERROR(VLOOKUP(V406,Assumptions!$A$7:$F$11,4,FALSE),8)/2)</f>
        <v/>
      </c>
      <c r="Y406" s="22">
        <f>U406*W406/(1+Assumptions!$B$3)^X406</f>
        <v/>
      </c>
      <c r="Z406" s="26">
        <f>IF(U406=0,"",ROUND(Y406/U406*100,1))</f>
        <v/>
      </c>
      <c r="AA406" s="27">
        <f>Y406*Assumptions!$B$4</f>
        <v/>
      </c>
      <c r="AB406" s="26">
        <f>IF(U406=0,"",ROUND(AA406/U406*100,1))</f>
        <v/>
      </c>
      <c r="AC406" s="27">
        <f>Y406-AA406</f>
        <v/>
      </c>
      <c r="AD406" s="26">
        <f>IF(U406=0,"",ROUND((Y406-AA406)/U406*100,1))</f>
        <v/>
      </c>
      <c r="AE406" s="34" t="inlineStr">
        <is>
          <t>PARTIAL — class III reconciled, other classes not</t>
        </is>
      </c>
      <c r="AF406" s="29" t="inlineStr">
        <is>
          <t>https://marquesadmjudicial.com.br/sgc/download.php?file=files/processo_documento/processo_documento15293208032024_1_.pdf&amp;nome=Relação Nominal de Credores da AJ-Sintética</t>
        </is>
      </c>
      <c r="AG406" s="28" t="inlineStr">
        <is>
          <t>p32 r4</t>
        </is>
      </c>
      <c r="AH406" s="28" t="inlineStr">
        <is>
          <t>p32: R$ 228.249,92</t>
        </is>
      </c>
      <c r="AI406" s="28" t="inlineStr">
        <is>
          <t>AJ list (art. 7 §2)</t>
        </is>
      </c>
      <c r="AJ406" s="28" t="inlineStr">
        <is>
          <t>2023-03-02</t>
        </is>
      </c>
      <c r="AK406" s="28" t="inlineStr">
        <is>
          <t>NONE FOUND</t>
        </is>
      </c>
      <c r="AL406" s="30" t="inlineStr">
        <is>
          <t>0005010-98.2023.8.16.0001</t>
        </is>
      </c>
      <c r="AM406" s="30" t="inlineStr">
        <is>
          <t>TJPR</t>
        </is>
      </c>
      <c r="AN406" s="30" t="inlineStr">
        <is>
          <t>ACTIVE</t>
        </is>
      </c>
      <c r="AO406" s="30" t="n">
        <v>2023</v>
      </c>
      <c r="AP406" s="30" t="inlineStr">
        <is>
          <t>live case, no plan document yet</t>
        </is>
      </c>
      <c r="AQ406" s="30" t="inlineStr"/>
      <c r="AR406" s="30" t="inlineStr">
        <is>
          <t>printed on the list (read twice)</t>
        </is>
      </c>
      <c r="AS406" s="30" t="inlineStr">
        <is>
          <t>JAGUARIUNA</t>
        </is>
      </c>
      <c r="AT406" s="30" t="inlineStr">
        <is>
          <t>SP</t>
        </is>
      </c>
      <c r="AU406" s="30" t="inlineStr">
        <is>
          <t>Fabricação de fraldas descartáveis</t>
        </is>
      </c>
      <c r="AV406" s="30" t="inlineStr">
        <is>
          <t>DEMAIS</t>
        </is>
      </c>
      <c r="AW406" s="31" t="n">
        <v>873783400</v>
      </c>
      <c r="AX406" s="30" t="inlineStr">
        <is>
          <t>MID-MARKET</t>
        </is>
      </c>
      <c r="AY406" s="30" t="inlineStr">
        <is>
          <t>13884068</t>
        </is>
      </c>
      <c r="AZ406" s="30" t="n">
        <v>1</v>
      </c>
      <c r="BA406" s="30" t="inlineStr">
        <is>
          <t>PARTIAL_DOC_CLASS_III_RECONCILED ROWS:p32r4</t>
        </is>
      </c>
    </row>
    <row r="407">
      <c r="A407" s="16" t="inlineStr">
        <is>
          <t>GOOGLE BRASIL INTERNET LTDA.</t>
        </is>
      </c>
      <c r="B407" s="17" t="n">
        <v>228215.86</v>
      </c>
      <c r="C407" s="18" t="inlineStr">
        <is>
          <t>Grupo Pneus Paulista (ITAIM SERVICOS AUTOMOTIVOS LTDA / SAÚDE SERVICOS AUTOMOTIVOS LTDA / TA…)</t>
        </is>
      </c>
      <c r="D407" s="19" t="inlineStr">
        <is>
          <t>NEW</t>
        </is>
      </c>
      <c r="E407" s="20" t="inlineStr"/>
      <c r="F407" s="19" t="inlineStr"/>
      <c r="G407" s="20" t="inlineStr"/>
      <c r="H407" s="19" t="inlineStr"/>
      <c r="I407" s="21" t="inlineStr">
        <is>
          <t>Sheimi Hayazaki</t>
        </is>
      </c>
      <c r="J407" s="21" t="inlineStr">
        <is>
          <t>Brazil Country Controller &amp; Latam Cloud Business Controller</t>
        </is>
      </c>
      <c r="K407" s="21" t="inlineStr">
        <is>
          <t>(11) 2395-8400</t>
        </is>
      </c>
      <c r="L407" s="21" t="inlineStr"/>
      <c r="M407" s="21" t="inlineStr"/>
      <c r="N407" s="21" t="inlineStr">
        <is>
          <t>sheimihayazaki@google.com</t>
        </is>
      </c>
      <c r="O407" s="21" t="inlineStr">
        <is>
          <t>ednaldo@google.com</t>
        </is>
      </c>
      <c r="P407" s="21" t="inlineStr">
        <is>
          <t>Ednaldo Silveira</t>
        </is>
      </c>
      <c r="Q407" s="21" t="inlineStr">
        <is>
          <t>Senior Finance Director</t>
        </is>
      </c>
      <c r="R407" s="21" t="inlineStr"/>
      <c r="S407" s="21" t="inlineStr">
        <is>
          <t>ednaldo@google.com</t>
        </is>
      </c>
      <c r="T407" s="21" t="inlineStr">
        <is>
          <t>email verified by Apollo</t>
        </is>
      </c>
      <c r="U407" s="22" t="n">
        <v>228215.86</v>
      </c>
      <c r="V407" s="23" t="inlineStr">
        <is>
          <t>B</t>
        </is>
      </c>
      <c r="W407" s="24">
        <f>IFERROR(VLOOKUP(V407,Assumptions!$A$7:$F$11,2,FALSE),0)</f>
        <v/>
      </c>
      <c r="X407" s="25">
        <f>IF(V407="A",MAX(1,IFERROR(VLOOKUP(V407,Assumptions!$A$7:$F$11,3,FALSE),3)+IFERROR(VLOOKUP(V407,Assumptions!$A$7:$F$11,4,FALSE),8)/2-MAX(0,IF(AO407="",0,YEAR(TODAY())-AO407)-IFERROR(VLOOKUP(V407,Assumptions!$A$7:$F$11,5,FALSE),1.5))),IFERROR(VLOOKUP(V407,Assumptions!$A$7:$F$11,5,FALSE),2.5)+IFERROR(VLOOKUP(V407,Assumptions!$A$7:$F$11,3,FALSE),3)+IFERROR(VLOOKUP(V407,Assumptions!$A$7:$F$11,4,FALSE),8)/2)</f>
        <v/>
      </c>
      <c r="Y407" s="22">
        <f>U407*W407/(1+Assumptions!$B$3)^X407</f>
        <v/>
      </c>
      <c r="Z407" s="26">
        <f>IF(U407=0,"",ROUND(Y407/U407*100,1))</f>
        <v/>
      </c>
      <c r="AA407" s="27">
        <f>Y407*Assumptions!$B$4</f>
        <v/>
      </c>
      <c r="AB407" s="26">
        <f>IF(U407=0,"",ROUND(AA407/U407*100,1))</f>
        <v/>
      </c>
      <c r="AC407" s="27">
        <f>Y407-AA407</f>
        <v/>
      </c>
      <c r="AD407" s="26">
        <f>IF(U407=0,"",ROUND((Y407-AA407)/U407*100,1))</f>
        <v/>
      </c>
      <c r="AE407" s="33" t="inlineStr">
        <is>
          <t>NO TOTALS — list prints none; check page</t>
        </is>
      </c>
      <c r="AF407" s="29" t="inlineStr">
        <is>
          <t>https://acfb.com.br/wp-content/uploads/2026/06/Relacao_de_Credores_Pneus_-_SITE.pdf</t>
        </is>
      </c>
      <c r="AG407" s="28" t="inlineStr">
        <is>
          <t>p6 r38</t>
        </is>
      </c>
      <c r="AH407" s="28" t="inlineStr">
        <is>
          <t>p6: R$ 228.215,86</t>
        </is>
      </c>
      <c r="AI407" s="28" t="inlineStr">
        <is>
          <t>Unclassified list</t>
        </is>
      </c>
      <c r="AJ407" s="28" t="inlineStr"/>
      <c r="AK407" s="28" t="inlineStr">
        <is>
          <t>NONE FOUND</t>
        </is>
      </c>
      <c r="AL407" s="30" t="inlineStr">
        <is>
          <t>4077687-05.2025.8.26.0100</t>
        </is>
      </c>
      <c r="AM407" s="30" t="inlineStr">
        <is>
          <t>TJSP</t>
        </is>
      </c>
      <c r="AN407" s="30" t="inlineStr">
        <is>
          <t>ACTIVE</t>
        </is>
      </c>
      <c r="AO407" s="30" t="n">
        <v>2025</v>
      </c>
      <c r="AP407" s="30" t="inlineStr">
        <is>
          <t>live case, no plan document yet</t>
        </is>
      </c>
      <c r="AQ407" s="30" t="inlineStr"/>
      <c r="AR407" s="30" t="inlineStr">
        <is>
          <t>printed on the list (read twice)</t>
        </is>
      </c>
      <c r="AS407" s="30" t="inlineStr">
        <is>
          <t>SAO PAULO</t>
        </is>
      </c>
      <c r="AT407" s="30" t="inlineStr">
        <is>
          <t>SP</t>
        </is>
      </c>
      <c r="AU407" s="30" t="inlineStr">
        <is>
          <t>Portais, provedores de conteúdo e outros serviços de informação na internet</t>
        </is>
      </c>
      <c r="AV407" s="30" t="inlineStr">
        <is>
          <t>DEMAIS</t>
        </is>
      </c>
      <c r="AW407" s="31" t="n">
        <v>200000000</v>
      </c>
      <c r="AX407" s="30" t="inlineStr">
        <is>
          <t>MID-MARKET</t>
        </is>
      </c>
      <c r="AY407" s="30" t="inlineStr">
        <is>
          <t>06990590</t>
        </is>
      </c>
      <c r="AZ407" s="30" t="n">
        <v>1</v>
      </c>
      <c r="BA407" s="30" t="inlineStr">
        <is>
          <t>ROWS:p6r38 UNRECONCILED_SOURCE</t>
        </is>
      </c>
    </row>
    <row r="408">
      <c r="A408" s="16" t="inlineStr">
        <is>
          <t>IOSEI PARTICIPACOES LTDA</t>
        </is>
      </c>
      <c r="B408" s="17" t="n">
        <v>226966.22</v>
      </c>
      <c r="C408" s="18" t="inlineStr">
        <is>
          <t>GRUPO DIAGSON</t>
        </is>
      </c>
      <c r="D408" s="19" t="inlineStr">
        <is>
          <t>NEW</t>
        </is>
      </c>
      <c r="E408" s="20" t="inlineStr"/>
      <c r="F408" s="19" t="inlineStr"/>
      <c r="G408" s="20" t="inlineStr"/>
      <c r="H408" s="19" t="inlineStr"/>
      <c r="I408" s="21" t="inlineStr">
        <is>
          <t>Aline Goncalves</t>
        </is>
      </c>
      <c r="J408" s="21" t="inlineStr">
        <is>
          <t>Director of Operations &amp; Global Expansion</t>
        </is>
      </c>
      <c r="K408" s="21" t="inlineStr">
        <is>
          <t>(62) 9128-0209</t>
        </is>
      </c>
      <c r="L408" s="21" t="inlineStr">
        <is>
          <t>000000000000</t>
        </is>
      </c>
      <c r="M408" s="21" t="inlineStr"/>
      <c r="N408" s="21" t="inlineStr">
        <is>
          <t>aline@iosei.med.br</t>
        </is>
      </c>
      <c r="O408" s="21" t="inlineStr">
        <is>
          <t>emerson@iosei.med.br</t>
        </is>
      </c>
      <c r="P408" s="21" t="inlineStr">
        <is>
          <t>Emerson Sousa</t>
        </is>
      </c>
      <c r="Q408" s="21" t="inlineStr">
        <is>
          <t>Gerente de Expansão Global</t>
        </is>
      </c>
      <c r="R408" s="21" t="inlineStr"/>
      <c r="S408" s="21" t="inlineStr">
        <is>
          <t>emerson@iosei.med.br</t>
        </is>
      </c>
      <c r="T408" s="21" t="inlineStr">
        <is>
          <t>email verified by Apollo</t>
        </is>
      </c>
      <c r="U408" s="22" t="n">
        <v>226966.22</v>
      </c>
      <c r="V408" s="23" t="inlineStr">
        <is>
          <t>B</t>
        </is>
      </c>
      <c r="W408" s="24">
        <f>IFERROR(VLOOKUP(V408,Assumptions!$A$7:$F$11,2,FALSE),0)</f>
        <v/>
      </c>
      <c r="X408" s="25">
        <f>IF(V408="A",MAX(1,IFERROR(VLOOKUP(V408,Assumptions!$A$7:$F$11,3,FALSE),3)+IFERROR(VLOOKUP(V408,Assumptions!$A$7:$F$11,4,FALSE),8)/2-MAX(0,IF(AO408="",0,YEAR(TODAY())-AO408)-IFERROR(VLOOKUP(V408,Assumptions!$A$7:$F$11,5,FALSE),1.5))),IFERROR(VLOOKUP(V408,Assumptions!$A$7:$F$11,5,FALSE),2.5)+IFERROR(VLOOKUP(V408,Assumptions!$A$7:$F$11,3,FALSE),3)+IFERROR(VLOOKUP(V408,Assumptions!$A$7:$F$11,4,FALSE),8)/2)</f>
        <v/>
      </c>
      <c r="Y408" s="22">
        <f>U408*W408/(1+Assumptions!$B$3)^X408</f>
        <v/>
      </c>
      <c r="Z408" s="26">
        <f>IF(U408=0,"",ROUND(Y408/U408*100,1))</f>
        <v/>
      </c>
      <c r="AA408" s="27">
        <f>Y408*Assumptions!$B$4</f>
        <v/>
      </c>
      <c r="AB408" s="26">
        <f>IF(U408=0,"",ROUND(AA408/U408*100,1))</f>
        <v/>
      </c>
      <c r="AC408" s="27">
        <f>Y408-AA408</f>
        <v/>
      </c>
      <c r="AD408" s="26">
        <f>IF(U408=0,"",ROUND((Y408-AA408)/U408*100,1))</f>
        <v/>
      </c>
      <c r="AE408" s="34" t="inlineStr">
        <is>
          <t>PARTIAL — class III reconciled, other classes not</t>
        </is>
      </c>
      <c r="AF408" s="29" t="inlineStr">
        <is>
          <t>https://lrflideres.com.br/wp-content/plugins/download-attachments/includes/download.php?id=7418</t>
        </is>
      </c>
      <c r="AG408" s="28" t="inlineStr">
        <is>
          <t>p2 r65</t>
        </is>
      </c>
      <c r="AH408" s="28" t="inlineStr">
        <is>
          <t>p2: R$ 226.966,22</t>
        </is>
      </c>
      <c r="AI408" s="28" t="inlineStr">
        <is>
          <t>Debtor list (art. 51)</t>
        </is>
      </c>
      <c r="AJ408" s="28" t="inlineStr">
        <is>
          <t>2026-07-28</t>
        </is>
      </c>
      <c r="AK408" s="28" t="inlineStr">
        <is>
          <t>NONE FOUND</t>
        </is>
      </c>
      <c r="AL408" s="30" t="inlineStr">
        <is>
          <t>0822279-56.2026.8.15.2001</t>
        </is>
      </c>
      <c r="AM408" s="30" t="inlineStr">
        <is>
          <t>TJPB</t>
        </is>
      </c>
      <c r="AN408" s="30" t="inlineStr">
        <is>
          <t>ACTIVE</t>
        </is>
      </c>
      <c r="AO408" s="30" t="n">
        <v>2026</v>
      </c>
      <c r="AP408" s="30" t="inlineStr">
        <is>
          <t>live case, no plan document yet</t>
        </is>
      </c>
      <c r="AQ408" s="30" t="inlineStr">
        <is>
          <t>00.149.703/0001-86</t>
        </is>
      </c>
      <c r="AR408" s="30" t="inlineStr">
        <is>
          <t>printed on the list (read twice)</t>
        </is>
      </c>
      <c r="AS408" s="30" t="inlineStr">
        <is>
          <t>GOIANIA</t>
        </is>
      </c>
      <c r="AT408" s="30" t="inlineStr">
        <is>
          <t>GO</t>
        </is>
      </c>
      <c r="AU408" s="30" t="inlineStr">
        <is>
          <t>Serviços de diagnóstico por imagem com uso de radiação ionizante, exceto tomografia</t>
        </is>
      </c>
      <c r="AV408" s="30" t="inlineStr">
        <is>
          <t>DEMAIS</t>
        </is>
      </c>
      <c r="AW408" s="31" t="n">
        <v>20000</v>
      </c>
      <c r="AX408" s="30" t="inlineStr">
        <is>
          <t>MID-MARKET</t>
        </is>
      </c>
      <c r="AY408" s="30" t="inlineStr">
        <is>
          <t>57378542</t>
        </is>
      </c>
      <c r="AZ408" s="30" t="n">
        <v>1</v>
      </c>
      <c r="BA408" s="30" t="inlineStr">
        <is>
          <t>PARTIAL_DOC_CLASS_III_RECONCILED ROWS:p2r65</t>
        </is>
      </c>
    </row>
    <row r="409">
      <c r="A409" s="16" t="inlineStr">
        <is>
          <t>VALGROUP AM INDUSTRIA DE MASTERBATCH LTDA.</t>
        </is>
      </c>
      <c r="B409" s="17" t="n">
        <v>226655</v>
      </c>
      <c r="C409" s="18" t="inlineStr">
        <is>
          <t>GRUPO IMPLASVERDE</t>
        </is>
      </c>
      <c r="D409" s="19" t="inlineStr">
        <is>
          <t>NEW</t>
        </is>
      </c>
      <c r="E409" s="20" t="inlineStr"/>
      <c r="F409" s="19" t="inlineStr"/>
      <c r="G409" s="20" t="inlineStr"/>
      <c r="H409" s="19" t="inlineStr"/>
      <c r="I409" s="21" t="inlineStr">
        <is>
          <t>Thiago Miranda</t>
        </is>
      </c>
      <c r="J409" s="21" t="inlineStr">
        <is>
          <t>Gerente Financeiro - Crédito e Contas a Receber</t>
        </is>
      </c>
      <c r="K409" s="21" t="inlineStr">
        <is>
          <t>(12) 2124-4400</t>
        </is>
      </c>
      <c r="L409" s="21" t="inlineStr"/>
      <c r="M409" s="21" t="inlineStr"/>
      <c r="N409" s="21" t="inlineStr">
        <is>
          <t>thiago.jose@valgroupco.com</t>
        </is>
      </c>
      <c r="O409" s="21" t="inlineStr">
        <is>
          <t>vagner.nogueira@valgroupco.com</t>
        </is>
      </c>
      <c r="P409" s="21" t="inlineStr">
        <is>
          <t>Vagner Nogueira</t>
        </is>
      </c>
      <c r="Q409" s="21" t="inlineStr">
        <is>
          <t>Diretor de Tesouraria</t>
        </is>
      </c>
      <c r="R409" s="21" t="inlineStr"/>
      <c r="S409" s="21" t="inlineStr">
        <is>
          <t>vagner.nogueira@valgroupco.com</t>
        </is>
      </c>
      <c r="T409" s="21" t="inlineStr">
        <is>
          <t>email verified by Apollo</t>
        </is>
      </c>
      <c r="U409" s="22" t="n">
        <v>226655</v>
      </c>
      <c r="V409" s="23" t="inlineStr">
        <is>
          <t>B</t>
        </is>
      </c>
      <c r="W409" s="24">
        <f>IFERROR(VLOOKUP(V409,Assumptions!$A$7:$F$11,2,FALSE),0)</f>
        <v/>
      </c>
      <c r="X409" s="25">
        <f>IF(V409="A",MAX(1,IFERROR(VLOOKUP(V409,Assumptions!$A$7:$F$11,3,FALSE),3)+IFERROR(VLOOKUP(V409,Assumptions!$A$7:$F$11,4,FALSE),8)/2-MAX(0,IF(AO409="",0,YEAR(TODAY())-AO409)-IFERROR(VLOOKUP(V409,Assumptions!$A$7:$F$11,5,FALSE),1.5))),IFERROR(VLOOKUP(V409,Assumptions!$A$7:$F$11,5,FALSE),2.5)+IFERROR(VLOOKUP(V409,Assumptions!$A$7:$F$11,3,FALSE),3)+IFERROR(VLOOKUP(V409,Assumptions!$A$7:$F$11,4,FALSE),8)/2)</f>
        <v/>
      </c>
      <c r="Y409" s="22">
        <f>U409*W409/(1+Assumptions!$B$3)^X409</f>
        <v/>
      </c>
      <c r="Z409" s="26">
        <f>IF(U409=0,"",ROUND(Y409/U409*100,1))</f>
        <v/>
      </c>
      <c r="AA409" s="27">
        <f>Y409*Assumptions!$B$4</f>
        <v/>
      </c>
      <c r="AB409" s="26">
        <f>IF(U409=0,"",ROUND(AA409/U409*100,1))</f>
        <v/>
      </c>
      <c r="AC409" s="27">
        <f>Y409-AA409</f>
        <v/>
      </c>
      <c r="AD409" s="26">
        <f>IF(U409=0,"",ROUND((Y409-AA409)/U409*100,1))</f>
        <v/>
      </c>
      <c r="AE409" s="28" t="inlineStr">
        <is>
          <t>OK — totals reconciled</t>
        </is>
      </c>
      <c r="AF409" s="29" t="inlineStr">
        <is>
          <t>http://recuperacaojudicial.squarespace.com/s/LISTA-DE-CREDORES-CONSOLIDADA-ATE-04102024.pdf</t>
        </is>
      </c>
      <c r="AG409" s="28" t="inlineStr">
        <is>
          <t>p6 r20</t>
        </is>
      </c>
      <c r="AH409" s="28" t="inlineStr">
        <is>
          <t>p6: R$ 226.655,00</t>
        </is>
      </c>
      <c r="AI409" s="28" t="inlineStr">
        <is>
          <t>AJ list (art. 7 §2)</t>
        </is>
      </c>
      <c r="AJ409" s="28" t="inlineStr">
        <is>
          <t>2024-10-04</t>
        </is>
      </c>
      <c r="AK409" s="28" t="inlineStr">
        <is>
          <t>NONE FOUND</t>
        </is>
      </c>
      <c r="AL409" s="30" t="inlineStr">
        <is>
          <t>0800778-16.2023.8.20.5104</t>
        </is>
      </c>
      <c r="AM409" s="30" t="inlineStr">
        <is>
          <t>TJRN</t>
        </is>
      </c>
      <c r="AN409" s="30" t="inlineStr">
        <is>
          <t>ACTIVE</t>
        </is>
      </c>
      <c r="AO409" s="30" t="n">
        <v>2023</v>
      </c>
      <c r="AP409" s="30" t="inlineStr">
        <is>
          <t>live case, no plan document yet</t>
        </is>
      </c>
      <c r="AQ409" s="30" t="inlineStr"/>
      <c r="AR409" s="30" t="inlineStr">
        <is>
          <t>printed on the list (read twice)</t>
        </is>
      </c>
      <c r="AS409" s="30" t="inlineStr">
        <is>
          <t>MANAUS</t>
        </is>
      </c>
      <c r="AT409" s="30" t="inlineStr">
        <is>
          <t>AM</t>
        </is>
      </c>
      <c r="AU409" s="30" t="inlineStr">
        <is>
          <t>Fabricação de embalagens de material plástico</t>
        </is>
      </c>
      <c r="AV409" s="30" t="inlineStr">
        <is>
          <t>DEMAIS</t>
        </is>
      </c>
      <c r="AW409" s="31" t="n">
        <v>2718466300</v>
      </c>
      <c r="AX409" s="30" t="inlineStr">
        <is>
          <t>LARGE CORP</t>
        </is>
      </c>
      <c r="AY409" s="30" t="inlineStr">
        <is>
          <t>03071894</t>
        </is>
      </c>
      <c r="AZ409" s="30" t="n">
        <v>1</v>
      </c>
      <c r="BA409" s="30" t="inlineStr">
        <is>
          <t>ROWS:p6r20 VALUE_COL:Valor_Do_Crédito</t>
        </is>
      </c>
    </row>
    <row r="410">
      <c r="A410" s="16" t="inlineStr">
        <is>
          <t>WGM SISTEMAS IMPORTACAO E EXPORTACAO LTDA</t>
        </is>
      </c>
      <c r="B410" s="17" t="n">
        <v>226506.99</v>
      </c>
      <c r="C410" s="18" t="inlineStr">
        <is>
          <t>FLAVOUR MIX IND. E REP. ALIM. E INGR. QUÍMICOS LTDA.</t>
        </is>
      </c>
      <c r="D410" s="19" t="inlineStr">
        <is>
          <t>NEW</t>
        </is>
      </c>
      <c r="E410" s="20" t="inlineStr"/>
      <c r="F410" s="19" t="inlineStr"/>
      <c r="G410" s="20" t="inlineStr"/>
      <c r="H410" s="19" t="inlineStr"/>
      <c r="I410" s="21" t="inlineStr">
        <is>
          <t>Samantha Oliveira</t>
        </is>
      </c>
      <c r="J410" s="21" t="inlineStr">
        <is>
          <t>Administrative Manager</t>
        </is>
      </c>
      <c r="K410" s="21" t="inlineStr">
        <is>
          <t>(11) 3838-2823</t>
        </is>
      </c>
      <c r="L410" s="21" t="inlineStr"/>
      <c r="M410" s="21" t="inlineStr"/>
      <c r="N410" s="21" t="inlineStr">
        <is>
          <t>samantha.oliveira@wgmsistemas.com.br</t>
        </is>
      </c>
      <c r="O410" s="21" t="inlineStr">
        <is>
          <t>joao.ribeiro@wgmsistemas.com.br</t>
        </is>
      </c>
      <c r="P410" s="21" t="inlineStr">
        <is>
          <t>Joao Ribeiro</t>
        </is>
      </c>
      <c r="Q410" s="21" t="inlineStr">
        <is>
          <t>Financial Assistant</t>
        </is>
      </c>
      <c r="R410" s="21" t="inlineStr"/>
      <c r="S410" s="21" t="inlineStr">
        <is>
          <t>joao.ribeiro@wgmsistemas.com.br</t>
        </is>
      </c>
      <c r="T410" s="21" t="inlineStr">
        <is>
          <t>email verified by Apollo</t>
        </is>
      </c>
      <c r="U410" s="22" t="n">
        <v>226506.99</v>
      </c>
      <c r="V410" s="23" t="inlineStr">
        <is>
          <t>B</t>
        </is>
      </c>
      <c r="W410" s="24">
        <f>IFERROR(VLOOKUP(V410,Assumptions!$A$7:$F$11,2,FALSE),0)</f>
        <v/>
      </c>
      <c r="X410" s="25">
        <f>IF(V410="A",MAX(1,IFERROR(VLOOKUP(V410,Assumptions!$A$7:$F$11,3,FALSE),3)+IFERROR(VLOOKUP(V410,Assumptions!$A$7:$F$11,4,FALSE),8)/2-MAX(0,IF(AO410="",0,YEAR(TODAY())-AO410)-IFERROR(VLOOKUP(V410,Assumptions!$A$7:$F$11,5,FALSE),1.5))),IFERROR(VLOOKUP(V410,Assumptions!$A$7:$F$11,5,FALSE),2.5)+IFERROR(VLOOKUP(V410,Assumptions!$A$7:$F$11,3,FALSE),3)+IFERROR(VLOOKUP(V410,Assumptions!$A$7:$F$11,4,FALSE),8)/2)</f>
        <v/>
      </c>
      <c r="Y410" s="22">
        <f>U410*W410/(1+Assumptions!$B$3)^X410</f>
        <v/>
      </c>
      <c r="Z410" s="26">
        <f>IF(U410=0,"",ROUND(Y410/U410*100,1))</f>
        <v/>
      </c>
      <c r="AA410" s="27">
        <f>Y410*Assumptions!$B$4</f>
        <v/>
      </c>
      <c r="AB410" s="26">
        <f>IF(U410=0,"",ROUND(AA410/U410*100,1))</f>
        <v/>
      </c>
      <c r="AC410" s="27">
        <f>Y410-AA410</f>
        <v/>
      </c>
      <c r="AD410" s="26">
        <f>IF(U410=0,"",ROUND((Y410-AA410)/U410*100,1))</f>
        <v/>
      </c>
      <c r="AE410" s="33" t="inlineStr">
        <is>
          <t>NO TOTALS — list prints none; check page</t>
        </is>
      </c>
      <c r="AF410" s="29" t="inlineStr">
        <is>
          <t>https://ativosajce.com.br/admin/download.php?file=files/processo_documento/processo_documento13422625032025_1_.pdf&amp;nome=Relação de Credores - Art. 52º § 1º, da Lei nº 11.101/2005 - 25/02/2025</t>
        </is>
      </c>
      <c r="AG410" s="28" t="inlineStr">
        <is>
          <t>p5 r48; p5 r49</t>
        </is>
      </c>
      <c r="AH410" s="28" t="inlineStr">
        <is>
          <t>p5: R$ 226.506,99; p5: R$ 226.506,99</t>
        </is>
      </c>
      <c r="AI410" s="28" t="inlineStr">
        <is>
          <t>Unclassified list</t>
        </is>
      </c>
      <c r="AJ410" s="28" t="inlineStr">
        <is>
          <t>2025-02-28</t>
        </is>
      </c>
      <c r="AK410" s="28" t="inlineStr">
        <is>
          <t>NONE FOUND</t>
        </is>
      </c>
      <c r="AL410" s="30" t="inlineStr">
        <is>
          <t>1000119-75.2025.8.26.0354</t>
        </is>
      </c>
      <c r="AM410" s="30" t="inlineStr">
        <is>
          <t>TJSP</t>
        </is>
      </c>
      <c r="AN410" s="30" t="inlineStr">
        <is>
          <t>ACTIVE</t>
        </is>
      </c>
      <c r="AO410" s="30" t="n">
        <v>2025</v>
      </c>
      <c r="AP410" s="30" t="inlineStr">
        <is>
          <t>live case, no plan document yet</t>
        </is>
      </c>
      <c r="AQ410" s="30" t="inlineStr">
        <is>
          <t>09.357.504/0001-38</t>
        </is>
      </c>
      <c r="AR410" s="30" t="inlineStr">
        <is>
          <t>printed on the list (read twice)</t>
        </is>
      </c>
      <c r="AS410" s="30" t="inlineStr">
        <is>
          <t>BARUERI</t>
        </is>
      </c>
      <c r="AT410" s="30" t="inlineStr">
        <is>
          <t>SP</t>
        </is>
      </c>
      <c r="AU410" s="30" t="inlineStr">
        <is>
          <t>Fabricação de máquinas e equipamentos para as indústrias de alimentos, bebidas e fumo, peças e acessórios</t>
        </is>
      </c>
      <c r="AV410" s="30" t="inlineStr">
        <is>
          <t>DEMAIS</t>
        </is>
      </c>
      <c r="AW410" s="31" t="n">
        <v>1800000</v>
      </c>
      <c r="AX410" s="30" t="inlineStr">
        <is>
          <t>MID-MARKET</t>
        </is>
      </c>
      <c r="AY410" s="30" t="inlineStr">
        <is>
          <t>65947236</t>
        </is>
      </c>
      <c r="AZ410" s="30" t="n">
        <v>1</v>
      </c>
      <c r="BA410" s="30" t="inlineStr">
        <is>
          <t>ROWS:p5r48 UNRECONCILED_SOURCE</t>
        </is>
      </c>
    </row>
    <row r="411">
      <c r="A411" s="16" t="inlineStr">
        <is>
          <t>POTENCIAL AGRO S/A</t>
        </is>
      </c>
      <c r="B411" s="17" t="n">
        <v>222764.53</v>
      </c>
      <c r="C411" s="18" t="inlineStr">
        <is>
          <t>Alto Uruguai Indústria e Comércio de Óleos Ltda</t>
        </is>
      </c>
      <c r="D411" s="19" t="inlineStr">
        <is>
          <t>NEW</t>
        </is>
      </c>
      <c r="E411" s="20" t="inlineStr"/>
      <c r="F411" s="19" t="inlineStr"/>
      <c r="G411" s="20" t="inlineStr"/>
      <c r="H411" s="19" t="inlineStr"/>
      <c r="I411" s="21" t="inlineStr">
        <is>
          <t>Eduardo Bueno</t>
        </is>
      </c>
      <c r="J411" s="21" t="inlineStr">
        <is>
          <t>Diretor Financeiro no Grupo Potencial</t>
        </is>
      </c>
      <c r="K411" s="21" t="inlineStr">
        <is>
          <t>(41) 3163-3000</t>
        </is>
      </c>
      <c r="L411" s="21" t="inlineStr"/>
      <c r="M411" s="21" t="inlineStr"/>
      <c r="N411" s="21" t="inlineStr">
        <is>
          <t>eduardo.b@grpotencial.com.br</t>
        </is>
      </c>
      <c r="O411" s="21" t="inlineStr">
        <is>
          <t>cristiane.s@grpotencial.com.br</t>
        </is>
      </c>
      <c r="P411" s="21" t="inlineStr">
        <is>
          <t>Cristiane Melo</t>
        </is>
      </c>
      <c r="Q411" s="21" t="inlineStr">
        <is>
          <t>Supervisora de Crédito e Cobrança</t>
        </is>
      </c>
      <c r="R411" s="21" t="inlineStr"/>
      <c r="S411" s="21" t="inlineStr">
        <is>
          <t>cristiane.s@grpotencial.com.br</t>
        </is>
      </c>
      <c r="T411" s="21" t="inlineStr">
        <is>
          <t>email verified by Apollo</t>
        </is>
      </c>
      <c r="U411" s="22" t="n">
        <v>222764.53</v>
      </c>
      <c r="V411" s="23" t="inlineStr">
        <is>
          <t>B</t>
        </is>
      </c>
      <c r="W411" s="24">
        <f>IFERROR(VLOOKUP(V411,Assumptions!$A$7:$F$11,2,FALSE),0)</f>
        <v/>
      </c>
      <c r="X411" s="25">
        <f>IF(V411="A",MAX(1,IFERROR(VLOOKUP(V411,Assumptions!$A$7:$F$11,3,FALSE),3)+IFERROR(VLOOKUP(V411,Assumptions!$A$7:$F$11,4,FALSE),8)/2-MAX(0,IF(AO411="",0,YEAR(TODAY())-AO411)-IFERROR(VLOOKUP(V411,Assumptions!$A$7:$F$11,5,FALSE),1.5))),IFERROR(VLOOKUP(V411,Assumptions!$A$7:$F$11,5,FALSE),2.5)+IFERROR(VLOOKUP(V411,Assumptions!$A$7:$F$11,3,FALSE),3)+IFERROR(VLOOKUP(V411,Assumptions!$A$7:$F$11,4,FALSE),8)/2)</f>
        <v/>
      </c>
      <c r="Y411" s="22">
        <f>U411*W411/(1+Assumptions!$B$3)^X411</f>
        <v/>
      </c>
      <c r="Z411" s="26">
        <f>IF(U411=0,"",ROUND(Y411/U411*100,1))</f>
        <v/>
      </c>
      <c r="AA411" s="27">
        <f>Y411*Assumptions!$B$4</f>
        <v/>
      </c>
      <c r="AB411" s="26">
        <f>IF(U411=0,"",ROUND(AA411/U411*100,1))</f>
        <v/>
      </c>
      <c r="AC411" s="27">
        <f>Y411-AA411</f>
        <v/>
      </c>
      <c r="AD411" s="26">
        <f>IF(U411=0,"",ROUND((Y411-AA411)/U411*100,1))</f>
        <v/>
      </c>
      <c r="AE411" s="28" t="inlineStr">
        <is>
          <t>OK — totals reconciled</t>
        </is>
      </c>
      <c r="AF411" s="29" t="inlineStr">
        <is>
          <t>https://ajruiz.com.br/sites/default/files/public/arquivos-processos/2026-06/alto_uruguai_qgc_junho.2026.pdf</t>
        </is>
      </c>
      <c r="AG411" s="28" t="inlineStr">
        <is>
          <t>p1 r30</t>
        </is>
      </c>
      <c r="AH411" s="28" t="inlineStr">
        <is>
          <t>p1: R$ 222.764,53</t>
        </is>
      </c>
      <c r="AI411" s="28" t="inlineStr">
        <is>
          <t>Unclassified list</t>
        </is>
      </c>
      <c r="AJ411" s="28" t="inlineStr"/>
      <c r="AK411" s="28" t="inlineStr">
        <is>
          <t>NONE FOUND</t>
        </is>
      </c>
      <c r="AL411" s="30" t="inlineStr">
        <is>
          <t>5012743-51.2023.8.24.0019</t>
        </is>
      </c>
      <c r="AM411" s="30" t="inlineStr">
        <is>
          <t>TJSC</t>
        </is>
      </c>
      <c r="AN411" s="30" t="inlineStr">
        <is>
          <t>ACTIVE</t>
        </is>
      </c>
      <c r="AO411" s="30" t="n">
        <v>2023</v>
      </c>
      <c r="AP411" s="30" t="inlineStr">
        <is>
          <t>live case, no plan document yet</t>
        </is>
      </c>
      <c r="AQ411" s="30" t="inlineStr"/>
      <c r="AR411" s="30" t="inlineStr">
        <is>
          <t>printed on the list (read twice)</t>
        </is>
      </c>
      <c r="AS411" s="30" t="inlineStr">
        <is>
          <t>LAPA</t>
        </is>
      </c>
      <c r="AT411" s="30" t="inlineStr">
        <is>
          <t>PR</t>
        </is>
      </c>
      <c r="AU411" s="30" t="inlineStr">
        <is>
          <t>Fabricação de biocombustíveis, exceto álcool</t>
        </is>
      </c>
      <c r="AV411" s="30" t="inlineStr">
        <is>
          <t>DEMAIS</t>
        </is>
      </c>
      <c r="AW411" s="31" t="n">
        <v>657000000</v>
      </c>
      <c r="AX411" s="30" t="inlineStr">
        <is>
          <t>LARGE CORP</t>
        </is>
      </c>
      <c r="AY411" s="30" t="inlineStr">
        <is>
          <t>12613484</t>
        </is>
      </c>
      <c r="AZ411" s="30" t="n">
        <v>1</v>
      </c>
      <c r="BA411" s="30" t="inlineStr">
        <is>
          <t>ROWS:p1r30 VALUE_COL:Valor_Do_Crédito</t>
        </is>
      </c>
    </row>
    <row r="412">
      <c r="A412" s="16" t="inlineStr">
        <is>
          <t>COMERCIAL CIRURGICA RIOCLARENSE LTDA</t>
        </is>
      </c>
      <c r="B412" s="17" t="n">
        <v>857146.9300000001</v>
      </c>
      <c r="C412" s="18" t="inlineStr">
        <is>
          <t>HOSPITAL SANTA MÔNICA LTDA</t>
        </is>
      </c>
      <c r="D412" s="19" t="inlineStr">
        <is>
          <t>NEW</t>
        </is>
      </c>
      <c r="E412" s="20" t="inlineStr"/>
      <c r="F412" s="19" t="inlineStr"/>
      <c r="G412" s="20" t="inlineStr"/>
      <c r="H412" s="19" t="inlineStr"/>
      <c r="I412" s="21" t="inlineStr">
        <is>
          <t>Michelle Tiburcio</t>
        </is>
      </c>
      <c r="J412" s="21" t="inlineStr">
        <is>
          <t>Farmacêutica Responsável Tecnica</t>
        </is>
      </c>
      <c r="K412" s="21" t="inlineStr"/>
      <c r="L412" s="21" t="inlineStr"/>
      <c r="M412" s="21" t="inlineStr"/>
      <c r="N412" s="21" t="inlineStr">
        <is>
          <t>michelle.tiburcio@rioclarense.com.br</t>
        </is>
      </c>
      <c r="O412" s="21" t="inlineStr">
        <is>
          <t>paulo.prochnow@rioclarense.com.br</t>
        </is>
      </c>
      <c r="P412" s="21" t="inlineStr">
        <is>
          <t>Paulo Prochnow</t>
        </is>
      </c>
      <c r="Q412" s="21" t="inlineStr">
        <is>
          <t>Director</t>
        </is>
      </c>
      <c r="R412" s="21" t="inlineStr"/>
      <c r="S412" s="21" t="inlineStr">
        <is>
          <t>paulo.prochnow@rioclarense.com.br</t>
        </is>
      </c>
      <c r="T412" s="21" t="inlineStr">
        <is>
          <t>email verified by Apollo</t>
        </is>
      </c>
      <c r="U412" s="22" t="n">
        <v>857146.9300000001</v>
      </c>
      <c r="V412" s="38" t="inlineStr">
        <is>
          <t>C</t>
        </is>
      </c>
      <c r="W412" s="24">
        <f>IFERROR(VLOOKUP(V412,Assumptions!$A$7:$F$11,2,FALSE),0)</f>
        <v/>
      </c>
      <c r="X412" s="25">
        <f>IF(V412="A",MAX(1,IFERROR(VLOOKUP(V412,Assumptions!$A$7:$F$11,3,FALSE),3)+IFERROR(VLOOKUP(V412,Assumptions!$A$7:$F$11,4,FALSE),8)/2-MAX(0,IF(AO412="",0,YEAR(TODAY())-AO412)-IFERROR(VLOOKUP(V412,Assumptions!$A$7:$F$11,5,FALSE),1.5))),IFERROR(VLOOKUP(V412,Assumptions!$A$7:$F$11,5,FALSE),2.5)+IFERROR(VLOOKUP(V412,Assumptions!$A$7:$F$11,3,FALSE),3)+IFERROR(VLOOKUP(V412,Assumptions!$A$7:$F$11,4,FALSE),8)/2)</f>
        <v/>
      </c>
      <c r="Y412" s="22">
        <f>U412*W412/(1+Assumptions!$B$3)^X412</f>
        <v/>
      </c>
      <c r="Z412" s="26">
        <f>IF(U412=0,"",ROUND(Y412/U412*100,1))</f>
        <v/>
      </c>
      <c r="AA412" s="27">
        <f>Y412*Assumptions!$B$4</f>
        <v/>
      </c>
      <c r="AB412" s="26">
        <f>IF(U412=0,"",ROUND(AA412/U412*100,1))</f>
        <v/>
      </c>
      <c r="AC412" s="27">
        <f>Y412-AA412</f>
        <v/>
      </c>
      <c r="AD412" s="26">
        <f>IF(U412=0,"",ROUND((Y412-AA412)/U412*100,1))</f>
        <v/>
      </c>
      <c r="AE412" s="33" t="inlineStr">
        <is>
          <t>NO TOTALS — list prints none; check page</t>
        </is>
      </c>
      <c r="AF412" s="29" t="inlineStr">
        <is>
          <t>https://ricardobiancardi.com.br/wp-content/uploads/2024/12/Edital-1-relacao-de-credores-pub.-02.12.24-.pdf</t>
        </is>
      </c>
      <c r="AG412" s="28" t="inlineStr">
        <is>
          <t>p3 r23</t>
        </is>
      </c>
      <c r="AH412" s="28" t="inlineStr">
        <is>
          <t>p3: R$ 857.146,93</t>
        </is>
      </c>
      <c r="AI412" s="28" t="inlineStr">
        <is>
          <t>Debtor list (art. 51)</t>
        </is>
      </c>
      <c r="AJ412" s="28" t="inlineStr">
        <is>
          <t>2024-12-02</t>
        </is>
      </c>
      <c r="AK412" s="28" t="inlineStr">
        <is>
          <t>NONE FOUND</t>
        </is>
      </c>
      <c r="AL412" s="30" t="inlineStr">
        <is>
          <t>0041309-42.2014.8.08.0024</t>
        </is>
      </c>
      <c r="AM412" s="30" t="inlineStr">
        <is>
          <t>TJES</t>
        </is>
      </c>
      <c r="AN412" s="30" t="inlineStr"/>
      <c r="AO412" s="30" t="n">
        <v>2014</v>
      </c>
      <c r="AP412" s="30" t="inlineStr">
        <is>
          <t>12y since filing, no plan document</t>
        </is>
      </c>
      <c r="AQ412" s="30" t="inlineStr"/>
      <c r="AR412" s="30" t="inlineStr">
        <is>
          <t>printed on the list (read twice)</t>
        </is>
      </c>
      <c r="AS412" s="30" t="inlineStr">
        <is>
          <t>RIO CLARO</t>
        </is>
      </c>
      <c r="AT412" s="30" t="inlineStr">
        <is>
          <t>SP</t>
        </is>
      </c>
      <c r="AU412" s="30" t="inlineStr">
        <is>
          <t>Comércio atacadista de medicamentos e drogas de uso humano</t>
        </is>
      </c>
      <c r="AV412" s="30" t="inlineStr">
        <is>
          <t>DEMAIS</t>
        </is>
      </c>
      <c r="AW412" s="31" t="n">
        <v>2000000</v>
      </c>
      <c r="AX412" s="30" t="inlineStr">
        <is>
          <t>MID-MARKET</t>
        </is>
      </c>
      <c r="AY412" s="30" t="inlineStr">
        <is>
          <t>67729178</t>
        </is>
      </c>
      <c r="AZ412" s="30" t="n">
        <v>1</v>
      </c>
      <c r="BA412" s="30" t="inlineStr">
        <is>
          <t>ROWS:p3r23 UNRECONCILED_SOURCE</t>
        </is>
      </c>
    </row>
    <row r="413">
      <c r="A413" s="16" t="inlineStr">
        <is>
          <t>EDENTEC INDUSTRIA E COMERCIO LTDA</t>
        </is>
      </c>
      <c r="B413" s="17" t="n">
        <v>219345.95</v>
      </c>
      <c r="C413" s="18" t="inlineStr">
        <is>
          <t>Grupo Conduscabos</t>
        </is>
      </c>
      <c r="D413" s="19" t="inlineStr">
        <is>
          <t>NEW</t>
        </is>
      </c>
      <c r="E413" s="20" t="inlineStr"/>
      <c r="F413" s="19" t="inlineStr"/>
      <c r="G413" s="20" t="inlineStr"/>
      <c r="H413" s="19" t="inlineStr"/>
      <c r="I413" s="21" t="inlineStr">
        <is>
          <t>Rubens Rizzardo</t>
        </is>
      </c>
      <c r="J413" s="21" t="inlineStr">
        <is>
          <t>Director</t>
        </is>
      </c>
      <c r="K413" s="21" t="inlineStr"/>
      <c r="L413" s="21" t="inlineStr"/>
      <c r="M413" s="21" t="inlineStr"/>
      <c r="N413" s="21" t="inlineStr">
        <is>
          <t>rubens@edentec.com.br</t>
        </is>
      </c>
      <c r="O413" s="21" t="inlineStr">
        <is>
          <t>mayra@edentec.com.br</t>
        </is>
      </c>
      <c r="P413" s="21" t="inlineStr">
        <is>
          <t>Mayra Santos</t>
        </is>
      </c>
      <c r="Q413" s="21" t="inlineStr">
        <is>
          <t>Financial Assistant</t>
        </is>
      </c>
      <c r="R413" s="21" t="inlineStr"/>
      <c r="S413" s="21" t="inlineStr">
        <is>
          <t>mayra@edentec.com.br</t>
        </is>
      </c>
      <c r="T413" s="21" t="inlineStr">
        <is>
          <t>email verified by Apollo</t>
        </is>
      </c>
      <c r="U413" s="22" t="n">
        <v>219345.95</v>
      </c>
      <c r="V413" s="23" t="inlineStr">
        <is>
          <t>B</t>
        </is>
      </c>
      <c r="W413" s="24">
        <f>IFERROR(VLOOKUP(V413,Assumptions!$A$7:$F$11,2,FALSE),0)</f>
        <v/>
      </c>
      <c r="X413" s="25">
        <f>IF(V413="A",MAX(1,IFERROR(VLOOKUP(V413,Assumptions!$A$7:$F$11,3,FALSE),3)+IFERROR(VLOOKUP(V413,Assumptions!$A$7:$F$11,4,FALSE),8)/2-MAX(0,IF(AO413="",0,YEAR(TODAY())-AO413)-IFERROR(VLOOKUP(V413,Assumptions!$A$7:$F$11,5,FALSE),1.5))),IFERROR(VLOOKUP(V413,Assumptions!$A$7:$F$11,5,FALSE),2.5)+IFERROR(VLOOKUP(V413,Assumptions!$A$7:$F$11,3,FALSE),3)+IFERROR(VLOOKUP(V413,Assumptions!$A$7:$F$11,4,FALSE),8)/2)</f>
        <v/>
      </c>
      <c r="Y413" s="22">
        <f>U413*W413/(1+Assumptions!$B$3)^X413</f>
        <v/>
      </c>
      <c r="Z413" s="26">
        <f>IF(U413=0,"",ROUND(Y413/U413*100,1))</f>
        <v/>
      </c>
      <c r="AA413" s="27">
        <f>Y413*Assumptions!$B$4</f>
        <v/>
      </c>
      <c r="AB413" s="26">
        <f>IF(U413=0,"",ROUND(AA413/U413*100,1))</f>
        <v/>
      </c>
      <c r="AC413" s="27">
        <f>Y413-AA413</f>
        <v/>
      </c>
      <c r="AD413" s="26">
        <f>IF(U413=0,"",ROUND((Y413-AA413)/U413*100,1))</f>
        <v/>
      </c>
      <c r="AE413" s="33" t="inlineStr">
        <is>
          <t>NO TOTALS — list prints none; check page</t>
        </is>
      </c>
      <c r="AF413" s="29" t="inlineStr">
        <is>
          <t>https://assistjud.com.br/wp-content/uploads/elementor/forms/65098c80a5824.pdf</t>
        </is>
      </c>
      <c r="AG413" s="28" t="inlineStr">
        <is>
          <t>p7 r3</t>
        </is>
      </c>
      <c r="AH413" s="28" t="inlineStr">
        <is>
          <t>p7: R$ 219.345,95</t>
        </is>
      </c>
      <c r="AI413" s="28" t="inlineStr">
        <is>
          <t>AJ list (art. 7 §2)</t>
        </is>
      </c>
      <c r="AJ413" s="28" t="inlineStr">
        <is>
          <t>2023-09-18</t>
        </is>
      </c>
      <c r="AK413" s="28" t="inlineStr">
        <is>
          <t>NONE FOUND</t>
        </is>
      </c>
      <c r="AL413" s="30" t="inlineStr">
        <is>
          <t>8005129-09.2023.8.05.0039</t>
        </is>
      </c>
      <c r="AM413" s="30" t="inlineStr">
        <is>
          <t>TJBA</t>
        </is>
      </c>
      <c r="AN413" s="30" t="inlineStr">
        <is>
          <t>ACTIVE</t>
        </is>
      </c>
      <c r="AO413" s="30" t="n">
        <v>2023</v>
      </c>
      <c r="AP413" s="30" t="inlineStr">
        <is>
          <t>live case, no plan document yet</t>
        </is>
      </c>
      <c r="AQ413" s="30" t="inlineStr"/>
      <c r="AR413" s="30" t="inlineStr">
        <is>
          <t>printed on the list (read twice)</t>
        </is>
      </c>
      <c r="AS413" s="30" t="inlineStr">
        <is>
          <t>SOROCABA</t>
        </is>
      </c>
      <c r="AT413" s="30" t="inlineStr">
        <is>
          <t>SP</t>
        </is>
      </c>
      <c r="AU413" s="30" t="inlineStr">
        <is>
          <t>Fabricação de artefatos diversos de madeira, exceto móveis</t>
        </is>
      </c>
      <c r="AV413" s="30" t="inlineStr">
        <is>
          <t>DEMAIS</t>
        </is>
      </c>
      <c r="AW413" s="31" t="n">
        <v>4000000</v>
      </c>
      <c r="AX413" s="30" t="inlineStr">
        <is>
          <t>MID-MARKET</t>
        </is>
      </c>
      <c r="AY413" s="30" t="inlineStr">
        <is>
          <t>47799028</t>
        </is>
      </c>
      <c r="AZ413" s="30" t="n">
        <v>1</v>
      </c>
      <c r="BA413" s="30" t="inlineStr">
        <is>
          <t>ROWS:p7r3 UNRECONCILED_SOURCE</t>
        </is>
      </c>
    </row>
    <row r="414">
      <c r="A414" s="16" t="inlineStr">
        <is>
          <t>P.U. ESPUMAS DO BRASIL LTDA</t>
        </is>
      </c>
      <c r="B414" s="17" t="n">
        <v>1560300.64</v>
      </c>
      <c r="C414" s="18" t="inlineStr">
        <is>
          <t>Mannes</t>
        </is>
      </c>
      <c r="D414" s="19" t="inlineStr">
        <is>
          <t>NEW</t>
        </is>
      </c>
      <c r="E414" s="20" t="inlineStr"/>
      <c r="F414" s="19" t="inlineStr"/>
      <c r="G414" s="20" t="inlineStr"/>
      <c r="H414" s="19" t="inlineStr"/>
      <c r="I414" s="21" t="inlineStr">
        <is>
          <t>GENESIO ALFREDO SAMPAIO LIMA</t>
        </is>
      </c>
      <c r="J414" s="21" t="inlineStr">
        <is>
          <t>Administrador (RFB partner)</t>
        </is>
      </c>
      <c r="K414" s="21" t="inlineStr">
        <is>
          <t>(11) 3488-1904</t>
        </is>
      </c>
      <c r="L414" s="21" t="inlineStr"/>
      <c r="M414" s="21" t="inlineStr"/>
      <c r="N414" s="21" t="inlineStr"/>
      <c r="O414" s="21" t="inlineStr"/>
      <c r="P414" s="21" t="inlineStr"/>
      <c r="Q414" s="21" t="inlineStr"/>
      <c r="R414" s="21" t="inlineStr"/>
      <c r="S414" s="21" t="inlineStr"/>
      <c r="T414" s="21" t="inlineStr">
        <is>
          <t>RFB partner (QSA); no Apollo match</t>
        </is>
      </c>
      <c r="U414" s="22" t="n">
        <v>1560300.64</v>
      </c>
      <c r="V414" s="39" t="inlineStr">
        <is>
          <t>D</t>
        </is>
      </c>
      <c r="W414" s="24">
        <f>IFERROR(VLOOKUP(V414,Assumptions!$A$7:$F$11,2,FALSE),0)</f>
        <v/>
      </c>
      <c r="X414" s="25">
        <f>IF(V414="A",MAX(1,IFERROR(VLOOKUP(V414,Assumptions!$A$7:$F$11,3,FALSE),3)+IFERROR(VLOOKUP(V414,Assumptions!$A$7:$F$11,4,FALSE),8)/2-MAX(0,IF(AO414="",0,YEAR(TODAY())-AO414)-IFERROR(VLOOKUP(V414,Assumptions!$A$7:$F$11,5,FALSE),1.5))),IFERROR(VLOOKUP(V414,Assumptions!$A$7:$F$11,5,FALSE),2.5)+IFERROR(VLOOKUP(V414,Assumptions!$A$7:$F$11,3,FALSE),3)+IFERROR(VLOOKUP(V414,Assumptions!$A$7:$F$11,4,FALSE),8)/2)</f>
        <v/>
      </c>
      <c r="Y414" s="22">
        <f>U414*W414/(1+Assumptions!$B$3)^X414</f>
        <v/>
      </c>
      <c r="Z414" s="26">
        <f>IF(U414=0,"",ROUND(Y414/U414*100,1))</f>
        <v/>
      </c>
      <c r="AA414" s="27">
        <f>Y414*Assumptions!$B$4</f>
        <v/>
      </c>
      <c r="AB414" s="26">
        <f>IF(U414=0,"",ROUND(AA414/U414*100,1))</f>
        <v/>
      </c>
      <c r="AC414" s="27">
        <f>Y414-AA414</f>
        <v/>
      </c>
      <c r="AD414" s="26">
        <f>IF(U414=0,"",ROUND((Y414-AA414)/U414*100,1))</f>
        <v/>
      </c>
      <c r="AE414" s="36" t="inlineStr">
        <is>
          <t>CHECK — source is not a statutory creditor list</t>
        </is>
      </c>
      <c r="AF414" s="29" t="inlineStr">
        <is>
          <t>https://administradorajudicialgs.com.br/wp-content/uploads/2024/12/relacao-de-credores-da-falida.pdf</t>
        </is>
      </c>
      <c r="AG414" s="28" t="inlineStr">
        <is>
          <t>p17 r28; p17 r43</t>
        </is>
      </c>
      <c r="AH414" s="28" t="inlineStr">
        <is>
          <t>p17: R$ 945.704,67; p17: R$ 614.595,97</t>
        </is>
      </c>
      <c r="AI414" s="28" t="inlineStr">
        <is>
          <t>Other filing — NOT an art. 7/51 list</t>
        </is>
      </c>
      <c r="AJ414" s="28" t="inlineStr">
        <is>
          <t>2025-03-25</t>
        </is>
      </c>
      <c r="AK414" s="28" t="inlineStr">
        <is>
          <t>NONE FOUND</t>
        </is>
      </c>
      <c r="AL414" s="30" t="inlineStr">
        <is>
          <t>0005010-50.2013.8.24.0026</t>
        </is>
      </c>
      <c r="AM414" s="30" t="inlineStr">
        <is>
          <t>TJSC</t>
        </is>
      </c>
      <c r="AN414" s="30" t="inlineStr"/>
      <c r="AO414" s="30" t="n">
        <v>2013</v>
      </c>
      <c r="AP414" s="30" t="inlineStr">
        <is>
          <t>document is a falência (bankruptcy) list</t>
        </is>
      </c>
      <c r="AQ414" s="30" t="inlineStr"/>
      <c r="AR414" s="30" t="inlineStr">
        <is>
          <t>printed on the list (read twice)</t>
        </is>
      </c>
      <c r="AS414" s="30" t="inlineStr">
        <is>
          <t>SAO PAULO</t>
        </is>
      </c>
      <c r="AT414" s="30" t="inlineStr">
        <is>
          <t>SP</t>
        </is>
      </c>
      <c r="AU414" s="30" t="inlineStr">
        <is>
          <t>Comércio atacadista de outros produtos químicos e petroquímicos não especificados anteriormente</t>
        </is>
      </c>
      <c r="AV414" s="30" t="inlineStr">
        <is>
          <t>DEMAIS</t>
        </is>
      </c>
      <c r="AW414" s="31" t="n">
        <v>20150000</v>
      </c>
      <c r="AX414" s="30" t="inlineStr">
        <is>
          <t>MID-MARKET</t>
        </is>
      </c>
      <c r="AY414" s="30" t="inlineStr">
        <is>
          <t>01494867</t>
        </is>
      </c>
      <c r="AZ414" s="30" t="n">
        <v>2</v>
      </c>
      <c r="BA414" s="30" t="inlineStr">
        <is>
          <t>ROWS:p17r28,p17r43 UNRECONCILED_SOURCE CASE_NUMBER_CORRECTED</t>
        </is>
      </c>
    </row>
    <row r="415">
      <c r="A415" s="16" t="inlineStr">
        <is>
          <t>TOPICO LOCACOES DE GALPOES E EQUIPAMENTOS PARA INDUSTRIAS S.A</t>
        </is>
      </c>
      <c r="B415" s="17" t="n">
        <v>408816.48</v>
      </c>
      <c r="C415" s="18" t="inlineStr">
        <is>
          <t>EGESA ENGENHARIA S/A (Consórcio ETDI)</t>
        </is>
      </c>
      <c r="D415" s="19" t="inlineStr">
        <is>
          <t>NEW</t>
        </is>
      </c>
      <c r="E415" s="20" t="inlineStr"/>
      <c r="F415" s="19" t="inlineStr"/>
      <c r="G415" s="20" t="inlineStr"/>
      <c r="H415" s="19" t="inlineStr"/>
      <c r="I415" s="21" t="inlineStr">
        <is>
          <t>GUSTAVO PEREIRA DE FREITAS SANTOS</t>
        </is>
      </c>
      <c r="J415" s="21" t="inlineStr">
        <is>
          <t>Presidente (RFB partner)</t>
        </is>
      </c>
      <c r="K415" s="21" t="inlineStr">
        <is>
          <t>(11) 4785-1200</t>
        </is>
      </c>
      <c r="L415" s="21" t="inlineStr">
        <is>
          <t>(11) 2344-1200</t>
        </is>
      </c>
      <c r="M415" s="21" t="inlineStr"/>
      <c r="N415" s="21" t="inlineStr"/>
      <c r="O415" s="21" t="inlineStr"/>
      <c r="P415" s="21" t="inlineStr">
        <is>
          <t>CLAUDIO FIDELIS DE GOES</t>
        </is>
      </c>
      <c r="Q415" s="21" t="inlineStr">
        <is>
          <t>Diretor (RFB partner)</t>
        </is>
      </c>
      <c r="R415" s="21" t="inlineStr"/>
      <c r="S415" s="21" t="inlineStr"/>
      <c r="T415" s="21" t="inlineStr">
        <is>
          <t>RFB partner (QSA); no Apollo match</t>
        </is>
      </c>
      <c r="U415" s="22" t="n">
        <v>408816.48</v>
      </c>
      <c r="V415" s="32" t="inlineStr">
        <is>
          <t>U</t>
        </is>
      </c>
      <c r="W415" s="24">
        <f>IFERROR(VLOOKUP(V415,Assumptions!$A$7:$F$11,2,FALSE),0)</f>
        <v/>
      </c>
      <c r="X415" s="25">
        <f>IF(V415="A",MAX(1,IFERROR(VLOOKUP(V415,Assumptions!$A$7:$F$11,3,FALSE),3)+IFERROR(VLOOKUP(V415,Assumptions!$A$7:$F$11,4,FALSE),8)/2-MAX(0,IF(AO415="",0,YEAR(TODAY())-AO415)-IFERROR(VLOOKUP(V415,Assumptions!$A$7:$F$11,5,FALSE),1.5))),IFERROR(VLOOKUP(V415,Assumptions!$A$7:$F$11,5,FALSE),2.5)+IFERROR(VLOOKUP(V415,Assumptions!$A$7:$F$11,3,FALSE),3)+IFERROR(VLOOKUP(V415,Assumptions!$A$7:$F$11,4,FALSE),8)/2)</f>
        <v/>
      </c>
      <c r="Y415" s="22">
        <f>U415*W415/(1+Assumptions!$B$3)^X415</f>
        <v/>
      </c>
      <c r="Z415" s="26">
        <f>IF(U415=0,"",ROUND(Y415/U415*100,1))</f>
        <v/>
      </c>
      <c r="AA415" s="27">
        <f>Y415*Assumptions!$B$4</f>
        <v/>
      </c>
      <c r="AB415" s="26">
        <f>IF(U415=0,"",ROUND(AA415/U415*100,1))</f>
        <v/>
      </c>
      <c r="AC415" s="27">
        <f>Y415-AA415</f>
        <v/>
      </c>
      <c r="AD415" s="26">
        <f>IF(U415=0,"",ROUND((Y415-AA415)/U415*100,1))</f>
        <v/>
      </c>
      <c r="AE415" s="28" t="inlineStr">
        <is>
          <t>OK — totals reconciled</t>
        </is>
      </c>
      <c r="AF415" s="29" t="inlineStr">
        <is>
          <t>https://scalzilliaj.com.br/sgc/download.php?file=files/processo_documento/processo_documento09514021082025_1_.pdf&amp;nome=04 - Relação de credores das Recuperandas</t>
        </is>
      </c>
      <c r="AG415" s="28" t="inlineStr">
        <is>
          <t>p74 r7</t>
        </is>
      </c>
      <c r="AH415" s="28" t="inlineStr">
        <is>
          <t>p74: R$ 408.816,48</t>
        </is>
      </c>
      <c r="AI415" s="28" t="inlineStr">
        <is>
          <t>Debtor list (art. 51)</t>
        </is>
      </c>
      <c r="AJ415" s="28" t="inlineStr"/>
      <c r="AK415" s="28" t="inlineStr">
        <is>
          <t>NONE FOUND</t>
        </is>
      </c>
      <c r="AL415" s="30" t="inlineStr">
        <is>
          <t>(not printed)</t>
        </is>
      </c>
      <c r="AM415" s="30" t="inlineStr"/>
      <c r="AN415" s="30" t="inlineStr"/>
      <c r="AO415" s="30" t="inlineStr"/>
      <c r="AP415" s="30" t="inlineStr">
        <is>
          <t>RJ case number not identified on the document</t>
        </is>
      </c>
      <c r="AQ415" s="30" t="inlineStr"/>
      <c r="AR415" s="30" t="inlineStr">
        <is>
          <t>portal page title / URL — not printed on the list</t>
        </is>
      </c>
      <c r="AS415" s="30" t="inlineStr">
        <is>
          <t>EMBU DAS ARTES</t>
        </is>
      </c>
      <c r="AT415" s="30" t="inlineStr">
        <is>
          <t>SP</t>
        </is>
      </c>
      <c r="AU415" s="30" t="inlineStr">
        <is>
          <t>Aluguel de palcos, coberturas e outras estruturas de uso temporário, exceto andaimes</t>
        </is>
      </c>
      <c r="AV415" s="30" t="inlineStr">
        <is>
          <t>DEMAIS</t>
        </is>
      </c>
      <c r="AW415" s="31" t="n">
        <v>57377892</v>
      </c>
      <c r="AX415" s="30" t="inlineStr">
        <is>
          <t>MID-MARKET</t>
        </is>
      </c>
      <c r="AY415" s="30" t="inlineStr">
        <is>
          <t>08259544</t>
        </is>
      </c>
      <c r="AZ415" s="30" t="n">
        <v>1</v>
      </c>
      <c r="BA415" s="30" t="inlineStr">
        <is>
          <t>ROWS:p74r7 VALUE_COL:Valor_Atualizado CASE_NUMBER_CORRECTED</t>
        </is>
      </c>
    </row>
    <row r="416">
      <c r="A416" s="16" t="inlineStr">
        <is>
          <t>EDP ESPIRITO SANTO DISTRIBUICAO DE ENERGIA S.A.</t>
        </is>
      </c>
      <c r="B416" s="17" t="n">
        <v>850547.08</v>
      </c>
      <c r="C416" s="18" t="inlineStr">
        <is>
          <t>HOSPITAL SANTA MÔNICA LTDA</t>
        </is>
      </c>
      <c r="D416" s="19" t="inlineStr">
        <is>
          <t>NEW</t>
        </is>
      </c>
      <c r="E416" s="20" t="inlineStr"/>
      <c r="F416" s="19" t="inlineStr"/>
      <c r="G416" s="20" t="inlineStr"/>
      <c r="H416" s="19" t="inlineStr"/>
      <c r="I416" s="21" t="inlineStr">
        <is>
          <t>DYOGENES ROSI</t>
        </is>
      </c>
      <c r="J416" s="21" t="inlineStr">
        <is>
          <t>Presidente (RFB partner)</t>
        </is>
      </c>
      <c r="K416" s="21" t="inlineStr">
        <is>
          <t>(11) 2185-5199</t>
        </is>
      </c>
      <c r="L416" s="21" t="inlineStr">
        <is>
          <t>(11) 2185-5045</t>
        </is>
      </c>
      <c r="M416" s="21" t="inlineStr"/>
      <c r="N416" s="21" t="inlineStr"/>
      <c r="O416" s="21" t="inlineStr"/>
      <c r="P416" s="21" t="inlineStr">
        <is>
          <t>HUGO RENATO ANACLETO NUNES</t>
        </is>
      </c>
      <c r="Q416" s="21" t="inlineStr">
        <is>
          <t>Diretor (RFB partner)</t>
        </is>
      </c>
      <c r="R416" s="21" t="inlineStr"/>
      <c r="S416" s="21" t="inlineStr"/>
      <c r="T416" s="21" t="inlineStr">
        <is>
          <t>RFB partner (QSA); no Apollo match</t>
        </is>
      </c>
      <c r="U416" s="22" t="n">
        <v>850547.08</v>
      </c>
      <c r="V416" s="38" t="inlineStr">
        <is>
          <t>C</t>
        </is>
      </c>
      <c r="W416" s="24">
        <f>IFERROR(VLOOKUP(V416,Assumptions!$A$7:$F$11,2,FALSE),0)</f>
        <v/>
      </c>
      <c r="X416" s="25">
        <f>IF(V416="A",MAX(1,IFERROR(VLOOKUP(V416,Assumptions!$A$7:$F$11,3,FALSE),3)+IFERROR(VLOOKUP(V416,Assumptions!$A$7:$F$11,4,FALSE),8)/2-MAX(0,IF(AO416="",0,YEAR(TODAY())-AO416)-IFERROR(VLOOKUP(V416,Assumptions!$A$7:$F$11,5,FALSE),1.5))),IFERROR(VLOOKUP(V416,Assumptions!$A$7:$F$11,5,FALSE),2.5)+IFERROR(VLOOKUP(V416,Assumptions!$A$7:$F$11,3,FALSE),3)+IFERROR(VLOOKUP(V416,Assumptions!$A$7:$F$11,4,FALSE),8)/2)</f>
        <v/>
      </c>
      <c r="Y416" s="22">
        <f>U416*W416/(1+Assumptions!$B$3)^X416</f>
        <v/>
      </c>
      <c r="Z416" s="26">
        <f>IF(U416=0,"",ROUND(Y416/U416*100,1))</f>
        <v/>
      </c>
      <c r="AA416" s="27">
        <f>Y416*Assumptions!$B$4</f>
        <v/>
      </c>
      <c r="AB416" s="26">
        <f>IF(U416=0,"",ROUND(AA416/U416*100,1))</f>
        <v/>
      </c>
      <c r="AC416" s="27">
        <f>Y416-AA416</f>
        <v/>
      </c>
      <c r="AD416" s="26">
        <f>IF(U416=0,"",ROUND((Y416-AA416)/U416*100,1))</f>
        <v/>
      </c>
      <c r="AE416" s="33" t="inlineStr">
        <is>
          <t>NO TOTALS — list prints none; check page</t>
        </is>
      </c>
      <c r="AF416" s="29" t="inlineStr">
        <is>
          <t>https://ricardobiancardi.com.br/wp-content/uploads/2024/12/Edital-1-relacao-de-credores-pub.-02.12.24-.pdf</t>
        </is>
      </c>
      <c r="AG416" s="28" t="inlineStr">
        <is>
          <t>p4 r11</t>
        </is>
      </c>
      <c r="AH416" s="28" t="inlineStr">
        <is>
          <t>p4: R$ 850.547,08</t>
        </is>
      </c>
      <c r="AI416" s="28" t="inlineStr">
        <is>
          <t>Debtor list (art. 51)</t>
        </is>
      </c>
      <c r="AJ416" s="28" t="inlineStr">
        <is>
          <t>2024-12-02</t>
        </is>
      </c>
      <c r="AK416" s="28" t="inlineStr">
        <is>
          <t>NONE FOUND</t>
        </is>
      </c>
      <c r="AL416" s="30" t="inlineStr">
        <is>
          <t>0041309-42.2014.8.08.0024</t>
        </is>
      </c>
      <c r="AM416" s="30" t="inlineStr">
        <is>
          <t>TJES</t>
        </is>
      </c>
      <c r="AN416" s="30" t="inlineStr"/>
      <c r="AO416" s="30" t="n">
        <v>2014</v>
      </c>
      <c r="AP416" s="30" t="inlineStr">
        <is>
          <t>12y since filing, no plan document</t>
        </is>
      </c>
      <c r="AQ416" s="30" t="inlineStr"/>
      <c r="AR416" s="30" t="inlineStr">
        <is>
          <t>printed on the list (read twice)</t>
        </is>
      </c>
      <c r="AS416" s="30" t="inlineStr">
        <is>
          <t>VITORIA</t>
        </is>
      </c>
      <c r="AT416" s="30" t="inlineStr">
        <is>
          <t>ES</t>
        </is>
      </c>
      <c r="AU416" s="30" t="inlineStr">
        <is>
          <t>Distribuição de energia elétrica</t>
        </is>
      </c>
      <c r="AV416" s="30" t="inlineStr">
        <is>
          <t>DEMAIS</t>
        </is>
      </c>
      <c r="AW416" s="31" t="n">
        <v>893995800</v>
      </c>
      <c r="AX416" s="30" t="inlineStr">
        <is>
          <t>LARGE CORP</t>
        </is>
      </c>
      <c r="AY416" s="30" t="inlineStr">
        <is>
          <t>28152650</t>
        </is>
      </c>
      <c r="AZ416" s="30" t="n">
        <v>1</v>
      </c>
      <c r="BA416" s="30" t="inlineStr">
        <is>
          <t>ROWS:p4r11 UNRECONCILED_SOURCE</t>
        </is>
      </c>
    </row>
    <row r="417">
      <c r="A417" s="16" t="inlineStr">
        <is>
          <t>SIEMENS HEALTHCARE DIAGNOSTICOS LTDA.</t>
        </is>
      </c>
      <c r="B417" s="17" t="n">
        <v>217731.21</v>
      </c>
      <c r="C417" s="18" t="inlineStr">
        <is>
          <t>GRUPO DIAGSON</t>
        </is>
      </c>
      <c r="D417" s="19" t="inlineStr">
        <is>
          <t>NEW</t>
        </is>
      </c>
      <c r="E417" s="20" t="inlineStr"/>
      <c r="F417" s="19" t="inlineStr"/>
      <c r="G417" s="20" t="inlineStr"/>
      <c r="H417" s="19" t="inlineStr"/>
      <c r="I417" s="21" t="inlineStr">
        <is>
          <t>ADRIANA SILVA DA COSTA</t>
        </is>
      </c>
      <c r="J417" s="21" t="inlineStr">
        <is>
          <t>Administrador (RFB partner)</t>
        </is>
      </c>
      <c r="K417" s="21" t="inlineStr">
        <is>
          <t>(11) 4585-7350</t>
        </is>
      </c>
      <c r="L417" s="21" t="inlineStr"/>
      <c r="M417" s="21" t="inlineStr"/>
      <c r="N417" s="21" t="inlineStr"/>
      <c r="O417" s="21" t="inlineStr"/>
      <c r="P417" s="21" t="inlineStr">
        <is>
          <t>CARLOS ALBERTO DI LORENZO</t>
        </is>
      </c>
      <c r="Q417" s="21" t="inlineStr">
        <is>
          <t>Administrador (RFB partner)</t>
        </is>
      </c>
      <c r="R417" s="21" t="inlineStr"/>
      <c r="S417" s="21" t="inlineStr"/>
      <c r="T417" s="21" t="inlineStr">
        <is>
          <t>RFB partner (QSA); no Apollo match</t>
        </is>
      </c>
      <c r="U417" s="22" t="n">
        <v>217731.21</v>
      </c>
      <c r="V417" s="23" t="inlineStr">
        <is>
          <t>B</t>
        </is>
      </c>
      <c r="W417" s="24">
        <f>IFERROR(VLOOKUP(V417,Assumptions!$A$7:$F$11,2,FALSE),0)</f>
        <v/>
      </c>
      <c r="X417" s="25">
        <f>IF(V417="A",MAX(1,IFERROR(VLOOKUP(V417,Assumptions!$A$7:$F$11,3,FALSE),3)+IFERROR(VLOOKUP(V417,Assumptions!$A$7:$F$11,4,FALSE),8)/2-MAX(0,IF(AO417="",0,YEAR(TODAY())-AO417)-IFERROR(VLOOKUP(V417,Assumptions!$A$7:$F$11,5,FALSE),1.5))),IFERROR(VLOOKUP(V417,Assumptions!$A$7:$F$11,5,FALSE),2.5)+IFERROR(VLOOKUP(V417,Assumptions!$A$7:$F$11,3,FALSE),3)+IFERROR(VLOOKUP(V417,Assumptions!$A$7:$F$11,4,FALSE),8)/2)</f>
        <v/>
      </c>
      <c r="Y417" s="22">
        <f>U417*W417/(1+Assumptions!$B$3)^X417</f>
        <v/>
      </c>
      <c r="Z417" s="26">
        <f>IF(U417=0,"",ROUND(Y417/U417*100,1))</f>
        <v/>
      </c>
      <c r="AA417" s="27">
        <f>Y417*Assumptions!$B$4</f>
        <v/>
      </c>
      <c r="AB417" s="26">
        <f>IF(U417=0,"",ROUND(AA417/U417*100,1))</f>
        <v/>
      </c>
      <c r="AC417" s="27">
        <f>Y417-AA417</f>
        <v/>
      </c>
      <c r="AD417" s="26">
        <f>IF(U417=0,"",ROUND((Y417-AA417)/U417*100,1))</f>
        <v/>
      </c>
      <c r="AE417" s="34" t="inlineStr">
        <is>
          <t>PARTIAL — class III reconciled, other classes not</t>
        </is>
      </c>
      <c r="AF417" s="29" t="inlineStr">
        <is>
          <t>https://lrflideres.com.br/wp-content/plugins/download-attachments/includes/download.php?id=7418</t>
        </is>
      </c>
      <c r="AG417" s="28" t="inlineStr">
        <is>
          <t>p2 r82</t>
        </is>
      </c>
      <c r="AH417" s="28" t="inlineStr">
        <is>
          <t>p2: R$ 217.731,21</t>
        </is>
      </c>
      <c r="AI417" s="28" t="inlineStr">
        <is>
          <t>Debtor list (art. 51)</t>
        </is>
      </c>
      <c r="AJ417" s="28" t="inlineStr">
        <is>
          <t>2026-07-28</t>
        </is>
      </c>
      <c r="AK417" s="28" t="inlineStr">
        <is>
          <t>NONE FOUND</t>
        </is>
      </c>
      <c r="AL417" s="30" t="inlineStr">
        <is>
          <t>0822279-56.2026.8.15.2001</t>
        </is>
      </c>
      <c r="AM417" s="30" t="inlineStr">
        <is>
          <t>TJPB</t>
        </is>
      </c>
      <c r="AN417" s="30" t="inlineStr">
        <is>
          <t>ACTIVE</t>
        </is>
      </c>
      <c r="AO417" s="30" t="n">
        <v>2026</v>
      </c>
      <c r="AP417" s="30" t="inlineStr">
        <is>
          <t>live case, no plan document yet</t>
        </is>
      </c>
      <c r="AQ417" s="30" t="inlineStr">
        <is>
          <t>00.149.703/0001-86</t>
        </is>
      </c>
      <c r="AR417" s="30" t="inlineStr">
        <is>
          <t>printed on the list (read twice)</t>
        </is>
      </c>
      <c r="AS417" s="30" t="inlineStr">
        <is>
          <t>SAO PAULO</t>
        </is>
      </c>
      <c r="AT417" s="30" t="inlineStr">
        <is>
          <t>SP</t>
        </is>
      </c>
      <c r="AU417" s="30" t="inlineStr">
        <is>
          <t>Comércio atacadista de instrumentos e materiais para uso médico, cirúrgico, hospitalar e de laboratórios</t>
        </is>
      </c>
      <c r="AV417" s="30" t="inlineStr">
        <is>
          <t>DEMAIS</t>
        </is>
      </c>
      <c r="AW417" s="31" t="n">
        <v>309332500</v>
      </c>
      <c r="AX417" s="30" t="inlineStr">
        <is>
          <t>MID-MARKET</t>
        </is>
      </c>
      <c r="AY417" s="30" t="inlineStr">
        <is>
          <t>01449930</t>
        </is>
      </c>
      <c r="AZ417" s="30" t="n">
        <v>1</v>
      </c>
      <c r="BA417" s="30" t="inlineStr">
        <is>
          <t>PARTIAL_DOC_CLASS_III_RECONCILED ROWS:p2r82</t>
        </is>
      </c>
    </row>
    <row r="418">
      <c r="A418" s="16" t="inlineStr">
        <is>
          <t>POLYBRAS - POLIMEROS BRASILEIROS LTDA</t>
        </is>
      </c>
      <c r="B418" s="17" t="n">
        <v>217457.66</v>
      </c>
      <c r="C418" s="18" t="inlineStr">
        <is>
          <t>GRUPO IMPLASVERDE</t>
        </is>
      </c>
      <c r="D418" s="19" t="inlineStr">
        <is>
          <t>NEW</t>
        </is>
      </c>
      <c r="E418" s="20" t="inlineStr"/>
      <c r="F418" s="19" t="inlineStr"/>
      <c r="G418" s="20" t="inlineStr"/>
      <c r="H418" s="19" t="inlineStr"/>
      <c r="I418" s="21" t="inlineStr">
        <is>
          <t>KENIA KELLY MEDEIROS BORGES DE ANDRADE</t>
        </is>
      </c>
      <c r="J418" s="21" t="inlineStr">
        <is>
          <t>Sócio-Administrador (RFB partner)</t>
        </is>
      </c>
      <c r="K418" s="21" t="inlineStr">
        <is>
          <t>(84) 9614-2641</t>
        </is>
      </c>
      <c r="L418" s="21" t="inlineStr"/>
      <c r="M418" s="21" t="inlineStr"/>
      <c r="N418" s="21" t="inlineStr"/>
      <c r="O418" s="21" t="inlineStr"/>
      <c r="P418" s="21" t="inlineStr"/>
      <c r="Q418" s="21" t="inlineStr"/>
      <c r="R418" s="21" t="inlineStr"/>
      <c r="S418" s="21" t="inlineStr"/>
      <c r="T418" s="21" t="inlineStr">
        <is>
          <t>RFB partner (QSA); no Apollo match</t>
        </is>
      </c>
      <c r="U418" s="22" t="n">
        <v>217457.66</v>
      </c>
      <c r="V418" s="23" t="inlineStr">
        <is>
          <t>B</t>
        </is>
      </c>
      <c r="W418" s="24">
        <f>IFERROR(VLOOKUP(V418,Assumptions!$A$7:$F$11,2,FALSE),0)</f>
        <v/>
      </c>
      <c r="X418" s="25">
        <f>IF(V418="A",MAX(1,IFERROR(VLOOKUP(V418,Assumptions!$A$7:$F$11,3,FALSE),3)+IFERROR(VLOOKUP(V418,Assumptions!$A$7:$F$11,4,FALSE),8)/2-MAX(0,IF(AO418="",0,YEAR(TODAY())-AO418)-IFERROR(VLOOKUP(V418,Assumptions!$A$7:$F$11,5,FALSE),1.5))),IFERROR(VLOOKUP(V418,Assumptions!$A$7:$F$11,5,FALSE),2.5)+IFERROR(VLOOKUP(V418,Assumptions!$A$7:$F$11,3,FALSE),3)+IFERROR(VLOOKUP(V418,Assumptions!$A$7:$F$11,4,FALSE),8)/2)</f>
        <v/>
      </c>
      <c r="Y418" s="22">
        <f>U418*W418/(1+Assumptions!$B$3)^X418</f>
        <v/>
      </c>
      <c r="Z418" s="26">
        <f>IF(U418=0,"",ROUND(Y418/U418*100,1))</f>
        <v/>
      </c>
      <c r="AA418" s="27">
        <f>Y418*Assumptions!$B$4</f>
        <v/>
      </c>
      <c r="AB418" s="26">
        <f>IF(U418=0,"",ROUND(AA418/U418*100,1))</f>
        <v/>
      </c>
      <c r="AC418" s="27">
        <f>Y418-AA418</f>
        <v/>
      </c>
      <c r="AD418" s="26">
        <f>IF(U418=0,"",ROUND((Y418-AA418)/U418*100,1))</f>
        <v/>
      </c>
      <c r="AE418" s="28" t="inlineStr">
        <is>
          <t>OK — totals reconciled</t>
        </is>
      </c>
      <c r="AF418" s="29" t="inlineStr">
        <is>
          <t>http://recuperacaojudicial.squarespace.com/s/LISTA-DE-CREDORES-CONSOLIDADA-ATE-04102024.pdf</t>
        </is>
      </c>
      <c r="AG418" s="28" t="inlineStr">
        <is>
          <t>p6 r18</t>
        </is>
      </c>
      <c r="AH418" s="28" t="inlineStr">
        <is>
          <t>p6: R$ 217.457,66</t>
        </is>
      </c>
      <c r="AI418" s="28" t="inlineStr">
        <is>
          <t>AJ list (art. 7 §2)</t>
        </is>
      </c>
      <c r="AJ418" s="28" t="inlineStr">
        <is>
          <t>2024-10-04</t>
        </is>
      </c>
      <c r="AK418" s="28" t="inlineStr">
        <is>
          <t>NONE FOUND</t>
        </is>
      </c>
      <c r="AL418" s="30" t="inlineStr">
        <is>
          <t>0800778-16.2023.8.20.5104</t>
        </is>
      </c>
      <c r="AM418" s="30" t="inlineStr">
        <is>
          <t>TJRN</t>
        </is>
      </c>
      <c r="AN418" s="30" t="inlineStr">
        <is>
          <t>ACTIVE</t>
        </is>
      </c>
      <c r="AO418" s="30" t="n">
        <v>2023</v>
      </c>
      <c r="AP418" s="30" t="inlineStr">
        <is>
          <t>live case, no plan document yet</t>
        </is>
      </c>
      <c r="AQ418" s="30" t="inlineStr"/>
      <c r="AR418" s="30" t="inlineStr">
        <is>
          <t>printed on the list (read twice)</t>
        </is>
      </c>
      <c r="AS418" s="30" t="inlineStr">
        <is>
          <t>MOSSORO</t>
        </is>
      </c>
      <c r="AT418" s="30" t="inlineStr">
        <is>
          <t>RN</t>
        </is>
      </c>
      <c r="AU418" s="30" t="inlineStr">
        <is>
          <t>Recuperação de materiais plásticos</t>
        </is>
      </c>
      <c r="AV418" s="30" t="inlineStr">
        <is>
          <t>EMPRESA DE PEQUENO PORTE</t>
        </is>
      </c>
      <c r="AW418" s="31" t="n">
        <v>104500</v>
      </c>
      <c r="AX418" s="30" t="inlineStr">
        <is>
          <t>SMALL</t>
        </is>
      </c>
      <c r="AY418" s="30" t="inlineStr">
        <is>
          <t>17799898</t>
        </is>
      </c>
      <c r="AZ418" s="30" t="n">
        <v>1</v>
      </c>
      <c r="BA418" s="30" t="inlineStr">
        <is>
          <t>ROWS:p6r18 VALUE_COL:Valor_Do_Crédito</t>
        </is>
      </c>
    </row>
    <row r="419">
      <c r="A419" s="16" t="inlineStr">
        <is>
          <t>LABORATORIO GLOBO SA</t>
        </is>
      </c>
      <c r="B419" s="17" t="n">
        <v>216418.96</v>
      </c>
      <c r="C419" s="18" t="inlineStr">
        <is>
          <t>GRUPO DP4</t>
        </is>
      </c>
      <c r="D419" s="19" t="inlineStr">
        <is>
          <t>NEW</t>
        </is>
      </c>
      <c r="E419" s="20" t="inlineStr"/>
      <c r="F419" s="19" t="inlineStr"/>
      <c r="G419" s="20" t="inlineStr"/>
      <c r="H419" s="19" t="inlineStr"/>
      <c r="I419" s="21" t="inlineStr">
        <is>
          <t>Nicholas Matte</t>
        </is>
      </c>
      <c r="J419" s="21" t="inlineStr">
        <is>
          <t>Chief Financial Officer</t>
        </is>
      </c>
      <c r="K419" s="21" t="inlineStr">
        <is>
          <t>(31) 3623-3500</t>
        </is>
      </c>
      <c r="L419" s="21" t="inlineStr">
        <is>
          <t>(31) 3623-3545</t>
        </is>
      </c>
      <c r="M419" s="21" t="inlineStr"/>
      <c r="N419" s="21" t="inlineStr">
        <is>
          <t>nicholas.matte@globopharma.com.br</t>
        </is>
      </c>
      <c r="O419" s="21" t="inlineStr">
        <is>
          <t>robson.benicio@globopharma.com.br</t>
        </is>
      </c>
      <c r="P419" s="21" t="inlineStr">
        <is>
          <t>Robson Msc</t>
        </is>
      </c>
      <c r="Q419" s="21" t="inlineStr">
        <is>
          <t>Controlling Manager</t>
        </is>
      </c>
      <c r="R419" s="21" t="inlineStr"/>
      <c r="S419" s="21" t="inlineStr">
        <is>
          <t>robson.benicio@globopharma.com.br</t>
        </is>
      </c>
      <c r="T419" s="21" t="inlineStr">
        <is>
          <t>email verified by Apollo</t>
        </is>
      </c>
      <c r="U419" s="22" t="n">
        <v>216418.96</v>
      </c>
      <c r="V419" s="23" t="inlineStr">
        <is>
          <t>B</t>
        </is>
      </c>
      <c r="W419" s="24">
        <f>IFERROR(VLOOKUP(V419,Assumptions!$A$7:$F$11,2,FALSE),0)</f>
        <v/>
      </c>
      <c r="X419" s="25">
        <f>IF(V419="A",MAX(1,IFERROR(VLOOKUP(V419,Assumptions!$A$7:$F$11,3,FALSE),3)+IFERROR(VLOOKUP(V419,Assumptions!$A$7:$F$11,4,FALSE),8)/2-MAX(0,IF(AO419="",0,YEAR(TODAY())-AO419)-IFERROR(VLOOKUP(V419,Assumptions!$A$7:$F$11,5,FALSE),1.5))),IFERROR(VLOOKUP(V419,Assumptions!$A$7:$F$11,5,FALSE),2.5)+IFERROR(VLOOKUP(V419,Assumptions!$A$7:$F$11,3,FALSE),3)+IFERROR(VLOOKUP(V419,Assumptions!$A$7:$F$11,4,FALSE),8)/2)</f>
        <v/>
      </c>
      <c r="Y419" s="22">
        <f>U419*W419/(1+Assumptions!$B$3)^X419</f>
        <v/>
      </c>
      <c r="Z419" s="26">
        <f>IF(U419=0,"",ROUND(Y419/U419*100,1))</f>
        <v/>
      </c>
      <c r="AA419" s="27">
        <f>Y419*Assumptions!$B$4</f>
        <v/>
      </c>
      <c r="AB419" s="26">
        <f>IF(U419=0,"",ROUND(AA419/U419*100,1))</f>
        <v/>
      </c>
      <c r="AC419" s="27">
        <f>Y419-AA419</f>
        <v/>
      </c>
      <c r="AD419" s="26">
        <f>IF(U419=0,"",ROUND((Y419-AA419)/U419*100,1))</f>
        <v/>
      </c>
      <c r="AE419" s="34" t="inlineStr">
        <is>
          <t>PARTIAL — class III reconciled, other classes not</t>
        </is>
      </c>
      <c r="AF419" s="29" t="inlineStr">
        <is>
          <t>https://marquesadmjudicial.com.br/sgc/download.php?file=files/processo_documento/processo_documento15293208032024_1_.pdf&amp;nome=Relação Nominal de Credores da AJ-Sintética</t>
        </is>
      </c>
      <c r="AG419" s="28" t="inlineStr">
        <is>
          <t>p27 r11</t>
        </is>
      </c>
      <c r="AH419" s="28" t="inlineStr">
        <is>
          <t>p27: R$ 216.418,96</t>
        </is>
      </c>
      <c r="AI419" s="28" t="inlineStr">
        <is>
          <t>AJ list (art. 7 §2)</t>
        </is>
      </c>
      <c r="AJ419" s="28" t="inlineStr">
        <is>
          <t>2023-03-02</t>
        </is>
      </c>
      <c r="AK419" s="28" t="inlineStr">
        <is>
          <t>NONE FOUND</t>
        </is>
      </c>
      <c r="AL419" s="30" t="inlineStr">
        <is>
          <t>0005010-98.2023.8.16.0001</t>
        </is>
      </c>
      <c r="AM419" s="30" t="inlineStr">
        <is>
          <t>TJPR</t>
        </is>
      </c>
      <c r="AN419" s="30" t="inlineStr">
        <is>
          <t>ACTIVE</t>
        </is>
      </c>
      <c r="AO419" s="30" t="n">
        <v>2023</v>
      </c>
      <c r="AP419" s="30" t="inlineStr">
        <is>
          <t>live case, no plan document yet</t>
        </is>
      </c>
      <c r="AQ419" s="30" t="inlineStr"/>
      <c r="AR419" s="30" t="inlineStr">
        <is>
          <t>printed on the list (read twice)</t>
        </is>
      </c>
      <c r="AS419" s="30" t="inlineStr">
        <is>
          <t>SAO JOSE DA LAPA</t>
        </is>
      </c>
      <c r="AT419" s="30" t="inlineStr">
        <is>
          <t>MG</t>
        </is>
      </c>
      <c r="AU419" s="30" t="inlineStr">
        <is>
          <t>Fabricação de medicamentos alopáticos para uso humano</t>
        </is>
      </c>
      <c r="AV419" s="30" t="inlineStr">
        <is>
          <t>DEMAIS</t>
        </is>
      </c>
      <c r="AW419" s="31" t="n">
        <v>88316060</v>
      </c>
      <c r="AX419" s="30" t="inlineStr">
        <is>
          <t>MID-MARKET</t>
        </is>
      </c>
      <c r="AY419" s="30" t="inlineStr">
        <is>
          <t>17115437</t>
        </is>
      </c>
      <c r="AZ419" s="30" t="n">
        <v>1</v>
      </c>
      <c r="BA419" s="30" t="inlineStr">
        <is>
          <t>PARTIAL_DOC_CLASS_III_RECONCILED ROWS:p27r11</t>
        </is>
      </c>
    </row>
    <row r="420">
      <c r="A420" s="16" t="inlineStr">
        <is>
          <t>UZ3 INDUSTRIA TEXTIL LTDA</t>
        </is>
      </c>
      <c r="B420" s="17" t="n">
        <v>215699.34</v>
      </c>
      <c r="C420" s="18" t="inlineStr">
        <is>
          <t>GRUPO CATTAN</t>
        </is>
      </c>
      <c r="D420" s="19" t="inlineStr">
        <is>
          <t>NEW</t>
        </is>
      </c>
      <c r="E420" s="20" t="inlineStr"/>
      <c r="F420" s="19" t="inlineStr"/>
      <c r="G420" s="20" t="inlineStr"/>
      <c r="H420" s="19" t="inlineStr"/>
      <c r="I420" s="21" t="inlineStr">
        <is>
          <t>DILNEI HEINZEN</t>
        </is>
      </c>
      <c r="J420" s="21" t="inlineStr">
        <is>
          <t>Sócio-Administrador (RFB partner)</t>
        </is>
      </c>
      <c r="K420" s="21" t="inlineStr">
        <is>
          <t>(47) 2123-2500</t>
        </is>
      </c>
      <c r="L420" s="21" t="inlineStr">
        <is>
          <t>(47) 2123-2501</t>
        </is>
      </c>
      <c r="M420" s="21" t="inlineStr"/>
      <c r="N420" s="21" t="inlineStr"/>
      <c r="O420" s="21" t="inlineStr"/>
      <c r="P420" s="21" t="inlineStr"/>
      <c r="Q420" s="21" t="inlineStr"/>
      <c r="R420" s="21" t="inlineStr"/>
      <c r="S420" s="21" t="inlineStr"/>
      <c r="T420" s="21" t="inlineStr">
        <is>
          <t>RFB partner (QSA); no Apollo match</t>
        </is>
      </c>
      <c r="U420" s="22" t="n">
        <v>215699.34</v>
      </c>
      <c r="V420" s="23" t="inlineStr">
        <is>
          <t>B</t>
        </is>
      </c>
      <c r="W420" s="24">
        <f>IFERROR(VLOOKUP(V420,Assumptions!$A$7:$F$11,2,FALSE),0)</f>
        <v/>
      </c>
      <c r="X420" s="25">
        <f>IF(V420="A",MAX(1,IFERROR(VLOOKUP(V420,Assumptions!$A$7:$F$11,3,FALSE),3)+IFERROR(VLOOKUP(V420,Assumptions!$A$7:$F$11,4,FALSE),8)/2-MAX(0,IF(AO420="",0,YEAR(TODAY())-AO420)-IFERROR(VLOOKUP(V420,Assumptions!$A$7:$F$11,5,FALSE),1.5))),IFERROR(VLOOKUP(V420,Assumptions!$A$7:$F$11,5,FALSE),2.5)+IFERROR(VLOOKUP(V420,Assumptions!$A$7:$F$11,3,FALSE),3)+IFERROR(VLOOKUP(V420,Assumptions!$A$7:$F$11,4,FALSE),8)/2)</f>
        <v/>
      </c>
      <c r="Y420" s="22">
        <f>U420*W420/(1+Assumptions!$B$3)^X420</f>
        <v/>
      </c>
      <c r="Z420" s="26">
        <f>IF(U420=0,"",ROUND(Y420/U420*100,1))</f>
        <v/>
      </c>
      <c r="AA420" s="27">
        <f>Y420*Assumptions!$B$4</f>
        <v/>
      </c>
      <c r="AB420" s="26">
        <f>IF(U420=0,"",ROUND(AA420/U420*100,1))</f>
        <v/>
      </c>
      <c r="AC420" s="27">
        <f>Y420-AA420</f>
        <v/>
      </c>
      <c r="AD420" s="26">
        <f>IF(U420=0,"",ROUND((Y420-AA420)/U420*100,1))</f>
        <v/>
      </c>
      <c r="AE420" s="34" t="inlineStr">
        <is>
          <t>PARTIAL — class III reconciled, other classes not</t>
        </is>
      </c>
      <c r="AF420" s="29" t="inlineStr">
        <is>
          <t>https://lrflideres.com.br/wp-content/plugins/download-attachments/includes/download.php?id=4023</t>
        </is>
      </c>
      <c r="AG420" s="28" t="inlineStr">
        <is>
          <t>p4 r94; p7 r126; p9 r92</t>
        </is>
      </c>
      <c r="AH420" s="28" t="inlineStr">
        <is>
          <t>p4: R$ 3.985,80; p7: R$ 179.097,50; p9: R$ 32.616,04</t>
        </is>
      </c>
      <c r="AI420" s="28" t="inlineStr">
        <is>
          <t>Debtor list (art. 51)</t>
        </is>
      </c>
      <c r="AJ420" s="28" t="inlineStr"/>
      <c r="AK420" s="28" t="inlineStr">
        <is>
          <t>NONE FOUND</t>
        </is>
      </c>
      <c r="AL420" s="30" t="inlineStr">
        <is>
          <t>0002484-82.2022.8.17.2001</t>
        </is>
      </c>
      <c r="AM420" s="30" t="inlineStr">
        <is>
          <t>TJPE</t>
        </is>
      </c>
      <c r="AN420" s="30" t="inlineStr">
        <is>
          <t>ACTIVE</t>
        </is>
      </c>
      <c r="AO420" s="30" t="n">
        <v>2022</v>
      </c>
      <c r="AP420" s="30" t="inlineStr">
        <is>
          <t>live case, no plan document yet</t>
        </is>
      </c>
      <c r="AQ420" s="30" t="inlineStr"/>
      <c r="AR420" s="30" t="inlineStr">
        <is>
          <t>printed on the list (read twice)</t>
        </is>
      </c>
      <c r="AS420" s="30" t="inlineStr">
        <is>
          <t>INDAIAL</t>
        </is>
      </c>
      <c r="AT420" s="30" t="inlineStr">
        <is>
          <t>SC</t>
        </is>
      </c>
      <c r="AU420" s="30" t="inlineStr">
        <is>
          <t>Confecção de peças de vestuário, exceto roupas íntimas e as confeccionadas sob medida</t>
        </is>
      </c>
      <c r="AV420" s="30" t="inlineStr">
        <is>
          <t>DEMAIS</t>
        </is>
      </c>
      <c r="AW420" s="31" t="n">
        <v>10000000</v>
      </c>
      <c r="AX420" s="30" t="inlineStr">
        <is>
          <t>MID-MARKET</t>
        </is>
      </c>
      <c r="AY420" s="30" t="inlineStr">
        <is>
          <t>07206989</t>
        </is>
      </c>
      <c r="AZ420" s="30" t="n">
        <v>3</v>
      </c>
      <c r="BA420" s="30" t="inlineStr">
        <is>
          <t>PARTIAL_DOC_CLASS_III_RECONCILED ROWS:p4r94,p7r126,p9r92</t>
        </is>
      </c>
    </row>
    <row r="421">
      <c r="A421" s="16" t="inlineStr">
        <is>
          <t>TUBOS TIGRE-ADS DO BRASIL LIMITADA</t>
        </is>
      </c>
      <c r="B421" s="17" t="n">
        <v>840995.9399999999</v>
      </c>
      <c r="C421" s="18" t="inlineStr">
        <is>
          <t>CONSTRUTORA ANDRADE GUEDES LTDA</t>
        </is>
      </c>
      <c r="D421" s="19" t="inlineStr">
        <is>
          <t>NEW</t>
        </is>
      </c>
      <c r="E421" s="20" t="inlineStr"/>
      <c r="F421" s="19" t="inlineStr"/>
      <c r="G421" s="20" t="inlineStr"/>
      <c r="H421" s="19" t="inlineStr"/>
      <c r="I421" s="21" t="inlineStr">
        <is>
          <t>EDUARDO POZZANI REIS</t>
        </is>
      </c>
      <c r="J421" s="21" t="inlineStr">
        <is>
          <t>Administrador (RFB partner)</t>
        </is>
      </c>
      <c r="K421" s="21" t="inlineStr">
        <is>
          <t>(19) 8342-0006</t>
        </is>
      </c>
      <c r="L421" s="21" t="inlineStr"/>
      <c r="M421" s="21" t="inlineStr"/>
      <c r="N421" s="21" t="inlineStr"/>
      <c r="O421" s="21" t="inlineStr"/>
      <c r="P421" s="21" t="inlineStr">
        <is>
          <t>GABRIEL FIGUEIREDO NETO</t>
        </is>
      </c>
      <c r="Q421" s="21" t="inlineStr">
        <is>
          <t>Administrador (RFB partner)</t>
        </is>
      </c>
      <c r="R421" s="21" t="inlineStr"/>
      <c r="S421" s="21" t="inlineStr"/>
      <c r="T421" s="21" t="inlineStr">
        <is>
          <t>RFB partner (QSA); no Apollo match</t>
        </is>
      </c>
      <c r="U421" s="22" t="n">
        <v>840995.9399999999</v>
      </c>
      <c r="V421" s="38" t="inlineStr">
        <is>
          <t>C</t>
        </is>
      </c>
      <c r="W421" s="24">
        <f>IFERROR(VLOOKUP(V421,Assumptions!$A$7:$F$11,2,FALSE),0)</f>
        <v/>
      </c>
      <c r="X421" s="25">
        <f>IF(V421="A",MAX(1,IFERROR(VLOOKUP(V421,Assumptions!$A$7:$F$11,3,FALSE),3)+IFERROR(VLOOKUP(V421,Assumptions!$A$7:$F$11,4,FALSE),8)/2-MAX(0,IF(AO421="",0,YEAR(TODAY())-AO421)-IFERROR(VLOOKUP(V421,Assumptions!$A$7:$F$11,5,FALSE),1.5))),IFERROR(VLOOKUP(V421,Assumptions!$A$7:$F$11,5,FALSE),2.5)+IFERROR(VLOOKUP(V421,Assumptions!$A$7:$F$11,3,FALSE),3)+IFERROR(VLOOKUP(V421,Assumptions!$A$7:$F$11,4,FALSE),8)/2)</f>
        <v/>
      </c>
      <c r="Y421" s="22">
        <f>U421*W421/(1+Assumptions!$B$3)^X421</f>
        <v/>
      </c>
      <c r="Z421" s="26">
        <f>IF(U421=0,"",ROUND(Y421/U421*100,1))</f>
        <v/>
      </c>
      <c r="AA421" s="27">
        <f>Y421*Assumptions!$B$4</f>
        <v/>
      </c>
      <c r="AB421" s="26">
        <f>IF(U421=0,"",ROUND(AA421/U421*100,1))</f>
        <v/>
      </c>
      <c r="AC421" s="27">
        <f>Y421-AA421</f>
        <v/>
      </c>
      <c r="AD421" s="26">
        <f>IF(U421=0,"",ROUND((Y421-AA421)/U421*100,1))</f>
        <v/>
      </c>
      <c r="AE421" s="33" t="inlineStr">
        <is>
          <t>NO TOTALS — list prints none; check page</t>
        </is>
      </c>
      <c r="AF421" s="29" t="inlineStr">
        <is>
          <t>https://diligence.adm.br/wp-content/plugins/download-attachments/includes/download.php?id=4599</t>
        </is>
      </c>
      <c r="AG421" s="28" t="inlineStr">
        <is>
          <t>p10 r79</t>
        </is>
      </c>
      <c r="AH421" s="28" t="inlineStr">
        <is>
          <t>p10: R$ 840.995,94</t>
        </is>
      </c>
      <c r="AI421" s="28" t="inlineStr">
        <is>
          <t>AJ list (art. 7 §2)</t>
        </is>
      </c>
      <c r="AJ421" s="28" t="inlineStr">
        <is>
          <t>2024-06-25</t>
        </is>
      </c>
      <c r="AK421" s="28" t="inlineStr">
        <is>
          <t>NONE FOUND</t>
        </is>
      </c>
      <c r="AL421" s="30" t="inlineStr">
        <is>
          <t>0000880-57.2020.8.17.2001</t>
        </is>
      </c>
      <c r="AM421" s="30" t="inlineStr">
        <is>
          <t>TJPE</t>
        </is>
      </c>
      <c r="AN421" s="30" t="inlineStr">
        <is>
          <t>ACTIVE</t>
        </is>
      </c>
      <c r="AO421" s="30" t="n">
        <v>2020</v>
      </c>
      <c r="AP421" s="30" t="inlineStr">
        <is>
          <t>6y since filing, no plan document</t>
        </is>
      </c>
      <c r="AQ421" s="30" t="inlineStr">
        <is>
          <t>08.073.264/0001-87</t>
        </is>
      </c>
      <c r="AR421" s="30" t="inlineStr">
        <is>
          <t>printed on the list (read twice)</t>
        </is>
      </c>
      <c r="AS421" s="30" t="inlineStr">
        <is>
          <t>RIO CLARO</t>
        </is>
      </c>
      <c r="AT421" s="30" t="inlineStr">
        <is>
          <t>SP</t>
        </is>
      </c>
      <c r="AU421" s="30" t="inlineStr">
        <is>
          <t>Fabricação de tubos e acessórios de material plástico para uso na construção</t>
        </is>
      </c>
      <c r="AV421" s="30" t="inlineStr">
        <is>
          <t>DEMAIS</t>
        </is>
      </c>
      <c r="AW421" s="31" t="n">
        <v>82330904</v>
      </c>
      <c r="AX421" s="30" t="inlineStr">
        <is>
          <t>MID-MARKET</t>
        </is>
      </c>
      <c r="AY421" s="30" t="inlineStr">
        <is>
          <t>11069316</t>
        </is>
      </c>
      <c r="AZ421" s="30" t="n">
        <v>1</v>
      </c>
      <c r="BA421" s="30" t="inlineStr">
        <is>
          <t>ALT_VALUE:R$840.995,94 ROWS:p10r79 UNRECONCILED_SOURCE VALUE_COL:2ª_Lista</t>
        </is>
      </c>
    </row>
    <row r="422">
      <c r="A422" s="16" t="inlineStr">
        <is>
          <t>G GOTUZZO E CIA LTDA</t>
        </is>
      </c>
      <c r="B422" s="17" t="n">
        <v>213107.83</v>
      </c>
      <c r="C422" s="18" t="inlineStr">
        <is>
          <t>ASSOCIAÇÃO DE CARIDADE SANTA CASA DO RIO GRANDE</t>
        </is>
      </c>
      <c r="D422" s="19" t="inlineStr">
        <is>
          <t>NEW</t>
        </is>
      </c>
      <c r="E422" s="20" t="inlineStr"/>
      <c r="F422" s="19" t="inlineStr"/>
      <c r="G422" s="20" t="inlineStr"/>
      <c r="H422" s="19" t="inlineStr"/>
      <c r="I422" s="21" t="inlineStr">
        <is>
          <t>Ggotuzzo Gotuzzo</t>
        </is>
      </c>
      <c r="J422" s="21" t="inlineStr">
        <is>
          <t>Manager</t>
        </is>
      </c>
      <c r="K422" s="21" t="inlineStr">
        <is>
          <t>(53) 3284-3000</t>
        </is>
      </c>
      <c r="L422" s="21" t="inlineStr">
        <is>
          <t>(53) 3284-3013</t>
        </is>
      </c>
      <c r="M422" s="21" t="inlineStr"/>
      <c r="N422" s="21" t="inlineStr">
        <is>
          <t>ggotuzzo@ggotuzzo.com.br</t>
        </is>
      </c>
      <c r="O422" s="21" t="inlineStr"/>
      <c r="P422" s="21" t="inlineStr">
        <is>
          <t>GIZELA LEITZKE GOTUZZO</t>
        </is>
      </c>
      <c r="Q422" s="21" t="inlineStr">
        <is>
          <t>Sócio-Administrador (RFB partner)</t>
        </is>
      </c>
      <c r="R422" s="21" t="inlineStr"/>
      <c r="S422" s="21" t="inlineStr"/>
      <c r="T422" s="21" t="inlineStr">
        <is>
          <t>email verified by Apollo</t>
        </is>
      </c>
      <c r="U422" s="22" t="n">
        <v>213107.83</v>
      </c>
      <c r="V422" s="23" t="inlineStr">
        <is>
          <t>B</t>
        </is>
      </c>
      <c r="W422" s="24">
        <f>IFERROR(VLOOKUP(V422,Assumptions!$A$7:$F$11,2,FALSE),0)</f>
        <v/>
      </c>
      <c r="X422" s="25">
        <f>IF(V422="A",MAX(1,IFERROR(VLOOKUP(V422,Assumptions!$A$7:$F$11,3,FALSE),3)+IFERROR(VLOOKUP(V422,Assumptions!$A$7:$F$11,4,FALSE),8)/2-MAX(0,IF(AO422="",0,YEAR(TODAY())-AO422)-IFERROR(VLOOKUP(V422,Assumptions!$A$7:$F$11,5,FALSE),1.5))),IFERROR(VLOOKUP(V422,Assumptions!$A$7:$F$11,5,FALSE),2.5)+IFERROR(VLOOKUP(V422,Assumptions!$A$7:$F$11,3,FALSE),3)+IFERROR(VLOOKUP(V422,Assumptions!$A$7:$F$11,4,FALSE),8)/2)</f>
        <v/>
      </c>
      <c r="Y422" s="22">
        <f>U422*W422/(1+Assumptions!$B$3)^X422</f>
        <v/>
      </c>
      <c r="Z422" s="26">
        <f>IF(U422=0,"",ROUND(Y422/U422*100,1))</f>
        <v/>
      </c>
      <c r="AA422" s="27">
        <f>Y422*Assumptions!$B$4</f>
        <v/>
      </c>
      <c r="AB422" s="26">
        <f>IF(U422=0,"",ROUND(AA422/U422*100,1))</f>
        <v/>
      </c>
      <c r="AC422" s="27">
        <f>Y422-AA422</f>
        <v/>
      </c>
      <c r="AD422" s="26">
        <f>IF(U422=0,"",ROUND((Y422-AA422)/U422*100,1))</f>
        <v/>
      </c>
      <c r="AE422" s="33" t="inlineStr">
        <is>
          <t>NO TOTALS — list prints none; check page</t>
        </is>
      </c>
      <c r="AF422" s="29" t="inlineStr">
        <is>
          <t>https://scalzilliaj.com.br/sgc/download.php?file=files/processo_documento/processo_documento09120721032023_1_.pdf&amp;nome=15 - Edital do art. 7º, §2º e 53 da Lei 11.101/2005 (segunda lista de credores e recebimento do plano))</t>
        </is>
      </c>
      <c r="AG422" s="28" t="inlineStr">
        <is>
          <t>p27 r38</t>
        </is>
      </c>
      <c r="AH422" s="28" t="inlineStr">
        <is>
          <t>p27: R$ 213.107,83</t>
        </is>
      </c>
      <c r="AI422" s="28" t="inlineStr">
        <is>
          <t>AJ list (art. 7 §2)</t>
        </is>
      </c>
      <c r="AJ422" s="28" t="inlineStr">
        <is>
          <t>2023-03-21</t>
        </is>
      </c>
      <c r="AK422" s="28" t="inlineStr">
        <is>
          <t>NONE FOUND</t>
        </is>
      </c>
      <c r="AL422" s="30" t="inlineStr">
        <is>
          <t>5012306-16.2022.8.21.0023</t>
        </is>
      </c>
      <c r="AM422" s="30" t="inlineStr">
        <is>
          <t>TJRS</t>
        </is>
      </c>
      <c r="AN422" s="30" t="inlineStr">
        <is>
          <t>ACTIVE</t>
        </is>
      </c>
      <c r="AO422" s="30" t="n">
        <v>2022</v>
      </c>
      <c r="AP422" s="30" t="inlineStr">
        <is>
          <t>live case, no plan document yet</t>
        </is>
      </c>
      <c r="AQ422" s="30" t="inlineStr"/>
      <c r="AR422" s="30" t="inlineStr">
        <is>
          <t>printed on the list (read twice)</t>
        </is>
      </c>
      <c r="AS422" s="30" t="inlineStr">
        <is>
          <t>PELOTAS</t>
        </is>
      </c>
      <c r="AT422" s="30" t="inlineStr">
        <is>
          <t>RS</t>
        </is>
      </c>
      <c r="AU422" s="30" t="inlineStr">
        <is>
          <t>Comércio atacadista de instrumentos e materiais para uso médico, cirúrgico, hospitalar e de laboratórios</t>
        </is>
      </c>
      <c r="AV422" s="30" t="inlineStr">
        <is>
          <t>DEMAIS</t>
        </is>
      </c>
      <c r="AW422" s="31" t="n">
        <v>2050000</v>
      </c>
      <c r="AX422" s="30" t="inlineStr">
        <is>
          <t>MID-MARKET</t>
        </is>
      </c>
      <c r="AY422" s="30" t="inlineStr">
        <is>
          <t>87651345</t>
        </is>
      </c>
      <c r="AZ422" s="30" t="n">
        <v>1</v>
      </c>
      <c r="BA422" s="30" t="inlineStr">
        <is>
          <t>ROWS:p27r38 UNRECONCILED_SOURCE</t>
        </is>
      </c>
    </row>
    <row r="423">
      <c r="A423" s="16" t="inlineStr">
        <is>
          <t>GUINDASTES TRIANGULO LTDA</t>
        </is>
      </c>
      <c r="B423" s="17" t="n">
        <v>397947.39</v>
      </c>
      <c r="C423" s="18" t="inlineStr">
        <is>
          <t>EGESA ENGENHARIA S/A (Consórcio ETDI)</t>
        </is>
      </c>
      <c r="D423" s="19" t="inlineStr">
        <is>
          <t>NEW</t>
        </is>
      </c>
      <c r="E423" s="20" t="inlineStr"/>
      <c r="F423" s="19" t="inlineStr"/>
      <c r="G423" s="20" t="inlineStr"/>
      <c r="H423" s="19" t="inlineStr"/>
      <c r="I423" s="21" t="inlineStr">
        <is>
          <t>IDERVAL DE MORAIS FERRAZ</t>
        </is>
      </c>
      <c r="J423" s="21" t="inlineStr">
        <is>
          <t>Administrador (RFB partner)</t>
        </is>
      </c>
      <c r="K423" s="21" t="inlineStr"/>
      <c r="L423" s="21" t="inlineStr"/>
      <c r="M423" s="21" t="inlineStr"/>
      <c r="N423" s="21" t="inlineStr"/>
      <c r="O423" s="21" t="inlineStr"/>
      <c r="P423" s="21" t="inlineStr">
        <is>
          <t>MARIA ANGELICA RIBEIRO PRUDENTE FERRAZ</t>
        </is>
      </c>
      <c r="Q423" s="21" t="inlineStr">
        <is>
          <t>Administrador (RFB partner)</t>
        </is>
      </c>
      <c r="R423" s="21" t="inlineStr"/>
      <c r="S423" s="21" t="inlineStr"/>
      <c r="T423" s="21" t="inlineStr">
        <is>
          <t>RFB partner (QSA); no Apollo match</t>
        </is>
      </c>
      <c r="U423" s="22" t="n">
        <v>397947.39</v>
      </c>
      <c r="V423" s="32" t="inlineStr">
        <is>
          <t>U</t>
        </is>
      </c>
      <c r="W423" s="24">
        <f>IFERROR(VLOOKUP(V423,Assumptions!$A$7:$F$11,2,FALSE),0)</f>
        <v/>
      </c>
      <c r="X423" s="25">
        <f>IF(V423="A",MAX(1,IFERROR(VLOOKUP(V423,Assumptions!$A$7:$F$11,3,FALSE),3)+IFERROR(VLOOKUP(V423,Assumptions!$A$7:$F$11,4,FALSE),8)/2-MAX(0,IF(AO423="",0,YEAR(TODAY())-AO423)-IFERROR(VLOOKUP(V423,Assumptions!$A$7:$F$11,5,FALSE),1.5))),IFERROR(VLOOKUP(V423,Assumptions!$A$7:$F$11,5,FALSE),2.5)+IFERROR(VLOOKUP(V423,Assumptions!$A$7:$F$11,3,FALSE),3)+IFERROR(VLOOKUP(V423,Assumptions!$A$7:$F$11,4,FALSE),8)/2)</f>
        <v/>
      </c>
      <c r="Y423" s="22">
        <f>U423*W423/(1+Assumptions!$B$3)^X423</f>
        <v/>
      </c>
      <c r="Z423" s="26">
        <f>IF(U423=0,"",ROUND(Y423/U423*100,1))</f>
        <v/>
      </c>
      <c r="AA423" s="27">
        <f>Y423*Assumptions!$B$4</f>
        <v/>
      </c>
      <c r="AB423" s="26">
        <f>IF(U423=0,"",ROUND(AA423/U423*100,1))</f>
        <v/>
      </c>
      <c r="AC423" s="27">
        <f>Y423-AA423</f>
        <v/>
      </c>
      <c r="AD423" s="26">
        <f>IF(U423=0,"",ROUND((Y423-AA423)/U423*100,1))</f>
        <v/>
      </c>
      <c r="AE423" s="28" t="inlineStr">
        <is>
          <t>OK — totals reconciled</t>
        </is>
      </c>
      <c r="AF423" s="29" t="inlineStr">
        <is>
          <t>https://scalzilliaj.com.br/sgc/download.php?file=files/processo_documento/processo_documento09514021082025_1_.pdf&amp;nome=04 - Relação de credores das Recuperandas</t>
        </is>
      </c>
      <c r="AG423" s="28" t="inlineStr">
        <is>
          <t>p67 r14</t>
        </is>
      </c>
      <c r="AH423" s="28" t="inlineStr">
        <is>
          <t>p67: R$ 397.947,39</t>
        </is>
      </c>
      <c r="AI423" s="28" t="inlineStr">
        <is>
          <t>Debtor list (art. 51)</t>
        </is>
      </c>
      <c r="AJ423" s="28" t="inlineStr"/>
      <c r="AK423" s="28" t="inlineStr">
        <is>
          <t>NONE FOUND</t>
        </is>
      </c>
      <c r="AL423" s="30" t="inlineStr">
        <is>
          <t>(not printed)</t>
        </is>
      </c>
      <c r="AM423" s="30" t="inlineStr"/>
      <c r="AN423" s="30" t="inlineStr"/>
      <c r="AO423" s="30" t="inlineStr"/>
      <c r="AP423" s="30" t="inlineStr">
        <is>
          <t>RJ case number not identified on the document</t>
        </is>
      </c>
      <c r="AQ423" s="30" t="inlineStr"/>
      <c r="AR423" s="30" t="inlineStr">
        <is>
          <t>portal page title / URL — not printed on the list</t>
        </is>
      </c>
      <c r="AS423" s="30" t="inlineStr">
        <is>
          <t>UBERLANDIA</t>
        </is>
      </c>
      <c r="AT423" s="30" t="inlineStr">
        <is>
          <t>MG</t>
        </is>
      </c>
      <c r="AU423" s="30" t="inlineStr">
        <is>
          <t>Aluguel de outras máquinas e equipamentos comerciais e industriais não especificados anteriormente, sem operador</t>
        </is>
      </c>
      <c r="AV423" s="30" t="inlineStr">
        <is>
          <t>DEMAIS</t>
        </is>
      </c>
      <c r="AW423" s="31" t="n">
        <v>1000000</v>
      </c>
      <c r="AX423" s="30" t="inlineStr">
        <is>
          <t>MID-MARKET</t>
        </is>
      </c>
      <c r="AY423" s="30" t="inlineStr">
        <is>
          <t>41687757</t>
        </is>
      </c>
      <c r="AZ423" s="30" t="n">
        <v>1</v>
      </c>
      <c r="BA423" s="30" t="inlineStr">
        <is>
          <t>ROWS:p67r14 VALUE_COL:Valor_Atualizado CASE_NUMBER_CORRECTED</t>
        </is>
      </c>
    </row>
    <row r="424">
      <c r="A424" s="16" t="inlineStr">
        <is>
          <t>TRADESTAR IMPORTACAO E EXPORTACAO LTDA</t>
        </is>
      </c>
      <c r="B424" s="17" t="n">
        <v>210630</v>
      </c>
      <c r="C424" s="37" t="inlineStr">
        <is>
          <t>(debtor not identified — see proof)</t>
        </is>
      </c>
      <c r="D424" s="19" t="inlineStr">
        <is>
          <t>NEW</t>
        </is>
      </c>
      <c r="E424" s="20" t="inlineStr"/>
      <c r="F424" s="19" t="inlineStr"/>
      <c r="G424" s="20" t="inlineStr"/>
      <c r="H424" s="19" t="inlineStr"/>
      <c r="I424" s="21" t="inlineStr">
        <is>
          <t>David Vaes</t>
        </is>
      </c>
      <c r="J424" s="21" t="inlineStr">
        <is>
          <t>Supply Analyst</t>
        </is>
      </c>
      <c r="K424" s="21" t="inlineStr">
        <is>
          <t>(41) 3771-9936</t>
        </is>
      </c>
      <c r="L424" s="21" t="inlineStr"/>
      <c r="M424" s="21" t="inlineStr"/>
      <c r="N424" s="21" t="inlineStr">
        <is>
          <t>david.vaes@tradestar.com.br</t>
        </is>
      </c>
      <c r="O424" s="21" t="inlineStr"/>
      <c r="P424" s="21" t="inlineStr"/>
      <c r="Q424" s="21" t="inlineStr"/>
      <c r="R424" s="21" t="inlineStr"/>
      <c r="S424" s="21" t="inlineStr"/>
      <c r="T424" s="21" t="inlineStr">
        <is>
          <t>email verified by Apollo</t>
        </is>
      </c>
      <c r="U424" s="22" t="n">
        <v>210630</v>
      </c>
      <c r="V424" s="23" t="inlineStr">
        <is>
          <t>B</t>
        </is>
      </c>
      <c r="W424" s="24">
        <f>IFERROR(VLOOKUP(V424,Assumptions!$A$7:$F$11,2,FALSE),0)</f>
        <v/>
      </c>
      <c r="X424" s="25">
        <f>IF(V424="A",MAX(1,IFERROR(VLOOKUP(V424,Assumptions!$A$7:$F$11,3,FALSE),3)+IFERROR(VLOOKUP(V424,Assumptions!$A$7:$F$11,4,FALSE),8)/2-MAX(0,IF(AO424="",0,YEAR(TODAY())-AO424)-IFERROR(VLOOKUP(V424,Assumptions!$A$7:$F$11,5,FALSE),1.5))),IFERROR(VLOOKUP(V424,Assumptions!$A$7:$F$11,5,FALSE),2.5)+IFERROR(VLOOKUP(V424,Assumptions!$A$7:$F$11,3,FALSE),3)+IFERROR(VLOOKUP(V424,Assumptions!$A$7:$F$11,4,FALSE),8)/2)</f>
        <v/>
      </c>
      <c r="Y424" s="22">
        <f>U424*W424/(1+Assumptions!$B$3)^X424</f>
        <v/>
      </c>
      <c r="Z424" s="26">
        <f>IF(U424=0,"",ROUND(Y424/U424*100,1))</f>
        <v/>
      </c>
      <c r="AA424" s="27">
        <f>Y424*Assumptions!$B$4</f>
        <v/>
      </c>
      <c r="AB424" s="26">
        <f>IF(U424=0,"",ROUND(AA424/U424*100,1))</f>
        <v/>
      </c>
      <c r="AC424" s="27">
        <f>Y424-AA424</f>
        <v/>
      </c>
      <c r="AD424" s="26">
        <f>IF(U424=0,"",ROUND((Y424-AA424)/U424*100,1))</f>
        <v/>
      </c>
      <c r="AE424" s="28" t="inlineStr">
        <is>
          <t>OK — totals reconciled</t>
        </is>
      </c>
      <c r="AF424" s="29" t="inlineStr">
        <is>
          <t>https://ajruiz.com.br/sites/default/files/public/arquivos-processos/2024-04/relacao_de_credores_recuperanda_1.pdf</t>
        </is>
      </c>
      <c r="AG424" s="28" t="inlineStr">
        <is>
          <t>p10 r5</t>
        </is>
      </c>
      <c r="AH424" s="28" t="inlineStr">
        <is>
          <t>p10: R$ 210.630,00</t>
        </is>
      </c>
      <c r="AI424" s="28" t="inlineStr">
        <is>
          <t>QGC (art. 18)</t>
        </is>
      </c>
      <c r="AJ424" s="28" t="inlineStr">
        <is>
          <t>2024-01-31</t>
        </is>
      </c>
      <c r="AK424" s="28" t="inlineStr">
        <is>
          <t>NONE FOUND</t>
        </is>
      </c>
      <c r="AL424" s="30" t="inlineStr">
        <is>
          <t>1022634-27.2024.8.26.0100</t>
        </is>
      </c>
      <c r="AM424" s="30" t="inlineStr">
        <is>
          <t>TJSP</t>
        </is>
      </c>
      <c r="AN424" s="30" t="inlineStr"/>
      <c r="AO424" s="30" t="n">
        <v>2024</v>
      </c>
      <c r="AP424" s="30" t="inlineStr">
        <is>
          <t>live case, no plan document yet</t>
        </is>
      </c>
      <c r="AQ424" s="30" t="inlineStr"/>
      <c r="AR424" s="30" t="inlineStr">
        <is>
          <t>not identified</t>
        </is>
      </c>
      <c r="AS424" s="30" t="inlineStr">
        <is>
          <t>GARUVA</t>
        </is>
      </c>
      <c r="AT424" s="30" t="inlineStr">
        <is>
          <t>SC</t>
        </is>
      </c>
      <c r="AU424" s="30" t="inlineStr">
        <is>
          <t>Comércio atacadista de mercadorias em geral, sem predominância de alimentos ou de insumos agropecuários</t>
        </is>
      </c>
      <c r="AV424" s="30" t="inlineStr">
        <is>
          <t>DEMAIS</t>
        </is>
      </c>
      <c r="AW424" s="31" t="n">
        <v>70550140</v>
      </c>
      <c r="AX424" s="30" t="inlineStr">
        <is>
          <t>MID-MARKET</t>
        </is>
      </c>
      <c r="AY424" s="30" t="inlineStr">
        <is>
          <t>21233373</t>
        </is>
      </c>
      <c r="AZ424" s="30" t="n">
        <v>1</v>
      </c>
      <c r="BA424" s="30" t="inlineStr">
        <is>
          <t>ROWS:p10r5 CASE_NUMBER_CORRECTED</t>
        </is>
      </c>
    </row>
    <row r="425">
      <c r="A425" s="16" t="inlineStr">
        <is>
          <t>RADICAL STYLE INDUSTRIA E COMERCIO DE CONFECCOES LTDA</t>
        </is>
      </c>
      <c r="B425" s="17" t="n">
        <v>210265.38</v>
      </c>
      <c r="C425" s="18" t="inlineStr">
        <is>
          <t>GRUPO CATTAN</t>
        </is>
      </c>
      <c r="D425" s="19" t="inlineStr">
        <is>
          <t>NEW</t>
        </is>
      </c>
      <c r="E425" s="20" t="inlineStr"/>
      <c r="F425" s="19" t="inlineStr"/>
      <c r="G425" s="20" t="inlineStr"/>
      <c r="H425" s="19" t="inlineStr"/>
      <c r="I425" s="21" t="inlineStr">
        <is>
          <t>Fabricio Bissoli</t>
        </is>
      </c>
      <c r="J425" s="21" t="inlineStr">
        <is>
          <t>General Manager</t>
        </is>
      </c>
      <c r="K425" s="21" t="inlineStr">
        <is>
          <t>(47) 3355-1000</t>
        </is>
      </c>
      <c r="L425" s="21" t="inlineStr"/>
      <c r="M425" s="21" t="inlineStr"/>
      <c r="N425" s="21" t="inlineStr"/>
      <c r="O425" s="21" t="inlineStr"/>
      <c r="P425" s="21" t="inlineStr">
        <is>
          <t>Advogado Giacomossi</t>
        </is>
      </c>
      <c r="Q425" s="21" t="inlineStr">
        <is>
          <t>Owner</t>
        </is>
      </c>
      <c r="R425" s="21" t="inlineStr"/>
      <c r="S425" s="21" t="inlineStr"/>
      <c r="T425" s="21" t="inlineStr">
        <is>
          <t>no work email found in Apollo</t>
        </is>
      </c>
      <c r="U425" s="22" t="n">
        <v>210265.38</v>
      </c>
      <c r="V425" s="23" t="inlineStr">
        <is>
          <t>B</t>
        </is>
      </c>
      <c r="W425" s="24">
        <f>IFERROR(VLOOKUP(V425,Assumptions!$A$7:$F$11,2,FALSE),0)</f>
        <v/>
      </c>
      <c r="X425" s="25">
        <f>IF(V425="A",MAX(1,IFERROR(VLOOKUP(V425,Assumptions!$A$7:$F$11,3,FALSE),3)+IFERROR(VLOOKUP(V425,Assumptions!$A$7:$F$11,4,FALSE),8)/2-MAX(0,IF(AO425="",0,YEAR(TODAY())-AO425)-IFERROR(VLOOKUP(V425,Assumptions!$A$7:$F$11,5,FALSE),1.5))),IFERROR(VLOOKUP(V425,Assumptions!$A$7:$F$11,5,FALSE),2.5)+IFERROR(VLOOKUP(V425,Assumptions!$A$7:$F$11,3,FALSE),3)+IFERROR(VLOOKUP(V425,Assumptions!$A$7:$F$11,4,FALSE),8)/2)</f>
        <v/>
      </c>
      <c r="Y425" s="22">
        <f>U425*W425/(1+Assumptions!$B$3)^X425</f>
        <v/>
      </c>
      <c r="Z425" s="26">
        <f>IF(U425=0,"",ROUND(Y425/U425*100,1))</f>
        <v/>
      </c>
      <c r="AA425" s="27">
        <f>Y425*Assumptions!$B$4</f>
        <v/>
      </c>
      <c r="AB425" s="26">
        <f>IF(U425=0,"",ROUND(AA425/U425*100,1))</f>
        <v/>
      </c>
      <c r="AC425" s="27">
        <f>Y425-AA425</f>
        <v/>
      </c>
      <c r="AD425" s="26">
        <f>IF(U425=0,"",ROUND((Y425-AA425)/U425*100,1))</f>
        <v/>
      </c>
      <c r="AE425" s="34" t="inlineStr">
        <is>
          <t>PARTIAL — class III reconciled, other classes not</t>
        </is>
      </c>
      <c r="AF425" s="29" t="inlineStr">
        <is>
          <t>https://lrflideres.com.br/wp-content/plugins/download-attachments/includes/download.php?id=4023</t>
        </is>
      </c>
      <c r="AG425" s="28" t="inlineStr">
        <is>
          <t>p4 r89; p7 r116; p9 r87</t>
        </is>
      </c>
      <c r="AH425" s="28" t="inlineStr">
        <is>
          <t>p4: R$ 73.074,78; p7: R$ 107.424,36; p9: R$ 29.766,24</t>
        </is>
      </c>
      <c r="AI425" s="28" t="inlineStr">
        <is>
          <t>Debtor list (art. 51)</t>
        </is>
      </c>
      <c r="AJ425" s="28" t="inlineStr"/>
      <c r="AK425" s="28" t="inlineStr">
        <is>
          <t>NONE FOUND</t>
        </is>
      </c>
      <c r="AL425" s="30" t="inlineStr">
        <is>
          <t>0002484-82.2022.8.17.2001</t>
        </is>
      </c>
      <c r="AM425" s="30" t="inlineStr">
        <is>
          <t>TJPE</t>
        </is>
      </c>
      <c r="AN425" s="30" t="inlineStr">
        <is>
          <t>ACTIVE</t>
        </is>
      </c>
      <c r="AO425" s="30" t="n">
        <v>2022</v>
      </c>
      <c r="AP425" s="30" t="inlineStr">
        <is>
          <t>live case, no plan document yet</t>
        </is>
      </c>
      <c r="AQ425" s="30" t="inlineStr"/>
      <c r="AR425" s="30" t="inlineStr">
        <is>
          <t>printed on the list (read twice)</t>
        </is>
      </c>
      <c r="AS425" s="30" t="inlineStr">
        <is>
          <t>TIJUCAS</t>
        </is>
      </c>
      <c r="AT425" s="30" t="inlineStr">
        <is>
          <t>SC</t>
        </is>
      </c>
      <c r="AU425" s="30" t="inlineStr">
        <is>
          <t>Confecção de peças de vestuário, exceto roupas íntimas e as confeccionadas sob medida</t>
        </is>
      </c>
      <c r="AV425" s="30" t="inlineStr">
        <is>
          <t>DEMAIS</t>
        </is>
      </c>
      <c r="AW425" s="31" t="n">
        <v>600000</v>
      </c>
      <c r="AX425" s="30" t="inlineStr">
        <is>
          <t>MID-MARKET</t>
        </is>
      </c>
      <c r="AY425" s="30" t="inlineStr">
        <is>
          <t>08584931</t>
        </is>
      </c>
      <c r="AZ425" s="30" t="n">
        <v>3</v>
      </c>
      <c r="BA425" s="30" t="inlineStr">
        <is>
          <t>PARTIAL_DOC_CLASS_III_RECONCILED ROWS:p4r89,p7r116,p9r87</t>
        </is>
      </c>
    </row>
    <row r="426">
      <c r="A426" s="16" t="inlineStr">
        <is>
          <t>COMPANHIA VALENCA INDUSTRIAL</t>
        </is>
      </c>
      <c r="B426" s="17" t="n">
        <v>209967.04</v>
      </c>
      <c r="C426" s="18" t="inlineStr">
        <is>
          <t>GRUPO BE EIGHT</t>
        </is>
      </c>
      <c r="D426" s="19" t="inlineStr">
        <is>
          <t>NEW</t>
        </is>
      </c>
      <c r="E426" s="20" t="inlineStr"/>
      <c r="F426" s="19" t="inlineStr"/>
      <c r="G426" s="20" t="inlineStr"/>
      <c r="H426" s="19" t="inlineStr"/>
      <c r="I426" s="21" t="inlineStr">
        <is>
          <t>Camilla Oliveira</t>
        </is>
      </c>
      <c r="J426" s="21" t="inlineStr">
        <is>
          <t>Credit and Collection Analyst</t>
        </is>
      </c>
      <c r="K426" s="21" t="inlineStr">
        <is>
          <t>(75) 3643-3188</t>
        </is>
      </c>
      <c r="L426" s="21" t="inlineStr">
        <is>
          <t>(75) 3643-3189</t>
        </is>
      </c>
      <c r="M426" s="21" t="inlineStr"/>
      <c r="N426" s="21" t="inlineStr">
        <is>
          <t>camila.oliveira@valenca.com.br</t>
        </is>
      </c>
      <c r="O426" s="21" t="inlineStr">
        <is>
          <t>sulamita.nunes@valenca.com.br</t>
        </is>
      </c>
      <c r="P426" s="21" t="inlineStr">
        <is>
          <t>Sulamita Nunes</t>
        </is>
      </c>
      <c r="Q426" s="21" t="inlineStr">
        <is>
          <t>Financial</t>
        </is>
      </c>
      <c r="R426" s="21" t="inlineStr"/>
      <c r="S426" s="21" t="inlineStr">
        <is>
          <t>sulamita.nunes@valenca.com.br</t>
        </is>
      </c>
      <c r="T426" s="21" t="inlineStr">
        <is>
          <t>email verified by Apollo</t>
        </is>
      </c>
      <c r="U426" s="22" t="n">
        <v>209967.04</v>
      </c>
      <c r="V426" s="23" t="inlineStr">
        <is>
          <t>B</t>
        </is>
      </c>
      <c r="W426" s="24">
        <f>IFERROR(VLOOKUP(V426,Assumptions!$A$7:$F$11,2,FALSE),0)</f>
        <v/>
      </c>
      <c r="X426" s="25">
        <f>IF(V426="A",MAX(1,IFERROR(VLOOKUP(V426,Assumptions!$A$7:$F$11,3,FALSE),3)+IFERROR(VLOOKUP(V426,Assumptions!$A$7:$F$11,4,FALSE),8)/2-MAX(0,IF(AO426="",0,YEAR(TODAY())-AO426)-IFERROR(VLOOKUP(V426,Assumptions!$A$7:$F$11,5,FALSE),1.5))),IFERROR(VLOOKUP(V426,Assumptions!$A$7:$F$11,5,FALSE),2.5)+IFERROR(VLOOKUP(V426,Assumptions!$A$7:$F$11,3,FALSE),3)+IFERROR(VLOOKUP(V426,Assumptions!$A$7:$F$11,4,FALSE),8)/2)</f>
        <v/>
      </c>
      <c r="Y426" s="22">
        <f>U426*W426/(1+Assumptions!$B$3)^X426</f>
        <v/>
      </c>
      <c r="Z426" s="26">
        <f>IF(U426=0,"",ROUND(Y426/U426*100,1))</f>
        <v/>
      </c>
      <c r="AA426" s="27">
        <f>Y426*Assumptions!$B$4</f>
        <v/>
      </c>
      <c r="AB426" s="26">
        <f>IF(U426=0,"",ROUND(AA426/U426*100,1))</f>
        <v/>
      </c>
      <c r="AC426" s="27">
        <f>Y426-AA426</f>
        <v/>
      </c>
      <c r="AD426" s="26">
        <f>IF(U426=0,"",ROUND((Y426-AA426)/U426*100,1))</f>
        <v/>
      </c>
      <c r="AE426" s="33" t="inlineStr">
        <is>
          <t>NO TOTALS — list prints none; check page</t>
        </is>
      </c>
      <c r="AF426" s="29" t="inlineStr">
        <is>
          <t>https://marquesadmjudicial.com.br/sgc/download.php?file=files/processo_documento/processo_documento09444722082025_1_.pdf&amp;nome=2° Edital - Relação de Credores AJ e PRJ</t>
        </is>
      </c>
      <c r="AG426" s="28" t="inlineStr">
        <is>
          <t>p2 r154</t>
        </is>
      </c>
      <c r="AH426" s="28" t="inlineStr">
        <is>
          <t>p2: R$ 209.967,04</t>
        </is>
      </c>
      <c r="AI426" s="28" t="inlineStr">
        <is>
          <t>AJ list (art. 7 §2)</t>
        </is>
      </c>
      <c r="AJ426" s="28" t="inlineStr">
        <is>
          <t>2025-04-08</t>
        </is>
      </c>
      <c r="AK426" s="28" t="inlineStr">
        <is>
          <t>NONE FOUND</t>
        </is>
      </c>
      <c r="AL426" s="30" t="inlineStr">
        <is>
          <t>0008897-71.2025.8.16.0017</t>
        </is>
      </c>
      <c r="AM426" s="30" t="inlineStr">
        <is>
          <t>TJPR</t>
        </is>
      </c>
      <c r="AN426" s="30" t="inlineStr">
        <is>
          <t>ACTIVE</t>
        </is>
      </c>
      <c r="AO426" s="30" t="n">
        <v>2025</v>
      </c>
      <c r="AP426" s="30" t="inlineStr">
        <is>
          <t>live case, no plan document yet</t>
        </is>
      </c>
      <c r="AQ426" s="30" t="inlineStr">
        <is>
          <t>02.790.680/0001-10</t>
        </is>
      </c>
      <c r="AR426" s="30" t="inlineStr">
        <is>
          <t>printed on the list (read twice)</t>
        </is>
      </c>
      <c r="AS426" s="30" t="inlineStr">
        <is>
          <t>VALENCA</t>
        </is>
      </c>
      <c r="AT426" s="30" t="inlineStr">
        <is>
          <t>BA</t>
        </is>
      </c>
      <c r="AU426" s="30" t="inlineStr">
        <is>
          <t>Tecelagem de fios de algodão</t>
        </is>
      </c>
      <c r="AV426" s="30" t="inlineStr">
        <is>
          <t>DEMAIS</t>
        </is>
      </c>
      <c r="AW426" s="31" t="inlineStr"/>
      <c r="AX426" s="30" t="inlineStr">
        <is>
          <t>MID-MARKET</t>
        </is>
      </c>
      <c r="AY426" s="30" t="inlineStr">
        <is>
          <t>15102098</t>
        </is>
      </c>
      <c r="AZ426" s="30" t="n">
        <v>1</v>
      </c>
      <c r="BA426" s="30" t="inlineStr">
        <is>
          <t>ROWS:p2r154 UNRECONCILED_SOURCE</t>
        </is>
      </c>
    </row>
    <row r="427">
      <c r="A427" s="16" t="inlineStr">
        <is>
          <t>MOVEIS SAO CARLOS LTDA</t>
        </is>
      </c>
      <c r="B427" s="17" t="n">
        <v>813501.86</v>
      </c>
      <c r="C427" s="18" t="inlineStr">
        <is>
          <t>CREDIMÓVEIS NOVOLAR LTDA.</t>
        </is>
      </c>
      <c r="D427" s="19" t="inlineStr">
        <is>
          <t>NEW</t>
        </is>
      </c>
      <c r="E427" s="20" t="inlineStr"/>
      <c r="F427" s="19" t="inlineStr"/>
      <c r="G427" s="20" t="inlineStr"/>
      <c r="H427" s="19" t="inlineStr"/>
      <c r="I427" s="21" t="inlineStr">
        <is>
          <t>Guilherme Brito</t>
        </is>
      </c>
      <c r="J427" s="21" t="inlineStr">
        <is>
          <t>Administrative Director</t>
        </is>
      </c>
      <c r="K427" s="21" t="inlineStr">
        <is>
          <t>(87) 3838-1279</t>
        </is>
      </c>
      <c r="L427" s="21" t="inlineStr"/>
      <c r="M427" s="21" t="inlineStr"/>
      <c r="N427" s="21" t="inlineStr">
        <is>
          <t>guilhermebrito@moveissaocarlos.com.br</t>
        </is>
      </c>
      <c r="O427" s="21" t="inlineStr">
        <is>
          <t>danielecocati@moveissaocarlos.com.br</t>
        </is>
      </c>
      <c r="P427" s="21" t="inlineStr">
        <is>
          <t>Daniele Cocati</t>
        </is>
      </c>
      <c r="Q427" s="21" t="inlineStr">
        <is>
          <t>Financial Assistant</t>
        </is>
      </c>
      <c r="R427" s="21" t="inlineStr"/>
      <c r="S427" s="21" t="inlineStr">
        <is>
          <t>danielecocati@moveissaocarlos.com.br</t>
        </is>
      </c>
      <c r="T427" s="21" t="inlineStr">
        <is>
          <t>email verified by Apollo</t>
        </is>
      </c>
      <c r="U427" s="22" t="n">
        <v>813501.86</v>
      </c>
      <c r="V427" s="38" t="inlineStr">
        <is>
          <t>C</t>
        </is>
      </c>
      <c r="W427" s="24">
        <f>IFERROR(VLOOKUP(V427,Assumptions!$A$7:$F$11,2,FALSE),0)</f>
        <v/>
      </c>
      <c r="X427" s="25">
        <f>IF(V427="A",MAX(1,IFERROR(VLOOKUP(V427,Assumptions!$A$7:$F$11,3,FALSE),3)+IFERROR(VLOOKUP(V427,Assumptions!$A$7:$F$11,4,FALSE),8)/2-MAX(0,IF(AO427="",0,YEAR(TODAY())-AO427)-IFERROR(VLOOKUP(V427,Assumptions!$A$7:$F$11,5,FALSE),1.5))),IFERROR(VLOOKUP(V427,Assumptions!$A$7:$F$11,5,FALSE),2.5)+IFERROR(VLOOKUP(V427,Assumptions!$A$7:$F$11,3,FALSE),3)+IFERROR(VLOOKUP(V427,Assumptions!$A$7:$F$11,4,FALSE),8)/2)</f>
        <v/>
      </c>
      <c r="Y427" s="22">
        <f>U427*W427/(1+Assumptions!$B$3)^X427</f>
        <v/>
      </c>
      <c r="Z427" s="26">
        <f>IF(U427=0,"",ROUND(Y427/U427*100,1))</f>
        <v/>
      </c>
      <c r="AA427" s="27">
        <f>Y427*Assumptions!$B$4</f>
        <v/>
      </c>
      <c r="AB427" s="26">
        <f>IF(U427=0,"",ROUND(AA427/U427*100,1))</f>
        <v/>
      </c>
      <c r="AC427" s="27">
        <f>Y427-AA427</f>
        <v/>
      </c>
      <c r="AD427" s="26">
        <f>IF(U427=0,"",ROUND((Y427-AA427)/U427*100,1))</f>
        <v/>
      </c>
      <c r="AE427" s="28" t="inlineStr">
        <is>
          <t>OK — totals reconciled</t>
        </is>
      </c>
      <c r="AF427" s="29" t="inlineStr">
        <is>
          <t>https://recuperacaojudicial.squarespace.com/s/RJ-Credimoveis-QGC-01082025.pdf</t>
        </is>
      </c>
      <c r="AG427" s="28" t="inlineStr">
        <is>
          <t>p16 r25</t>
        </is>
      </c>
      <c r="AH427" s="28" t="inlineStr">
        <is>
          <t>p16: R$ 813.501,86</t>
        </is>
      </c>
      <c r="AI427" s="28" t="inlineStr">
        <is>
          <t>QGC (art. 18)</t>
        </is>
      </c>
      <c r="AJ427" s="28" t="inlineStr">
        <is>
          <t>2026-01-28</t>
        </is>
      </c>
      <c r="AK427" s="28" t="inlineStr">
        <is>
          <t>NONE FOUND</t>
        </is>
      </c>
      <c r="AL427" s="30" t="inlineStr">
        <is>
          <t>0007565-40.2020.8.17.2370</t>
        </is>
      </c>
      <c r="AM427" s="30" t="inlineStr">
        <is>
          <t>TJPE</t>
        </is>
      </c>
      <c r="AN427" s="30" t="inlineStr">
        <is>
          <t>ACTIVE</t>
        </is>
      </c>
      <c r="AO427" s="30" t="n">
        <v>2020</v>
      </c>
      <c r="AP427" s="30" t="inlineStr">
        <is>
          <t>6y since filing, no plan document</t>
        </is>
      </c>
      <c r="AQ427" s="30" t="inlineStr">
        <is>
          <t>09.930.165/0001-37</t>
        </is>
      </c>
      <c r="AR427" s="30" t="inlineStr">
        <is>
          <t>printed on the list (read twice)</t>
        </is>
      </c>
      <c r="AS427" s="30" t="inlineStr">
        <is>
          <t>AFOGADOS DA INGAZEIRA</t>
        </is>
      </c>
      <c r="AT427" s="30" t="inlineStr">
        <is>
          <t>PE</t>
        </is>
      </c>
      <c r="AU427" s="30" t="inlineStr">
        <is>
          <t>Fabricação de móveis com predominância de madeira</t>
        </is>
      </c>
      <c r="AV427" s="30" t="inlineStr">
        <is>
          <t>DEMAIS</t>
        </is>
      </c>
      <c r="AW427" s="31" t="n">
        <v>20000000</v>
      </c>
      <c r="AX427" s="30" t="inlineStr">
        <is>
          <t>MID-MARKET</t>
        </is>
      </c>
      <c r="AY427" s="30" t="inlineStr">
        <is>
          <t>40887838</t>
        </is>
      </c>
      <c r="AZ427" s="30" t="n">
        <v>1</v>
      </c>
      <c r="BA427" s="30" t="inlineStr">
        <is>
          <t>ROWS:p16r25</t>
        </is>
      </c>
    </row>
    <row r="428">
      <c r="A428" s="16" t="inlineStr">
        <is>
          <t>LEGGETT &amp; PLATT DO BRASIL LTDA</t>
        </is>
      </c>
      <c r="B428" s="17" t="n">
        <v>1488789.48</v>
      </c>
      <c r="C428" s="18" t="inlineStr">
        <is>
          <t>Mannes</t>
        </is>
      </c>
      <c r="D428" s="19" t="inlineStr">
        <is>
          <t>NEW</t>
        </is>
      </c>
      <c r="E428" s="20" t="inlineStr"/>
      <c r="F428" s="19" t="inlineStr"/>
      <c r="G428" s="20" t="inlineStr"/>
      <c r="H428" s="19" t="inlineStr"/>
      <c r="I428" s="21" t="inlineStr">
        <is>
          <t>GUSTAVO GOULART LEMOS</t>
        </is>
      </c>
      <c r="J428" s="21" t="inlineStr">
        <is>
          <t>Administrador (RFB partner)</t>
        </is>
      </c>
      <c r="K428" s="21" t="inlineStr">
        <is>
          <t>(11) 4894-6027</t>
        </is>
      </c>
      <c r="L428" s="21" t="inlineStr"/>
      <c r="M428" s="21" t="inlineStr"/>
      <c r="N428" s="21" t="inlineStr"/>
      <c r="O428" s="21" t="inlineStr"/>
      <c r="P428" s="21" t="inlineStr"/>
      <c r="Q428" s="21" t="inlineStr"/>
      <c r="R428" s="21" t="inlineStr"/>
      <c r="S428" s="21" t="inlineStr"/>
      <c r="T428" s="21" t="inlineStr">
        <is>
          <t>RFB partner (QSA); no Apollo match</t>
        </is>
      </c>
      <c r="U428" s="22" t="n">
        <v>1488789.48</v>
      </c>
      <c r="V428" s="39" t="inlineStr">
        <is>
          <t>D</t>
        </is>
      </c>
      <c r="W428" s="24">
        <f>IFERROR(VLOOKUP(V428,Assumptions!$A$7:$F$11,2,FALSE),0)</f>
        <v/>
      </c>
      <c r="X428" s="25">
        <f>IF(V428="A",MAX(1,IFERROR(VLOOKUP(V428,Assumptions!$A$7:$F$11,3,FALSE),3)+IFERROR(VLOOKUP(V428,Assumptions!$A$7:$F$11,4,FALSE),8)/2-MAX(0,IF(AO428="",0,YEAR(TODAY())-AO428)-IFERROR(VLOOKUP(V428,Assumptions!$A$7:$F$11,5,FALSE),1.5))),IFERROR(VLOOKUP(V428,Assumptions!$A$7:$F$11,5,FALSE),2.5)+IFERROR(VLOOKUP(V428,Assumptions!$A$7:$F$11,3,FALSE),3)+IFERROR(VLOOKUP(V428,Assumptions!$A$7:$F$11,4,FALSE),8)/2)</f>
        <v/>
      </c>
      <c r="Y428" s="22">
        <f>U428*W428/(1+Assumptions!$B$3)^X428</f>
        <v/>
      </c>
      <c r="Z428" s="26">
        <f>IF(U428=0,"",ROUND(Y428/U428*100,1))</f>
        <v/>
      </c>
      <c r="AA428" s="27">
        <f>Y428*Assumptions!$B$4</f>
        <v/>
      </c>
      <c r="AB428" s="26">
        <f>IF(U428=0,"",ROUND(AA428/U428*100,1))</f>
        <v/>
      </c>
      <c r="AC428" s="27">
        <f>Y428-AA428</f>
        <v/>
      </c>
      <c r="AD428" s="26">
        <f>IF(U428=0,"",ROUND((Y428-AA428)/U428*100,1))</f>
        <v/>
      </c>
      <c r="AE428" s="36" t="inlineStr">
        <is>
          <t>CHECK — source is not a statutory creditor list</t>
        </is>
      </c>
      <c r="AF428" s="29" t="inlineStr">
        <is>
          <t>https://administradorajudicialgs.com.br/wp-content/uploads/2024/12/relacao-de-credores-da-falida.pdf</t>
        </is>
      </c>
      <c r="AG428" s="28" t="inlineStr">
        <is>
          <t>p16 r12</t>
        </is>
      </c>
      <c r="AH428" s="28" t="inlineStr">
        <is>
          <t>p16: R$ 1.488.789,48</t>
        </is>
      </c>
      <c r="AI428" s="28" t="inlineStr">
        <is>
          <t>Other filing — NOT an art. 7/51 list</t>
        </is>
      </c>
      <c r="AJ428" s="28" t="inlineStr">
        <is>
          <t>2025-03-25</t>
        </is>
      </c>
      <c r="AK428" s="28" t="inlineStr">
        <is>
          <t>NONE FOUND</t>
        </is>
      </c>
      <c r="AL428" s="30" t="inlineStr">
        <is>
          <t>0005010-50.2013.8.24.0026</t>
        </is>
      </c>
      <c r="AM428" s="30" t="inlineStr">
        <is>
          <t>TJSC</t>
        </is>
      </c>
      <c r="AN428" s="30" t="inlineStr"/>
      <c r="AO428" s="30" t="n">
        <v>2013</v>
      </c>
      <c r="AP428" s="30" t="inlineStr">
        <is>
          <t>document is a falência (bankruptcy) list</t>
        </is>
      </c>
      <c r="AQ428" s="30" t="inlineStr"/>
      <c r="AR428" s="30" t="inlineStr">
        <is>
          <t>printed on the list (read twice)</t>
        </is>
      </c>
      <c r="AS428" s="30" t="inlineStr">
        <is>
          <t>CAMANDUCAIA</t>
        </is>
      </c>
      <c r="AT428" s="30" t="inlineStr">
        <is>
          <t>MG</t>
        </is>
      </c>
      <c r="AU428" s="30" t="inlineStr">
        <is>
          <t>Fabricação de outros produtos de metal não especificados anteriormente</t>
        </is>
      </c>
      <c r="AV428" s="30" t="inlineStr">
        <is>
          <t>DEMAIS</t>
        </is>
      </c>
      <c r="AW428" s="31" t="n">
        <v>129000000</v>
      </c>
      <c r="AX428" s="30" t="inlineStr">
        <is>
          <t>MID-MARKET</t>
        </is>
      </c>
      <c r="AY428" s="30" t="inlineStr">
        <is>
          <t>03213075</t>
        </is>
      </c>
      <c r="AZ428" s="30" t="n">
        <v>1</v>
      </c>
      <c r="BA428" s="30" t="inlineStr">
        <is>
          <t>ROWS:p16r12 UNRECONCILED_SOURCE CASE_NUMBER_CORRECTED</t>
        </is>
      </c>
    </row>
    <row r="429">
      <c r="A429" s="16" t="inlineStr">
        <is>
          <t>CC TELHAS LTDA</t>
        </is>
      </c>
      <c r="B429" s="17" t="n">
        <v>384596.09</v>
      </c>
      <c r="C429" s="18" t="inlineStr">
        <is>
          <t>EGESA ENGENHARIA S/A (Consórcio ETDI)</t>
        </is>
      </c>
      <c r="D429" s="19" t="inlineStr">
        <is>
          <t>NEW</t>
        </is>
      </c>
      <c r="E429" s="20" t="inlineStr"/>
      <c r="F429" s="19" t="inlineStr"/>
      <c r="G429" s="20" t="inlineStr"/>
      <c r="H429" s="19" t="inlineStr"/>
      <c r="I429" s="21" t="inlineStr">
        <is>
          <t>DARBISON SANTOS CAMPOS</t>
        </is>
      </c>
      <c r="J429" s="21" t="inlineStr">
        <is>
          <t>Sócio-Administrador (RFB partner)</t>
        </is>
      </c>
      <c r="K429" s="21" t="inlineStr">
        <is>
          <t>(81) 3551-2989</t>
        </is>
      </c>
      <c r="L429" s="21" t="inlineStr"/>
      <c r="M429" s="21" t="inlineStr"/>
      <c r="N429" s="21" t="inlineStr"/>
      <c r="O429" s="21" t="inlineStr"/>
      <c r="P429" s="21" t="inlineStr"/>
      <c r="Q429" s="21" t="inlineStr"/>
      <c r="R429" s="21" t="inlineStr"/>
      <c r="S429" s="21" t="inlineStr"/>
      <c r="T429" s="21" t="inlineStr">
        <is>
          <t>RFB partner (QSA); no Apollo match</t>
        </is>
      </c>
      <c r="U429" s="22" t="n">
        <v>384596.09</v>
      </c>
      <c r="V429" s="32" t="inlineStr">
        <is>
          <t>U</t>
        </is>
      </c>
      <c r="W429" s="24">
        <f>IFERROR(VLOOKUP(V429,Assumptions!$A$7:$F$11,2,FALSE),0)</f>
        <v/>
      </c>
      <c r="X429" s="25">
        <f>IF(V429="A",MAX(1,IFERROR(VLOOKUP(V429,Assumptions!$A$7:$F$11,3,FALSE),3)+IFERROR(VLOOKUP(V429,Assumptions!$A$7:$F$11,4,FALSE),8)/2-MAX(0,IF(AO429="",0,YEAR(TODAY())-AO429)-IFERROR(VLOOKUP(V429,Assumptions!$A$7:$F$11,5,FALSE),1.5))),IFERROR(VLOOKUP(V429,Assumptions!$A$7:$F$11,5,FALSE),2.5)+IFERROR(VLOOKUP(V429,Assumptions!$A$7:$F$11,3,FALSE),3)+IFERROR(VLOOKUP(V429,Assumptions!$A$7:$F$11,4,FALSE),8)/2)</f>
        <v/>
      </c>
      <c r="Y429" s="22">
        <f>U429*W429/(1+Assumptions!$B$3)^X429</f>
        <v/>
      </c>
      <c r="Z429" s="26">
        <f>IF(U429=0,"",ROUND(Y429/U429*100,1))</f>
        <v/>
      </c>
      <c r="AA429" s="27">
        <f>Y429*Assumptions!$B$4</f>
        <v/>
      </c>
      <c r="AB429" s="26">
        <f>IF(U429=0,"",ROUND(AA429/U429*100,1))</f>
        <v/>
      </c>
      <c r="AC429" s="27">
        <f>Y429-AA429</f>
        <v/>
      </c>
      <c r="AD429" s="26">
        <f>IF(U429=0,"",ROUND((Y429-AA429)/U429*100,1))</f>
        <v/>
      </c>
      <c r="AE429" s="28" t="inlineStr">
        <is>
          <t>OK — totals reconciled</t>
        </is>
      </c>
      <c r="AF429" s="29" t="inlineStr">
        <is>
          <t>https://scalzilliaj.com.br/sgc/download.php?file=files/processo_documento/processo_documento09514021082025_1_.pdf&amp;nome=04 - Relação de credores das Recuperandas</t>
        </is>
      </c>
      <c r="AG429" s="28" t="inlineStr">
        <is>
          <t>p63 r16</t>
        </is>
      </c>
      <c r="AH429" s="28" t="inlineStr">
        <is>
          <t>p63: R$ 384.596,09</t>
        </is>
      </c>
      <c r="AI429" s="28" t="inlineStr">
        <is>
          <t>Debtor list (art. 51)</t>
        </is>
      </c>
      <c r="AJ429" s="28" t="inlineStr"/>
      <c r="AK429" s="28" t="inlineStr">
        <is>
          <t>NONE FOUND</t>
        </is>
      </c>
      <c r="AL429" s="30" t="inlineStr">
        <is>
          <t>(not printed)</t>
        </is>
      </c>
      <c r="AM429" s="30" t="inlineStr"/>
      <c r="AN429" s="30" t="inlineStr"/>
      <c r="AO429" s="30" t="inlineStr"/>
      <c r="AP429" s="30" t="inlineStr">
        <is>
          <t>RJ case number not identified on the document</t>
        </is>
      </c>
      <c r="AQ429" s="30" t="inlineStr"/>
      <c r="AR429" s="30" t="inlineStr">
        <is>
          <t>portal page title / URL — not printed on the list</t>
        </is>
      </c>
      <c r="AS429" s="30" t="inlineStr">
        <is>
          <t>IPOJUCA</t>
        </is>
      </c>
      <c r="AT429" s="30" t="inlineStr">
        <is>
          <t>PE</t>
        </is>
      </c>
      <c r="AU429" s="30" t="inlineStr">
        <is>
          <t>Comércio varejista de materiais de construção em geral</t>
        </is>
      </c>
      <c r="AV429" s="30" t="inlineStr">
        <is>
          <t>EMPRESA DE PEQUENO PORTE</t>
        </is>
      </c>
      <c r="AW429" s="31" t="n">
        <v>95500</v>
      </c>
      <c r="AX429" s="30" t="inlineStr">
        <is>
          <t>SMALL</t>
        </is>
      </c>
      <c r="AY429" s="30" t="inlineStr">
        <is>
          <t>13217111</t>
        </is>
      </c>
      <c r="AZ429" s="30" t="n">
        <v>1</v>
      </c>
      <c r="BA429" s="30" t="inlineStr">
        <is>
          <t>ROWS:p63r16 VALUE_COL:Valor_Atualizado CASE_NUMBER_CORRECTED</t>
        </is>
      </c>
    </row>
    <row r="430">
      <c r="A430" s="16" t="inlineStr">
        <is>
          <t>AEROMECANICA LTDA</t>
        </is>
      </c>
      <c r="B430" s="17" t="n">
        <v>205080.7</v>
      </c>
      <c r="C430" s="18" t="inlineStr">
        <is>
          <t>ENIVALDO BARELLA TIRONI, MATEUS MANHANI BARELLA, LEILA REGINA MANHANI BARELLA, B&amp;F AGRO COMÉRCIO DE GRÃOS E INSUMOS AGRÍCOLAS LTDA, BARELLA &amp; FILHOS LTDA E M M LOCAÇÃO EIRELI</t>
        </is>
      </c>
      <c r="D430" s="19" t="inlineStr">
        <is>
          <t>NEW</t>
        </is>
      </c>
      <c r="E430" s="20" t="inlineStr"/>
      <c r="F430" s="19" t="inlineStr"/>
      <c r="G430" s="20" t="inlineStr"/>
      <c r="H430" s="19" t="inlineStr"/>
      <c r="I430" s="21" t="inlineStr">
        <is>
          <t>Aeromecanica Ltda</t>
        </is>
      </c>
      <c r="J430" s="21" t="inlineStr">
        <is>
          <t>CTM</t>
        </is>
      </c>
      <c r="K430" s="21" t="inlineStr">
        <is>
          <t>(41) 3888-3200</t>
        </is>
      </c>
      <c r="L430" s="21" t="inlineStr"/>
      <c r="M430" s="21" t="inlineStr"/>
      <c r="N430" s="21" t="inlineStr">
        <is>
          <t>aeromecanica@aeromecanica.net</t>
        </is>
      </c>
      <c r="O430" s="21" t="inlineStr"/>
      <c r="P430" s="21" t="inlineStr">
        <is>
          <t>JOSE MARCOS PINTO</t>
        </is>
      </c>
      <c r="Q430" s="21" t="inlineStr">
        <is>
          <t>Sócio-Administrador (RFB partner)</t>
        </is>
      </c>
      <c r="R430" s="21" t="inlineStr"/>
      <c r="S430" s="21" t="inlineStr"/>
      <c r="T430" s="21" t="inlineStr">
        <is>
          <t>email verified by Apollo</t>
        </is>
      </c>
      <c r="U430" s="22" t="n">
        <v>205080.7</v>
      </c>
      <c r="V430" s="23" t="inlineStr">
        <is>
          <t>B</t>
        </is>
      </c>
      <c r="W430" s="24">
        <f>IFERROR(VLOOKUP(V430,Assumptions!$A$7:$F$11,2,FALSE),0)</f>
        <v/>
      </c>
      <c r="X430" s="25">
        <f>IF(V430="A",MAX(1,IFERROR(VLOOKUP(V430,Assumptions!$A$7:$F$11,3,FALSE),3)+IFERROR(VLOOKUP(V430,Assumptions!$A$7:$F$11,4,FALSE),8)/2-MAX(0,IF(AO430="",0,YEAR(TODAY())-AO430)-IFERROR(VLOOKUP(V430,Assumptions!$A$7:$F$11,5,FALSE),1.5))),IFERROR(VLOOKUP(V430,Assumptions!$A$7:$F$11,5,FALSE),2.5)+IFERROR(VLOOKUP(V430,Assumptions!$A$7:$F$11,3,FALSE),3)+IFERROR(VLOOKUP(V430,Assumptions!$A$7:$F$11,4,FALSE),8)/2)</f>
        <v/>
      </c>
      <c r="Y430" s="22">
        <f>U430*W430/(1+Assumptions!$B$3)^X430</f>
        <v/>
      </c>
      <c r="Z430" s="26">
        <f>IF(U430=0,"",ROUND(Y430/U430*100,1))</f>
        <v/>
      </c>
      <c r="AA430" s="27">
        <f>Y430*Assumptions!$B$4</f>
        <v/>
      </c>
      <c r="AB430" s="26">
        <f>IF(U430=0,"",ROUND(AA430/U430*100,1))</f>
        <v/>
      </c>
      <c r="AC430" s="27">
        <f>Y430-AA430</f>
        <v/>
      </c>
      <c r="AD430" s="26">
        <f>IF(U430=0,"",ROUND((Y430-AA430)/U430*100,1))</f>
        <v/>
      </c>
      <c r="AE430" s="33" t="inlineStr">
        <is>
          <t>NO TOTALS — list prints none; check page</t>
        </is>
      </c>
      <c r="AF430" s="29" t="inlineStr">
        <is>
          <t>https://scalzilliaj.com.br/sgc/download.php?file=files/processo_documento/processo_documento15542620022025_1_.pdf&amp;nome=11 - Relação de credores - art. 7º, §2º, da LREF</t>
        </is>
      </c>
      <c r="AG430" s="28" t="inlineStr">
        <is>
          <t>p1 r8</t>
        </is>
      </c>
      <c r="AH430" s="28" t="inlineStr">
        <is>
          <t>p1: R$ 205.080,70</t>
        </is>
      </c>
      <c r="AI430" s="28" t="inlineStr">
        <is>
          <t>AJ list (art. 7 §2)</t>
        </is>
      </c>
      <c r="AJ430" s="28" t="inlineStr">
        <is>
          <t>2025-02-19</t>
        </is>
      </c>
      <c r="AK430" s="28" t="inlineStr">
        <is>
          <t>NONE FOUND</t>
        </is>
      </c>
      <c r="AL430" s="30" t="inlineStr">
        <is>
          <t>0028131-73.2024.8.16.0017</t>
        </is>
      </c>
      <c r="AM430" s="30" t="inlineStr">
        <is>
          <t>TJPR</t>
        </is>
      </c>
      <c r="AN430" s="30" t="inlineStr">
        <is>
          <t>ACTIVE</t>
        </is>
      </c>
      <c r="AO430" s="30" t="n">
        <v>2024</v>
      </c>
      <c r="AP430" s="30" t="inlineStr">
        <is>
          <t>live case, no plan document yet</t>
        </is>
      </c>
      <c r="AQ430" s="30" t="inlineStr">
        <is>
          <t>23.706.398/0001-81</t>
        </is>
      </c>
      <c r="AR430" s="30" t="inlineStr">
        <is>
          <t>printed on the list (read twice)</t>
        </is>
      </c>
      <c r="AS430" s="30" t="inlineStr">
        <is>
          <t>CURITIBA</t>
        </is>
      </c>
      <c r="AT430" s="30" t="inlineStr">
        <is>
          <t>PR</t>
        </is>
      </c>
      <c r="AU430" s="30" t="inlineStr">
        <is>
          <t>Manutenção e reparação de aeronaves, exceto a manutenção na pista</t>
        </is>
      </c>
      <c r="AV430" s="30" t="inlineStr">
        <is>
          <t>DEMAIS</t>
        </is>
      </c>
      <c r="AW430" s="31" t="n">
        <v>1163607</v>
      </c>
      <c r="AX430" s="30" t="inlineStr">
        <is>
          <t>MID-MARKET</t>
        </is>
      </c>
      <c r="AY430" s="30" t="inlineStr">
        <is>
          <t>03609434</t>
        </is>
      </c>
      <c r="AZ430" s="30" t="n">
        <v>1</v>
      </c>
      <c r="BA430" s="30" t="inlineStr">
        <is>
          <t>ROWS:p1r8 UNRECONCILED_SOURCE</t>
        </is>
      </c>
    </row>
    <row r="431">
      <c r="A431" s="16" t="inlineStr">
        <is>
          <t>ACOPLATION ANDAIMES LTDA EM RECUPERACAO JUDICIAL</t>
        </is>
      </c>
      <c r="B431" s="17" t="n">
        <v>379730.78</v>
      </c>
      <c r="C431" s="18" t="inlineStr">
        <is>
          <t>EGESA ENGENHARIA S/A (Consórcio ETDI)</t>
        </is>
      </c>
      <c r="D431" s="19" t="inlineStr">
        <is>
          <t>NEW</t>
        </is>
      </c>
      <c r="E431" s="20" t="inlineStr"/>
      <c r="F431" s="19" t="inlineStr"/>
      <c r="G431" s="20" t="inlineStr"/>
      <c r="H431" s="19" t="inlineStr"/>
      <c r="I431" s="21" t="inlineStr">
        <is>
          <t>MARCIO JOSE DA SILVA</t>
        </is>
      </c>
      <c r="J431" s="21" t="inlineStr">
        <is>
          <t>Sócio-Administrador (RFB partner)</t>
        </is>
      </c>
      <c r="K431" s="21" t="inlineStr">
        <is>
          <t>(31) 3036-2975</t>
        </is>
      </c>
      <c r="L431" s="21" t="inlineStr">
        <is>
          <t>(31) 3036-2974</t>
        </is>
      </c>
      <c r="M431" s="21" t="inlineStr"/>
      <c r="N431" s="21" t="inlineStr"/>
      <c r="O431" s="21" t="inlineStr"/>
      <c r="P431" s="21" t="inlineStr"/>
      <c r="Q431" s="21" t="inlineStr"/>
      <c r="R431" s="21" t="inlineStr"/>
      <c r="S431" s="21" t="inlineStr"/>
      <c r="T431" s="21" t="inlineStr">
        <is>
          <t>RFB partner (QSA); no Apollo match</t>
        </is>
      </c>
      <c r="U431" s="22" t="n">
        <v>379730.78</v>
      </c>
      <c r="V431" s="32" t="inlineStr">
        <is>
          <t>U</t>
        </is>
      </c>
      <c r="W431" s="24">
        <f>IFERROR(VLOOKUP(V431,Assumptions!$A$7:$F$11,2,FALSE),0)</f>
        <v/>
      </c>
      <c r="X431" s="25">
        <f>IF(V431="A",MAX(1,IFERROR(VLOOKUP(V431,Assumptions!$A$7:$F$11,3,FALSE),3)+IFERROR(VLOOKUP(V431,Assumptions!$A$7:$F$11,4,FALSE),8)/2-MAX(0,IF(AO431="",0,YEAR(TODAY())-AO431)-IFERROR(VLOOKUP(V431,Assumptions!$A$7:$F$11,5,FALSE),1.5))),IFERROR(VLOOKUP(V431,Assumptions!$A$7:$F$11,5,FALSE),2.5)+IFERROR(VLOOKUP(V431,Assumptions!$A$7:$F$11,3,FALSE),3)+IFERROR(VLOOKUP(V431,Assumptions!$A$7:$F$11,4,FALSE),8)/2)</f>
        <v/>
      </c>
      <c r="Y431" s="22">
        <f>U431*W431/(1+Assumptions!$B$3)^X431</f>
        <v/>
      </c>
      <c r="Z431" s="26">
        <f>IF(U431=0,"",ROUND(Y431/U431*100,1))</f>
        <v/>
      </c>
      <c r="AA431" s="27">
        <f>Y431*Assumptions!$B$4</f>
        <v/>
      </c>
      <c r="AB431" s="26">
        <f>IF(U431=0,"",ROUND(AA431/U431*100,1))</f>
        <v/>
      </c>
      <c r="AC431" s="27">
        <f>Y431-AA431</f>
        <v/>
      </c>
      <c r="AD431" s="26">
        <f>IF(U431=0,"",ROUND((Y431-AA431)/U431*100,1))</f>
        <v/>
      </c>
      <c r="AE431" s="28" t="inlineStr">
        <is>
          <t>OK — totals reconciled</t>
        </is>
      </c>
      <c r="AF431" s="29" t="inlineStr">
        <is>
          <t>https://scalzilliaj.com.br/sgc/download.php?file=files/processo_documento/processo_documento09514021082025_1_.pdf&amp;nome=04 - Relação de credores das Recuperandas</t>
        </is>
      </c>
      <c r="AG431" s="28" t="inlineStr">
        <is>
          <t>p61 r9</t>
        </is>
      </c>
      <c r="AH431" s="28" t="inlineStr">
        <is>
          <t>p61: R$ 379.730,78</t>
        </is>
      </c>
      <c r="AI431" s="28" t="inlineStr">
        <is>
          <t>Debtor list (art. 51)</t>
        </is>
      </c>
      <c r="AJ431" s="28" t="inlineStr"/>
      <c r="AK431" s="28" t="inlineStr">
        <is>
          <t>NONE FOUND</t>
        </is>
      </c>
      <c r="AL431" s="30" t="inlineStr">
        <is>
          <t>(not printed)</t>
        </is>
      </c>
      <c r="AM431" s="30" t="inlineStr"/>
      <c r="AN431" s="30" t="inlineStr"/>
      <c r="AO431" s="30" t="inlineStr"/>
      <c r="AP431" s="30" t="inlineStr">
        <is>
          <t>RJ case number not identified on the document</t>
        </is>
      </c>
      <c r="AQ431" s="30" t="inlineStr"/>
      <c r="AR431" s="30" t="inlineStr">
        <is>
          <t>portal page title / URL — not printed on the list</t>
        </is>
      </c>
      <c r="AS431" s="30" t="inlineStr">
        <is>
          <t>BALDIM</t>
        </is>
      </c>
      <c r="AT431" s="30" t="inlineStr">
        <is>
          <t>MG</t>
        </is>
      </c>
      <c r="AU431" s="30" t="inlineStr">
        <is>
          <t>Serviços de engenharia</t>
        </is>
      </c>
      <c r="AV431" s="30" t="inlineStr">
        <is>
          <t>DEMAIS</t>
        </is>
      </c>
      <c r="AW431" s="31" t="n">
        <v>500000</v>
      </c>
      <c r="AX431" s="30" t="inlineStr">
        <is>
          <t>MID-MARKET</t>
        </is>
      </c>
      <c r="AY431" s="30" t="inlineStr">
        <is>
          <t>02576794</t>
        </is>
      </c>
      <c r="AZ431" s="30" t="n">
        <v>1</v>
      </c>
      <c r="BA431" s="30" t="inlineStr">
        <is>
          <t>ROWS:p61r9 VALUE_COL:Valor_Atualizado CASE_NUMBER_CORRECTED</t>
        </is>
      </c>
    </row>
    <row r="432">
      <c r="A432" s="16" t="inlineStr">
        <is>
          <t>A2 COMERCIO ATACADISTA DE ELETRONICOS LTDA</t>
        </is>
      </c>
      <c r="B432" s="17" t="n">
        <v>788981.8199999999</v>
      </c>
      <c r="C432" s="18" t="inlineStr">
        <is>
          <t>CREDIMÓVEIS NOVOLAR LTDA.</t>
        </is>
      </c>
      <c r="D432" s="19" t="inlineStr">
        <is>
          <t>NEW</t>
        </is>
      </c>
      <c r="E432" s="20" t="inlineStr"/>
      <c r="F432" s="19" t="inlineStr"/>
      <c r="G432" s="20" t="inlineStr"/>
      <c r="H432" s="19" t="inlineStr"/>
      <c r="I432" s="21" t="inlineStr">
        <is>
          <t>SEBASTIAO ATANAEL DE REZENDE</t>
        </is>
      </c>
      <c r="J432" s="21" t="inlineStr">
        <is>
          <t>Sócio-Administrador (RFB partner)</t>
        </is>
      </c>
      <c r="K432" s="21" t="inlineStr">
        <is>
          <t>(87) 3848-3000</t>
        </is>
      </c>
      <c r="L432" s="21" t="inlineStr"/>
      <c r="M432" s="21" t="inlineStr"/>
      <c r="N432" s="21" t="inlineStr"/>
      <c r="O432" s="21" t="inlineStr"/>
      <c r="P432" s="21" t="inlineStr"/>
      <c r="Q432" s="21" t="inlineStr"/>
      <c r="R432" s="21" t="inlineStr"/>
      <c r="S432" s="21" t="inlineStr"/>
      <c r="T432" s="21" t="inlineStr">
        <is>
          <t>RFB partner (QSA); no Apollo match</t>
        </is>
      </c>
      <c r="U432" s="22" t="n">
        <v>788981.8199999999</v>
      </c>
      <c r="V432" s="38" t="inlineStr">
        <is>
          <t>C</t>
        </is>
      </c>
      <c r="W432" s="24">
        <f>IFERROR(VLOOKUP(V432,Assumptions!$A$7:$F$11,2,FALSE),0)</f>
        <v/>
      </c>
      <c r="X432" s="25">
        <f>IF(V432="A",MAX(1,IFERROR(VLOOKUP(V432,Assumptions!$A$7:$F$11,3,FALSE),3)+IFERROR(VLOOKUP(V432,Assumptions!$A$7:$F$11,4,FALSE),8)/2-MAX(0,IF(AO432="",0,YEAR(TODAY())-AO432)-IFERROR(VLOOKUP(V432,Assumptions!$A$7:$F$11,5,FALSE),1.5))),IFERROR(VLOOKUP(V432,Assumptions!$A$7:$F$11,5,FALSE),2.5)+IFERROR(VLOOKUP(V432,Assumptions!$A$7:$F$11,3,FALSE),3)+IFERROR(VLOOKUP(V432,Assumptions!$A$7:$F$11,4,FALSE),8)/2)</f>
        <v/>
      </c>
      <c r="Y432" s="22">
        <f>U432*W432/(1+Assumptions!$B$3)^X432</f>
        <v/>
      </c>
      <c r="Z432" s="26">
        <f>IF(U432=0,"",ROUND(Y432/U432*100,1))</f>
        <v/>
      </c>
      <c r="AA432" s="27">
        <f>Y432*Assumptions!$B$4</f>
        <v/>
      </c>
      <c r="AB432" s="26">
        <f>IF(U432=0,"",ROUND(AA432/U432*100,1))</f>
        <v/>
      </c>
      <c r="AC432" s="27">
        <f>Y432-AA432</f>
        <v/>
      </c>
      <c r="AD432" s="26">
        <f>IF(U432=0,"",ROUND((Y432-AA432)/U432*100,1))</f>
        <v/>
      </c>
      <c r="AE432" s="28" t="inlineStr">
        <is>
          <t>OK — totals reconciled</t>
        </is>
      </c>
      <c r="AF432" s="29" t="inlineStr">
        <is>
          <t>https://recuperacaojudicial.squarespace.com/s/RJ-Credimoveis-QGC-01082025.pdf</t>
        </is>
      </c>
      <c r="AG432" s="28" t="inlineStr">
        <is>
          <t>p15 r2</t>
        </is>
      </c>
      <c r="AH432" s="28" t="inlineStr">
        <is>
          <t>p15: R$ 788.981,82</t>
        </is>
      </c>
      <c r="AI432" s="28" t="inlineStr">
        <is>
          <t>QGC (art. 18)</t>
        </is>
      </c>
      <c r="AJ432" s="28" t="inlineStr">
        <is>
          <t>2026-01-28</t>
        </is>
      </c>
      <c r="AK432" s="28" t="inlineStr">
        <is>
          <t>NONE FOUND</t>
        </is>
      </c>
      <c r="AL432" s="30" t="inlineStr">
        <is>
          <t>0007565-40.2020.8.17.2370</t>
        </is>
      </c>
      <c r="AM432" s="30" t="inlineStr">
        <is>
          <t>TJPE</t>
        </is>
      </c>
      <c r="AN432" s="30" t="inlineStr">
        <is>
          <t>ACTIVE</t>
        </is>
      </c>
      <c r="AO432" s="30" t="n">
        <v>2020</v>
      </c>
      <c r="AP432" s="30" t="inlineStr">
        <is>
          <t>6y since filing, no plan document</t>
        </is>
      </c>
      <c r="AQ432" s="30" t="inlineStr">
        <is>
          <t>09.930.165/0001-37</t>
        </is>
      </c>
      <c r="AR432" s="30" t="inlineStr">
        <is>
          <t>printed on the list (read twice)</t>
        </is>
      </c>
      <c r="AS432" s="30" t="inlineStr">
        <is>
          <t>CAMPINA GRANDE</t>
        </is>
      </c>
      <c r="AT432" s="30" t="inlineStr">
        <is>
          <t>PB</t>
        </is>
      </c>
      <c r="AU432" s="30" t="inlineStr">
        <is>
          <t>Comércio atacadista de aparelhos eletrônicos de uso pessoal e doméstico</t>
        </is>
      </c>
      <c r="AV432" s="30" t="inlineStr">
        <is>
          <t>DEMAIS</t>
        </is>
      </c>
      <c r="AW432" s="31" t="n">
        <v>82743570</v>
      </c>
      <c r="AX432" s="30" t="inlineStr">
        <is>
          <t>MID-MARKET</t>
        </is>
      </c>
      <c r="AY432" s="30" t="inlineStr">
        <is>
          <t>26910194</t>
        </is>
      </c>
      <c r="AZ432" s="30" t="n">
        <v>1</v>
      </c>
      <c r="BA432" s="30" t="inlineStr">
        <is>
          <t>ROWS:p15r2</t>
        </is>
      </c>
    </row>
    <row r="433">
      <c r="A433" s="16" t="inlineStr">
        <is>
          <t>ITATIAIA ELETRO E MOVEIS S/A</t>
        </is>
      </c>
      <c r="B433" s="17" t="n">
        <v>780425.22</v>
      </c>
      <c r="C433" s="18" t="inlineStr">
        <is>
          <t>CREDIMÓVEIS NOVOLAR LTDA.</t>
        </is>
      </c>
      <c r="D433" s="19" t="inlineStr">
        <is>
          <t>NEW</t>
        </is>
      </c>
      <c r="E433" s="20" t="inlineStr"/>
      <c r="F433" s="19" t="inlineStr"/>
      <c r="G433" s="20" t="inlineStr"/>
      <c r="H433" s="19" t="inlineStr"/>
      <c r="I433" s="21" t="inlineStr">
        <is>
          <t>VICTOR PENNA COSTA</t>
        </is>
      </c>
      <c r="J433" s="21" t="inlineStr">
        <is>
          <t>Presidente (RFB partner)</t>
        </is>
      </c>
      <c r="K433" s="21" t="inlineStr">
        <is>
          <t>(32) 3539-1200</t>
        </is>
      </c>
      <c r="L433" s="21" t="inlineStr"/>
      <c r="M433" s="21" t="inlineStr"/>
      <c r="N433" s="21" t="inlineStr"/>
      <c r="O433" s="21" t="inlineStr"/>
      <c r="P433" s="21" t="inlineStr">
        <is>
          <t>AGNALDO CAZITA LOPES</t>
        </is>
      </c>
      <c r="Q433" s="21" t="inlineStr">
        <is>
          <t>Diretor (RFB partner)</t>
        </is>
      </c>
      <c r="R433" s="21" t="inlineStr"/>
      <c r="S433" s="21" t="inlineStr"/>
      <c r="T433" s="21" t="inlineStr">
        <is>
          <t>RFB partner (QSA); no Apollo match</t>
        </is>
      </c>
      <c r="U433" s="22" t="n">
        <v>780425.22</v>
      </c>
      <c r="V433" s="38" t="inlineStr">
        <is>
          <t>C</t>
        </is>
      </c>
      <c r="W433" s="24">
        <f>IFERROR(VLOOKUP(V433,Assumptions!$A$7:$F$11,2,FALSE),0)</f>
        <v/>
      </c>
      <c r="X433" s="25">
        <f>IF(V433="A",MAX(1,IFERROR(VLOOKUP(V433,Assumptions!$A$7:$F$11,3,FALSE),3)+IFERROR(VLOOKUP(V433,Assumptions!$A$7:$F$11,4,FALSE),8)/2-MAX(0,IF(AO433="",0,YEAR(TODAY())-AO433)-IFERROR(VLOOKUP(V433,Assumptions!$A$7:$F$11,5,FALSE),1.5))),IFERROR(VLOOKUP(V433,Assumptions!$A$7:$F$11,5,FALSE),2.5)+IFERROR(VLOOKUP(V433,Assumptions!$A$7:$F$11,3,FALSE),3)+IFERROR(VLOOKUP(V433,Assumptions!$A$7:$F$11,4,FALSE),8)/2)</f>
        <v/>
      </c>
      <c r="Y433" s="22">
        <f>U433*W433/(1+Assumptions!$B$3)^X433</f>
        <v/>
      </c>
      <c r="Z433" s="26">
        <f>IF(U433=0,"",ROUND(Y433/U433*100,1))</f>
        <v/>
      </c>
      <c r="AA433" s="27">
        <f>Y433*Assumptions!$B$4</f>
        <v/>
      </c>
      <c r="AB433" s="26">
        <f>IF(U433=0,"",ROUND(AA433/U433*100,1))</f>
        <v/>
      </c>
      <c r="AC433" s="27">
        <f>Y433-AA433</f>
        <v/>
      </c>
      <c r="AD433" s="26">
        <f>IF(U433=0,"",ROUND((Y433-AA433)/U433*100,1))</f>
        <v/>
      </c>
      <c r="AE433" s="28" t="inlineStr">
        <is>
          <t>OK — totals reconciled</t>
        </is>
      </c>
      <c r="AF433" s="29" t="inlineStr">
        <is>
          <t>https://recuperacaojudicial.squarespace.com/s/RJ-Credimoveis-QGC-01082025.pdf</t>
        </is>
      </c>
      <c r="AG433" s="28" t="inlineStr">
        <is>
          <t>p15 r63</t>
        </is>
      </c>
      <c r="AH433" s="28" t="inlineStr">
        <is>
          <t>p15: R$ 780.425,22</t>
        </is>
      </c>
      <c r="AI433" s="28" t="inlineStr">
        <is>
          <t>QGC (art. 18)</t>
        </is>
      </c>
      <c r="AJ433" s="28" t="inlineStr">
        <is>
          <t>2026-01-28</t>
        </is>
      </c>
      <c r="AK433" s="28" t="inlineStr">
        <is>
          <t>NONE FOUND</t>
        </is>
      </c>
      <c r="AL433" s="30" t="inlineStr">
        <is>
          <t>0007565-40.2020.8.17.2370</t>
        </is>
      </c>
      <c r="AM433" s="30" t="inlineStr">
        <is>
          <t>TJPE</t>
        </is>
      </c>
      <c r="AN433" s="30" t="inlineStr">
        <is>
          <t>ACTIVE</t>
        </is>
      </c>
      <c r="AO433" s="30" t="n">
        <v>2020</v>
      </c>
      <c r="AP433" s="30" t="inlineStr">
        <is>
          <t>6y since filing, no plan document</t>
        </is>
      </c>
      <c r="AQ433" s="30" t="inlineStr">
        <is>
          <t>09.930.165/0001-37</t>
        </is>
      </c>
      <c r="AR433" s="30" t="inlineStr">
        <is>
          <t>printed on the list (read twice)</t>
        </is>
      </c>
      <c r="AS433" s="30" t="inlineStr">
        <is>
          <t>UBA</t>
        </is>
      </c>
      <c r="AT433" s="30" t="inlineStr">
        <is>
          <t>MG</t>
        </is>
      </c>
      <c r="AU433" s="30" t="inlineStr">
        <is>
          <t>Fabricação de móveis com predominância de metal</t>
        </is>
      </c>
      <c r="AV433" s="30" t="inlineStr">
        <is>
          <t>DEMAIS</t>
        </is>
      </c>
      <c r="AW433" s="31" t="n">
        <v>250611730</v>
      </c>
      <c r="AX433" s="30" t="inlineStr">
        <is>
          <t>MID-MARKET</t>
        </is>
      </c>
      <c r="AY433" s="30" t="inlineStr">
        <is>
          <t>25331521</t>
        </is>
      </c>
      <c r="AZ433" s="30" t="n">
        <v>1</v>
      </c>
      <c r="BA433" s="30" t="inlineStr">
        <is>
          <t>ROWS:p15r63</t>
        </is>
      </c>
    </row>
    <row r="434">
      <c r="A434" s="16" t="inlineStr">
        <is>
          <t>ATLAS INDUSTRIA DE ELETRODOMESTICOS LTDA.</t>
        </is>
      </c>
      <c r="B434" s="17" t="n">
        <v>779392.23</v>
      </c>
      <c r="C434" s="18" t="inlineStr">
        <is>
          <t>CREDIMÓVEIS NOVOLAR LTDA.</t>
        </is>
      </c>
      <c r="D434" s="19" t="inlineStr">
        <is>
          <t>NEW</t>
        </is>
      </c>
      <c r="E434" s="20" t="inlineStr"/>
      <c r="F434" s="19" t="inlineStr"/>
      <c r="G434" s="20" t="inlineStr"/>
      <c r="H434" s="19" t="inlineStr"/>
      <c r="I434" s="21" t="inlineStr">
        <is>
          <t>Edenilson Dalbosco</t>
        </is>
      </c>
      <c r="J434" s="21" t="inlineStr">
        <is>
          <t>Dir. Adm/Financeiro</t>
        </is>
      </c>
      <c r="K434" s="21" t="inlineStr">
        <is>
          <t>(46) 3771-1500</t>
        </is>
      </c>
      <c r="L434" s="21" t="inlineStr">
        <is>
          <t>(46) 3771-5090</t>
        </is>
      </c>
      <c r="M434" s="21" t="inlineStr"/>
      <c r="N434" s="21" t="inlineStr"/>
      <c r="O434" s="21" t="inlineStr">
        <is>
          <t>luciano.vieira@atlas.ind.br</t>
        </is>
      </c>
      <c r="P434" s="21" t="inlineStr">
        <is>
          <t>Luciano Vieira</t>
        </is>
      </c>
      <c r="Q434" s="21" t="inlineStr">
        <is>
          <t>Financial Manager</t>
        </is>
      </c>
      <c r="R434" s="21" t="inlineStr"/>
      <c r="S434" s="21" t="inlineStr">
        <is>
          <t>luciano.vieira@atlas.ind.br</t>
        </is>
      </c>
      <c r="T434" s="21" t="inlineStr">
        <is>
          <t>no work email found in Apollo</t>
        </is>
      </c>
      <c r="U434" s="22" t="n">
        <v>779392.23</v>
      </c>
      <c r="V434" s="38" t="inlineStr">
        <is>
          <t>C</t>
        </is>
      </c>
      <c r="W434" s="24">
        <f>IFERROR(VLOOKUP(V434,Assumptions!$A$7:$F$11,2,FALSE),0)</f>
        <v/>
      </c>
      <c r="X434" s="25">
        <f>IF(V434="A",MAX(1,IFERROR(VLOOKUP(V434,Assumptions!$A$7:$F$11,3,FALSE),3)+IFERROR(VLOOKUP(V434,Assumptions!$A$7:$F$11,4,FALSE),8)/2-MAX(0,IF(AO434="",0,YEAR(TODAY())-AO434)-IFERROR(VLOOKUP(V434,Assumptions!$A$7:$F$11,5,FALSE),1.5))),IFERROR(VLOOKUP(V434,Assumptions!$A$7:$F$11,5,FALSE),2.5)+IFERROR(VLOOKUP(V434,Assumptions!$A$7:$F$11,3,FALSE),3)+IFERROR(VLOOKUP(V434,Assumptions!$A$7:$F$11,4,FALSE),8)/2)</f>
        <v/>
      </c>
      <c r="Y434" s="22">
        <f>U434*W434/(1+Assumptions!$B$3)^X434</f>
        <v/>
      </c>
      <c r="Z434" s="26">
        <f>IF(U434=0,"",ROUND(Y434/U434*100,1))</f>
        <v/>
      </c>
      <c r="AA434" s="27">
        <f>Y434*Assumptions!$B$4</f>
        <v/>
      </c>
      <c r="AB434" s="26">
        <f>IF(U434=0,"",ROUND(AA434/U434*100,1))</f>
        <v/>
      </c>
      <c r="AC434" s="27">
        <f>Y434-AA434</f>
        <v/>
      </c>
      <c r="AD434" s="26">
        <f>IF(U434=0,"",ROUND((Y434-AA434)/U434*100,1))</f>
        <v/>
      </c>
      <c r="AE434" s="28" t="inlineStr">
        <is>
          <t>OK — totals reconciled</t>
        </is>
      </c>
      <c r="AF434" s="29" t="inlineStr">
        <is>
          <t>https://recuperacaojudicial.squarespace.com/s/RJ-Credimoveis-QGC-01082025.pdf</t>
        </is>
      </c>
      <c r="AG434" s="28" t="inlineStr">
        <is>
          <t>p15 r11</t>
        </is>
      </c>
      <c r="AH434" s="28" t="inlineStr">
        <is>
          <t>p15: R$ 779.392,23</t>
        </is>
      </c>
      <c r="AI434" s="28" t="inlineStr">
        <is>
          <t>QGC (art. 18)</t>
        </is>
      </c>
      <c r="AJ434" s="28" t="inlineStr">
        <is>
          <t>2026-01-28</t>
        </is>
      </c>
      <c r="AK434" s="28" t="inlineStr">
        <is>
          <t>NONE FOUND</t>
        </is>
      </c>
      <c r="AL434" s="30" t="inlineStr">
        <is>
          <t>0007565-40.2020.8.17.2370</t>
        </is>
      </c>
      <c r="AM434" s="30" t="inlineStr">
        <is>
          <t>TJPE</t>
        </is>
      </c>
      <c r="AN434" s="30" t="inlineStr">
        <is>
          <t>ACTIVE</t>
        </is>
      </c>
      <c r="AO434" s="30" t="n">
        <v>2020</v>
      </c>
      <c r="AP434" s="30" t="inlineStr">
        <is>
          <t>6y since filing, no plan document</t>
        </is>
      </c>
      <c r="AQ434" s="30" t="inlineStr">
        <is>
          <t>09.930.165/0001-37</t>
        </is>
      </c>
      <c r="AR434" s="30" t="inlineStr">
        <is>
          <t>printed on the list (read twice)</t>
        </is>
      </c>
      <c r="AS434" s="30" t="inlineStr">
        <is>
          <t>PATO BRANCO</t>
        </is>
      </c>
      <c r="AT434" s="30" t="inlineStr">
        <is>
          <t>PR</t>
        </is>
      </c>
      <c r="AU434" s="30" t="inlineStr">
        <is>
          <t>Fabricação de fogões, refrigeradores e máquinas de lavar e secar para uso doméstico, peças e acessórios</t>
        </is>
      </c>
      <c r="AV434" s="30" t="inlineStr">
        <is>
          <t>DEMAIS</t>
        </is>
      </c>
      <c r="AW434" s="31" t="n">
        <v>42305000</v>
      </c>
      <c r="AX434" s="30" t="inlineStr">
        <is>
          <t>MID-MARKET</t>
        </is>
      </c>
      <c r="AY434" s="30" t="inlineStr">
        <is>
          <t>78242849</t>
        </is>
      </c>
      <c r="AZ434" s="30" t="n">
        <v>1</v>
      </c>
      <c r="BA434" s="30" t="inlineStr">
        <is>
          <t>ROWS:p15r11</t>
        </is>
      </c>
    </row>
    <row r="435">
      <c r="A435" s="16" t="inlineStr">
        <is>
          <t>AGAE TRANSPORTES E COMERCIO S/A</t>
        </is>
      </c>
      <c r="B435" s="17" t="n">
        <v>368662.26</v>
      </c>
      <c r="C435" s="18" t="inlineStr">
        <is>
          <t>EGESA ENGENHARIA S/A (Consórcio ETDI)</t>
        </is>
      </c>
      <c r="D435" s="19" t="inlineStr">
        <is>
          <t>NEW</t>
        </is>
      </c>
      <c r="E435" s="20" t="inlineStr"/>
      <c r="F435" s="19" t="inlineStr"/>
      <c r="G435" s="20" t="inlineStr"/>
      <c r="H435" s="19" t="inlineStr"/>
      <c r="I435" s="21" t="inlineStr">
        <is>
          <t>Hebert Vianna</t>
        </is>
      </c>
      <c r="J435" s="21" t="inlineStr">
        <is>
          <t>CFO</t>
        </is>
      </c>
      <c r="K435" s="21" t="inlineStr">
        <is>
          <t>021221236632</t>
        </is>
      </c>
      <c r="L435" s="21" t="inlineStr"/>
      <c r="M435" s="21" t="inlineStr"/>
      <c r="N435" s="21" t="inlineStr">
        <is>
          <t>hebert.vianna@betunel.com.br</t>
        </is>
      </c>
      <c r="O435" s="21" t="inlineStr">
        <is>
          <t>vivian.santos@betunel.com.br</t>
        </is>
      </c>
      <c r="P435" s="21" t="inlineStr">
        <is>
          <t>Vivian Santos</t>
        </is>
      </c>
      <c r="Q435" s="21" t="inlineStr">
        <is>
          <t>Head de Crédito e Cobrança</t>
        </is>
      </c>
      <c r="R435" s="21" t="inlineStr"/>
      <c r="S435" s="21" t="inlineStr">
        <is>
          <t>vivian.santos@betunel.com.br</t>
        </is>
      </c>
      <c r="T435" s="21" t="inlineStr">
        <is>
          <t>email verified by Apollo</t>
        </is>
      </c>
      <c r="U435" s="22" t="n">
        <v>368662.26</v>
      </c>
      <c r="V435" s="32" t="inlineStr">
        <is>
          <t>U</t>
        </is>
      </c>
      <c r="W435" s="24">
        <f>IFERROR(VLOOKUP(V435,Assumptions!$A$7:$F$11,2,FALSE),0)</f>
        <v/>
      </c>
      <c r="X435" s="25">
        <f>IF(V435="A",MAX(1,IFERROR(VLOOKUP(V435,Assumptions!$A$7:$F$11,3,FALSE),3)+IFERROR(VLOOKUP(V435,Assumptions!$A$7:$F$11,4,FALSE),8)/2-MAX(0,IF(AO435="",0,YEAR(TODAY())-AO435)-IFERROR(VLOOKUP(V435,Assumptions!$A$7:$F$11,5,FALSE),1.5))),IFERROR(VLOOKUP(V435,Assumptions!$A$7:$F$11,5,FALSE),2.5)+IFERROR(VLOOKUP(V435,Assumptions!$A$7:$F$11,3,FALSE),3)+IFERROR(VLOOKUP(V435,Assumptions!$A$7:$F$11,4,FALSE),8)/2)</f>
        <v/>
      </c>
      <c r="Y435" s="22">
        <f>U435*W435/(1+Assumptions!$B$3)^X435</f>
        <v/>
      </c>
      <c r="Z435" s="26">
        <f>IF(U435=0,"",ROUND(Y435/U435*100,1))</f>
        <v/>
      </c>
      <c r="AA435" s="27">
        <f>Y435*Assumptions!$B$4</f>
        <v/>
      </c>
      <c r="AB435" s="26">
        <f>IF(U435=0,"",ROUND(AA435/U435*100,1))</f>
        <v/>
      </c>
      <c r="AC435" s="27">
        <f>Y435-AA435</f>
        <v/>
      </c>
      <c r="AD435" s="26">
        <f>IF(U435=0,"",ROUND((Y435-AA435)/U435*100,1))</f>
        <v/>
      </c>
      <c r="AE435" s="28" t="inlineStr">
        <is>
          <t>OK — totals reconciled</t>
        </is>
      </c>
      <c r="AF435" s="29" t="inlineStr">
        <is>
          <t>https://scalzilliaj.com.br/sgc/download.php?file=files/processo_documento/processo_documento09514021082025_1_.pdf&amp;nome=04 - Relação de credores das Recuperandas</t>
        </is>
      </c>
      <c r="AG435" s="28" t="inlineStr">
        <is>
          <t>p61 r13</t>
        </is>
      </c>
      <c r="AH435" s="28" t="inlineStr">
        <is>
          <t>p61: R$ 368.662,26</t>
        </is>
      </c>
      <c r="AI435" s="28" t="inlineStr">
        <is>
          <t>Debtor list (art. 51)</t>
        </is>
      </c>
      <c r="AJ435" s="28" t="inlineStr"/>
      <c r="AK435" s="28" t="inlineStr">
        <is>
          <t>NONE FOUND</t>
        </is>
      </c>
      <c r="AL435" s="30" t="inlineStr">
        <is>
          <t>(not printed)</t>
        </is>
      </c>
      <c r="AM435" s="30" t="inlineStr"/>
      <c r="AN435" s="30" t="inlineStr"/>
      <c r="AO435" s="30" t="inlineStr"/>
      <c r="AP435" s="30" t="inlineStr">
        <is>
          <t>RJ case number not identified on the document</t>
        </is>
      </c>
      <c r="AQ435" s="30" t="inlineStr"/>
      <c r="AR435" s="30" t="inlineStr">
        <is>
          <t>portal page title / URL — not printed on the list</t>
        </is>
      </c>
      <c r="AS435" s="30" t="inlineStr">
        <is>
          <t>RIO DE JANEIRO</t>
        </is>
      </c>
      <c r="AT435" s="30" t="inlineStr">
        <is>
          <t>RJ</t>
        </is>
      </c>
      <c r="AU435" s="30" t="inlineStr">
        <is>
          <t>Transporte rodoviário de produtos perigosos</t>
        </is>
      </c>
      <c r="AV435" s="30" t="inlineStr">
        <is>
          <t>DEMAIS</t>
        </is>
      </c>
      <c r="AW435" s="31" t="n">
        <v>4951175</v>
      </c>
      <c r="AX435" s="30" t="inlineStr">
        <is>
          <t>MID-MARKET</t>
        </is>
      </c>
      <c r="AY435" s="30" t="inlineStr">
        <is>
          <t>43998509</t>
        </is>
      </c>
      <c r="AZ435" s="30" t="n">
        <v>1</v>
      </c>
      <c r="BA435" s="30" t="inlineStr">
        <is>
          <t>ROWS:p61r13 VALUE_COL:Valor_Atualizado CASE_NUMBER_CORRECTED</t>
        </is>
      </c>
    </row>
    <row r="436">
      <c r="A436" s="16" t="inlineStr">
        <is>
          <t>ALPHA MARKTEC MATERIAIS ELETRICOS LTDA</t>
        </is>
      </c>
      <c r="B436" s="17" t="n">
        <v>368324.26</v>
      </c>
      <c r="C436" s="18" t="inlineStr">
        <is>
          <t>EGESA ENGENHARIA S/A (Consórcio ETDI)</t>
        </is>
      </c>
      <c r="D436" s="19" t="inlineStr">
        <is>
          <t>NEW</t>
        </is>
      </c>
      <c r="E436" s="20" t="inlineStr"/>
      <c r="F436" s="19" t="inlineStr"/>
      <c r="G436" s="20" t="inlineStr"/>
      <c r="H436" s="19" t="inlineStr"/>
      <c r="I436" s="21" t="inlineStr">
        <is>
          <t>Carlos Ferreira</t>
        </is>
      </c>
      <c r="J436" s="21" t="inlineStr">
        <is>
          <t>Commercial</t>
        </is>
      </c>
      <c r="K436" s="21" t="inlineStr">
        <is>
          <t>(11) 2782-3200</t>
        </is>
      </c>
      <c r="L436" s="21" t="inlineStr"/>
      <c r="M436" s="21" t="inlineStr"/>
      <c r="N436" s="21" t="inlineStr">
        <is>
          <t>carlos@alphamarktec.com.br</t>
        </is>
      </c>
      <c r="O436" s="21" t="inlineStr"/>
      <c r="P436" s="21" t="inlineStr">
        <is>
          <t>DENIS MUNHOES</t>
        </is>
      </c>
      <c r="Q436" s="21" t="inlineStr">
        <is>
          <t>Sócio-Administrador (RFB partner)</t>
        </is>
      </c>
      <c r="R436" s="21" t="inlineStr"/>
      <c r="S436" s="21" t="inlineStr"/>
      <c r="T436" s="21" t="inlineStr">
        <is>
          <t>email verified by Apollo</t>
        </is>
      </c>
      <c r="U436" s="22" t="n">
        <v>368324.26</v>
      </c>
      <c r="V436" s="32" t="inlineStr">
        <is>
          <t>U</t>
        </is>
      </c>
      <c r="W436" s="24">
        <f>IFERROR(VLOOKUP(V436,Assumptions!$A$7:$F$11,2,FALSE),0)</f>
        <v/>
      </c>
      <c r="X436" s="25">
        <f>IF(V436="A",MAX(1,IFERROR(VLOOKUP(V436,Assumptions!$A$7:$F$11,3,FALSE),3)+IFERROR(VLOOKUP(V436,Assumptions!$A$7:$F$11,4,FALSE),8)/2-MAX(0,IF(AO436="",0,YEAR(TODAY())-AO436)-IFERROR(VLOOKUP(V436,Assumptions!$A$7:$F$11,5,FALSE),1.5))),IFERROR(VLOOKUP(V436,Assumptions!$A$7:$F$11,5,FALSE),2.5)+IFERROR(VLOOKUP(V436,Assumptions!$A$7:$F$11,3,FALSE),3)+IFERROR(VLOOKUP(V436,Assumptions!$A$7:$F$11,4,FALSE),8)/2)</f>
        <v/>
      </c>
      <c r="Y436" s="22">
        <f>U436*W436/(1+Assumptions!$B$3)^X436</f>
        <v/>
      </c>
      <c r="Z436" s="26">
        <f>IF(U436=0,"",ROUND(Y436/U436*100,1))</f>
        <v/>
      </c>
      <c r="AA436" s="27">
        <f>Y436*Assumptions!$B$4</f>
        <v/>
      </c>
      <c r="AB436" s="26">
        <f>IF(U436=0,"",ROUND(AA436/U436*100,1))</f>
        <v/>
      </c>
      <c r="AC436" s="27">
        <f>Y436-AA436</f>
        <v/>
      </c>
      <c r="AD436" s="26">
        <f>IF(U436=0,"",ROUND((Y436-AA436)/U436*100,1))</f>
        <v/>
      </c>
      <c r="AE436" s="28" t="inlineStr">
        <is>
          <t>OK — totals reconciled</t>
        </is>
      </c>
      <c r="AF436" s="29" t="inlineStr">
        <is>
          <t>https://scalzilliaj.com.br/sgc/download.php?file=files/processo_documento/processo_documento09514021082025_1_.pdf&amp;nome=04 - Relação de credores das Recuperandas</t>
        </is>
      </c>
      <c r="AG436" s="28" t="inlineStr">
        <is>
          <t>p62 r3</t>
        </is>
      </c>
      <c r="AH436" s="28" t="inlineStr">
        <is>
          <t>p62: R$ 368.324,26</t>
        </is>
      </c>
      <c r="AI436" s="28" t="inlineStr">
        <is>
          <t>Debtor list (art. 51)</t>
        </is>
      </c>
      <c r="AJ436" s="28" t="inlineStr"/>
      <c r="AK436" s="28" t="inlineStr">
        <is>
          <t>NONE FOUND</t>
        </is>
      </c>
      <c r="AL436" s="30" t="inlineStr">
        <is>
          <t>(not printed)</t>
        </is>
      </c>
      <c r="AM436" s="30" t="inlineStr"/>
      <c r="AN436" s="30" t="inlineStr"/>
      <c r="AO436" s="30" t="inlineStr"/>
      <c r="AP436" s="30" t="inlineStr">
        <is>
          <t>RJ case number not identified on the document</t>
        </is>
      </c>
      <c r="AQ436" s="30" t="inlineStr"/>
      <c r="AR436" s="30" t="inlineStr">
        <is>
          <t>portal page title / URL — not printed on the list</t>
        </is>
      </c>
      <c r="AS436" s="30" t="inlineStr">
        <is>
          <t>SAO PAULO</t>
        </is>
      </c>
      <c r="AT436" s="30" t="inlineStr">
        <is>
          <t>SP</t>
        </is>
      </c>
      <c r="AU436" s="30" t="inlineStr">
        <is>
          <t>Comércio atacadista de material elétrico</t>
        </is>
      </c>
      <c r="AV436" s="30" t="inlineStr">
        <is>
          <t>DEMAIS</t>
        </is>
      </c>
      <c r="AW436" s="31" t="n">
        <v>958000</v>
      </c>
      <c r="AX436" s="30" t="inlineStr">
        <is>
          <t>MID-MARKET</t>
        </is>
      </c>
      <c r="AY436" s="30" t="inlineStr">
        <is>
          <t>59274316</t>
        </is>
      </c>
      <c r="AZ436" s="30" t="n">
        <v>1</v>
      </c>
      <c r="BA436" s="30" t="inlineStr">
        <is>
          <t>ROWS:p62r3 VALUE_COL:Valor_Atualizado CASE_NUMBER_CORRECTED</t>
        </is>
      </c>
    </row>
    <row r="437">
      <c r="A437" s="16" t="inlineStr">
        <is>
          <t>MERCOFRICON S/A</t>
        </is>
      </c>
      <c r="B437" s="17" t="n">
        <v>744752.65</v>
      </c>
      <c r="C437" s="18" t="inlineStr">
        <is>
          <t>CREDIMÓVEIS NOVOLAR LTDA.</t>
        </is>
      </c>
      <c r="D437" s="19" t="inlineStr">
        <is>
          <t>NEW</t>
        </is>
      </c>
      <c r="E437" s="20" t="inlineStr"/>
      <c r="F437" s="19" t="inlineStr"/>
      <c r="G437" s="20" t="inlineStr"/>
      <c r="H437" s="19" t="inlineStr"/>
      <c r="I437" s="21" t="inlineStr">
        <is>
          <t>RUI MANUEL COUTINHO DE AZEVEDO</t>
        </is>
      </c>
      <c r="J437" s="21" t="inlineStr">
        <is>
          <t>Presidente (RFB partner)</t>
        </is>
      </c>
      <c r="K437" s="21" t="inlineStr">
        <is>
          <t>(81) 2121-5047</t>
        </is>
      </c>
      <c r="L437" s="21" t="inlineStr"/>
      <c r="M437" s="21" t="inlineStr"/>
      <c r="N437" s="21" t="inlineStr"/>
      <c r="O437" s="21" t="inlineStr"/>
      <c r="P437" s="21" t="inlineStr">
        <is>
          <t>ARTUR BORGES AZEVEDO</t>
        </is>
      </c>
      <c r="Q437" s="21" t="inlineStr">
        <is>
          <t>Diretor (RFB partner)</t>
        </is>
      </c>
      <c r="R437" s="21" t="inlineStr"/>
      <c r="S437" s="21" t="inlineStr"/>
      <c r="T437" s="21" t="inlineStr">
        <is>
          <t>RFB partner (QSA); no Apollo match</t>
        </is>
      </c>
      <c r="U437" s="22" t="n">
        <v>744752.65</v>
      </c>
      <c r="V437" s="38" t="inlineStr">
        <is>
          <t>C</t>
        </is>
      </c>
      <c r="W437" s="24">
        <f>IFERROR(VLOOKUP(V437,Assumptions!$A$7:$F$11,2,FALSE),0)</f>
        <v/>
      </c>
      <c r="X437" s="25">
        <f>IF(V437="A",MAX(1,IFERROR(VLOOKUP(V437,Assumptions!$A$7:$F$11,3,FALSE),3)+IFERROR(VLOOKUP(V437,Assumptions!$A$7:$F$11,4,FALSE),8)/2-MAX(0,IF(AO437="",0,YEAR(TODAY())-AO437)-IFERROR(VLOOKUP(V437,Assumptions!$A$7:$F$11,5,FALSE),1.5))),IFERROR(VLOOKUP(V437,Assumptions!$A$7:$F$11,5,FALSE),2.5)+IFERROR(VLOOKUP(V437,Assumptions!$A$7:$F$11,3,FALSE),3)+IFERROR(VLOOKUP(V437,Assumptions!$A$7:$F$11,4,FALSE),8)/2)</f>
        <v/>
      </c>
      <c r="Y437" s="22">
        <f>U437*W437/(1+Assumptions!$B$3)^X437</f>
        <v/>
      </c>
      <c r="Z437" s="26">
        <f>IF(U437=0,"",ROUND(Y437/U437*100,1))</f>
        <v/>
      </c>
      <c r="AA437" s="27">
        <f>Y437*Assumptions!$B$4</f>
        <v/>
      </c>
      <c r="AB437" s="26">
        <f>IF(U437=0,"",ROUND(AA437/U437*100,1))</f>
        <v/>
      </c>
      <c r="AC437" s="27">
        <f>Y437-AA437</f>
        <v/>
      </c>
      <c r="AD437" s="26">
        <f>IF(U437=0,"",ROUND((Y437-AA437)/U437*100,1))</f>
        <v/>
      </c>
      <c r="AE437" s="28" t="inlineStr">
        <is>
          <t>OK — totals reconciled</t>
        </is>
      </c>
      <c r="AF437" s="29" t="inlineStr">
        <is>
          <t>https://recuperacaojudicial.squarespace.com/s/RJ-Credimoveis-QGC-01082025.pdf</t>
        </is>
      </c>
      <c r="AG437" s="28" t="inlineStr">
        <is>
          <t>p16 r17</t>
        </is>
      </c>
      <c r="AH437" s="28" t="inlineStr">
        <is>
          <t>p16: R$ 744.752,65</t>
        </is>
      </c>
      <c r="AI437" s="28" t="inlineStr">
        <is>
          <t>QGC (art. 18)</t>
        </is>
      </c>
      <c r="AJ437" s="28" t="inlineStr">
        <is>
          <t>2026-01-28</t>
        </is>
      </c>
      <c r="AK437" s="28" t="inlineStr">
        <is>
          <t>NONE FOUND</t>
        </is>
      </c>
      <c r="AL437" s="30" t="inlineStr">
        <is>
          <t>0007565-40.2020.8.17.2370</t>
        </is>
      </c>
      <c r="AM437" s="30" t="inlineStr">
        <is>
          <t>TJPE</t>
        </is>
      </c>
      <c r="AN437" s="30" t="inlineStr">
        <is>
          <t>ACTIVE</t>
        </is>
      </c>
      <c r="AO437" s="30" t="n">
        <v>2020</v>
      </c>
      <c r="AP437" s="30" t="inlineStr">
        <is>
          <t>6y since filing, no plan document</t>
        </is>
      </c>
      <c r="AQ437" s="30" t="inlineStr">
        <is>
          <t>09.930.165/0001-37</t>
        </is>
      </c>
      <c r="AR437" s="30" t="inlineStr">
        <is>
          <t>printed on the list (read twice)</t>
        </is>
      </c>
      <c r="AS437" s="30" t="inlineStr">
        <is>
          <t>PAULISTA</t>
        </is>
      </c>
      <c r="AT437" s="30" t="inlineStr">
        <is>
          <t>PE</t>
        </is>
      </c>
      <c r="AU437" s="30" t="inlineStr">
        <is>
          <t>Fabricação de máquinas e aparelhos de refrigeração e ventilação para uso industrial e comercial, peças e acessórios</t>
        </is>
      </c>
      <c r="AV437" s="30" t="inlineStr">
        <is>
          <t>DEMAIS</t>
        </is>
      </c>
      <c r="AW437" s="31" t="n">
        <v>223300000</v>
      </c>
      <c r="AX437" s="30" t="inlineStr">
        <is>
          <t>MID-MARKET</t>
        </is>
      </c>
      <c r="AY437" s="30" t="inlineStr">
        <is>
          <t>02802419</t>
        </is>
      </c>
      <c r="AZ437" s="30" t="n">
        <v>1</v>
      </c>
      <c r="BA437" s="30" t="inlineStr">
        <is>
          <t>ROWS:p16r17</t>
        </is>
      </c>
    </row>
    <row r="438">
      <c r="A438" s="16" t="inlineStr">
        <is>
          <t>RDF CONSULTORIA EMPRESARIAL LTDA</t>
        </is>
      </c>
      <c r="B438" s="17" t="n">
        <v>709622.12</v>
      </c>
      <c r="C438" s="18" t="inlineStr">
        <is>
          <t>VECTOR INDÚSTRIA DE PRODUTOS METALÚRGICOS LTDA.</t>
        </is>
      </c>
      <c r="D438" s="19" t="inlineStr">
        <is>
          <t>NEW</t>
        </is>
      </c>
      <c r="E438" s="20" t="inlineStr"/>
      <c r="F438" s="19" t="inlineStr"/>
      <c r="G438" s="20" t="inlineStr"/>
      <c r="H438" s="19" t="inlineStr"/>
      <c r="I438" s="21" t="inlineStr">
        <is>
          <t>EDUARDO SCHULTZE BRAESKE ROTUNNO</t>
        </is>
      </c>
      <c r="J438" s="21" t="inlineStr">
        <is>
          <t>Sócio-Administrador (RFB partner)</t>
        </is>
      </c>
      <c r="K438" s="21" t="inlineStr">
        <is>
          <t>(51) 3377-9787</t>
        </is>
      </c>
      <c r="L438" s="21" t="inlineStr"/>
      <c r="M438" s="21" t="inlineStr"/>
      <c r="N438" s="21" t="inlineStr"/>
      <c r="O438" s="21" t="inlineStr"/>
      <c r="P438" s="21" t="inlineStr">
        <is>
          <t>ROGERIO SIMOES ROTUNNO</t>
        </is>
      </c>
      <c r="Q438" s="21" t="inlineStr">
        <is>
          <t>Sócio-Administrador (RFB partner)</t>
        </is>
      </c>
      <c r="R438" s="21" t="inlineStr"/>
      <c r="S438" s="21" t="inlineStr"/>
      <c r="T438" s="21" t="inlineStr">
        <is>
          <t>RFB partner (QSA); no Apollo match</t>
        </is>
      </c>
      <c r="U438" s="22" t="n">
        <v>709622.12</v>
      </c>
      <c r="V438" s="38" t="inlineStr">
        <is>
          <t>C</t>
        </is>
      </c>
      <c r="W438" s="24">
        <f>IFERROR(VLOOKUP(V438,Assumptions!$A$7:$F$11,2,FALSE),0)</f>
        <v/>
      </c>
      <c r="X438" s="25">
        <f>IF(V438="A",MAX(1,IFERROR(VLOOKUP(V438,Assumptions!$A$7:$F$11,3,FALSE),3)+IFERROR(VLOOKUP(V438,Assumptions!$A$7:$F$11,4,FALSE),8)/2-MAX(0,IF(AO438="",0,YEAR(TODAY())-AO438)-IFERROR(VLOOKUP(V438,Assumptions!$A$7:$F$11,5,FALSE),1.5))),IFERROR(VLOOKUP(V438,Assumptions!$A$7:$F$11,5,FALSE),2.5)+IFERROR(VLOOKUP(V438,Assumptions!$A$7:$F$11,3,FALSE),3)+IFERROR(VLOOKUP(V438,Assumptions!$A$7:$F$11,4,FALSE),8)/2)</f>
        <v/>
      </c>
      <c r="Y438" s="22">
        <f>U438*W438/(1+Assumptions!$B$3)^X438</f>
        <v/>
      </c>
      <c r="Z438" s="26">
        <f>IF(U438=0,"",ROUND(Y438/U438*100,1))</f>
        <v/>
      </c>
      <c r="AA438" s="27">
        <f>Y438*Assumptions!$B$4</f>
        <v/>
      </c>
      <c r="AB438" s="26">
        <f>IF(U438=0,"",ROUND(AA438/U438*100,1))</f>
        <v/>
      </c>
      <c r="AC438" s="27">
        <f>Y438-AA438</f>
        <v/>
      </c>
      <c r="AD438" s="26">
        <f>IF(U438=0,"",ROUND((Y438-AA438)/U438*100,1))</f>
        <v/>
      </c>
      <c r="AE438" s="33" t="inlineStr">
        <is>
          <t>NO TOTALS — list prints none; check page</t>
        </is>
      </c>
      <c r="AF438" s="29" t="inlineStr">
        <is>
          <t>https://scalzilliaj.com.br/sgc/download.php?file=files/processo_documento/processo_documento15513401112022_1_.pdf&amp;nome=15 - Edital do art. 7º, §2º (segunda lista de credores) e do art. 53 da Lei 11.101/2005 (recebimento do plano)</t>
        </is>
      </c>
      <c r="AG438" s="28" t="inlineStr">
        <is>
          <t>p9 r12</t>
        </is>
      </c>
      <c r="AH438" s="28" t="inlineStr">
        <is>
          <t>p9: R$ 709.622,12</t>
        </is>
      </c>
      <c r="AI438" s="28" t="inlineStr">
        <is>
          <t>AJ list (art. 7 §2)</t>
        </is>
      </c>
      <c r="AJ438" s="28" t="inlineStr">
        <is>
          <t>2022-11-01</t>
        </is>
      </c>
      <c r="AK438" s="28" t="inlineStr">
        <is>
          <t>NONE FOUND</t>
        </is>
      </c>
      <c r="AL438" s="30" t="inlineStr">
        <is>
          <t>5014104-85.2021.8.21.0010</t>
        </is>
      </c>
      <c r="AM438" s="30" t="inlineStr">
        <is>
          <t>TJRS</t>
        </is>
      </c>
      <c r="AN438" s="30" t="inlineStr">
        <is>
          <t>ACTIVE</t>
        </is>
      </c>
      <c r="AO438" s="30" t="n">
        <v>2021</v>
      </c>
      <c r="AP438" s="30" t="inlineStr">
        <is>
          <t>5y since filing, no plan document</t>
        </is>
      </c>
      <c r="AQ438" s="30" t="inlineStr">
        <is>
          <t>03.018.339/0001-03</t>
        </is>
      </c>
      <c r="AR438" s="30" t="inlineStr">
        <is>
          <t>printed on the list (read twice)</t>
        </is>
      </c>
      <c r="AS438" s="30" t="inlineStr">
        <is>
          <t>PORTO ALEGRE</t>
        </is>
      </c>
      <c r="AT438" s="30" t="inlineStr">
        <is>
          <t>RS</t>
        </is>
      </c>
      <c r="AU438" s="30" t="inlineStr">
        <is>
          <t>Atividades de consultoria em gestão empresarial, exceto consultoria técnica específica</t>
        </is>
      </c>
      <c r="AV438" s="30" t="inlineStr">
        <is>
          <t>DEMAIS</t>
        </is>
      </c>
      <c r="AW438" s="31" t="n">
        <v>5000</v>
      </c>
      <c r="AX438" s="30" t="inlineStr">
        <is>
          <t>MID-MARKET</t>
        </is>
      </c>
      <c r="AY438" s="30" t="inlineStr">
        <is>
          <t>19362088</t>
        </is>
      </c>
      <c r="AZ438" s="30" t="n">
        <v>1</v>
      </c>
      <c r="BA438" s="30" t="inlineStr">
        <is>
          <t>ROWS:p9r12 UNRECONCILED_SOURCE</t>
        </is>
      </c>
    </row>
    <row r="439">
      <c r="A439" s="16" t="inlineStr">
        <is>
          <t>USECAR LOCADORA DE VEICULOS S/A</t>
        </is>
      </c>
      <c r="B439" s="17" t="n">
        <v>326730.53</v>
      </c>
      <c r="C439" s="18" t="inlineStr">
        <is>
          <t>EGESA ENGENHARIA S/A (Consórcio ETDI)</t>
        </is>
      </c>
      <c r="D439" s="19" t="inlineStr">
        <is>
          <t>NEW</t>
        </is>
      </c>
      <c r="E439" s="20" t="inlineStr"/>
      <c r="F439" s="19" t="inlineStr"/>
      <c r="G439" s="20" t="inlineStr"/>
      <c r="H439" s="19" t="inlineStr"/>
      <c r="I439" s="21" t="inlineStr">
        <is>
          <t>Ana Valle</t>
        </is>
      </c>
      <c r="J439" s="21" t="inlineStr">
        <is>
          <t>Supervisora de Marketing e Customer Experience</t>
        </is>
      </c>
      <c r="K439" s="21" t="inlineStr">
        <is>
          <t>(31) 4001-1408</t>
        </is>
      </c>
      <c r="L439" s="21" t="inlineStr"/>
      <c r="M439" s="21" t="inlineStr"/>
      <c r="N439" s="21" t="inlineStr">
        <is>
          <t>ana.valle@usecarbrasil.com.br</t>
        </is>
      </c>
      <c r="O439" s="21" t="inlineStr"/>
      <c r="P439" s="21" t="inlineStr">
        <is>
          <t>GRAZIELLA NIKOLAS NIKOLAIDIS ABRAS</t>
        </is>
      </c>
      <c r="Q439" s="21" t="inlineStr">
        <is>
          <t>Diretor (RFB partner)</t>
        </is>
      </c>
      <c r="R439" s="21" t="inlineStr"/>
      <c r="S439" s="21" t="inlineStr"/>
      <c r="T439" s="21" t="inlineStr">
        <is>
          <t>only named person; VERIFY; email verified by Apollo</t>
        </is>
      </c>
      <c r="U439" s="22" t="n">
        <v>326730.53</v>
      </c>
      <c r="V439" s="32" t="inlineStr">
        <is>
          <t>U</t>
        </is>
      </c>
      <c r="W439" s="24">
        <f>IFERROR(VLOOKUP(V439,Assumptions!$A$7:$F$11,2,FALSE),0)</f>
        <v/>
      </c>
      <c r="X439" s="25">
        <f>IF(V439="A",MAX(1,IFERROR(VLOOKUP(V439,Assumptions!$A$7:$F$11,3,FALSE),3)+IFERROR(VLOOKUP(V439,Assumptions!$A$7:$F$11,4,FALSE),8)/2-MAX(0,IF(AO439="",0,YEAR(TODAY())-AO439)-IFERROR(VLOOKUP(V439,Assumptions!$A$7:$F$11,5,FALSE),1.5))),IFERROR(VLOOKUP(V439,Assumptions!$A$7:$F$11,5,FALSE),2.5)+IFERROR(VLOOKUP(V439,Assumptions!$A$7:$F$11,3,FALSE),3)+IFERROR(VLOOKUP(V439,Assumptions!$A$7:$F$11,4,FALSE),8)/2)</f>
        <v/>
      </c>
      <c r="Y439" s="22">
        <f>U439*W439/(1+Assumptions!$B$3)^X439</f>
        <v/>
      </c>
      <c r="Z439" s="26">
        <f>IF(U439=0,"",ROUND(Y439/U439*100,1))</f>
        <v/>
      </c>
      <c r="AA439" s="27">
        <f>Y439*Assumptions!$B$4</f>
        <v/>
      </c>
      <c r="AB439" s="26">
        <f>IF(U439=0,"",ROUND(AA439/U439*100,1))</f>
        <v/>
      </c>
      <c r="AC439" s="27">
        <f>Y439-AA439</f>
        <v/>
      </c>
      <c r="AD439" s="26">
        <f>IF(U439=0,"",ROUND((Y439-AA439)/U439*100,1))</f>
        <v/>
      </c>
      <c r="AE439" s="28" t="inlineStr">
        <is>
          <t>OK — totals reconciled</t>
        </is>
      </c>
      <c r="AF439" s="29" t="inlineStr">
        <is>
          <t>https://scalzilliaj.com.br/sgc/download.php?file=files/processo_documento/processo_documento09514021082025_1_.pdf&amp;nome=04 - Relação de credores das Recuperandas</t>
        </is>
      </c>
      <c r="AG439" s="28" t="inlineStr">
        <is>
          <t>p63 r13</t>
        </is>
      </c>
      <c r="AH439" s="28" t="inlineStr">
        <is>
          <t>p63: R$ 326.730,53</t>
        </is>
      </c>
      <c r="AI439" s="28" t="inlineStr">
        <is>
          <t>Debtor list (art. 51)</t>
        </is>
      </c>
      <c r="AJ439" s="28" t="inlineStr"/>
      <c r="AK439" s="28" t="inlineStr">
        <is>
          <t>NONE FOUND</t>
        </is>
      </c>
      <c r="AL439" s="30" t="inlineStr">
        <is>
          <t>(not printed)</t>
        </is>
      </c>
      <c r="AM439" s="30" t="inlineStr"/>
      <c r="AN439" s="30" t="inlineStr"/>
      <c r="AO439" s="30" t="inlineStr"/>
      <c r="AP439" s="30" t="inlineStr">
        <is>
          <t>RJ case number not identified on the document</t>
        </is>
      </c>
      <c r="AQ439" s="30" t="inlineStr"/>
      <c r="AR439" s="30" t="inlineStr">
        <is>
          <t>portal page title / URL — not printed on the list</t>
        </is>
      </c>
      <c r="AS439" s="30" t="inlineStr">
        <is>
          <t>BELO HORIZONTE</t>
        </is>
      </c>
      <c r="AT439" s="30" t="inlineStr">
        <is>
          <t>MG</t>
        </is>
      </c>
      <c r="AU439" s="30" t="inlineStr">
        <is>
          <t>Locação de automóveis sem condutor</t>
        </is>
      </c>
      <c r="AV439" s="30" t="inlineStr">
        <is>
          <t>DEMAIS</t>
        </is>
      </c>
      <c r="AW439" s="31" t="n">
        <v>68350000</v>
      </c>
      <c r="AX439" s="30" t="inlineStr">
        <is>
          <t>MID-MARKET</t>
        </is>
      </c>
      <c r="AY439" s="30" t="inlineStr">
        <is>
          <t>02274615</t>
        </is>
      </c>
      <c r="AZ439" s="30" t="n">
        <v>1</v>
      </c>
      <c r="BA439" s="30" t="inlineStr">
        <is>
          <t>ROWS:p63r13 VALUE_COL:Valor_Atualizado CASE_NUMBER_CORRECTED</t>
        </is>
      </c>
    </row>
    <row r="440">
      <c r="A440" s="16" t="inlineStr">
        <is>
          <t>CAIRU INDUSTRIA DE BICICLETAS LTDA</t>
        </is>
      </c>
      <c r="B440" s="17" t="n">
        <v>680366.63</v>
      </c>
      <c r="C440" s="18" t="inlineStr">
        <is>
          <t>CREDIMÓVEIS NOVOLAR LTDA.</t>
        </is>
      </c>
      <c r="D440" s="19" t="inlineStr">
        <is>
          <t>NEW</t>
        </is>
      </c>
      <c r="E440" s="20" t="inlineStr"/>
      <c r="F440" s="19" t="inlineStr"/>
      <c r="G440" s="20" t="inlineStr"/>
      <c r="H440" s="19" t="inlineStr"/>
      <c r="I440" s="21" t="inlineStr">
        <is>
          <t>Valdeni Silva</t>
        </is>
      </c>
      <c r="J440" s="21" t="inlineStr">
        <is>
          <t>Gestor</t>
        </is>
      </c>
      <c r="K440" s="21" t="inlineStr">
        <is>
          <t>(69) 3451-0500</t>
        </is>
      </c>
      <c r="L440" s="21" t="inlineStr">
        <is>
          <t>(69) 8142-0004</t>
        </is>
      </c>
      <c r="M440" s="21" t="inlineStr"/>
      <c r="N440" s="21" t="inlineStr"/>
      <c r="O440" s="21" t="inlineStr"/>
      <c r="P440" s="21" t="inlineStr">
        <is>
          <t>EUGENIO ODILON RIBEIRO</t>
        </is>
      </c>
      <c r="Q440" s="21" t="inlineStr">
        <is>
          <t>Sócio-Administrador (RFB partner)</t>
        </is>
      </c>
      <c r="R440" s="21" t="inlineStr"/>
      <c r="S440" s="21" t="inlineStr"/>
      <c r="T440" s="21" t="inlineStr">
        <is>
          <t>no work email found in Apollo</t>
        </is>
      </c>
      <c r="U440" s="22" t="n">
        <v>680366.63</v>
      </c>
      <c r="V440" s="38" t="inlineStr">
        <is>
          <t>C</t>
        </is>
      </c>
      <c r="W440" s="24">
        <f>IFERROR(VLOOKUP(V440,Assumptions!$A$7:$F$11,2,FALSE),0)</f>
        <v/>
      </c>
      <c r="X440" s="25">
        <f>IF(V440="A",MAX(1,IFERROR(VLOOKUP(V440,Assumptions!$A$7:$F$11,3,FALSE),3)+IFERROR(VLOOKUP(V440,Assumptions!$A$7:$F$11,4,FALSE),8)/2-MAX(0,IF(AO440="",0,YEAR(TODAY())-AO440)-IFERROR(VLOOKUP(V440,Assumptions!$A$7:$F$11,5,FALSE),1.5))),IFERROR(VLOOKUP(V440,Assumptions!$A$7:$F$11,5,FALSE),2.5)+IFERROR(VLOOKUP(V440,Assumptions!$A$7:$F$11,3,FALSE),3)+IFERROR(VLOOKUP(V440,Assumptions!$A$7:$F$11,4,FALSE),8)/2)</f>
        <v/>
      </c>
      <c r="Y440" s="22">
        <f>U440*W440/(1+Assumptions!$B$3)^X440</f>
        <v/>
      </c>
      <c r="Z440" s="26">
        <f>IF(U440=0,"",ROUND(Y440/U440*100,1))</f>
        <v/>
      </c>
      <c r="AA440" s="27">
        <f>Y440*Assumptions!$B$4</f>
        <v/>
      </c>
      <c r="AB440" s="26">
        <f>IF(U440=0,"",ROUND(AA440/U440*100,1))</f>
        <v/>
      </c>
      <c r="AC440" s="27">
        <f>Y440-AA440</f>
        <v/>
      </c>
      <c r="AD440" s="26">
        <f>IF(U440=0,"",ROUND((Y440-AA440)/U440*100,1))</f>
        <v/>
      </c>
      <c r="AE440" s="28" t="inlineStr">
        <is>
          <t>OK — totals reconciled</t>
        </is>
      </c>
      <c r="AF440" s="29" t="inlineStr">
        <is>
          <t>https://recuperacaojudicial.squarespace.com/s/RJ-Credimoveis-QGC-01082025.pdf</t>
        </is>
      </c>
      <c r="AG440" s="28" t="inlineStr">
        <is>
          <t>p15 r27</t>
        </is>
      </c>
      <c r="AH440" s="28" t="inlineStr">
        <is>
          <t>p15: R$ 680.366,63</t>
        </is>
      </c>
      <c r="AI440" s="28" t="inlineStr">
        <is>
          <t>QGC (art. 18)</t>
        </is>
      </c>
      <c r="AJ440" s="28" t="inlineStr">
        <is>
          <t>2026-01-28</t>
        </is>
      </c>
      <c r="AK440" s="28" t="inlineStr">
        <is>
          <t>NONE FOUND</t>
        </is>
      </c>
      <c r="AL440" s="30" t="inlineStr">
        <is>
          <t>0007565-40.2020.8.17.2370</t>
        </is>
      </c>
      <c r="AM440" s="30" t="inlineStr">
        <is>
          <t>TJPE</t>
        </is>
      </c>
      <c r="AN440" s="30" t="inlineStr">
        <is>
          <t>ACTIVE</t>
        </is>
      </c>
      <c r="AO440" s="30" t="n">
        <v>2020</v>
      </c>
      <c r="AP440" s="30" t="inlineStr">
        <is>
          <t>6y since filing, no plan document</t>
        </is>
      </c>
      <c r="AQ440" s="30" t="inlineStr">
        <is>
          <t>09.930.165/0001-37</t>
        </is>
      </c>
      <c r="AR440" s="30" t="inlineStr">
        <is>
          <t>printed on the list (read twice)</t>
        </is>
      </c>
      <c r="AS440" s="30" t="inlineStr">
        <is>
          <t>PIMENTA BUENO</t>
        </is>
      </c>
      <c r="AT440" s="30" t="inlineStr">
        <is>
          <t>RO</t>
        </is>
      </c>
      <c r="AU440" s="30" t="inlineStr">
        <is>
          <t>Fabricação de bicicletas e triciclos não-motorizados, peças e acessórios</t>
        </is>
      </c>
      <c r="AV440" s="30" t="inlineStr">
        <is>
          <t>DEMAIS</t>
        </is>
      </c>
      <c r="AW440" s="31" t="n">
        <v>1500000</v>
      </c>
      <c r="AX440" s="30" t="inlineStr">
        <is>
          <t>MID-MARKET</t>
        </is>
      </c>
      <c r="AY440" s="30" t="inlineStr">
        <is>
          <t>10288920</t>
        </is>
      </c>
      <c r="AZ440" s="30" t="n">
        <v>1</v>
      </c>
      <c r="BA440" s="30" t="inlineStr">
        <is>
          <t>ROWS:p15r27</t>
        </is>
      </c>
    </row>
    <row r="441">
      <c r="A441" s="16" t="inlineStr">
        <is>
          <t>RENTALBRAS LOCACAO DE BENS MOVEIS PARA CONSTRUCAO CIVIL LTDA</t>
        </is>
      </c>
      <c r="B441" s="17" t="n">
        <v>324549.2</v>
      </c>
      <c r="C441" s="18" t="inlineStr">
        <is>
          <t>EGESA ENGENHARIA S/A (Consórcio ETDI)</t>
        </is>
      </c>
      <c r="D441" s="19" t="inlineStr">
        <is>
          <t>NEW</t>
        </is>
      </c>
      <c r="E441" s="20" t="inlineStr"/>
      <c r="F441" s="19" t="inlineStr"/>
      <c r="G441" s="20" t="inlineStr"/>
      <c r="H441" s="19" t="inlineStr"/>
      <c r="I441" s="21" t="inlineStr">
        <is>
          <t>Plinio Alencar</t>
        </is>
      </c>
      <c r="J441" s="21" t="inlineStr">
        <is>
          <t>Business Manager</t>
        </is>
      </c>
      <c r="K441" s="21" t="inlineStr">
        <is>
          <t>(19) 3227-0373</t>
        </is>
      </c>
      <c r="L441" s="21" t="inlineStr"/>
      <c r="M441" s="21" t="inlineStr"/>
      <c r="N441" s="21" t="inlineStr"/>
      <c r="O441" s="21" t="inlineStr"/>
      <c r="P441" s="21" t="inlineStr">
        <is>
          <t>PLINIO GOMES DE ALENCAR</t>
        </is>
      </c>
      <c r="Q441" s="21" t="inlineStr">
        <is>
          <t>Sócio-Administrador (RFB partner)</t>
        </is>
      </c>
      <c r="R441" s="21" t="inlineStr"/>
      <c r="S441" s="21" t="inlineStr"/>
      <c r="T441" s="21" t="inlineStr">
        <is>
          <t>no work email found in Apollo</t>
        </is>
      </c>
      <c r="U441" s="22" t="n">
        <v>324549.2</v>
      </c>
      <c r="V441" s="32" t="inlineStr">
        <is>
          <t>U</t>
        </is>
      </c>
      <c r="W441" s="24">
        <f>IFERROR(VLOOKUP(V441,Assumptions!$A$7:$F$11,2,FALSE),0)</f>
        <v/>
      </c>
      <c r="X441" s="25">
        <f>IF(V441="A",MAX(1,IFERROR(VLOOKUP(V441,Assumptions!$A$7:$F$11,3,FALSE),3)+IFERROR(VLOOKUP(V441,Assumptions!$A$7:$F$11,4,FALSE),8)/2-MAX(0,IF(AO441="",0,YEAR(TODAY())-AO441)-IFERROR(VLOOKUP(V441,Assumptions!$A$7:$F$11,5,FALSE),1.5))),IFERROR(VLOOKUP(V441,Assumptions!$A$7:$F$11,5,FALSE),2.5)+IFERROR(VLOOKUP(V441,Assumptions!$A$7:$F$11,3,FALSE),3)+IFERROR(VLOOKUP(V441,Assumptions!$A$7:$F$11,4,FALSE),8)/2)</f>
        <v/>
      </c>
      <c r="Y441" s="22">
        <f>U441*W441/(1+Assumptions!$B$3)^X441</f>
        <v/>
      </c>
      <c r="Z441" s="26">
        <f>IF(U441=0,"",ROUND(Y441/U441*100,1))</f>
        <v/>
      </c>
      <c r="AA441" s="27">
        <f>Y441*Assumptions!$B$4</f>
        <v/>
      </c>
      <c r="AB441" s="26">
        <f>IF(U441=0,"",ROUND(AA441/U441*100,1))</f>
        <v/>
      </c>
      <c r="AC441" s="27">
        <f>Y441-AA441</f>
        <v/>
      </c>
      <c r="AD441" s="26">
        <f>IF(U441=0,"",ROUND((Y441-AA441)/U441*100,1))</f>
        <v/>
      </c>
      <c r="AE441" s="28" t="inlineStr">
        <is>
          <t>OK — totals reconciled</t>
        </is>
      </c>
      <c r="AF441" s="29" t="inlineStr">
        <is>
          <t>https://scalzilliaj.com.br/sgc/download.php?file=files/processo_documento/processo_documento09514021082025_1_.pdf&amp;nome=04 - Relação de credores das Recuperandas</t>
        </is>
      </c>
      <c r="AG441" s="28" t="inlineStr">
        <is>
          <t>p72 r7</t>
        </is>
      </c>
      <c r="AH441" s="28" t="inlineStr">
        <is>
          <t>p72: R$ 324.549,20</t>
        </is>
      </c>
      <c r="AI441" s="28" t="inlineStr">
        <is>
          <t>Debtor list (art. 51)</t>
        </is>
      </c>
      <c r="AJ441" s="28" t="inlineStr"/>
      <c r="AK441" s="28" t="inlineStr">
        <is>
          <t>NONE FOUND</t>
        </is>
      </c>
      <c r="AL441" s="30" t="inlineStr">
        <is>
          <t>(not printed)</t>
        </is>
      </c>
      <c r="AM441" s="30" t="inlineStr"/>
      <c r="AN441" s="30" t="inlineStr"/>
      <c r="AO441" s="30" t="inlineStr"/>
      <c r="AP441" s="30" t="inlineStr">
        <is>
          <t>RJ case number not identified on the document</t>
        </is>
      </c>
      <c r="AQ441" s="30" t="inlineStr"/>
      <c r="AR441" s="30" t="inlineStr">
        <is>
          <t>portal page title / URL — not printed on the list</t>
        </is>
      </c>
      <c r="AS441" s="30" t="inlineStr">
        <is>
          <t>CAMPINAS</t>
        </is>
      </c>
      <c r="AT441" s="30" t="inlineStr">
        <is>
          <t>SP</t>
        </is>
      </c>
      <c r="AU441" s="30" t="inlineStr">
        <is>
          <t>Aluguel de máquinas e equipamentos para construção sem operador, exceto andaimes</t>
        </is>
      </c>
      <c r="AV441" s="30" t="inlineStr">
        <is>
          <t>DEMAIS</t>
        </is>
      </c>
      <c r="AW441" s="31" t="n">
        <v>350000</v>
      </c>
      <c r="AX441" s="30" t="inlineStr">
        <is>
          <t>MID-MARKET</t>
        </is>
      </c>
      <c r="AY441" s="30" t="inlineStr">
        <is>
          <t>07153791</t>
        </is>
      </c>
      <c r="AZ441" s="30" t="n">
        <v>1</v>
      </c>
      <c r="BA441" s="30" t="inlineStr">
        <is>
          <t>ROWS:p72r7 VALUE_COL:Valor_Atualizado CASE_NUMBER_CORRECTED</t>
        </is>
      </c>
    </row>
    <row r="442">
      <c r="A442" s="16" t="inlineStr">
        <is>
          <t>CIMAR - CIMENTOS DO MARANHAO S.A.</t>
        </is>
      </c>
      <c r="B442" s="17" t="n">
        <v>675124.95</v>
      </c>
      <c r="C442" s="18" t="inlineStr">
        <is>
          <t>Roque Materiais para Construção</t>
        </is>
      </c>
      <c r="D442" s="19" t="inlineStr">
        <is>
          <t>NEW</t>
        </is>
      </c>
      <c r="E442" s="20" t="inlineStr"/>
      <c r="F442" s="19" t="inlineStr"/>
      <c r="G442" s="20" t="inlineStr"/>
      <c r="H442" s="19" t="inlineStr"/>
      <c r="I442" s="21" t="inlineStr">
        <is>
          <t>JOSE ANTERO DOS SANTOS</t>
        </is>
      </c>
      <c r="J442" s="21" t="inlineStr">
        <is>
          <t>Presidente (RFB partner)</t>
        </is>
      </c>
      <c r="K442" s="21" t="inlineStr">
        <is>
          <t>(11) 2360-2033</t>
        </is>
      </c>
      <c r="L442" s="21" t="inlineStr">
        <is>
          <t>(98) 3232-3232</t>
        </is>
      </c>
      <c r="M442" s="21" t="inlineStr"/>
      <c r="N442" s="21" t="inlineStr"/>
      <c r="O442" s="21" t="inlineStr"/>
      <c r="P442" s="21" t="inlineStr">
        <is>
          <t>HUMBERTO JORGE COELHO DE GOUVEA</t>
        </is>
      </c>
      <c r="Q442" s="21" t="inlineStr">
        <is>
          <t>Diretor (RFB partner)</t>
        </is>
      </c>
      <c r="R442" s="21" t="inlineStr"/>
      <c r="S442" s="21" t="inlineStr"/>
      <c r="T442" s="21" t="inlineStr">
        <is>
          <t>RFB partner (QSA); no Apollo match</t>
        </is>
      </c>
      <c r="U442" s="22" t="n">
        <v>675124.95</v>
      </c>
      <c r="V442" s="38" t="inlineStr">
        <is>
          <t>C</t>
        </is>
      </c>
      <c r="W442" s="24">
        <f>IFERROR(VLOOKUP(V442,Assumptions!$A$7:$F$11,2,FALSE),0)</f>
        <v/>
      </c>
      <c r="X442" s="25">
        <f>IF(V442="A",MAX(1,IFERROR(VLOOKUP(V442,Assumptions!$A$7:$F$11,3,FALSE),3)+IFERROR(VLOOKUP(V442,Assumptions!$A$7:$F$11,4,FALSE),8)/2-MAX(0,IF(AO442="",0,YEAR(TODAY())-AO442)-IFERROR(VLOOKUP(V442,Assumptions!$A$7:$F$11,5,FALSE),1.5))),IFERROR(VLOOKUP(V442,Assumptions!$A$7:$F$11,5,FALSE),2.5)+IFERROR(VLOOKUP(V442,Assumptions!$A$7:$F$11,3,FALSE),3)+IFERROR(VLOOKUP(V442,Assumptions!$A$7:$F$11,4,FALSE),8)/2)</f>
        <v/>
      </c>
      <c r="Y442" s="22">
        <f>U442*W442/(1+Assumptions!$B$3)^X442</f>
        <v/>
      </c>
      <c r="Z442" s="26">
        <f>IF(U442=0,"",ROUND(Y442/U442*100,1))</f>
        <v/>
      </c>
      <c r="AA442" s="27">
        <f>Y442*Assumptions!$B$4</f>
        <v/>
      </c>
      <c r="AB442" s="26">
        <f>IF(U442=0,"",ROUND(AA442/U442*100,1))</f>
        <v/>
      </c>
      <c r="AC442" s="27">
        <f>Y442-AA442</f>
        <v/>
      </c>
      <c r="AD442" s="26">
        <f>IF(U442=0,"",ROUND((Y442-AA442)/U442*100,1))</f>
        <v/>
      </c>
      <c r="AE442" s="28" t="inlineStr">
        <is>
          <t>OK — totals reconciled</t>
        </is>
      </c>
      <c r="AF442" s="29" t="inlineStr">
        <is>
          <t>https://realbrasil.com.br/wp-content/uploads/2018/06/2_LISTA-DE-CREDORES-DA-RECUPERANDA_ROQUE.pdf</t>
        </is>
      </c>
      <c r="AG442" s="28" t="inlineStr">
        <is>
          <t>p2 r5</t>
        </is>
      </c>
      <c r="AH442" s="28" t="inlineStr">
        <is>
          <t>p2: R$ 675.124,95</t>
        </is>
      </c>
      <c r="AI442" s="28" t="inlineStr">
        <is>
          <t>Unclassified list</t>
        </is>
      </c>
      <c r="AJ442" s="28" t="inlineStr"/>
      <c r="AK442" s="28" t="inlineStr">
        <is>
          <t>NONE FOUND</t>
        </is>
      </c>
      <c r="AL442" s="30" t="inlineStr">
        <is>
          <t>0802426-35.2019.8.10.0000</t>
        </is>
      </c>
      <c r="AM442" s="30" t="inlineStr">
        <is>
          <t>TJMA</t>
        </is>
      </c>
      <c r="AN442" s="30" t="inlineStr"/>
      <c r="AO442" s="30" t="n">
        <v>2019</v>
      </c>
      <c r="AP442" s="30" t="inlineStr">
        <is>
          <t>7y since filing, no plan document</t>
        </is>
      </c>
      <c r="AQ442" s="30" t="inlineStr"/>
      <c r="AR442" s="30" t="inlineStr">
        <is>
          <t>portal page title / URL — not printed on the list</t>
        </is>
      </c>
      <c r="AS442" s="30" t="inlineStr">
        <is>
          <t>SAO LUIS</t>
        </is>
      </c>
      <c r="AT442" s="30" t="inlineStr">
        <is>
          <t>MA</t>
        </is>
      </c>
      <c r="AU442" s="30" t="inlineStr">
        <is>
          <t>Fabricação de cimento</t>
        </is>
      </c>
      <c r="AV442" s="30" t="inlineStr">
        <is>
          <t>DEMAIS</t>
        </is>
      </c>
      <c r="AW442" s="31" t="n">
        <v>27274226</v>
      </c>
      <c r="AX442" s="30" t="inlineStr">
        <is>
          <t>MID-MARKET</t>
        </is>
      </c>
      <c r="AY442" s="30" t="inlineStr">
        <is>
          <t>15129010</t>
        </is>
      </c>
      <c r="AZ442" s="30" t="n">
        <v>1</v>
      </c>
      <c r="BA442" s="30" t="inlineStr">
        <is>
          <t>ROWS:p2r5 VALUE_COL:Saldo_Total</t>
        </is>
      </c>
    </row>
    <row r="443">
      <c r="A443" s="16" t="inlineStr">
        <is>
          <t>CALDEX CONEXOES E EQUIPAMENTOS LTDA</t>
        </is>
      </c>
      <c r="B443" s="17" t="n">
        <v>322964.99</v>
      </c>
      <c r="C443" s="18" t="inlineStr">
        <is>
          <t>EGESA ENGENHARIA S/A (Consórcio ETDI)</t>
        </is>
      </c>
      <c r="D443" s="19" t="inlineStr">
        <is>
          <t>NEW</t>
        </is>
      </c>
      <c r="E443" s="20" t="inlineStr"/>
      <c r="F443" s="19" t="inlineStr"/>
      <c r="G443" s="20" t="inlineStr"/>
      <c r="H443" s="19" t="inlineStr"/>
      <c r="I443" s="21" t="inlineStr">
        <is>
          <t>Marcos Sanchez</t>
        </is>
      </c>
      <c r="J443" s="21" t="inlineStr">
        <is>
          <t>Industrial Director</t>
        </is>
      </c>
      <c r="K443" s="21" t="inlineStr">
        <is>
          <t>(11) 4061-2799</t>
        </is>
      </c>
      <c r="L443" s="21" t="inlineStr"/>
      <c r="M443" s="21" t="inlineStr"/>
      <c r="N443" s="21" t="inlineStr">
        <is>
          <t>marcos@caldex.com.br</t>
        </is>
      </c>
      <c r="O443" s="21" t="inlineStr">
        <is>
          <t>marilza@caldex.com.br</t>
        </is>
      </c>
      <c r="P443" s="21" t="inlineStr">
        <is>
          <t>Marilza Agonilla</t>
        </is>
      </c>
      <c r="Q443" s="21" t="inlineStr">
        <is>
          <t>Gerente/Coordenador (RH)</t>
        </is>
      </c>
      <c r="R443" s="21" t="inlineStr"/>
      <c r="S443" s="21" t="inlineStr">
        <is>
          <t>marilza@caldex.com.br</t>
        </is>
      </c>
      <c r="T443" s="21" t="inlineStr">
        <is>
          <t>email verified by Apollo</t>
        </is>
      </c>
      <c r="U443" s="22" t="n">
        <v>322964.99</v>
      </c>
      <c r="V443" s="32" t="inlineStr">
        <is>
          <t>U</t>
        </is>
      </c>
      <c r="W443" s="24">
        <f>IFERROR(VLOOKUP(V443,Assumptions!$A$7:$F$11,2,FALSE),0)</f>
        <v/>
      </c>
      <c r="X443" s="25">
        <f>IF(V443="A",MAX(1,IFERROR(VLOOKUP(V443,Assumptions!$A$7:$F$11,3,FALSE),3)+IFERROR(VLOOKUP(V443,Assumptions!$A$7:$F$11,4,FALSE),8)/2-MAX(0,IF(AO443="",0,YEAR(TODAY())-AO443)-IFERROR(VLOOKUP(V443,Assumptions!$A$7:$F$11,5,FALSE),1.5))),IFERROR(VLOOKUP(V443,Assumptions!$A$7:$F$11,5,FALSE),2.5)+IFERROR(VLOOKUP(V443,Assumptions!$A$7:$F$11,3,FALSE),3)+IFERROR(VLOOKUP(V443,Assumptions!$A$7:$F$11,4,FALSE),8)/2)</f>
        <v/>
      </c>
      <c r="Y443" s="22">
        <f>U443*W443/(1+Assumptions!$B$3)^X443</f>
        <v/>
      </c>
      <c r="Z443" s="26">
        <f>IF(U443=0,"",ROUND(Y443/U443*100,1))</f>
        <v/>
      </c>
      <c r="AA443" s="27">
        <f>Y443*Assumptions!$B$4</f>
        <v/>
      </c>
      <c r="AB443" s="26">
        <f>IF(U443=0,"",ROUND(AA443/U443*100,1))</f>
        <v/>
      </c>
      <c r="AC443" s="27">
        <f>Y443-AA443</f>
        <v/>
      </c>
      <c r="AD443" s="26">
        <f>IF(U443=0,"",ROUND((Y443-AA443)/U443*100,1))</f>
        <v/>
      </c>
      <c r="AE443" s="28" t="inlineStr">
        <is>
          <t>OK — totals reconciled</t>
        </is>
      </c>
      <c r="AF443" s="29" t="inlineStr">
        <is>
          <t>https://scalzilliaj.com.br/sgc/download.php?file=files/processo_documento/processo_documento09514021082025_1_.pdf&amp;nome=04 - Relação de credores das Recuperandas</t>
        </is>
      </c>
      <c r="AG443" s="28" t="inlineStr">
        <is>
          <t>p63 r18</t>
        </is>
      </c>
      <c r="AH443" s="28" t="inlineStr">
        <is>
          <t>p63: R$ 322.964,99</t>
        </is>
      </c>
      <c r="AI443" s="28" t="inlineStr">
        <is>
          <t>Debtor list (art. 51)</t>
        </is>
      </c>
      <c r="AJ443" s="28" t="inlineStr"/>
      <c r="AK443" s="28" t="inlineStr">
        <is>
          <t>NONE FOUND</t>
        </is>
      </c>
      <c r="AL443" s="30" t="inlineStr">
        <is>
          <t>(not printed)</t>
        </is>
      </c>
      <c r="AM443" s="30" t="inlineStr"/>
      <c r="AN443" s="30" t="inlineStr"/>
      <c r="AO443" s="30" t="inlineStr"/>
      <c r="AP443" s="30" t="inlineStr">
        <is>
          <t>RJ case number not identified on the document</t>
        </is>
      </c>
      <c r="AQ443" s="30" t="inlineStr"/>
      <c r="AR443" s="30" t="inlineStr">
        <is>
          <t>portal page title / URL — not printed on the list</t>
        </is>
      </c>
      <c r="AS443" s="30" t="inlineStr">
        <is>
          <t>DIADEMA</t>
        </is>
      </c>
      <c r="AT443" s="30" t="inlineStr">
        <is>
          <t>SP</t>
        </is>
      </c>
      <c r="AU443" s="30" t="inlineStr">
        <is>
          <t>Fabricação de outros produtos de metal não especificados anteriormente</t>
        </is>
      </c>
      <c r="AV443" s="30" t="inlineStr">
        <is>
          <t>DEMAIS</t>
        </is>
      </c>
      <c r="AW443" s="31" t="n">
        <v>5300004</v>
      </c>
      <c r="AX443" s="30" t="inlineStr">
        <is>
          <t>MID-MARKET</t>
        </is>
      </c>
      <c r="AY443" s="30" t="inlineStr">
        <is>
          <t>44151413</t>
        </is>
      </c>
      <c r="AZ443" s="30" t="n">
        <v>1</v>
      </c>
      <c r="BA443" s="30" t="inlineStr">
        <is>
          <t>ROWS:p63r18 VALUE_COL:Valor_Atualizado CASE_NUMBER_CORRECTED</t>
        </is>
      </c>
    </row>
    <row r="444">
      <c r="A444" s="16" t="inlineStr">
        <is>
          <t>LAPONIA SUDESTE LTDA.</t>
        </is>
      </c>
      <c r="B444" s="17" t="n">
        <v>316198.79</v>
      </c>
      <c r="C444" s="37" t="inlineStr">
        <is>
          <t>(debtor not identified — see proof)</t>
        </is>
      </c>
      <c r="D444" s="19" t="inlineStr">
        <is>
          <t>NEW</t>
        </is>
      </c>
      <c r="E444" s="20" t="inlineStr"/>
      <c r="F444" s="19" t="inlineStr"/>
      <c r="G444" s="20" t="inlineStr"/>
      <c r="H444" s="19" t="inlineStr"/>
      <c r="I444" s="21" t="inlineStr">
        <is>
          <t>Micheli Silva</t>
        </is>
      </c>
      <c r="J444" s="21" t="inlineStr">
        <is>
          <t>Administrative Analyst</t>
        </is>
      </c>
      <c r="K444" s="21" t="inlineStr">
        <is>
          <t>(11) 4026-9800</t>
        </is>
      </c>
      <c r="L444" s="21" t="inlineStr">
        <is>
          <t>(11) 4026-9810</t>
        </is>
      </c>
      <c r="M444" s="21" t="inlineStr"/>
      <c r="N444" s="21" t="inlineStr"/>
      <c r="O444" s="21" t="inlineStr"/>
      <c r="P444" s="21" t="inlineStr">
        <is>
          <t>Micheli Silva</t>
        </is>
      </c>
      <c r="Q444" s="21" t="inlineStr">
        <is>
          <t>Administrative Analyst</t>
        </is>
      </c>
      <c r="R444" s="21" t="inlineStr"/>
      <c r="S444" s="21" t="inlineStr"/>
      <c r="T444" s="21" t="inlineStr">
        <is>
          <t>no work email found in Apollo</t>
        </is>
      </c>
      <c r="U444" s="22" t="n">
        <v>316198.79</v>
      </c>
      <c r="V444" s="32" t="inlineStr">
        <is>
          <t>U</t>
        </is>
      </c>
      <c r="W444" s="24">
        <f>IFERROR(VLOOKUP(V444,Assumptions!$A$7:$F$11,2,FALSE),0)</f>
        <v/>
      </c>
      <c r="X444" s="25">
        <f>IF(V444="A",MAX(1,IFERROR(VLOOKUP(V444,Assumptions!$A$7:$F$11,3,FALSE),3)+IFERROR(VLOOKUP(V444,Assumptions!$A$7:$F$11,4,FALSE),8)/2-MAX(0,IF(AO444="",0,YEAR(TODAY())-AO444)-IFERROR(VLOOKUP(V444,Assumptions!$A$7:$F$11,5,FALSE),1.5))),IFERROR(VLOOKUP(V444,Assumptions!$A$7:$F$11,5,FALSE),2.5)+IFERROR(VLOOKUP(V444,Assumptions!$A$7:$F$11,3,FALSE),3)+IFERROR(VLOOKUP(V444,Assumptions!$A$7:$F$11,4,FALSE),8)/2)</f>
        <v/>
      </c>
      <c r="Y444" s="22">
        <f>U444*W444/(1+Assumptions!$B$3)^X444</f>
        <v/>
      </c>
      <c r="Z444" s="26">
        <f>IF(U444=0,"",ROUND(Y444/U444*100,1))</f>
        <v/>
      </c>
      <c r="AA444" s="27">
        <f>Y444*Assumptions!$B$4</f>
        <v/>
      </c>
      <c r="AB444" s="26">
        <f>IF(U444=0,"",ROUND(AA444/U444*100,1))</f>
        <v/>
      </c>
      <c r="AC444" s="27">
        <f>Y444-AA444</f>
        <v/>
      </c>
      <c r="AD444" s="26">
        <f>IF(U444=0,"",ROUND((Y444-AA444)/U444*100,1))</f>
        <v/>
      </c>
      <c r="AE444" s="28" t="inlineStr">
        <is>
          <t>OK — totals reconciled</t>
        </is>
      </c>
      <c r="AF444" s="29" t="inlineStr">
        <is>
          <t>https://ajruiz.com.br/sites/default/files/public/arquivos-processos/2023-11/4_relacao_de_credores_analitica_art._51_iii_da_lre.pdf</t>
        </is>
      </c>
      <c r="AG444" s="28" t="inlineStr">
        <is>
          <t>p3 r24; p3 r25</t>
        </is>
      </c>
      <c r="AH444" s="28" t="inlineStr">
        <is>
          <t>p3: R$ 111.893,80; p3: R$ 204.304,99</t>
        </is>
      </c>
      <c r="AI444" s="28" t="inlineStr">
        <is>
          <t>Unclassified list</t>
        </is>
      </c>
      <c r="AJ444" s="28" t="inlineStr"/>
      <c r="AK444" s="28" t="inlineStr">
        <is>
          <t>NONE FOUND</t>
        </is>
      </c>
      <c r="AL444" s="30" t="inlineStr">
        <is>
          <t>(not printed)</t>
        </is>
      </c>
      <c r="AM444" s="30" t="inlineStr"/>
      <c r="AN444" s="30" t="inlineStr"/>
      <c r="AO444" s="30" t="inlineStr"/>
      <c r="AP444" s="30" t="inlineStr">
        <is>
          <t>RJ case number not identified on the document</t>
        </is>
      </c>
      <c r="AQ444" s="30" t="inlineStr"/>
      <c r="AR444" s="30" t="inlineStr">
        <is>
          <t>not identified</t>
        </is>
      </c>
      <c r="AS444" s="30" t="inlineStr">
        <is>
          <t>ITU</t>
        </is>
      </c>
      <c r="AT444" s="30" t="inlineStr">
        <is>
          <t>SP</t>
        </is>
      </c>
      <c r="AU444" s="30" t="inlineStr">
        <is>
          <t>Comércio por atacado de caminhões novos e usados</t>
        </is>
      </c>
      <c r="AV444" s="30" t="inlineStr">
        <is>
          <t>DEMAIS</t>
        </is>
      </c>
      <c r="AW444" s="31" t="n">
        <v>18109100</v>
      </c>
      <c r="AX444" s="30" t="inlineStr">
        <is>
          <t>MID-MARKET</t>
        </is>
      </c>
      <c r="AY444" s="30" t="inlineStr">
        <is>
          <t>04422548</t>
        </is>
      </c>
      <c r="AZ444" s="30" t="n">
        <v>2</v>
      </c>
      <c r="BA444" s="30" t="inlineStr">
        <is>
          <t>ROWS:p3r24,p3r25 CASE_NUMBER_CORRECTED</t>
        </is>
      </c>
    </row>
    <row r="445">
      <c r="A445" s="16" t="inlineStr">
        <is>
          <t>PARVI LOCADORA S.A</t>
        </is>
      </c>
      <c r="B445" s="17" t="n">
        <v>311892.18</v>
      </c>
      <c r="C445" s="18" t="inlineStr">
        <is>
          <t>EGESA ENGENHARIA S/A (Consórcio ETDI)</t>
        </is>
      </c>
      <c r="D445" s="19" t="inlineStr">
        <is>
          <t>NEW</t>
        </is>
      </c>
      <c r="E445" s="20" t="inlineStr"/>
      <c r="F445" s="19" t="inlineStr"/>
      <c r="G445" s="20" t="inlineStr"/>
      <c r="H445" s="19" t="inlineStr"/>
      <c r="I445" s="21" t="inlineStr">
        <is>
          <t>Bruna Buonafina</t>
        </is>
      </c>
      <c r="J445" s="21" t="inlineStr">
        <is>
          <t>Diretora Financeira / Gerente de Tesouraria</t>
        </is>
      </c>
      <c r="K445" s="21" t="inlineStr">
        <is>
          <t>(81) 3256-6100</t>
        </is>
      </c>
      <c r="L445" s="21" t="inlineStr"/>
      <c r="M445" s="21" t="inlineStr"/>
      <c r="N445" s="21" t="inlineStr">
        <is>
          <t>bruna@parvi.com.br</t>
        </is>
      </c>
      <c r="O445" s="21" t="inlineStr">
        <is>
          <t>rita.correia@parvi.com.br</t>
        </is>
      </c>
      <c r="P445" s="21" t="inlineStr">
        <is>
          <t>Rita Correia</t>
        </is>
      </c>
      <c r="Q445" s="21" t="inlineStr">
        <is>
          <t>Supervisora de Crédito e Cobrança</t>
        </is>
      </c>
      <c r="R445" s="21" t="inlineStr"/>
      <c r="S445" s="21" t="inlineStr">
        <is>
          <t>rita.correia@parvi.com.br</t>
        </is>
      </c>
      <c r="T445" s="21" t="inlineStr">
        <is>
          <t>email verified by Apollo</t>
        </is>
      </c>
      <c r="U445" s="22" t="n">
        <v>311892.18</v>
      </c>
      <c r="V445" s="32" t="inlineStr">
        <is>
          <t>U</t>
        </is>
      </c>
      <c r="W445" s="24">
        <f>IFERROR(VLOOKUP(V445,Assumptions!$A$7:$F$11,2,FALSE),0)</f>
        <v/>
      </c>
      <c r="X445" s="25">
        <f>IF(V445="A",MAX(1,IFERROR(VLOOKUP(V445,Assumptions!$A$7:$F$11,3,FALSE),3)+IFERROR(VLOOKUP(V445,Assumptions!$A$7:$F$11,4,FALSE),8)/2-MAX(0,IF(AO445="",0,YEAR(TODAY())-AO445)-IFERROR(VLOOKUP(V445,Assumptions!$A$7:$F$11,5,FALSE),1.5))),IFERROR(VLOOKUP(V445,Assumptions!$A$7:$F$11,5,FALSE),2.5)+IFERROR(VLOOKUP(V445,Assumptions!$A$7:$F$11,3,FALSE),3)+IFERROR(VLOOKUP(V445,Assumptions!$A$7:$F$11,4,FALSE),8)/2)</f>
        <v/>
      </c>
      <c r="Y445" s="22">
        <f>U445*W445/(1+Assumptions!$B$3)^X445</f>
        <v/>
      </c>
      <c r="Z445" s="26">
        <f>IF(U445=0,"",ROUND(Y445/U445*100,1))</f>
        <v/>
      </c>
      <c r="AA445" s="27">
        <f>Y445*Assumptions!$B$4</f>
        <v/>
      </c>
      <c r="AB445" s="26">
        <f>IF(U445=0,"",ROUND(AA445/U445*100,1))</f>
        <v/>
      </c>
      <c r="AC445" s="27">
        <f>Y445-AA445</f>
        <v/>
      </c>
      <c r="AD445" s="26">
        <f>IF(U445=0,"",ROUND((Y445-AA445)/U445*100,1))</f>
        <v/>
      </c>
      <c r="AE445" s="28" t="inlineStr">
        <is>
          <t>OK — totals reconciled</t>
        </is>
      </c>
      <c r="AF445" s="29" t="inlineStr">
        <is>
          <t>https://scalzilliaj.com.br/sgc/download.php?file=files/processo_documento/processo_documento09514021082025_1_.pdf&amp;nome=04 - Relação de credores das Recuperandas</t>
        </is>
      </c>
      <c r="AG445" s="28" t="inlineStr">
        <is>
          <t>p69 r5; p69 r6</t>
        </is>
      </c>
      <c r="AH445" s="28" t="inlineStr">
        <is>
          <t>p69: R$ 225.397,01; p69: R$ 86.495,17</t>
        </is>
      </c>
      <c r="AI445" s="28" t="inlineStr">
        <is>
          <t>Debtor list (art. 51)</t>
        </is>
      </c>
      <c r="AJ445" s="28" t="inlineStr"/>
      <c r="AK445" s="28" t="inlineStr">
        <is>
          <t>NONE FOUND</t>
        </is>
      </c>
      <c r="AL445" s="30" t="inlineStr">
        <is>
          <t>(not printed)</t>
        </is>
      </c>
      <c r="AM445" s="30" t="inlineStr"/>
      <c r="AN445" s="30" t="inlineStr"/>
      <c r="AO445" s="30" t="inlineStr"/>
      <c r="AP445" s="30" t="inlineStr">
        <is>
          <t>RJ case number not identified on the document</t>
        </is>
      </c>
      <c r="AQ445" s="30" t="inlineStr"/>
      <c r="AR445" s="30" t="inlineStr">
        <is>
          <t>portal page title / URL — not printed on the list</t>
        </is>
      </c>
      <c r="AS445" s="30" t="inlineStr">
        <is>
          <t>RECIFE</t>
        </is>
      </c>
      <c r="AT445" s="30" t="inlineStr">
        <is>
          <t>PE</t>
        </is>
      </c>
      <c r="AU445" s="30" t="inlineStr">
        <is>
          <t>Locação de automóveis sem condutor</t>
        </is>
      </c>
      <c r="AV445" s="30" t="inlineStr">
        <is>
          <t>DEMAIS</t>
        </is>
      </c>
      <c r="AW445" s="31" t="n">
        <v>95899590</v>
      </c>
      <c r="AX445" s="30" t="inlineStr">
        <is>
          <t>MID-MARKET</t>
        </is>
      </c>
      <c r="AY445" s="30" t="inlineStr">
        <is>
          <t>08228146</t>
        </is>
      </c>
      <c r="AZ445" s="30" t="n">
        <v>2</v>
      </c>
      <c r="BA445" s="30" t="inlineStr">
        <is>
          <t>ROWS:p69r5,p69r6 VALUE_COL:Valor_Atualizado CASE_NUMBER_CORRECTED</t>
        </is>
      </c>
    </row>
    <row r="446">
      <c r="A446" s="16" t="inlineStr">
        <is>
          <t>GAZIN INDUSTRIA E COMERCIO DE MOVEIS E ELETRODOMESTICOS S.A</t>
        </is>
      </c>
      <c r="B446" s="17" t="n">
        <v>641648.34</v>
      </c>
      <c r="C446" s="18" t="inlineStr">
        <is>
          <t>CREDIMÓVEIS NOVOLAR LTDA.</t>
        </is>
      </c>
      <c r="D446" s="19" t="inlineStr">
        <is>
          <t>NEW</t>
        </is>
      </c>
      <c r="E446" s="20" t="inlineStr"/>
      <c r="F446" s="19" t="inlineStr"/>
      <c r="G446" s="20" t="inlineStr"/>
      <c r="H446" s="19" t="inlineStr"/>
      <c r="I446" s="21" t="inlineStr">
        <is>
          <t>Natanael Estevao</t>
        </is>
      </c>
      <c r="J446" s="21" t="inlineStr">
        <is>
          <t>Gerente de Crédito e Cobrança PJ</t>
        </is>
      </c>
      <c r="K446" s="21" t="inlineStr">
        <is>
          <t>(44) 3663-8000</t>
        </is>
      </c>
      <c r="L446" s="21" t="inlineStr">
        <is>
          <t>(44) 3663-8000</t>
        </is>
      </c>
      <c r="M446" s="21" t="inlineStr"/>
      <c r="N446" s="21" t="inlineStr">
        <is>
          <t>natanael.estevao@gazin.com.br</t>
        </is>
      </c>
      <c r="O446" s="21" t="inlineStr">
        <is>
          <t>fernando.graci@gazin.com.br</t>
        </is>
      </c>
      <c r="P446" s="21" t="inlineStr">
        <is>
          <t>Fernando Graci</t>
        </is>
      </c>
      <c r="Q446" s="21" t="inlineStr">
        <is>
          <t>Controller</t>
        </is>
      </c>
      <c r="R446" s="21" t="inlineStr"/>
      <c r="S446" s="21" t="inlineStr">
        <is>
          <t>fernando.graci@gazin.com.br</t>
        </is>
      </c>
      <c r="T446" s="21" t="inlineStr">
        <is>
          <t>email verified by Apollo</t>
        </is>
      </c>
      <c r="U446" s="22" t="n">
        <v>641648.34</v>
      </c>
      <c r="V446" s="38" t="inlineStr">
        <is>
          <t>C</t>
        </is>
      </c>
      <c r="W446" s="24">
        <f>IFERROR(VLOOKUP(V446,Assumptions!$A$7:$F$11,2,FALSE),0)</f>
        <v/>
      </c>
      <c r="X446" s="25">
        <f>IF(V446="A",MAX(1,IFERROR(VLOOKUP(V446,Assumptions!$A$7:$F$11,3,FALSE),3)+IFERROR(VLOOKUP(V446,Assumptions!$A$7:$F$11,4,FALSE),8)/2-MAX(0,IF(AO446="",0,YEAR(TODAY())-AO446)-IFERROR(VLOOKUP(V446,Assumptions!$A$7:$F$11,5,FALSE),1.5))),IFERROR(VLOOKUP(V446,Assumptions!$A$7:$F$11,5,FALSE),2.5)+IFERROR(VLOOKUP(V446,Assumptions!$A$7:$F$11,3,FALSE),3)+IFERROR(VLOOKUP(V446,Assumptions!$A$7:$F$11,4,FALSE),8)/2)</f>
        <v/>
      </c>
      <c r="Y446" s="22">
        <f>U446*W446/(1+Assumptions!$B$3)^X446</f>
        <v/>
      </c>
      <c r="Z446" s="26">
        <f>IF(U446=0,"",ROUND(Y446/U446*100,1))</f>
        <v/>
      </c>
      <c r="AA446" s="27">
        <f>Y446*Assumptions!$B$4</f>
        <v/>
      </c>
      <c r="AB446" s="26">
        <f>IF(U446=0,"",ROUND(AA446/U446*100,1))</f>
        <v/>
      </c>
      <c r="AC446" s="27">
        <f>Y446-AA446</f>
        <v/>
      </c>
      <c r="AD446" s="26">
        <f>IF(U446=0,"",ROUND((Y446-AA446)/U446*100,1))</f>
        <v/>
      </c>
      <c r="AE446" s="28" t="inlineStr">
        <is>
          <t>OK — totals reconciled</t>
        </is>
      </c>
      <c r="AF446" s="29" t="inlineStr">
        <is>
          <t>https://recuperacaojudicial.squarespace.com/s/RJ-Credimoveis-QGC-01082025.pdf</t>
        </is>
      </c>
      <c r="AG446" s="28" t="inlineStr">
        <is>
          <t>p15 r46</t>
        </is>
      </c>
      <c r="AH446" s="28" t="inlineStr">
        <is>
          <t>p15: R$ 641.648,34</t>
        </is>
      </c>
      <c r="AI446" s="28" t="inlineStr">
        <is>
          <t>QGC (art. 18)</t>
        </is>
      </c>
      <c r="AJ446" s="28" t="inlineStr">
        <is>
          <t>2026-01-28</t>
        </is>
      </c>
      <c r="AK446" s="28" t="inlineStr">
        <is>
          <t>NONE FOUND</t>
        </is>
      </c>
      <c r="AL446" s="30" t="inlineStr">
        <is>
          <t>0007565-40.2020.8.17.2370</t>
        </is>
      </c>
      <c r="AM446" s="30" t="inlineStr">
        <is>
          <t>TJPE</t>
        </is>
      </c>
      <c r="AN446" s="30" t="inlineStr">
        <is>
          <t>ACTIVE</t>
        </is>
      </c>
      <c r="AO446" s="30" t="n">
        <v>2020</v>
      </c>
      <c r="AP446" s="30" t="inlineStr">
        <is>
          <t>6y since filing, no plan document</t>
        </is>
      </c>
      <c r="AQ446" s="30" t="inlineStr">
        <is>
          <t>09.930.165/0001-37</t>
        </is>
      </c>
      <c r="AR446" s="30" t="inlineStr">
        <is>
          <t>printed on the list (read twice)</t>
        </is>
      </c>
      <c r="AS446" s="30" t="inlineStr">
        <is>
          <t>DOURADINA</t>
        </is>
      </c>
      <c r="AT446" s="30" t="inlineStr">
        <is>
          <t>PR</t>
        </is>
      </c>
      <c r="AU446" s="30" t="inlineStr">
        <is>
          <t>Comércio varejista especializado de eletrodomésticos e equipamentos de áudio e vídeo</t>
        </is>
      </c>
      <c r="AV446" s="30" t="inlineStr">
        <is>
          <t>DEMAIS</t>
        </is>
      </c>
      <c r="AW446" s="31" t="n">
        <v>1800000000</v>
      </c>
      <c r="AX446" s="30" t="inlineStr">
        <is>
          <t>LARGE CORP</t>
        </is>
      </c>
      <c r="AY446" s="30" t="inlineStr">
        <is>
          <t>77941490</t>
        </is>
      </c>
      <c r="AZ446" s="30" t="n">
        <v>1</v>
      </c>
      <c r="BA446" s="30" t="inlineStr">
        <is>
          <t>ROWS:p15r46</t>
        </is>
      </c>
    </row>
    <row r="447">
      <c r="A447" s="16" t="inlineStr">
        <is>
          <t>EVERTON FPS INDUSTRIA E COMERCIO DE PECAS LTDA</t>
        </is>
      </c>
      <c r="B447" s="17" t="n">
        <v>632893.59</v>
      </c>
      <c r="C447" s="18" t="inlineStr">
        <is>
          <t>EVER TON FPS IMPORTAÇÃO E EXPORTAÇÃO LTDA EPP E OUTRAS</t>
        </is>
      </c>
      <c r="D447" s="19" t="inlineStr">
        <is>
          <t>NEW</t>
        </is>
      </c>
      <c r="E447" s="20" t="inlineStr"/>
      <c r="F447" s="19" t="inlineStr"/>
      <c r="G447" s="20" t="inlineStr"/>
      <c r="H447" s="19" t="inlineStr"/>
      <c r="I447" s="21" t="inlineStr">
        <is>
          <t>ANTONIO JADIR MIRANDA</t>
        </is>
      </c>
      <c r="J447" s="21" t="inlineStr">
        <is>
          <t>Sócio-Administrador (RFB partner)</t>
        </is>
      </c>
      <c r="K447" s="21" t="inlineStr">
        <is>
          <t>(11) 3525-8700</t>
        </is>
      </c>
      <c r="L447" s="21" t="inlineStr">
        <is>
          <t>(11) 3525-8712</t>
        </is>
      </c>
      <c r="M447" s="21" t="inlineStr"/>
      <c r="N447" s="21" t="inlineStr"/>
      <c r="O447" s="21" t="inlineStr"/>
      <c r="P447" s="21" t="inlineStr"/>
      <c r="Q447" s="21" t="inlineStr"/>
      <c r="R447" s="21" t="inlineStr"/>
      <c r="S447" s="21" t="inlineStr"/>
      <c r="T447" s="21" t="inlineStr">
        <is>
          <t>RFB partner (QSA); no Apollo match</t>
        </is>
      </c>
      <c r="U447" s="22" t="n">
        <v>632893.59</v>
      </c>
      <c r="V447" s="38" t="inlineStr">
        <is>
          <t>C</t>
        </is>
      </c>
      <c r="W447" s="24">
        <f>IFERROR(VLOOKUP(V447,Assumptions!$A$7:$F$11,2,FALSE),0)</f>
        <v/>
      </c>
      <c r="X447" s="25">
        <f>IF(V447="A",MAX(1,IFERROR(VLOOKUP(V447,Assumptions!$A$7:$F$11,3,FALSE),3)+IFERROR(VLOOKUP(V447,Assumptions!$A$7:$F$11,4,FALSE),8)/2-MAX(0,IF(AO447="",0,YEAR(TODAY())-AO447)-IFERROR(VLOOKUP(V447,Assumptions!$A$7:$F$11,5,FALSE),1.5))),IFERROR(VLOOKUP(V447,Assumptions!$A$7:$F$11,5,FALSE),2.5)+IFERROR(VLOOKUP(V447,Assumptions!$A$7:$F$11,3,FALSE),3)+IFERROR(VLOOKUP(V447,Assumptions!$A$7:$F$11,4,FALSE),8)/2)</f>
        <v/>
      </c>
      <c r="Y447" s="22">
        <f>U447*W447/(1+Assumptions!$B$3)^X447</f>
        <v/>
      </c>
      <c r="Z447" s="26">
        <f>IF(U447=0,"",ROUND(Y447/U447*100,1))</f>
        <v/>
      </c>
      <c r="AA447" s="27">
        <f>Y447*Assumptions!$B$4</f>
        <v/>
      </c>
      <c r="AB447" s="26">
        <f>IF(U447=0,"",ROUND(AA447/U447*100,1))</f>
        <v/>
      </c>
      <c r="AC447" s="27">
        <f>Y447-AA447</f>
        <v/>
      </c>
      <c r="AD447" s="26">
        <f>IF(U447=0,"",ROUND((Y447-AA447)/U447*100,1))</f>
        <v/>
      </c>
      <c r="AE447" s="33" t="inlineStr">
        <is>
          <t>NO TOTALS — list prints none; check page</t>
        </is>
      </c>
      <c r="AF447" s="29" t="inlineStr">
        <is>
          <t>https://violet-wolf-754008.hostingersite.com/wp-content/uploads/recuperacoes-judiciais/ever-ton/1º-edital.pdf</t>
        </is>
      </c>
      <c r="AG447" s="28" t="inlineStr">
        <is>
          <t>p4 r8</t>
        </is>
      </c>
      <c r="AH447" s="28" t="inlineStr">
        <is>
          <t>p4: R$ 632.893,59</t>
        </is>
      </c>
      <c r="AI447" s="28" t="inlineStr">
        <is>
          <t>QGC (art. 18)</t>
        </is>
      </c>
      <c r="AJ447" s="28" t="inlineStr"/>
      <c r="AK447" s="28" t="inlineStr">
        <is>
          <t>NONE FOUND</t>
        </is>
      </c>
      <c r="AL447" s="30" t="inlineStr">
        <is>
          <t>1054969-12.2018.8.26.0100</t>
        </is>
      </c>
      <c r="AM447" s="30" t="inlineStr">
        <is>
          <t>TJSP</t>
        </is>
      </c>
      <c r="AN447" s="30" t="inlineStr"/>
      <c r="AO447" s="30" t="n">
        <v>2018</v>
      </c>
      <c r="AP447" s="30" t="inlineStr">
        <is>
          <t>8y since filing, no plan document</t>
        </is>
      </c>
      <c r="AQ447" s="30" t="inlineStr">
        <is>
          <t>15.338.345/0001-27</t>
        </is>
      </c>
      <c r="AR447" s="30" t="inlineStr">
        <is>
          <t>printed on the list (read twice)</t>
        </is>
      </c>
      <c r="AS447" s="30" t="inlineStr">
        <is>
          <t>COTIA</t>
        </is>
      </c>
      <c r="AT447" s="30" t="inlineStr">
        <is>
          <t>SP</t>
        </is>
      </c>
      <c r="AU447" s="30" t="inlineStr">
        <is>
          <t>Fabricação de máquinas e equipamentos para uso industrial específico não especificados anteriormente, peças e acessórios</t>
        </is>
      </c>
      <c r="AV447" s="30" t="inlineStr">
        <is>
          <t>EMPRESA DE PEQUENO PORTE</t>
        </is>
      </c>
      <c r="AW447" s="31" t="n">
        <v>250000</v>
      </c>
      <c r="AX447" s="30" t="inlineStr">
        <is>
          <t>SMALL</t>
        </is>
      </c>
      <c r="AY447" s="30" t="inlineStr">
        <is>
          <t>07243854</t>
        </is>
      </c>
      <c r="AZ447" s="30" t="n">
        <v>1</v>
      </c>
      <c r="BA447" s="30" t="inlineStr">
        <is>
          <t>ROWS:p4r8 UNRECONCILED_SOURCE</t>
        </is>
      </c>
    </row>
    <row r="448">
      <c r="A448" s="16" t="inlineStr">
        <is>
          <t>LINK COMERCIAL IMPORTADORA E EXPORTADORA LTDA</t>
        </is>
      </c>
      <c r="B448" s="17" t="n">
        <v>622086.4</v>
      </c>
      <c r="C448" s="18" t="inlineStr">
        <is>
          <t>BLUTRAFOS BLUMENAU TRANSFORMADORES LTDA</t>
        </is>
      </c>
      <c r="D448" s="19" t="inlineStr">
        <is>
          <t>NEW</t>
        </is>
      </c>
      <c r="E448" s="20" t="inlineStr"/>
      <c r="F448" s="19" t="inlineStr"/>
      <c r="G448" s="20" t="inlineStr"/>
      <c r="H448" s="19" t="inlineStr"/>
      <c r="I448" s="21" t="inlineStr">
        <is>
          <t>ELIAS MARTINS</t>
        </is>
      </c>
      <c r="J448" s="21" t="inlineStr">
        <is>
          <t>Administrador (RFB partner)</t>
        </is>
      </c>
      <c r="K448" s="21" t="inlineStr">
        <is>
          <t>(47) 9712-3161</t>
        </is>
      </c>
      <c r="L448" s="21" t="inlineStr"/>
      <c r="M448" s="21" t="inlineStr"/>
      <c r="N448" s="21" t="inlineStr"/>
      <c r="O448" s="21" t="inlineStr"/>
      <c r="P448" s="21" t="inlineStr"/>
      <c r="Q448" s="21" t="inlineStr"/>
      <c r="R448" s="21" t="inlineStr"/>
      <c r="S448" s="21" t="inlineStr"/>
      <c r="T448" s="21" t="inlineStr">
        <is>
          <t>RFB partner (QSA); no Apollo match</t>
        </is>
      </c>
      <c r="U448" s="22" t="n">
        <v>622086.4</v>
      </c>
      <c r="V448" s="38" t="inlineStr">
        <is>
          <t>C</t>
        </is>
      </c>
      <c r="W448" s="24">
        <f>IFERROR(VLOOKUP(V448,Assumptions!$A$7:$F$11,2,FALSE),0)</f>
        <v/>
      </c>
      <c r="X448" s="25">
        <f>IF(V448="A",MAX(1,IFERROR(VLOOKUP(V448,Assumptions!$A$7:$F$11,3,FALSE),3)+IFERROR(VLOOKUP(V448,Assumptions!$A$7:$F$11,4,FALSE),8)/2-MAX(0,IF(AO448="",0,YEAR(TODAY())-AO448)-IFERROR(VLOOKUP(V448,Assumptions!$A$7:$F$11,5,FALSE),1.5))),IFERROR(VLOOKUP(V448,Assumptions!$A$7:$F$11,5,FALSE),2.5)+IFERROR(VLOOKUP(V448,Assumptions!$A$7:$F$11,3,FALSE),3)+IFERROR(VLOOKUP(V448,Assumptions!$A$7:$F$11,4,FALSE),8)/2)</f>
        <v/>
      </c>
      <c r="Y448" s="22">
        <f>U448*W448/(1+Assumptions!$B$3)^X448</f>
        <v/>
      </c>
      <c r="Z448" s="26">
        <f>IF(U448=0,"",ROUND(Y448/U448*100,1))</f>
        <v/>
      </c>
      <c r="AA448" s="27">
        <f>Y448*Assumptions!$B$4</f>
        <v/>
      </c>
      <c r="AB448" s="26">
        <f>IF(U448=0,"",ROUND(AA448/U448*100,1))</f>
        <v/>
      </c>
      <c r="AC448" s="27">
        <f>Y448-AA448</f>
        <v/>
      </c>
      <c r="AD448" s="26">
        <f>IF(U448=0,"",ROUND((Y448-AA448)/U448*100,1))</f>
        <v/>
      </c>
      <c r="AE448" s="28" t="inlineStr">
        <is>
          <t>OK — totals reconciled</t>
        </is>
      </c>
      <c r="AF448" s="29" t="inlineStr">
        <is>
          <t>https://administradorajudicialgs.com.br/wp-content/uploads/2023/08/advogados-sgrott-doc-22-relacao-de-credores-do-administrador-judicial-classe-iii-05-02-14.pdf</t>
        </is>
      </c>
      <c r="AG448" s="28" t="inlineStr">
        <is>
          <t>p4 r4</t>
        </is>
      </c>
      <c r="AH448" s="28" t="inlineStr">
        <is>
          <t>p4: R$ 622.086,40</t>
        </is>
      </c>
      <c r="AI448" s="28" t="inlineStr">
        <is>
          <t>Unclassified list</t>
        </is>
      </c>
      <c r="AJ448" s="28" t="inlineStr"/>
      <c r="AK448" s="28" t="inlineStr">
        <is>
          <t>NONE FOUND</t>
        </is>
      </c>
      <c r="AL448" s="30" t="inlineStr">
        <is>
          <t>0022845-08.2013.8.24.0008</t>
        </is>
      </c>
      <c r="AM448" s="30" t="inlineStr">
        <is>
          <t>TJSC</t>
        </is>
      </c>
      <c r="AN448" s="30" t="inlineStr"/>
      <c r="AO448" s="30" t="n">
        <v>2013</v>
      </c>
      <c r="AP448" s="30" t="inlineStr">
        <is>
          <t>13y since filing, no plan document</t>
        </is>
      </c>
      <c r="AQ448" s="30" t="inlineStr"/>
      <c r="AR448" s="30" t="inlineStr">
        <is>
          <t>portal page title / URL — not printed on the list</t>
        </is>
      </c>
      <c r="AS448" s="30" t="inlineStr">
        <is>
          <t>POMERODE</t>
        </is>
      </c>
      <c r="AT448" s="30" t="inlineStr">
        <is>
          <t>SC</t>
        </is>
      </c>
      <c r="AU448" s="30" t="inlineStr">
        <is>
          <t>Comércio atacadista especializado em outros produtos intermediários não especificados anteriormente</t>
        </is>
      </c>
      <c r="AV448" s="30" t="inlineStr">
        <is>
          <t>DEMAIS</t>
        </is>
      </c>
      <c r="AW448" s="31" t="n">
        <v>120000000</v>
      </c>
      <c r="AX448" s="30" t="inlineStr">
        <is>
          <t>MID-MARKET</t>
        </is>
      </c>
      <c r="AY448" s="30" t="inlineStr">
        <is>
          <t>06089521</t>
        </is>
      </c>
      <c r="AZ448" s="30" t="n">
        <v>1</v>
      </c>
      <c r="BA448" s="30" t="inlineStr">
        <is>
          <t>ROWS:p4r4</t>
        </is>
      </c>
    </row>
    <row r="449">
      <c r="A449" s="16" t="inlineStr">
        <is>
          <t>TECFLUX LTDA.</t>
        </is>
      </c>
      <c r="B449" s="17" t="n">
        <v>291540.68</v>
      </c>
      <c r="C449" s="18" t="inlineStr">
        <is>
          <t>EGESA ENGENHARIA S/A (Consórcio ETDI)</t>
        </is>
      </c>
      <c r="D449" s="19" t="inlineStr">
        <is>
          <t>NEW</t>
        </is>
      </c>
      <c r="E449" s="20" t="inlineStr"/>
      <c r="F449" s="19" t="inlineStr"/>
      <c r="G449" s="20" t="inlineStr"/>
      <c r="H449" s="19" t="inlineStr"/>
      <c r="I449" s="21" t="inlineStr">
        <is>
          <t>Mauricio Uyeda</t>
        </is>
      </c>
      <c r="J449" s="21" t="inlineStr">
        <is>
          <t>Head of F&amp;A</t>
        </is>
      </c>
      <c r="K449" s="21" t="inlineStr">
        <is>
          <t>(11) 2199-6965</t>
        </is>
      </c>
      <c r="L449" s="21" t="inlineStr"/>
      <c r="M449" s="21" t="inlineStr"/>
      <c r="N449" s="21" t="inlineStr">
        <is>
          <t>mauricio.uyeda@tecflux.com.br</t>
        </is>
      </c>
      <c r="O449" s="21" t="inlineStr">
        <is>
          <t>ailton.conceicao@tecflux.com.br</t>
        </is>
      </c>
      <c r="P449" s="21" t="inlineStr">
        <is>
          <t>Ailton Conceicao</t>
        </is>
      </c>
      <c r="Q449" s="21" t="inlineStr">
        <is>
          <t>Operations General Manager</t>
        </is>
      </c>
      <c r="R449" s="21" t="inlineStr"/>
      <c r="S449" s="21" t="inlineStr">
        <is>
          <t>ailton.conceicao@tecflux.com.br</t>
        </is>
      </c>
      <c r="T449" s="21" t="inlineStr">
        <is>
          <t>email verified by Apollo</t>
        </is>
      </c>
      <c r="U449" s="22" t="n">
        <v>291540.68</v>
      </c>
      <c r="V449" s="32" t="inlineStr">
        <is>
          <t>U</t>
        </is>
      </c>
      <c r="W449" s="24">
        <f>IFERROR(VLOOKUP(V449,Assumptions!$A$7:$F$11,2,FALSE),0)</f>
        <v/>
      </c>
      <c r="X449" s="25">
        <f>IF(V449="A",MAX(1,IFERROR(VLOOKUP(V449,Assumptions!$A$7:$F$11,3,FALSE),3)+IFERROR(VLOOKUP(V449,Assumptions!$A$7:$F$11,4,FALSE),8)/2-MAX(0,IF(AO449="",0,YEAR(TODAY())-AO449)-IFERROR(VLOOKUP(V449,Assumptions!$A$7:$F$11,5,FALSE),1.5))),IFERROR(VLOOKUP(V449,Assumptions!$A$7:$F$11,5,FALSE),2.5)+IFERROR(VLOOKUP(V449,Assumptions!$A$7:$F$11,3,FALSE),3)+IFERROR(VLOOKUP(V449,Assumptions!$A$7:$F$11,4,FALSE),8)/2)</f>
        <v/>
      </c>
      <c r="Y449" s="22">
        <f>U449*W449/(1+Assumptions!$B$3)^X449</f>
        <v/>
      </c>
      <c r="Z449" s="26">
        <f>IF(U449=0,"",ROUND(Y449/U449*100,1))</f>
        <v/>
      </c>
      <c r="AA449" s="27">
        <f>Y449*Assumptions!$B$4</f>
        <v/>
      </c>
      <c r="AB449" s="26">
        <f>IF(U449=0,"",ROUND(AA449/U449*100,1))</f>
        <v/>
      </c>
      <c r="AC449" s="27">
        <f>Y449-AA449</f>
        <v/>
      </c>
      <c r="AD449" s="26">
        <f>IF(U449=0,"",ROUND((Y449-AA449)/U449*100,1))</f>
        <v/>
      </c>
      <c r="AE449" s="28" t="inlineStr">
        <is>
          <t>OK — totals reconciled</t>
        </is>
      </c>
      <c r="AF449" s="29" t="inlineStr">
        <is>
          <t>https://scalzilliaj.com.br/sgc/download.php?file=files/processo_documento/processo_documento09514021082025_1_.pdf&amp;nome=04 - Relação de credores das Recuperandas</t>
        </is>
      </c>
      <c r="AG449" s="28" t="inlineStr">
        <is>
          <t>p74 r3; p74 r4</t>
        </is>
      </c>
      <c r="AH449" s="28" t="inlineStr">
        <is>
          <t>p74: R$ 227.901,38; p74: R$ 63.639,30</t>
        </is>
      </c>
      <c r="AI449" s="28" t="inlineStr">
        <is>
          <t>Debtor list (art. 51)</t>
        </is>
      </c>
      <c r="AJ449" s="28" t="inlineStr"/>
      <c r="AK449" s="28" t="inlineStr">
        <is>
          <t>NONE FOUND</t>
        </is>
      </c>
      <c r="AL449" s="30" t="inlineStr">
        <is>
          <t>(not printed)</t>
        </is>
      </c>
      <c r="AM449" s="30" t="inlineStr"/>
      <c r="AN449" s="30" t="inlineStr"/>
      <c r="AO449" s="30" t="inlineStr"/>
      <c r="AP449" s="30" t="inlineStr">
        <is>
          <t>RJ case number not identified on the document</t>
        </is>
      </c>
      <c r="AQ449" s="30" t="inlineStr"/>
      <c r="AR449" s="30" t="inlineStr">
        <is>
          <t>portal page title / URL — not printed on the list</t>
        </is>
      </c>
      <c r="AS449" s="30" t="inlineStr">
        <is>
          <t>CARAPICUIBA</t>
        </is>
      </c>
      <c r="AT449" s="30" t="inlineStr">
        <is>
          <t>SP</t>
        </is>
      </c>
      <c r="AU449" s="30" t="inlineStr">
        <is>
          <t>Comércio atacadista de Máquinas e equipamentos para uso industrial; partes e peças</t>
        </is>
      </c>
      <c r="AV449" s="30" t="inlineStr">
        <is>
          <t>DEMAIS</t>
        </is>
      </c>
      <c r="AW449" s="31" t="n">
        <v>110000</v>
      </c>
      <c r="AX449" s="30" t="inlineStr">
        <is>
          <t>MID-MARKET</t>
        </is>
      </c>
      <c r="AY449" s="30" t="inlineStr">
        <is>
          <t>60933017</t>
        </is>
      </c>
      <c r="AZ449" s="30" t="n">
        <v>2</v>
      </c>
      <c r="BA449" s="30" t="inlineStr">
        <is>
          <t>ROWS:p74r3,p74r4 VALUE_COL:Valor_Atualizado CASE_NUMBER_CORRECTED</t>
        </is>
      </c>
    </row>
    <row r="450">
      <c r="A450" s="16" t="inlineStr">
        <is>
          <t>ATIVA EMPREENDIMENTOS LTDA</t>
        </is>
      </c>
      <c r="B450" s="17" t="n">
        <v>605635.3199999999</v>
      </c>
      <c r="C450" s="18" t="inlineStr">
        <is>
          <t>GRUPO ARNON DE MELLO</t>
        </is>
      </c>
      <c r="D450" s="19" t="inlineStr">
        <is>
          <t>NEW</t>
        </is>
      </c>
      <c r="E450" s="20" t="inlineStr"/>
      <c r="F450" s="19" t="inlineStr"/>
      <c r="G450" s="20" t="inlineStr"/>
      <c r="H450" s="19" t="inlineStr"/>
      <c r="I450" s="21" t="inlineStr">
        <is>
          <t>ARTHUR MALTA DE AMORIM</t>
        </is>
      </c>
      <c r="J450" s="21" t="inlineStr">
        <is>
          <t>Administrador (RFB partner)</t>
        </is>
      </c>
      <c r="K450" s="21" t="inlineStr">
        <is>
          <t>(82) 3316-8570</t>
        </is>
      </c>
      <c r="L450" s="21" t="inlineStr"/>
      <c r="M450" s="21" t="inlineStr"/>
      <c r="N450" s="21" t="inlineStr"/>
      <c r="O450" s="21" t="inlineStr"/>
      <c r="P450" s="21" t="inlineStr">
        <is>
          <t>BERNARDO MALTA DE AMORIM</t>
        </is>
      </c>
      <c r="Q450" s="21" t="inlineStr">
        <is>
          <t>Administrador (RFB partner)</t>
        </is>
      </c>
      <c r="R450" s="21" t="inlineStr"/>
      <c r="S450" s="21" t="inlineStr"/>
      <c r="T450" s="21" t="inlineStr">
        <is>
          <t>RFB partner (QSA); no Apollo match</t>
        </is>
      </c>
      <c r="U450" s="22" t="n">
        <v>605635.3199999999</v>
      </c>
      <c r="V450" s="38" t="inlineStr">
        <is>
          <t>C</t>
        </is>
      </c>
      <c r="W450" s="24">
        <f>IFERROR(VLOOKUP(V450,Assumptions!$A$7:$F$11,2,FALSE),0)</f>
        <v/>
      </c>
      <c r="X450" s="25">
        <f>IF(V450="A",MAX(1,IFERROR(VLOOKUP(V450,Assumptions!$A$7:$F$11,3,FALSE),3)+IFERROR(VLOOKUP(V450,Assumptions!$A$7:$F$11,4,FALSE),8)/2-MAX(0,IF(AO450="",0,YEAR(TODAY())-AO450)-IFERROR(VLOOKUP(V450,Assumptions!$A$7:$F$11,5,FALSE),1.5))),IFERROR(VLOOKUP(V450,Assumptions!$A$7:$F$11,5,FALSE),2.5)+IFERROR(VLOOKUP(V450,Assumptions!$A$7:$F$11,3,FALSE),3)+IFERROR(VLOOKUP(V450,Assumptions!$A$7:$F$11,4,FALSE),8)/2)</f>
        <v/>
      </c>
      <c r="Y450" s="22">
        <f>U450*W450/(1+Assumptions!$B$3)^X450</f>
        <v/>
      </c>
      <c r="Z450" s="26">
        <f>IF(U450=0,"",ROUND(Y450/U450*100,1))</f>
        <v/>
      </c>
      <c r="AA450" s="27">
        <f>Y450*Assumptions!$B$4</f>
        <v/>
      </c>
      <c r="AB450" s="26">
        <f>IF(U450=0,"",ROUND(AA450/U450*100,1))</f>
        <v/>
      </c>
      <c r="AC450" s="27">
        <f>Y450-AA450</f>
        <v/>
      </c>
      <c r="AD450" s="26">
        <f>IF(U450=0,"",ROUND((Y450-AA450)/U450*100,1))</f>
        <v/>
      </c>
      <c r="AE450" s="33" t="inlineStr">
        <is>
          <t>NO TOTALS — list prints none; check page</t>
        </is>
      </c>
      <c r="AF450" s="29" t="inlineStr">
        <is>
          <t>https://recuperacaojudicial.squarespace.com/s/RJ-Grupo-Arnon-de-Melo-Lista-de-Credores-Consolidada-abril-2022.pdf</t>
        </is>
      </c>
      <c r="AG450" s="28" t="inlineStr">
        <is>
          <t>p7 r17</t>
        </is>
      </c>
      <c r="AH450" s="28" t="inlineStr">
        <is>
          <t>p7: R$ 605.635,32</t>
        </is>
      </c>
      <c r="AI450" s="28" t="inlineStr">
        <is>
          <t>AJ list (art. 7 §2)</t>
        </is>
      </c>
      <c r="AJ450" s="28" t="inlineStr"/>
      <c r="AK450" s="28" t="inlineStr">
        <is>
          <t>NONE FOUND</t>
        </is>
      </c>
      <c r="AL450" s="30" t="inlineStr">
        <is>
          <t>0700256-03.2019.8.02.0066</t>
        </is>
      </c>
      <c r="AM450" s="30" t="inlineStr">
        <is>
          <t>TJAL</t>
        </is>
      </c>
      <c r="AN450" s="30" t="inlineStr"/>
      <c r="AO450" s="30" t="n">
        <v>2019</v>
      </c>
      <c r="AP450" s="30" t="inlineStr">
        <is>
          <t>7y since filing, no plan document</t>
        </is>
      </c>
      <c r="AQ450" s="30" t="inlineStr">
        <is>
          <t>12.503.801/0001-59</t>
        </is>
      </c>
      <c r="AR450" s="30" t="inlineStr">
        <is>
          <t>printed on the list (read twice)</t>
        </is>
      </c>
      <c r="AS450" s="30" t="inlineStr">
        <is>
          <t>MACEIO</t>
        </is>
      </c>
      <c r="AT450" s="30" t="inlineStr">
        <is>
          <t>AL</t>
        </is>
      </c>
      <c r="AU450" s="30" t="inlineStr">
        <is>
          <t>Construção de edifícios</t>
        </is>
      </c>
      <c r="AV450" s="30" t="inlineStr">
        <is>
          <t>DEMAIS</t>
        </is>
      </c>
      <c r="AW450" s="31" t="n">
        <v>16924792</v>
      </c>
      <c r="AX450" s="30" t="inlineStr">
        <is>
          <t>MID-MARKET</t>
        </is>
      </c>
      <c r="AY450" s="30" t="inlineStr">
        <is>
          <t>05399862</t>
        </is>
      </c>
      <c r="AZ450" s="30" t="n">
        <v>1</v>
      </c>
      <c r="BA450" s="30" t="inlineStr">
        <is>
          <t>ROWS:p7r17 UNRECONCILED_SOURCE</t>
        </is>
      </c>
    </row>
    <row r="451">
      <c r="A451" s="16" t="inlineStr">
        <is>
          <t>MAB - SP SERVICOS ADMINISTRATIVOS LTDA</t>
        </is>
      </c>
      <c r="B451" s="17" t="n">
        <v>288822.7</v>
      </c>
      <c r="C451" s="18" t="inlineStr">
        <is>
          <t>EGESA ENGENHARIA S/A (Consórcio ETDI)</t>
        </is>
      </c>
      <c r="D451" s="19" t="inlineStr">
        <is>
          <t>NEW</t>
        </is>
      </c>
      <c r="E451" s="20" t="inlineStr"/>
      <c r="F451" s="19" t="inlineStr"/>
      <c r="G451" s="20" t="inlineStr"/>
      <c r="H451" s="19" t="inlineStr"/>
      <c r="I451" s="21" t="inlineStr">
        <is>
          <t>GISELMA TATIANA DOS SANTOS DE ROSSI</t>
        </is>
      </c>
      <c r="J451" s="21" t="inlineStr">
        <is>
          <t>Sócio-Administrador (RFB partner)</t>
        </is>
      </c>
      <c r="K451" s="21" t="inlineStr">
        <is>
          <t>(11) 4436-1775</t>
        </is>
      </c>
      <c r="L451" s="21" t="inlineStr"/>
      <c r="M451" s="21" t="inlineStr"/>
      <c r="N451" s="21" t="inlineStr"/>
      <c r="O451" s="21" t="inlineStr"/>
      <c r="P451" s="21" t="inlineStr"/>
      <c r="Q451" s="21" t="inlineStr"/>
      <c r="R451" s="21" t="inlineStr"/>
      <c r="S451" s="21" t="inlineStr"/>
      <c r="T451" s="21" t="inlineStr">
        <is>
          <t>RFB partner (QSA); no Apollo match</t>
        </is>
      </c>
      <c r="U451" s="22" t="n">
        <v>288822.7</v>
      </c>
      <c r="V451" s="32" t="inlineStr">
        <is>
          <t>U</t>
        </is>
      </c>
      <c r="W451" s="24">
        <f>IFERROR(VLOOKUP(V451,Assumptions!$A$7:$F$11,2,FALSE),0)</f>
        <v/>
      </c>
      <c r="X451" s="25">
        <f>IF(V451="A",MAX(1,IFERROR(VLOOKUP(V451,Assumptions!$A$7:$F$11,3,FALSE),3)+IFERROR(VLOOKUP(V451,Assumptions!$A$7:$F$11,4,FALSE),8)/2-MAX(0,IF(AO451="",0,YEAR(TODAY())-AO451)-IFERROR(VLOOKUP(V451,Assumptions!$A$7:$F$11,5,FALSE),1.5))),IFERROR(VLOOKUP(V451,Assumptions!$A$7:$F$11,5,FALSE),2.5)+IFERROR(VLOOKUP(V451,Assumptions!$A$7:$F$11,3,FALSE),3)+IFERROR(VLOOKUP(V451,Assumptions!$A$7:$F$11,4,FALSE),8)/2)</f>
        <v/>
      </c>
      <c r="Y451" s="22">
        <f>U451*W451/(1+Assumptions!$B$3)^X451</f>
        <v/>
      </c>
      <c r="Z451" s="26">
        <f>IF(U451=0,"",ROUND(Y451/U451*100,1))</f>
        <v/>
      </c>
      <c r="AA451" s="27">
        <f>Y451*Assumptions!$B$4</f>
        <v/>
      </c>
      <c r="AB451" s="26">
        <f>IF(U451=0,"",ROUND(AA451/U451*100,1))</f>
        <v/>
      </c>
      <c r="AC451" s="27">
        <f>Y451-AA451</f>
        <v/>
      </c>
      <c r="AD451" s="26">
        <f>IF(U451=0,"",ROUND((Y451-AA451)/U451*100,1))</f>
        <v/>
      </c>
      <c r="AE451" s="28" t="inlineStr">
        <is>
          <t>OK — totals reconciled</t>
        </is>
      </c>
      <c r="AF451" s="29" t="inlineStr">
        <is>
          <t>https://scalzilliaj.com.br/sgc/download.php?file=files/processo_documento/processo_documento09514021082025_1_.pdf&amp;nome=04 - Relação de credores das Recuperandas</t>
        </is>
      </c>
      <c r="AG451" s="28" t="inlineStr">
        <is>
          <t>p69 r8</t>
        </is>
      </c>
      <c r="AH451" s="28" t="inlineStr">
        <is>
          <t>p69: R$ 288.822,70</t>
        </is>
      </c>
      <c r="AI451" s="28" t="inlineStr">
        <is>
          <t>Debtor list (art. 51)</t>
        </is>
      </c>
      <c r="AJ451" s="28" t="inlineStr"/>
      <c r="AK451" s="28" t="inlineStr">
        <is>
          <t>NONE FOUND</t>
        </is>
      </c>
      <c r="AL451" s="30" t="inlineStr">
        <is>
          <t>(not printed)</t>
        </is>
      </c>
      <c r="AM451" s="30" t="inlineStr"/>
      <c r="AN451" s="30" t="inlineStr"/>
      <c r="AO451" s="30" t="inlineStr"/>
      <c r="AP451" s="30" t="inlineStr">
        <is>
          <t>RJ case number not identified on the document</t>
        </is>
      </c>
      <c r="AQ451" s="30" t="inlineStr"/>
      <c r="AR451" s="30" t="inlineStr">
        <is>
          <t>portal page title / URL — not printed on the list</t>
        </is>
      </c>
      <c r="AS451" s="30" t="inlineStr">
        <is>
          <t>BARUERI</t>
        </is>
      </c>
      <c r="AT451" s="30" t="inlineStr">
        <is>
          <t>SP</t>
        </is>
      </c>
      <c r="AU451" s="30" t="inlineStr">
        <is>
          <t>Serviços combinados de escritório e apoio administrativo</t>
        </is>
      </c>
      <c r="AV451" s="30" t="inlineStr">
        <is>
          <t>EMPRESA DE PEQUENO PORTE</t>
        </is>
      </c>
      <c r="AW451" s="31" t="n">
        <v>50000</v>
      </c>
      <c r="AX451" s="30" t="inlineStr">
        <is>
          <t>SMALL</t>
        </is>
      </c>
      <c r="AY451" s="30" t="inlineStr">
        <is>
          <t>01144076</t>
        </is>
      </c>
      <c r="AZ451" s="30" t="n">
        <v>1</v>
      </c>
      <c r="BA451" s="30" t="inlineStr">
        <is>
          <t>ROWS:p69r8 VALUE_COL:Valor_Atualizado CASE_NUMBER_CORRECTED</t>
        </is>
      </c>
    </row>
    <row r="452">
      <c r="A452" s="16" t="inlineStr">
        <is>
          <t>TESSIN INDUSTRIA E COMERCIO LTDA</t>
        </is>
      </c>
      <c r="B452" s="17" t="n">
        <v>588544.67</v>
      </c>
      <c r="C452" s="18" t="inlineStr">
        <is>
          <t>BLUTRAFOS BLUMENAU TRANSFORMADORES LTDA</t>
        </is>
      </c>
      <c r="D452" s="19" t="inlineStr">
        <is>
          <t>NEW</t>
        </is>
      </c>
      <c r="E452" s="20" t="inlineStr"/>
      <c r="F452" s="19" t="inlineStr"/>
      <c r="G452" s="20" t="inlineStr"/>
      <c r="H452" s="19" t="inlineStr"/>
      <c r="I452" s="21" t="inlineStr">
        <is>
          <t>AMON YAMAGUCHI NISHIKUNI</t>
        </is>
      </c>
      <c r="J452" s="21" t="inlineStr">
        <is>
          <t>Sócio-Administrador (RFB partner)</t>
        </is>
      </c>
      <c r="K452" s="21" t="inlineStr">
        <is>
          <t>(11) 4748-3922</t>
        </is>
      </c>
      <c r="L452" s="21" t="inlineStr"/>
      <c r="M452" s="21" t="inlineStr"/>
      <c r="N452" s="21" t="inlineStr"/>
      <c r="O452" s="21" t="inlineStr"/>
      <c r="P452" s="21" t="inlineStr"/>
      <c r="Q452" s="21" t="inlineStr"/>
      <c r="R452" s="21" t="inlineStr"/>
      <c r="S452" s="21" t="inlineStr"/>
      <c r="T452" s="21" t="inlineStr">
        <is>
          <t>RFB partner (QSA); no Apollo match</t>
        </is>
      </c>
      <c r="U452" s="22" t="n">
        <v>588544.67</v>
      </c>
      <c r="V452" s="38" t="inlineStr">
        <is>
          <t>C</t>
        </is>
      </c>
      <c r="W452" s="24">
        <f>IFERROR(VLOOKUP(V452,Assumptions!$A$7:$F$11,2,FALSE),0)</f>
        <v/>
      </c>
      <c r="X452" s="25">
        <f>IF(V452="A",MAX(1,IFERROR(VLOOKUP(V452,Assumptions!$A$7:$F$11,3,FALSE),3)+IFERROR(VLOOKUP(V452,Assumptions!$A$7:$F$11,4,FALSE),8)/2-MAX(0,IF(AO452="",0,YEAR(TODAY())-AO452)-IFERROR(VLOOKUP(V452,Assumptions!$A$7:$F$11,5,FALSE),1.5))),IFERROR(VLOOKUP(V452,Assumptions!$A$7:$F$11,5,FALSE),2.5)+IFERROR(VLOOKUP(V452,Assumptions!$A$7:$F$11,3,FALSE),3)+IFERROR(VLOOKUP(V452,Assumptions!$A$7:$F$11,4,FALSE),8)/2)</f>
        <v/>
      </c>
      <c r="Y452" s="22">
        <f>U452*W452/(1+Assumptions!$B$3)^X452</f>
        <v/>
      </c>
      <c r="Z452" s="26">
        <f>IF(U452=0,"",ROUND(Y452/U452*100,1))</f>
        <v/>
      </c>
      <c r="AA452" s="27">
        <f>Y452*Assumptions!$B$4</f>
        <v/>
      </c>
      <c r="AB452" s="26">
        <f>IF(U452=0,"",ROUND(AA452/U452*100,1))</f>
        <v/>
      </c>
      <c r="AC452" s="27">
        <f>Y452-AA452</f>
        <v/>
      </c>
      <c r="AD452" s="26">
        <f>IF(U452=0,"",ROUND((Y452-AA452)/U452*100,1))</f>
        <v/>
      </c>
      <c r="AE452" s="28" t="inlineStr">
        <is>
          <t>OK — totals reconciled</t>
        </is>
      </c>
      <c r="AF452" s="29" t="inlineStr">
        <is>
          <t>https://administradorajudicialgs.com.br/wp-content/uploads/2023/08/advogados-sgrott-doc-22-relacao-de-credores-do-administrador-judicial-classe-iii-05-02-14.pdf</t>
        </is>
      </c>
      <c r="AG452" s="28" t="inlineStr">
        <is>
          <t>p6 r3</t>
        </is>
      </c>
      <c r="AH452" s="28" t="inlineStr">
        <is>
          <t>p6: R$ 588.544,67</t>
        </is>
      </c>
      <c r="AI452" s="28" t="inlineStr">
        <is>
          <t>Unclassified list</t>
        </is>
      </c>
      <c r="AJ452" s="28" t="inlineStr"/>
      <c r="AK452" s="28" t="inlineStr">
        <is>
          <t>NONE FOUND</t>
        </is>
      </c>
      <c r="AL452" s="30" t="inlineStr">
        <is>
          <t>0022845-08.2013.8.24.0008</t>
        </is>
      </c>
      <c r="AM452" s="30" t="inlineStr">
        <is>
          <t>TJSC</t>
        </is>
      </c>
      <c r="AN452" s="30" t="inlineStr"/>
      <c r="AO452" s="30" t="n">
        <v>2013</v>
      </c>
      <c r="AP452" s="30" t="inlineStr">
        <is>
          <t>13y since filing, no plan document</t>
        </is>
      </c>
      <c r="AQ452" s="30" t="inlineStr"/>
      <c r="AR452" s="30" t="inlineStr">
        <is>
          <t>portal page title / URL — not printed on the list</t>
        </is>
      </c>
      <c r="AS452" s="30" t="inlineStr">
        <is>
          <t>SUZANO</t>
        </is>
      </c>
      <c r="AT452" s="30" t="inlineStr">
        <is>
          <t>SP</t>
        </is>
      </c>
      <c r="AU452" s="30" t="inlineStr">
        <is>
          <t>Fabricação de componentes eletrônicos</t>
        </is>
      </c>
      <c r="AV452" s="30" t="inlineStr">
        <is>
          <t>DEMAIS</t>
        </is>
      </c>
      <c r="AW452" s="31" t="n">
        <v>35000000</v>
      </c>
      <c r="AX452" s="30" t="inlineStr">
        <is>
          <t>MID-MARKET</t>
        </is>
      </c>
      <c r="AY452" s="30" t="inlineStr">
        <is>
          <t>44412435</t>
        </is>
      </c>
      <c r="AZ452" s="30" t="n">
        <v>1</v>
      </c>
      <c r="BA452" s="30" t="inlineStr">
        <is>
          <t>ROWS:p6r3</t>
        </is>
      </c>
    </row>
    <row r="453">
      <c r="A453" s="16" t="inlineStr">
        <is>
          <t>RCA CONSTRUTORA LTDA EM RECUPERACAO JUDICIAL</t>
        </is>
      </c>
      <c r="B453" s="17" t="n">
        <v>280030.53</v>
      </c>
      <c r="C453" s="18" t="inlineStr">
        <is>
          <t>EGESA ENGENHARIA S/A (Consórcio ETDI)</t>
        </is>
      </c>
      <c r="D453" s="19" t="inlineStr">
        <is>
          <t>NEW</t>
        </is>
      </c>
      <c r="E453" s="20" t="inlineStr"/>
      <c r="F453" s="19" t="inlineStr"/>
      <c r="G453" s="20" t="inlineStr"/>
      <c r="H453" s="19" t="inlineStr"/>
      <c r="I453" s="21" t="inlineStr">
        <is>
          <t>ALTAMIR DE ARAUJO ROSO FILHO</t>
        </is>
      </c>
      <c r="J453" s="21" t="inlineStr">
        <is>
          <t>Sócio-Administrador (RFB partner)</t>
        </is>
      </c>
      <c r="K453" s="21" t="inlineStr">
        <is>
          <t>(34) 3334-6600</t>
        </is>
      </c>
      <c r="L453" s="21" t="inlineStr"/>
      <c r="M453" s="21" t="inlineStr"/>
      <c r="N453" s="21" t="inlineStr"/>
      <c r="O453" s="21" t="inlineStr"/>
      <c r="P453" s="21" t="inlineStr">
        <is>
          <t>ELCION EMERENCIANO DE CASTRO</t>
        </is>
      </c>
      <c r="Q453" s="21" t="inlineStr">
        <is>
          <t>Sócio-Administrador (RFB partner)</t>
        </is>
      </c>
      <c r="R453" s="21" t="inlineStr"/>
      <c r="S453" s="21" t="inlineStr"/>
      <c r="T453" s="21" t="inlineStr">
        <is>
          <t>RFB partner (QSA); no Apollo match</t>
        </is>
      </c>
      <c r="U453" s="22" t="n">
        <v>280030.53</v>
      </c>
      <c r="V453" s="32" t="inlineStr">
        <is>
          <t>U</t>
        </is>
      </c>
      <c r="W453" s="24">
        <f>IFERROR(VLOOKUP(V453,Assumptions!$A$7:$F$11,2,FALSE),0)</f>
        <v/>
      </c>
      <c r="X453" s="25">
        <f>IF(V453="A",MAX(1,IFERROR(VLOOKUP(V453,Assumptions!$A$7:$F$11,3,FALSE),3)+IFERROR(VLOOKUP(V453,Assumptions!$A$7:$F$11,4,FALSE),8)/2-MAX(0,IF(AO453="",0,YEAR(TODAY())-AO453)-IFERROR(VLOOKUP(V453,Assumptions!$A$7:$F$11,5,FALSE),1.5))),IFERROR(VLOOKUP(V453,Assumptions!$A$7:$F$11,5,FALSE),2.5)+IFERROR(VLOOKUP(V453,Assumptions!$A$7:$F$11,3,FALSE),3)+IFERROR(VLOOKUP(V453,Assumptions!$A$7:$F$11,4,FALSE),8)/2)</f>
        <v/>
      </c>
      <c r="Y453" s="22">
        <f>U453*W453/(1+Assumptions!$B$3)^X453</f>
        <v/>
      </c>
      <c r="Z453" s="26">
        <f>IF(U453=0,"",ROUND(Y453/U453*100,1))</f>
        <v/>
      </c>
      <c r="AA453" s="27">
        <f>Y453*Assumptions!$B$4</f>
        <v/>
      </c>
      <c r="AB453" s="26">
        <f>IF(U453=0,"",ROUND(AA453/U453*100,1))</f>
        <v/>
      </c>
      <c r="AC453" s="27">
        <f>Y453-AA453</f>
        <v/>
      </c>
      <c r="AD453" s="26">
        <f>IF(U453=0,"",ROUND((Y453-AA453)/U453*100,1))</f>
        <v/>
      </c>
      <c r="AE453" s="28" t="inlineStr">
        <is>
          <t>OK — totals reconciled</t>
        </is>
      </c>
      <c r="AF453" s="29" t="inlineStr">
        <is>
          <t>https://scalzilliaj.com.br/sgc/download.php?file=files/processo_documento/processo_documento09514021082025_1_.pdf&amp;nome=04 - Relação de credores das Recuperandas</t>
        </is>
      </c>
      <c r="AG453" s="28" t="inlineStr">
        <is>
          <t>p72 r3</t>
        </is>
      </c>
      <c r="AH453" s="28" t="inlineStr">
        <is>
          <t>p72: R$ 280.030,53</t>
        </is>
      </c>
      <c r="AI453" s="28" t="inlineStr">
        <is>
          <t>Debtor list (art. 51)</t>
        </is>
      </c>
      <c r="AJ453" s="28" t="inlineStr"/>
      <c r="AK453" s="28" t="inlineStr">
        <is>
          <t>NONE FOUND</t>
        </is>
      </c>
      <c r="AL453" s="30" t="inlineStr">
        <is>
          <t>(not printed)</t>
        </is>
      </c>
      <c r="AM453" s="30" t="inlineStr"/>
      <c r="AN453" s="30" t="inlineStr"/>
      <c r="AO453" s="30" t="inlineStr"/>
      <c r="AP453" s="30" t="inlineStr">
        <is>
          <t>RJ case number not identified on the document</t>
        </is>
      </c>
      <c r="AQ453" s="30" t="inlineStr"/>
      <c r="AR453" s="30" t="inlineStr">
        <is>
          <t>portal page title / URL — not printed on the list</t>
        </is>
      </c>
      <c r="AS453" s="30" t="inlineStr">
        <is>
          <t>UBERABA</t>
        </is>
      </c>
      <c r="AT453" s="30" t="inlineStr">
        <is>
          <t>MG</t>
        </is>
      </c>
      <c r="AU453" s="30" t="inlineStr">
        <is>
          <t>Construção de edifícios</t>
        </is>
      </c>
      <c r="AV453" s="30" t="inlineStr">
        <is>
          <t>DEMAIS</t>
        </is>
      </c>
      <c r="AW453" s="31" t="n">
        <v>2500000</v>
      </c>
      <c r="AX453" s="30" t="inlineStr">
        <is>
          <t>MID-MARKET</t>
        </is>
      </c>
      <c r="AY453" s="30" t="inlineStr">
        <is>
          <t>86559960</t>
        </is>
      </c>
      <c r="AZ453" s="30" t="n">
        <v>1</v>
      </c>
      <c r="BA453" s="30" t="inlineStr">
        <is>
          <t>ROWS:p72r3 VALUE_COL:Valor_Atualizado CASE_NUMBER_CORRECTED</t>
        </is>
      </c>
    </row>
    <row r="454">
      <c r="A454" s="16" t="inlineStr">
        <is>
          <t>ALPHA MOTION DO BRASIL LTDA</t>
        </is>
      </c>
      <c r="B454" s="17" t="n">
        <v>1059494.57</v>
      </c>
      <c r="C454" s="18" t="inlineStr">
        <is>
          <t>Mannes</t>
        </is>
      </c>
      <c r="D454" s="19" t="inlineStr">
        <is>
          <t>NEW</t>
        </is>
      </c>
      <c r="E454" s="20" t="inlineStr"/>
      <c r="F454" s="19" t="inlineStr"/>
      <c r="G454" s="20" t="inlineStr"/>
      <c r="H454" s="19" t="inlineStr"/>
      <c r="I454" s="21" t="inlineStr">
        <is>
          <t>ANTONIO APARECIDO SERINI</t>
        </is>
      </c>
      <c r="J454" s="21" t="inlineStr">
        <is>
          <t>Sócio-Administrador (RFB partner)</t>
        </is>
      </c>
      <c r="K454" s="21" t="inlineStr">
        <is>
          <t>(67) 3565-9100</t>
        </is>
      </c>
      <c r="L454" s="21" t="inlineStr"/>
      <c r="M454" s="21" t="inlineStr"/>
      <c r="N454" s="21" t="inlineStr"/>
      <c r="O454" s="21" t="inlineStr"/>
      <c r="P454" s="21" t="inlineStr"/>
      <c r="Q454" s="21" t="inlineStr"/>
      <c r="R454" s="21" t="inlineStr"/>
      <c r="S454" s="21" t="inlineStr"/>
      <c r="T454" s="21" t="inlineStr">
        <is>
          <t>RFB partner (QSA); no Apollo match</t>
        </is>
      </c>
      <c r="U454" s="22" t="n">
        <v>1059494.57</v>
      </c>
      <c r="V454" s="39" t="inlineStr">
        <is>
          <t>D</t>
        </is>
      </c>
      <c r="W454" s="24">
        <f>IFERROR(VLOOKUP(V454,Assumptions!$A$7:$F$11,2,FALSE),0)</f>
        <v/>
      </c>
      <c r="X454" s="25">
        <f>IF(V454="A",MAX(1,IFERROR(VLOOKUP(V454,Assumptions!$A$7:$F$11,3,FALSE),3)+IFERROR(VLOOKUP(V454,Assumptions!$A$7:$F$11,4,FALSE),8)/2-MAX(0,IF(AO454="",0,YEAR(TODAY())-AO454)-IFERROR(VLOOKUP(V454,Assumptions!$A$7:$F$11,5,FALSE),1.5))),IFERROR(VLOOKUP(V454,Assumptions!$A$7:$F$11,5,FALSE),2.5)+IFERROR(VLOOKUP(V454,Assumptions!$A$7:$F$11,3,FALSE),3)+IFERROR(VLOOKUP(V454,Assumptions!$A$7:$F$11,4,FALSE),8)/2)</f>
        <v/>
      </c>
      <c r="Y454" s="22">
        <f>U454*W454/(1+Assumptions!$B$3)^X454</f>
        <v/>
      </c>
      <c r="Z454" s="26">
        <f>IF(U454=0,"",ROUND(Y454/U454*100,1))</f>
        <v/>
      </c>
      <c r="AA454" s="27">
        <f>Y454*Assumptions!$B$4</f>
        <v/>
      </c>
      <c r="AB454" s="26">
        <f>IF(U454=0,"",ROUND(AA454/U454*100,1))</f>
        <v/>
      </c>
      <c r="AC454" s="27">
        <f>Y454-AA454</f>
        <v/>
      </c>
      <c r="AD454" s="26">
        <f>IF(U454=0,"",ROUND((Y454-AA454)/U454*100,1))</f>
        <v/>
      </c>
      <c r="AE454" s="36" t="inlineStr">
        <is>
          <t>CHECK — source is not a statutory creditor list</t>
        </is>
      </c>
      <c r="AF454" s="29" t="inlineStr">
        <is>
          <t>https://administradorajudicialgs.com.br/wp-content/uploads/2024/12/relacao-de-credores-da-falida.pdf</t>
        </is>
      </c>
      <c r="AG454" s="28" t="inlineStr">
        <is>
          <t>p12 r42</t>
        </is>
      </c>
      <c r="AH454" s="28" t="inlineStr">
        <is>
          <t>p12: R$ 1.059.494,57</t>
        </is>
      </c>
      <c r="AI454" s="28" t="inlineStr">
        <is>
          <t>Other filing — NOT an art. 7/51 list</t>
        </is>
      </c>
      <c r="AJ454" s="28" t="inlineStr">
        <is>
          <t>2025-03-25</t>
        </is>
      </c>
      <c r="AK454" s="28" t="inlineStr">
        <is>
          <t>NONE FOUND</t>
        </is>
      </c>
      <c r="AL454" s="30" t="inlineStr">
        <is>
          <t>0005010-50.2013.8.24.0026</t>
        </is>
      </c>
      <c r="AM454" s="30" t="inlineStr">
        <is>
          <t>TJSC</t>
        </is>
      </c>
      <c r="AN454" s="30" t="inlineStr"/>
      <c r="AO454" s="30" t="n">
        <v>2013</v>
      </c>
      <c r="AP454" s="30" t="inlineStr">
        <is>
          <t>document is a falência (bankruptcy) list</t>
        </is>
      </c>
      <c r="AQ454" s="30" t="inlineStr"/>
      <c r="AR454" s="30" t="inlineStr">
        <is>
          <t>printed on the list (read twice)</t>
        </is>
      </c>
      <c r="AS454" s="30" t="inlineStr">
        <is>
          <t>APARECIDA DO TABOADO</t>
        </is>
      </c>
      <c r="AT454" s="30" t="inlineStr">
        <is>
          <t>MS</t>
        </is>
      </c>
      <c r="AU454" s="30" t="inlineStr">
        <is>
          <t>Fabricação de móveis com predominância de metal</t>
        </is>
      </c>
      <c r="AV454" s="30" t="inlineStr">
        <is>
          <t>DEMAIS</t>
        </is>
      </c>
      <c r="AW454" s="31" t="n">
        <v>1000000</v>
      </c>
      <c r="AX454" s="30" t="inlineStr">
        <is>
          <t>MID-MARKET</t>
        </is>
      </c>
      <c r="AY454" s="30" t="inlineStr">
        <is>
          <t>04547784</t>
        </is>
      </c>
      <c r="AZ454" s="30" t="n">
        <v>1</v>
      </c>
      <c r="BA454" s="30" t="inlineStr">
        <is>
          <t>ROWS:p12r42 UNRECONCILED_SOURCE CASE_NUMBER_CORRECTED</t>
        </is>
      </c>
    </row>
    <row r="455">
      <c r="A455" s="16" t="inlineStr">
        <is>
          <t>EQUATORIAL ALAGOAS DISTRIBUIDORA DE ENERGIA S.A.</t>
        </is>
      </c>
      <c r="B455" s="17" t="n">
        <v>558539.73</v>
      </c>
      <c r="C455" s="18" t="inlineStr">
        <is>
          <t>GRUPO ARNON DE MELLO</t>
        </is>
      </c>
      <c r="D455" s="19" t="inlineStr">
        <is>
          <t>NEW</t>
        </is>
      </c>
      <c r="E455" s="20" t="inlineStr"/>
      <c r="F455" s="19" t="inlineStr"/>
      <c r="G455" s="20" t="inlineStr"/>
      <c r="H455" s="19" t="inlineStr"/>
      <c r="I455" s="21" t="inlineStr">
        <is>
          <t>SERGIO RICARDO DE ANDRADE OLIVEIRA</t>
        </is>
      </c>
      <c r="J455" s="21" t="inlineStr">
        <is>
          <t>Presidente (RFB partner)</t>
        </is>
      </c>
      <c r="K455" s="21" t="inlineStr">
        <is>
          <t>000000000000</t>
        </is>
      </c>
      <c r="L455" s="21" t="inlineStr"/>
      <c r="M455" s="21" t="inlineStr"/>
      <c r="N455" s="21" t="inlineStr"/>
      <c r="O455" s="21" t="inlineStr"/>
      <c r="P455" s="21" t="inlineStr">
        <is>
          <t>CRISTIANO DE LIMA LOGRADO</t>
        </is>
      </c>
      <c r="Q455" s="21" t="inlineStr">
        <is>
          <t>Diretor (RFB partner)</t>
        </is>
      </c>
      <c r="R455" s="21" t="inlineStr"/>
      <c r="S455" s="21" t="inlineStr"/>
      <c r="T455" s="21" t="inlineStr">
        <is>
          <t>RFB partner (QSA); no Apollo match</t>
        </is>
      </c>
      <c r="U455" s="22" t="n">
        <v>558539.73</v>
      </c>
      <c r="V455" s="38" t="inlineStr">
        <is>
          <t>C</t>
        </is>
      </c>
      <c r="W455" s="24">
        <f>IFERROR(VLOOKUP(V455,Assumptions!$A$7:$F$11,2,FALSE),0)</f>
        <v/>
      </c>
      <c r="X455" s="25">
        <f>IF(V455="A",MAX(1,IFERROR(VLOOKUP(V455,Assumptions!$A$7:$F$11,3,FALSE),3)+IFERROR(VLOOKUP(V455,Assumptions!$A$7:$F$11,4,FALSE),8)/2-MAX(0,IF(AO455="",0,YEAR(TODAY())-AO455)-IFERROR(VLOOKUP(V455,Assumptions!$A$7:$F$11,5,FALSE),1.5))),IFERROR(VLOOKUP(V455,Assumptions!$A$7:$F$11,5,FALSE),2.5)+IFERROR(VLOOKUP(V455,Assumptions!$A$7:$F$11,3,FALSE),3)+IFERROR(VLOOKUP(V455,Assumptions!$A$7:$F$11,4,FALSE),8)/2)</f>
        <v/>
      </c>
      <c r="Y455" s="22">
        <f>U455*W455/(1+Assumptions!$B$3)^X455</f>
        <v/>
      </c>
      <c r="Z455" s="26">
        <f>IF(U455=0,"",ROUND(Y455/U455*100,1))</f>
        <v/>
      </c>
      <c r="AA455" s="27">
        <f>Y455*Assumptions!$B$4</f>
        <v/>
      </c>
      <c r="AB455" s="26">
        <f>IF(U455=0,"",ROUND(AA455/U455*100,1))</f>
        <v/>
      </c>
      <c r="AC455" s="27">
        <f>Y455-AA455</f>
        <v/>
      </c>
      <c r="AD455" s="26">
        <f>IF(U455=0,"",ROUND((Y455-AA455)/U455*100,1))</f>
        <v/>
      </c>
      <c r="AE455" s="33" t="inlineStr">
        <is>
          <t>NO TOTALS — list prints none; check page</t>
        </is>
      </c>
      <c r="AF455" s="29" t="inlineStr">
        <is>
          <t>https://recuperacaojudicial.squarespace.com/s/RJ-Grupo-Arnon-de-Melo-Lista-de-Credores-Consolidada-abril-2022.pdf</t>
        </is>
      </c>
      <c r="AG455" s="28" t="inlineStr">
        <is>
          <t>p7 r46</t>
        </is>
      </c>
      <c r="AH455" s="28" t="inlineStr">
        <is>
          <t>p7: R$ 558.539,73</t>
        </is>
      </c>
      <c r="AI455" s="28" t="inlineStr">
        <is>
          <t>AJ list (art. 7 §2)</t>
        </is>
      </c>
      <c r="AJ455" s="28" t="inlineStr"/>
      <c r="AK455" s="28" t="inlineStr">
        <is>
          <t>NONE FOUND</t>
        </is>
      </c>
      <c r="AL455" s="30" t="inlineStr">
        <is>
          <t>0700256-03.2019.8.02.0066</t>
        </is>
      </c>
      <c r="AM455" s="30" t="inlineStr">
        <is>
          <t>TJAL</t>
        </is>
      </c>
      <c r="AN455" s="30" t="inlineStr"/>
      <c r="AO455" s="30" t="n">
        <v>2019</v>
      </c>
      <c r="AP455" s="30" t="inlineStr">
        <is>
          <t>7y since filing, no plan document</t>
        </is>
      </c>
      <c r="AQ455" s="30" t="inlineStr">
        <is>
          <t>12.503.801/0001-59</t>
        </is>
      </c>
      <c r="AR455" s="30" t="inlineStr">
        <is>
          <t>printed on the list (read twice)</t>
        </is>
      </c>
      <c r="AS455" s="30" t="inlineStr">
        <is>
          <t>MACEIO</t>
        </is>
      </c>
      <c r="AT455" s="30" t="inlineStr">
        <is>
          <t>AL</t>
        </is>
      </c>
      <c r="AU455" s="30" t="inlineStr">
        <is>
          <t>Distribuição de energia elétrica</t>
        </is>
      </c>
      <c r="AV455" s="30" t="inlineStr">
        <is>
          <t>DEMAIS</t>
        </is>
      </c>
      <c r="AW455" s="31" t="n">
        <v>641779900</v>
      </c>
      <c r="AX455" s="30" t="inlineStr">
        <is>
          <t>LARGE CORP</t>
        </is>
      </c>
      <c r="AY455" s="30" t="inlineStr">
        <is>
          <t>12272084</t>
        </is>
      </c>
      <c r="AZ455" s="30" t="n">
        <v>1</v>
      </c>
      <c r="BA455" s="30" t="inlineStr">
        <is>
          <t>ROWS:p7r46 UNRECONCILED_SOURCE</t>
        </is>
      </c>
    </row>
    <row r="456">
      <c r="A456" s="16" t="inlineStr">
        <is>
          <t>ECOPNEUS COMERCIO DE PNEUMATICOS E SERVICOS LTDA</t>
        </is>
      </c>
      <c r="B456" s="17" t="n">
        <v>265611.35</v>
      </c>
      <c r="C456" s="18" t="inlineStr">
        <is>
          <t>EGESA ENGENHARIA S/A (Consórcio ETDI)</t>
        </is>
      </c>
      <c r="D456" s="19" t="inlineStr">
        <is>
          <t>NEW</t>
        </is>
      </c>
      <c r="E456" s="20" t="inlineStr"/>
      <c r="F456" s="19" t="inlineStr"/>
      <c r="G456" s="20" t="inlineStr"/>
      <c r="H456" s="19" t="inlineStr"/>
      <c r="I456" s="21" t="inlineStr">
        <is>
          <t>Celso Alves</t>
        </is>
      </c>
      <c r="J456" s="21" t="inlineStr">
        <is>
          <t>Administrative</t>
        </is>
      </c>
      <c r="K456" s="21" t="inlineStr"/>
      <c r="L456" s="21" t="inlineStr"/>
      <c r="M456" s="21" t="inlineStr"/>
      <c r="N456" s="21" t="inlineStr"/>
      <c r="O456" s="21" t="inlineStr"/>
      <c r="P456" s="21" t="inlineStr">
        <is>
          <t>Thais Francine</t>
        </is>
      </c>
      <c r="Q456" s="21" t="inlineStr">
        <is>
          <t>Administrative Assistant</t>
        </is>
      </c>
      <c r="R456" s="21" t="inlineStr"/>
      <c r="S456" s="21" t="inlineStr"/>
      <c r="T456" s="21" t="inlineStr">
        <is>
          <t>no work email found in Apollo</t>
        </is>
      </c>
      <c r="U456" s="22" t="n">
        <v>265611.35</v>
      </c>
      <c r="V456" s="32" t="inlineStr">
        <is>
          <t>U</t>
        </is>
      </c>
      <c r="W456" s="24">
        <f>IFERROR(VLOOKUP(V456,Assumptions!$A$7:$F$11,2,FALSE),0)</f>
        <v/>
      </c>
      <c r="X456" s="25">
        <f>IF(V456="A",MAX(1,IFERROR(VLOOKUP(V456,Assumptions!$A$7:$F$11,3,FALSE),3)+IFERROR(VLOOKUP(V456,Assumptions!$A$7:$F$11,4,FALSE),8)/2-MAX(0,IF(AO456="",0,YEAR(TODAY())-AO456)-IFERROR(VLOOKUP(V456,Assumptions!$A$7:$F$11,5,FALSE),1.5))),IFERROR(VLOOKUP(V456,Assumptions!$A$7:$F$11,5,FALSE),2.5)+IFERROR(VLOOKUP(V456,Assumptions!$A$7:$F$11,3,FALSE),3)+IFERROR(VLOOKUP(V456,Assumptions!$A$7:$F$11,4,FALSE),8)/2)</f>
        <v/>
      </c>
      <c r="Y456" s="22">
        <f>U456*W456/(1+Assumptions!$B$3)^X456</f>
        <v/>
      </c>
      <c r="Z456" s="26">
        <f>IF(U456=0,"",ROUND(Y456/U456*100,1))</f>
        <v/>
      </c>
      <c r="AA456" s="27">
        <f>Y456*Assumptions!$B$4</f>
        <v/>
      </c>
      <c r="AB456" s="26">
        <f>IF(U456=0,"",ROUND(AA456/U456*100,1))</f>
        <v/>
      </c>
      <c r="AC456" s="27">
        <f>Y456-AA456</f>
        <v/>
      </c>
      <c r="AD456" s="26">
        <f>IF(U456=0,"",ROUND((Y456-AA456)/U456*100,1))</f>
        <v/>
      </c>
      <c r="AE456" s="28" t="inlineStr">
        <is>
          <t>OK — totals reconciled</t>
        </is>
      </c>
      <c r="AF456" s="29" t="inlineStr">
        <is>
          <t>https://scalzilliaj.com.br/sgc/download.php?file=files/processo_documento/processo_documento09514021082025_1_.pdf&amp;nome=04 - Relação de credores das Recuperandas</t>
        </is>
      </c>
      <c r="AG456" s="28" t="inlineStr">
        <is>
          <t>p65 r10</t>
        </is>
      </c>
      <c r="AH456" s="28" t="inlineStr">
        <is>
          <t>p65: R$ 265.611,35</t>
        </is>
      </c>
      <c r="AI456" s="28" t="inlineStr">
        <is>
          <t>Debtor list (art. 51)</t>
        </is>
      </c>
      <c r="AJ456" s="28" t="inlineStr"/>
      <c r="AK456" s="28" t="inlineStr">
        <is>
          <t>NONE FOUND</t>
        </is>
      </c>
      <c r="AL456" s="30" t="inlineStr">
        <is>
          <t>(not printed)</t>
        </is>
      </c>
      <c r="AM456" s="30" t="inlineStr"/>
      <c r="AN456" s="30" t="inlineStr"/>
      <c r="AO456" s="30" t="inlineStr"/>
      <c r="AP456" s="30" t="inlineStr">
        <is>
          <t>RJ case number not identified on the document</t>
        </is>
      </c>
      <c r="AQ456" s="30" t="inlineStr"/>
      <c r="AR456" s="30" t="inlineStr">
        <is>
          <t>portal page title / URL — not printed on the list</t>
        </is>
      </c>
      <c r="AS456" s="30" t="inlineStr">
        <is>
          <t>BARCARENA</t>
        </is>
      </c>
      <c r="AT456" s="30" t="inlineStr">
        <is>
          <t>PA</t>
        </is>
      </c>
      <c r="AU456" s="30" t="inlineStr">
        <is>
          <t>Comércio por atacado de pneumáticos e câmaras-de-ar</t>
        </is>
      </c>
      <c r="AV456" s="30" t="inlineStr">
        <is>
          <t>DEMAIS</t>
        </is>
      </c>
      <c r="AW456" s="31" t="n">
        <v>1200000</v>
      </c>
      <c r="AX456" s="30" t="inlineStr">
        <is>
          <t>MID-MARKET</t>
        </is>
      </c>
      <c r="AY456" s="30" t="inlineStr">
        <is>
          <t>07478963</t>
        </is>
      </c>
      <c r="AZ456" s="30" t="n">
        <v>1</v>
      </c>
      <c r="BA456" s="30" t="inlineStr">
        <is>
          <t>ROWS:p65r10 VALUE_COL:Valor_Atualizado CASE_NUMBER_CORRECTED</t>
        </is>
      </c>
    </row>
    <row r="457">
      <c r="A457" s="16" t="inlineStr">
        <is>
          <t>DOW BRASIL SUDESTE INDUSTRIAL LTDA.</t>
        </is>
      </c>
      <c r="B457" s="17" t="n">
        <v>994732.16</v>
      </c>
      <c r="C457" s="18" t="inlineStr">
        <is>
          <t>Mannes</t>
        </is>
      </c>
      <c r="D457" s="19" t="inlineStr">
        <is>
          <t>NEW</t>
        </is>
      </c>
      <c r="E457" s="20" t="inlineStr"/>
      <c r="F457" s="19" t="inlineStr"/>
      <c r="G457" s="20" t="inlineStr"/>
      <c r="H457" s="19" t="inlineStr"/>
      <c r="I457" s="21" t="inlineStr">
        <is>
          <t>BRUNA PELLEGRINO GENTILE</t>
        </is>
      </c>
      <c r="J457" s="21" t="inlineStr">
        <is>
          <t>Administrador (RFB partner)</t>
        </is>
      </c>
      <c r="K457" s="21" t="inlineStr">
        <is>
          <t>(11) 5188-9184</t>
        </is>
      </c>
      <c r="L457" s="21" t="inlineStr"/>
      <c r="M457" s="21" t="inlineStr"/>
      <c r="N457" s="21" t="inlineStr"/>
      <c r="O457" s="21" t="inlineStr"/>
      <c r="P457" s="21" t="inlineStr">
        <is>
          <t>HURE JOSE DE ANDRADE JUNIOR</t>
        </is>
      </c>
      <c r="Q457" s="21" t="inlineStr">
        <is>
          <t>Administrador (RFB partner)</t>
        </is>
      </c>
      <c r="R457" s="21" t="inlineStr"/>
      <c r="S457" s="21" t="inlineStr"/>
      <c r="T457" s="21" t="inlineStr">
        <is>
          <t>RFB partner (QSA); no Apollo match</t>
        </is>
      </c>
      <c r="U457" s="22" t="n">
        <v>994732.16</v>
      </c>
      <c r="V457" s="39" t="inlineStr">
        <is>
          <t>D</t>
        </is>
      </c>
      <c r="W457" s="24">
        <f>IFERROR(VLOOKUP(V457,Assumptions!$A$7:$F$11,2,FALSE),0)</f>
        <v/>
      </c>
      <c r="X457" s="25">
        <f>IF(V457="A",MAX(1,IFERROR(VLOOKUP(V457,Assumptions!$A$7:$F$11,3,FALSE),3)+IFERROR(VLOOKUP(V457,Assumptions!$A$7:$F$11,4,FALSE),8)/2-MAX(0,IF(AO457="",0,YEAR(TODAY())-AO457)-IFERROR(VLOOKUP(V457,Assumptions!$A$7:$F$11,5,FALSE),1.5))),IFERROR(VLOOKUP(V457,Assumptions!$A$7:$F$11,5,FALSE),2.5)+IFERROR(VLOOKUP(V457,Assumptions!$A$7:$F$11,3,FALSE),3)+IFERROR(VLOOKUP(V457,Assumptions!$A$7:$F$11,4,FALSE),8)/2)</f>
        <v/>
      </c>
      <c r="Y457" s="22">
        <f>U457*W457/(1+Assumptions!$B$3)^X457</f>
        <v/>
      </c>
      <c r="Z457" s="26">
        <f>IF(U457=0,"",ROUND(Y457/U457*100,1))</f>
        <v/>
      </c>
      <c r="AA457" s="27">
        <f>Y457*Assumptions!$B$4</f>
        <v/>
      </c>
      <c r="AB457" s="26">
        <f>IF(U457=0,"",ROUND(AA457/U457*100,1))</f>
        <v/>
      </c>
      <c r="AC457" s="27">
        <f>Y457-AA457</f>
        <v/>
      </c>
      <c r="AD457" s="26">
        <f>IF(U457=0,"",ROUND((Y457-AA457)/U457*100,1))</f>
        <v/>
      </c>
      <c r="AE457" s="36" t="inlineStr">
        <is>
          <t>CHECK — source is not a statutory creditor list</t>
        </is>
      </c>
      <c r="AF457" s="29" t="inlineStr">
        <is>
          <t>https://administradorajudicialgs.com.br/wp-content/uploads/2024/12/relacao-de-credores-da-falida.pdf</t>
        </is>
      </c>
      <c r="AG457" s="28" t="inlineStr">
        <is>
          <t>p14 r12</t>
        </is>
      </c>
      <c r="AH457" s="28" t="inlineStr">
        <is>
          <t>p14: R$ 994.732,16</t>
        </is>
      </c>
      <c r="AI457" s="28" t="inlineStr">
        <is>
          <t>Other filing — NOT an art. 7/51 list</t>
        </is>
      </c>
      <c r="AJ457" s="28" t="inlineStr">
        <is>
          <t>2025-03-25</t>
        </is>
      </c>
      <c r="AK457" s="28" t="inlineStr">
        <is>
          <t>NONE FOUND</t>
        </is>
      </c>
      <c r="AL457" s="30" t="inlineStr">
        <is>
          <t>0005010-50.2013.8.24.0026</t>
        </is>
      </c>
      <c r="AM457" s="30" t="inlineStr">
        <is>
          <t>TJSC</t>
        </is>
      </c>
      <c r="AN457" s="30" t="inlineStr"/>
      <c r="AO457" s="30" t="n">
        <v>2013</v>
      </c>
      <c r="AP457" s="30" t="inlineStr">
        <is>
          <t>document is a falência (bankruptcy) list</t>
        </is>
      </c>
      <c r="AQ457" s="30" t="inlineStr"/>
      <c r="AR457" s="30" t="inlineStr">
        <is>
          <t>printed on the list (read twice)</t>
        </is>
      </c>
      <c r="AS457" s="30" t="inlineStr">
        <is>
          <t>SAO PAULO</t>
        </is>
      </c>
      <c r="AT457" s="30" t="inlineStr">
        <is>
          <t>SP</t>
        </is>
      </c>
      <c r="AU457" s="30" t="inlineStr">
        <is>
          <t>Fabricação de resinas termoplásticas</t>
        </is>
      </c>
      <c r="AV457" s="30" t="inlineStr">
        <is>
          <t>DEMAIS</t>
        </is>
      </c>
      <c r="AW457" s="31" t="n">
        <v>738247800</v>
      </c>
      <c r="AX457" s="30" t="inlineStr">
        <is>
          <t>MID-MARKET</t>
        </is>
      </c>
      <c r="AY457" s="30" t="inlineStr">
        <is>
          <t>53877627</t>
        </is>
      </c>
      <c r="AZ457" s="30" t="n">
        <v>1</v>
      </c>
      <c r="BA457" s="30" t="inlineStr">
        <is>
          <t>ROWS:p14r12 UNRECONCILED_SOURCE CASE_NUMBER_CORRECTED</t>
        </is>
      </c>
    </row>
    <row r="458">
      <c r="A458" s="16" t="inlineStr">
        <is>
          <t>GERDAU ACOS LONGOS S.A.</t>
        </is>
      </c>
      <c r="B458" s="17" t="n">
        <v>530847.4399999999</v>
      </c>
      <c r="C458" s="18" t="inlineStr">
        <is>
          <t>Roque Materiais para Construção</t>
        </is>
      </c>
      <c r="D458" s="19" t="inlineStr">
        <is>
          <t>NEW</t>
        </is>
      </c>
      <c r="E458" s="20" t="inlineStr"/>
      <c r="F458" s="19" t="inlineStr"/>
      <c r="G458" s="20" t="inlineStr"/>
      <c r="H458" s="19" t="inlineStr"/>
      <c r="I458" s="21" t="inlineStr">
        <is>
          <t>Guilherme Freitas</t>
        </is>
      </c>
      <c r="J458" s="21" t="inlineStr">
        <is>
          <t>Coordenador de Crédito e Cobrança</t>
        </is>
      </c>
      <c r="K458" s="21" t="inlineStr">
        <is>
          <t>(11) 3094-6600</t>
        </is>
      </c>
      <c r="L458" s="21" t="inlineStr"/>
      <c r="M458" s="21" t="inlineStr"/>
      <c r="N458" s="21" t="inlineStr">
        <is>
          <t>guilherme.freitas@gerdau.com.br</t>
        </is>
      </c>
      <c r="O458" s="21" t="inlineStr"/>
      <c r="P458" s="21" t="inlineStr">
        <is>
          <t>Anajara Lopes</t>
        </is>
      </c>
      <c r="Q458" s="21" t="inlineStr">
        <is>
          <t>Chefe de Crédito</t>
        </is>
      </c>
      <c r="R458" s="21" t="inlineStr"/>
      <c r="S458" s="21" t="inlineStr"/>
      <c r="T458" s="21" t="inlineStr">
        <is>
          <t>email verified by Apollo</t>
        </is>
      </c>
      <c r="U458" s="22" t="n">
        <v>530847.4399999999</v>
      </c>
      <c r="V458" s="38" t="inlineStr">
        <is>
          <t>C</t>
        </is>
      </c>
      <c r="W458" s="24">
        <f>IFERROR(VLOOKUP(V458,Assumptions!$A$7:$F$11,2,FALSE),0)</f>
        <v/>
      </c>
      <c r="X458" s="25">
        <f>IF(V458="A",MAX(1,IFERROR(VLOOKUP(V458,Assumptions!$A$7:$F$11,3,FALSE),3)+IFERROR(VLOOKUP(V458,Assumptions!$A$7:$F$11,4,FALSE),8)/2-MAX(0,IF(AO458="",0,YEAR(TODAY())-AO458)-IFERROR(VLOOKUP(V458,Assumptions!$A$7:$F$11,5,FALSE),1.5))),IFERROR(VLOOKUP(V458,Assumptions!$A$7:$F$11,5,FALSE),2.5)+IFERROR(VLOOKUP(V458,Assumptions!$A$7:$F$11,3,FALSE),3)+IFERROR(VLOOKUP(V458,Assumptions!$A$7:$F$11,4,FALSE),8)/2)</f>
        <v/>
      </c>
      <c r="Y458" s="22">
        <f>U458*W458/(1+Assumptions!$B$3)^X458</f>
        <v/>
      </c>
      <c r="Z458" s="26">
        <f>IF(U458=0,"",ROUND(Y458/U458*100,1))</f>
        <v/>
      </c>
      <c r="AA458" s="27">
        <f>Y458*Assumptions!$B$4</f>
        <v/>
      </c>
      <c r="AB458" s="26">
        <f>IF(U458=0,"",ROUND(AA458/U458*100,1))</f>
        <v/>
      </c>
      <c r="AC458" s="27">
        <f>Y458-AA458</f>
        <v/>
      </c>
      <c r="AD458" s="26">
        <f>IF(U458=0,"",ROUND((Y458-AA458)/U458*100,1))</f>
        <v/>
      </c>
      <c r="AE458" s="28" t="inlineStr">
        <is>
          <t>OK — totals reconciled</t>
        </is>
      </c>
      <c r="AF458" s="29" t="inlineStr">
        <is>
          <t>https://realbrasil.com.br/wp-content/uploads/2018/06/2_LISTA-DE-CREDORES-DA-RECUPERANDA_ROQUE.pdf</t>
        </is>
      </c>
      <c r="AG458" s="28" t="inlineStr">
        <is>
          <t>p2 r6</t>
        </is>
      </c>
      <c r="AH458" s="28" t="inlineStr">
        <is>
          <t>p2: R$ 530.847,44</t>
        </is>
      </c>
      <c r="AI458" s="28" t="inlineStr">
        <is>
          <t>Unclassified list</t>
        </is>
      </c>
      <c r="AJ458" s="28" t="inlineStr"/>
      <c r="AK458" s="28" t="inlineStr">
        <is>
          <t>NONE FOUND</t>
        </is>
      </c>
      <c r="AL458" s="30" t="inlineStr">
        <is>
          <t>0802426-35.2019.8.10.0000</t>
        </is>
      </c>
      <c r="AM458" s="30" t="inlineStr">
        <is>
          <t>TJMA</t>
        </is>
      </c>
      <c r="AN458" s="30" t="inlineStr"/>
      <c r="AO458" s="30" t="n">
        <v>2019</v>
      </c>
      <c r="AP458" s="30" t="inlineStr">
        <is>
          <t>7y since filing, no plan document</t>
        </is>
      </c>
      <c r="AQ458" s="30" t="inlineStr"/>
      <c r="AR458" s="30" t="inlineStr">
        <is>
          <t>portal page title / URL — not printed on the list</t>
        </is>
      </c>
      <c r="AS458" s="30" t="inlineStr">
        <is>
          <t>RIO DE JANEIRO</t>
        </is>
      </c>
      <c r="AT458" s="30" t="inlineStr">
        <is>
          <t>RJ</t>
        </is>
      </c>
      <c r="AU458" s="30" t="inlineStr">
        <is>
          <t>Produção de laminados longos de aço, exceto tubos</t>
        </is>
      </c>
      <c r="AV458" s="30" t="inlineStr">
        <is>
          <t>DEMAIS</t>
        </is>
      </c>
      <c r="AW458" s="31" t="n">
        <v>7707648000</v>
      </c>
      <c r="AX458" s="30" t="inlineStr">
        <is>
          <t>LARGE CORP</t>
        </is>
      </c>
      <c r="AY458" s="30" t="inlineStr">
        <is>
          <t>07358761</t>
        </is>
      </c>
      <c r="AZ458" s="30" t="n">
        <v>1</v>
      </c>
      <c r="BA458" s="30" t="inlineStr">
        <is>
          <t>ROWS:p2r6 VALUE_COL:Saldo_Total</t>
        </is>
      </c>
    </row>
    <row r="459">
      <c r="A459" s="16" t="inlineStr">
        <is>
          <t>ALLIED TECNOLOGIA S.A.</t>
        </is>
      </c>
      <c r="B459" s="17" t="n">
        <v>529483.15</v>
      </c>
      <c r="C459" s="18" t="inlineStr">
        <is>
          <t>CREDIMÓVEIS NOVOLAR LTDA.</t>
        </is>
      </c>
      <c r="D459" s="19" t="inlineStr">
        <is>
          <t>NEW</t>
        </is>
      </c>
      <c r="E459" s="20" t="inlineStr"/>
      <c r="F459" s="19" t="inlineStr"/>
      <c r="G459" s="20" t="inlineStr"/>
      <c r="H459" s="19" t="inlineStr"/>
      <c r="I459" s="21" t="inlineStr">
        <is>
          <t>SILVIO STAGNI</t>
        </is>
      </c>
      <c r="J459" s="21" t="inlineStr">
        <is>
          <t>Presidente (RFB partner)</t>
        </is>
      </c>
      <c r="K459" s="21" t="inlineStr">
        <is>
          <t>(11) 5503-9993</t>
        </is>
      </c>
      <c r="L459" s="21" t="inlineStr">
        <is>
          <t>(11) 5503-9999</t>
        </is>
      </c>
      <c r="M459" s="21" t="inlineStr"/>
      <c r="N459" s="21" t="inlineStr"/>
      <c r="O459" s="21" t="inlineStr"/>
      <c r="P459" s="21" t="inlineStr">
        <is>
          <t>BRUNO SERRANO GIACOMETTI</t>
        </is>
      </c>
      <c r="Q459" s="21" t="inlineStr">
        <is>
          <t>Diretor (RFB partner)</t>
        </is>
      </c>
      <c r="R459" s="21" t="inlineStr"/>
      <c r="S459" s="21" t="inlineStr"/>
      <c r="T459" s="21" t="inlineStr">
        <is>
          <t>RFB partner (QSA); no Apollo match</t>
        </is>
      </c>
      <c r="U459" s="22" t="n">
        <v>529483.15</v>
      </c>
      <c r="V459" s="38" t="inlineStr">
        <is>
          <t>C</t>
        </is>
      </c>
      <c r="W459" s="24">
        <f>IFERROR(VLOOKUP(V459,Assumptions!$A$7:$F$11,2,FALSE),0)</f>
        <v/>
      </c>
      <c r="X459" s="25">
        <f>IF(V459="A",MAX(1,IFERROR(VLOOKUP(V459,Assumptions!$A$7:$F$11,3,FALSE),3)+IFERROR(VLOOKUP(V459,Assumptions!$A$7:$F$11,4,FALSE),8)/2-MAX(0,IF(AO459="",0,YEAR(TODAY())-AO459)-IFERROR(VLOOKUP(V459,Assumptions!$A$7:$F$11,5,FALSE),1.5))),IFERROR(VLOOKUP(V459,Assumptions!$A$7:$F$11,5,FALSE),2.5)+IFERROR(VLOOKUP(V459,Assumptions!$A$7:$F$11,3,FALSE),3)+IFERROR(VLOOKUP(V459,Assumptions!$A$7:$F$11,4,FALSE),8)/2)</f>
        <v/>
      </c>
      <c r="Y459" s="22">
        <f>U459*W459/(1+Assumptions!$B$3)^X459</f>
        <v/>
      </c>
      <c r="Z459" s="26">
        <f>IF(U459=0,"",ROUND(Y459/U459*100,1))</f>
        <v/>
      </c>
      <c r="AA459" s="27">
        <f>Y459*Assumptions!$B$4</f>
        <v/>
      </c>
      <c r="AB459" s="26">
        <f>IF(U459=0,"",ROUND(AA459/U459*100,1))</f>
        <v/>
      </c>
      <c r="AC459" s="27">
        <f>Y459-AA459</f>
        <v/>
      </c>
      <c r="AD459" s="26">
        <f>IF(U459=0,"",ROUND((Y459-AA459)/U459*100,1))</f>
        <v/>
      </c>
      <c r="AE459" s="28" t="inlineStr">
        <is>
          <t>OK — totals reconciled</t>
        </is>
      </c>
      <c r="AF459" s="29" t="inlineStr">
        <is>
          <t>https://recuperacaojudicial.squarespace.com/s/RJ-Credimoveis-QGC-01082025.pdf</t>
        </is>
      </c>
      <c r="AG459" s="28" t="inlineStr">
        <is>
          <t>p15 r5</t>
        </is>
      </c>
      <c r="AH459" s="28" t="inlineStr">
        <is>
          <t>p15: R$ 529.483,15</t>
        </is>
      </c>
      <c r="AI459" s="28" t="inlineStr">
        <is>
          <t>QGC (art. 18)</t>
        </is>
      </c>
      <c r="AJ459" s="28" t="inlineStr">
        <is>
          <t>2026-01-28</t>
        </is>
      </c>
      <c r="AK459" s="28" t="inlineStr">
        <is>
          <t>NONE FOUND</t>
        </is>
      </c>
      <c r="AL459" s="30" t="inlineStr">
        <is>
          <t>0007565-40.2020.8.17.2370</t>
        </is>
      </c>
      <c r="AM459" s="30" t="inlineStr">
        <is>
          <t>TJPE</t>
        </is>
      </c>
      <c r="AN459" s="30" t="inlineStr">
        <is>
          <t>ACTIVE</t>
        </is>
      </c>
      <c r="AO459" s="30" t="n">
        <v>2020</v>
      </c>
      <c r="AP459" s="30" t="inlineStr">
        <is>
          <t>6y since filing, no plan document</t>
        </is>
      </c>
      <c r="AQ459" s="30" t="inlineStr">
        <is>
          <t>09.930.165/0001-37</t>
        </is>
      </c>
      <c r="AR459" s="30" t="inlineStr">
        <is>
          <t>printed on the list (read twice)</t>
        </is>
      </c>
      <c r="AS459" s="30" t="inlineStr">
        <is>
          <t>JUNDIAI</t>
        </is>
      </c>
      <c r="AT459" s="30" t="inlineStr">
        <is>
          <t>SP</t>
        </is>
      </c>
      <c r="AU459" s="30" t="inlineStr">
        <is>
          <t>Comércio atacadista de componentes eletrônicos e equipamentos de telefonia e comunicação</t>
        </is>
      </c>
      <c r="AV459" s="30" t="inlineStr">
        <is>
          <t>DEMAIS</t>
        </is>
      </c>
      <c r="AW459" s="31" t="n">
        <v>852092160</v>
      </c>
      <c r="AX459" s="30" t="inlineStr">
        <is>
          <t>LARGE CORP</t>
        </is>
      </c>
      <c r="AY459" s="30" t="inlineStr">
        <is>
          <t>20247322</t>
        </is>
      </c>
      <c r="AZ459" s="30" t="n">
        <v>1</v>
      </c>
      <c r="BA459" s="30" t="inlineStr">
        <is>
          <t>ROWS:p15r5</t>
        </is>
      </c>
    </row>
    <row r="460">
      <c r="A460" s="16" t="inlineStr">
        <is>
          <t>TUBOARTE INDUSTRIA E COMERCIO LTDA</t>
        </is>
      </c>
      <c r="B460" s="17" t="n">
        <v>527489.5</v>
      </c>
      <c r="C460" s="18" t="inlineStr">
        <is>
          <t>CREDIMÓVEIS NOVOLAR LTDA.</t>
        </is>
      </c>
      <c r="D460" s="19" t="inlineStr">
        <is>
          <t>NEW</t>
        </is>
      </c>
      <c r="E460" s="20" t="inlineStr"/>
      <c r="F460" s="19" t="inlineStr"/>
      <c r="G460" s="20" t="inlineStr"/>
      <c r="H460" s="19" t="inlineStr"/>
      <c r="I460" s="21" t="inlineStr">
        <is>
          <t>Ygor Raul</t>
        </is>
      </c>
      <c r="J460" s="21" t="inlineStr">
        <is>
          <t>Advogado e Fundador da Móveis Home (Tuboarte)</t>
        </is>
      </c>
      <c r="K460" s="21" t="inlineStr">
        <is>
          <t>(88) 3522-8300</t>
        </is>
      </c>
      <c r="L460" s="21" t="inlineStr"/>
      <c r="M460" s="21" t="inlineStr"/>
      <c r="N460" s="21" t="inlineStr">
        <is>
          <t>raul@tuboarte.com.br</t>
        </is>
      </c>
      <c r="O460" s="21" t="inlineStr"/>
      <c r="P460" s="21" t="inlineStr"/>
      <c r="Q460" s="21" t="inlineStr"/>
      <c r="R460" s="21" t="inlineStr"/>
      <c r="S460" s="21" t="inlineStr"/>
      <c r="T460" s="21" t="inlineStr">
        <is>
          <t>email verified by Apollo</t>
        </is>
      </c>
      <c r="U460" s="22" t="n">
        <v>527489.5</v>
      </c>
      <c r="V460" s="38" t="inlineStr">
        <is>
          <t>C</t>
        </is>
      </c>
      <c r="W460" s="24">
        <f>IFERROR(VLOOKUP(V460,Assumptions!$A$7:$F$11,2,FALSE),0)</f>
        <v/>
      </c>
      <c r="X460" s="25">
        <f>IF(V460="A",MAX(1,IFERROR(VLOOKUP(V460,Assumptions!$A$7:$F$11,3,FALSE),3)+IFERROR(VLOOKUP(V460,Assumptions!$A$7:$F$11,4,FALSE),8)/2-MAX(0,IF(AO460="",0,YEAR(TODAY())-AO460)-IFERROR(VLOOKUP(V460,Assumptions!$A$7:$F$11,5,FALSE),1.5))),IFERROR(VLOOKUP(V460,Assumptions!$A$7:$F$11,5,FALSE),2.5)+IFERROR(VLOOKUP(V460,Assumptions!$A$7:$F$11,3,FALSE),3)+IFERROR(VLOOKUP(V460,Assumptions!$A$7:$F$11,4,FALSE),8)/2)</f>
        <v/>
      </c>
      <c r="Y460" s="22">
        <f>U460*W460/(1+Assumptions!$B$3)^X460</f>
        <v/>
      </c>
      <c r="Z460" s="26">
        <f>IF(U460=0,"",ROUND(Y460/U460*100,1))</f>
        <v/>
      </c>
      <c r="AA460" s="27">
        <f>Y460*Assumptions!$B$4</f>
        <v/>
      </c>
      <c r="AB460" s="26">
        <f>IF(U460=0,"",ROUND(AA460/U460*100,1))</f>
        <v/>
      </c>
      <c r="AC460" s="27">
        <f>Y460-AA460</f>
        <v/>
      </c>
      <c r="AD460" s="26">
        <f>IF(U460=0,"",ROUND((Y460-AA460)/U460*100,1))</f>
        <v/>
      </c>
      <c r="AE460" s="28" t="inlineStr">
        <is>
          <t>OK — totals reconciled</t>
        </is>
      </c>
      <c r="AF460" s="29" t="inlineStr">
        <is>
          <t>https://recuperacaojudicial.squarespace.com/s/RJ-Credimoveis-QGC-01082025.pdf</t>
        </is>
      </c>
      <c r="AG460" s="28" t="inlineStr">
        <is>
          <t>p17 r5</t>
        </is>
      </c>
      <c r="AH460" s="28" t="inlineStr">
        <is>
          <t>p17: R$ 527.489,50</t>
        </is>
      </c>
      <c r="AI460" s="28" t="inlineStr">
        <is>
          <t>QGC (art. 18)</t>
        </is>
      </c>
      <c r="AJ460" s="28" t="inlineStr">
        <is>
          <t>2026-01-28</t>
        </is>
      </c>
      <c r="AK460" s="28" t="inlineStr">
        <is>
          <t>NONE FOUND</t>
        </is>
      </c>
      <c r="AL460" s="30" t="inlineStr">
        <is>
          <t>0007565-40.2020.8.17.2370</t>
        </is>
      </c>
      <c r="AM460" s="30" t="inlineStr">
        <is>
          <t>TJPE</t>
        </is>
      </c>
      <c r="AN460" s="30" t="inlineStr">
        <is>
          <t>ACTIVE</t>
        </is>
      </c>
      <c r="AO460" s="30" t="n">
        <v>2020</v>
      </c>
      <c r="AP460" s="30" t="inlineStr">
        <is>
          <t>6y since filing, no plan document</t>
        </is>
      </c>
      <c r="AQ460" s="30" t="inlineStr">
        <is>
          <t>09.930.165/0001-37</t>
        </is>
      </c>
      <c r="AR460" s="30" t="inlineStr">
        <is>
          <t>printed on the list (read twice)</t>
        </is>
      </c>
      <c r="AS460" s="30" t="inlineStr">
        <is>
          <t>JAGUARIBE</t>
        </is>
      </c>
      <c r="AT460" s="30" t="inlineStr">
        <is>
          <t>CE</t>
        </is>
      </c>
      <c r="AU460" s="30" t="inlineStr">
        <is>
          <t>Fabricação de móveis com predominância de madeira</t>
        </is>
      </c>
      <c r="AV460" s="30" t="inlineStr">
        <is>
          <t>DEMAIS</t>
        </is>
      </c>
      <c r="AW460" s="31" t="n">
        <v>109135310</v>
      </c>
      <c r="AX460" s="30" t="inlineStr">
        <is>
          <t>MID-MARKET</t>
        </is>
      </c>
      <c r="AY460" s="30" t="inlineStr">
        <is>
          <t>01802541</t>
        </is>
      </c>
      <c r="AZ460" s="30" t="n">
        <v>1</v>
      </c>
      <c r="BA460" s="30" t="inlineStr">
        <is>
          <t>ROWS:p17r5</t>
        </is>
      </c>
    </row>
    <row r="461">
      <c r="A461" s="16" t="inlineStr">
        <is>
          <t>TBM - TEXTIL BEZERRA DE MENEZES S/A</t>
        </is>
      </c>
      <c r="B461" s="17" t="n">
        <v>497707.51</v>
      </c>
      <c r="C461" s="18" t="inlineStr">
        <is>
          <t>CONFECÇÕES ANDRIMALHAS LTDA</t>
        </is>
      </c>
      <c r="D461" s="19" t="inlineStr">
        <is>
          <t>NEW</t>
        </is>
      </c>
      <c r="E461" s="20" t="inlineStr"/>
      <c r="F461" s="19" t="inlineStr"/>
      <c r="G461" s="20" t="inlineStr"/>
      <c r="H461" s="19" t="inlineStr"/>
      <c r="I461" s="21" t="inlineStr">
        <is>
          <t>IVAN RODRIGUES BEZERRA</t>
        </is>
      </c>
      <c r="J461" s="21" t="inlineStr">
        <is>
          <t>Presidente (RFB partner)</t>
        </is>
      </c>
      <c r="K461" s="21" t="inlineStr">
        <is>
          <t>(85) 4012-9140</t>
        </is>
      </c>
      <c r="L461" s="21" t="inlineStr"/>
      <c r="M461" s="21" t="inlineStr"/>
      <c r="N461" s="21" t="inlineStr"/>
      <c r="O461" s="21" t="inlineStr"/>
      <c r="P461" s="21" t="inlineStr">
        <is>
          <t>IVAN JOSE BEZERRA DE MENEZES</t>
        </is>
      </c>
      <c r="Q461" s="21" t="inlineStr">
        <is>
          <t>Diretor (RFB partner)</t>
        </is>
      </c>
      <c r="R461" s="21" t="inlineStr"/>
      <c r="S461" s="21" t="inlineStr"/>
      <c r="T461" s="21" t="inlineStr">
        <is>
          <t>RFB partner (QSA); no Apollo match</t>
        </is>
      </c>
      <c r="U461" s="22" t="n">
        <v>497707.51</v>
      </c>
      <c r="V461" s="38" t="inlineStr">
        <is>
          <t>C</t>
        </is>
      </c>
      <c r="W461" s="24">
        <f>IFERROR(VLOOKUP(V461,Assumptions!$A$7:$F$11,2,FALSE),0)</f>
        <v/>
      </c>
      <c r="X461" s="25">
        <f>IF(V461="A",MAX(1,IFERROR(VLOOKUP(V461,Assumptions!$A$7:$F$11,3,FALSE),3)+IFERROR(VLOOKUP(V461,Assumptions!$A$7:$F$11,4,FALSE),8)/2-MAX(0,IF(AO461="",0,YEAR(TODAY())-AO461)-IFERROR(VLOOKUP(V461,Assumptions!$A$7:$F$11,5,FALSE),1.5))),IFERROR(VLOOKUP(V461,Assumptions!$A$7:$F$11,5,FALSE),2.5)+IFERROR(VLOOKUP(V461,Assumptions!$A$7:$F$11,3,FALSE),3)+IFERROR(VLOOKUP(V461,Assumptions!$A$7:$F$11,4,FALSE),8)/2)</f>
        <v/>
      </c>
      <c r="Y461" s="22">
        <f>U461*W461/(1+Assumptions!$B$3)^X461</f>
        <v/>
      </c>
      <c r="Z461" s="26">
        <f>IF(U461=0,"",ROUND(Y461/U461*100,1))</f>
        <v/>
      </c>
      <c r="AA461" s="27">
        <f>Y461*Assumptions!$B$4</f>
        <v/>
      </c>
      <c r="AB461" s="26">
        <f>IF(U461=0,"",ROUND(AA461/U461*100,1))</f>
        <v/>
      </c>
      <c r="AC461" s="27">
        <f>Y461-AA461</f>
        <v/>
      </c>
      <c r="AD461" s="26">
        <f>IF(U461=0,"",ROUND((Y461-AA461)/U461*100,1))</f>
        <v/>
      </c>
      <c r="AE461" s="34" t="inlineStr">
        <is>
          <t>PARTIAL — class III reconciled, other classes not</t>
        </is>
      </c>
      <c r="AF461" s="29" t="inlineStr">
        <is>
          <t>https://administradorajudicialgs.com.br/wp-content/uploads/2023/08/doc-06-relacao-credores-do-administrador-judicial-10-02-2015.pdf</t>
        </is>
      </c>
      <c r="AG461" s="28" t="inlineStr">
        <is>
          <t>p2 r40</t>
        </is>
      </c>
      <c r="AH461" s="28" t="inlineStr">
        <is>
          <t>p2: R$ 497.707,51</t>
        </is>
      </c>
      <c r="AI461" s="28" t="inlineStr">
        <is>
          <t>AJ list (art. 7 §2)</t>
        </is>
      </c>
      <c r="AJ461" s="28" t="inlineStr"/>
      <c r="AK461" s="28" t="inlineStr">
        <is>
          <t>NONE FOUND</t>
        </is>
      </c>
      <c r="AL461" s="30" t="inlineStr">
        <is>
          <t>0302174-63.2015.8.24.0025</t>
        </is>
      </c>
      <c r="AM461" s="30" t="inlineStr">
        <is>
          <t>TJSC</t>
        </is>
      </c>
      <c r="AN461" s="30" t="inlineStr"/>
      <c r="AO461" s="30" t="n">
        <v>2015</v>
      </c>
      <c r="AP461" s="30" t="inlineStr">
        <is>
          <t>11y since filing, no plan document</t>
        </is>
      </c>
      <c r="AQ461" s="30" t="inlineStr"/>
      <c r="AR461" s="30" t="inlineStr">
        <is>
          <t>printed on the list (read twice)</t>
        </is>
      </c>
      <c r="AS461" s="30" t="inlineStr">
        <is>
          <t>FORTALEZA</t>
        </is>
      </c>
      <c r="AT461" s="30" t="inlineStr">
        <is>
          <t>CE</t>
        </is>
      </c>
      <c r="AU461" s="30" t="inlineStr">
        <is>
          <t>Preparação e fiação de fibras de algodão</t>
        </is>
      </c>
      <c r="AV461" s="30" t="inlineStr">
        <is>
          <t>DEMAIS</t>
        </is>
      </c>
      <c r="AW461" s="31" t="inlineStr"/>
      <c r="AX461" s="30" t="inlineStr">
        <is>
          <t>MID-MARKET</t>
        </is>
      </c>
      <c r="AY461" s="30" t="inlineStr">
        <is>
          <t>07671092</t>
        </is>
      </c>
      <c r="AZ461" s="30" t="n">
        <v>1</v>
      </c>
      <c r="BA461" s="30" t="inlineStr">
        <is>
          <t>PARTIAL_DOC_CLASS_III_RECONCILED ROWS:p2r40</t>
        </is>
      </c>
    </row>
    <row r="462">
      <c r="A462" s="16" t="inlineStr">
        <is>
          <t>COBB-VANTRESS BRASIL LTDA</t>
        </is>
      </c>
      <c r="B462" s="17" t="n">
        <v>497078.85</v>
      </c>
      <c r="C462" s="18" t="inlineStr">
        <is>
          <t>AGROPECUÁRIA SERROTE REDONDO</t>
        </is>
      </c>
      <c r="D462" s="19" t="inlineStr">
        <is>
          <t>NEW</t>
        </is>
      </c>
      <c r="E462" s="20" t="inlineStr"/>
      <c r="F462" s="19" t="inlineStr"/>
      <c r="G462" s="20" t="inlineStr"/>
      <c r="H462" s="19" t="inlineStr"/>
      <c r="I462" s="21" t="inlineStr">
        <is>
          <t>RODRIGO FERREIRA SIQUEIRA DE MELLO</t>
        </is>
      </c>
      <c r="J462" s="21" t="inlineStr">
        <is>
          <t>Administrador (RFB partner)</t>
        </is>
      </c>
      <c r="K462" s="21" t="inlineStr"/>
      <c r="L462" s="21" t="inlineStr"/>
      <c r="M462" s="21" t="inlineStr"/>
      <c r="N462" s="21" t="inlineStr"/>
      <c r="O462" s="21" t="inlineStr"/>
      <c r="P462" s="21" t="inlineStr"/>
      <c r="Q462" s="21" t="inlineStr"/>
      <c r="R462" s="21" t="inlineStr"/>
      <c r="S462" s="21" t="inlineStr"/>
      <c r="T462" s="21" t="inlineStr">
        <is>
          <t>RFB partner (QSA); no Apollo match</t>
        </is>
      </c>
      <c r="U462" s="22" t="n">
        <v>497078.85</v>
      </c>
      <c r="V462" s="38" t="inlineStr">
        <is>
          <t>C</t>
        </is>
      </c>
      <c r="W462" s="24">
        <f>IFERROR(VLOOKUP(V462,Assumptions!$A$7:$F$11,2,FALSE),0)</f>
        <v/>
      </c>
      <c r="X462" s="25">
        <f>IF(V462="A",MAX(1,IFERROR(VLOOKUP(V462,Assumptions!$A$7:$F$11,3,FALSE),3)+IFERROR(VLOOKUP(V462,Assumptions!$A$7:$F$11,4,FALSE),8)/2-MAX(0,IF(AO462="",0,YEAR(TODAY())-AO462)-IFERROR(VLOOKUP(V462,Assumptions!$A$7:$F$11,5,FALSE),1.5))),IFERROR(VLOOKUP(V462,Assumptions!$A$7:$F$11,5,FALSE),2.5)+IFERROR(VLOOKUP(V462,Assumptions!$A$7:$F$11,3,FALSE),3)+IFERROR(VLOOKUP(V462,Assumptions!$A$7:$F$11,4,FALSE),8)/2)</f>
        <v/>
      </c>
      <c r="Y462" s="22">
        <f>U462*W462/(1+Assumptions!$B$3)^X462</f>
        <v/>
      </c>
      <c r="Z462" s="26">
        <f>IF(U462=0,"",ROUND(Y462/U462*100,1))</f>
        <v/>
      </c>
      <c r="AA462" s="27">
        <f>Y462*Assumptions!$B$4</f>
        <v/>
      </c>
      <c r="AB462" s="26">
        <f>IF(U462=0,"",ROUND(AA462/U462*100,1))</f>
        <v/>
      </c>
      <c r="AC462" s="27">
        <f>Y462-AA462</f>
        <v/>
      </c>
      <c r="AD462" s="26">
        <f>IF(U462=0,"",ROUND((Y462-AA462)/U462*100,1))</f>
        <v/>
      </c>
      <c r="AE462" s="28" t="inlineStr">
        <is>
          <t>OK — totals reconciled</t>
        </is>
      </c>
      <c r="AF462" s="29" t="inlineStr">
        <is>
          <t>https://lrflideres.com.br/wp-content/plugins/download-attachments/includes/download.php?id=5001</t>
        </is>
      </c>
      <c r="AG462" s="28" t="inlineStr">
        <is>
          <t>p1 r23</t>
        </is>
      </c>
      <c r="AH462" s="28" t="inlineStr">
        <is>
          <t>p1: R$ 497.078,85</t>
        </is>
      </c>
      <c r="AI462" s="28" t="inlineStr">
        <is>
          <t>Unclassified list</t>
        </is>
      </c>
      <c r="AJ462" s="28" t="inlineStr"/>
      <c r="AK462" s="28" t="inlineStr">
        <is>
          <t>NONE FOUND</t>
        </is>
      </c>
      <c r="AL462" s="30" t="inlineStr">
        <is>
          <t>0000206-69.2013.8.17.1340</t>
        </is>
      </c>
      <c r="AM462" s="30" t="inlineStr">
        <is>
          <t>TJPE</t>
        </is>
      </c>
      <c r="AN462" s="30" t="inlineStr"/>
      <c r="AO462" s="30" t="n">
        <v>2013</v>
      </c>
      <c r="AP462" s="30" t="inlineStr">
        <is>
          <t>13y since filing, no plan document</t>
        </is>
      </c>
      <c r="AQ462" s="30" t="inlineStr"/>
      <c r="AR462" s="30" t="inlineStr">
        <is>
          <t>portal page title / URL — not printed on the list</t>
        </is>
      </c>
      <c r="AS462" s="30" t="inlineStr">
        <is>
          <t>GUAPIACU</t>
        </is>
      </c>
      <c r="AT462" s="30" t="inlineStr">
        <is>
          <t>SP</t>
        </is>
      </c>
      <c r="AU462" s="30" t="inlineStr">
        <is>
          <t>Produção de pintos de um dia</t>
        </is>
      </c>
      <c r="AV462" s="30" t="inlineStr">
        <is>
          <t>DEMAIS</t>
        </is>
      </c>
      <c r="AW462" s="31" t="n">
        <v>160750000</v>
      </c>
      <c r="AX462" s="30" t="inlineStr">
        <is>
          <t>MID-MARKET</t>
        </is>
      </c>
      <c r="AY462" s="30" t="inlineStr">
        <is>
          <t>00466591</t>
        </is>
      </c>
      <c r="AZ462" s="30" t="n">
        <v>1</v>
      </c>
      <c r="BA462" s="30" t="inlineStr">
        <is>
          <t>ALT_VALUE:497.078,85 ROWS:p1r23 VALUE_COL:Valor_Atualizado</t>
        </is>
      </c>
    </row>
    <row r="463">
      <c r="A463" s="16" t="inlineStr">
        <is>
          <t>DOREMUS ALIMENTOS LTDA</t>
        </is>
      </c>
      <c r="B463" s="17" t="n">
        <v>235792.34</v>
      </c>
      <c r="C463" s="37" t="inlineStr">
        <is>
          <t>(debtor not identified — see proof)</t>
        </is>
      </c>
      <c r="D463" s="19" t="inlineStr">
        <is>
          <t>NEW</t>
        </is>
      </c>
      <c r="E463" s="20" t="inlineStr"/>
      <c r="F463" s="19" t="inlineStr"/>
      <c r="G463" s="20" t="inlineStr"/>
      <c r="H463" s="19" t="inlineStr"/>
      <c r="I463" s="21" t="inlineStr">
        <is>
          <t>Eber Coelho</t>
        </is>
      </c>
      <c r="J463" s="21" t="inlineStr">
        <is>
          <t>Chief Financial Officer</t>
        </is>
      </c>
      <c r="K463" s="21" t="inlineStr">
        <is>
          <t>(11) 2436-3333</t>
        </is>
      </c>
      <c r="L463" s="21" t="inlineStr"/>
      <c r="M463" s="21" t="inlineStr"/>
      <c r="N463" s="21" t="inlineStr">
        <is>
          <t>eber.coelho@doremus.com.br</t>
        </is>
      </c>
      <c r="O463" s="21" t="inlineStr">
        <is>
          <t>cristiane.kawano@doremus.com.br</t>
        </is>
      </c>
      <c r="P463" s="21" t="inlineStr">
        <is>
          <t>Cristiane Kawano</t>
        </is>
      </c>
      <c r="Q463" s="21" t="inlineStr">
        <is>
          <t>Financial Manager</t>
        </is>
      </c>
      <c r="R463" s="21" t="inlineStr"/>
      <c r="S463" s="21" t="inlineStr">
        <is>
          <t>cristiane.kawano@doremus.com.br</t>
        </is>
      </c>
      <c r="T463" s="21" t="inlineStr">
        <is>
          <t>email verified by Apollo</t>
        </is>
      </c>
      <c r="U463" s="22" t="n">
        <v>235792.34</v>
      </c>
      <c r="V463" s="32" t="inlineStr">
        <is>
          <t>U</t>
        </is>
      </c>
      <c r="W463" s="24">
        <f>IFERROR(VLOOKUP(V463,Assumptions!$A$7:$F$11,2,FALSE),0)</f>
        <v/>
      </c>
      <c r="X463" s="25">
        <f>IF(V463="A",MAX(1,IFERROR(VLOOKUP(V463,Assumptions!$A$7:$F$11,3,FALSE),3)+IFERROR(VLOOKUP(V463,Assumptions!$A$7:$F$11,4,FALSE),8)/2-MAX(0,IF(AO463="",0,YEAR(TODAY())-AO463)-IFERROR(VLOOKUP(V463,Assumptions!$A$7:$F$11,5,FALSE),1.5))),IFERROR(VLOOKUP(V463,Assumptions!$A$7:$F$11,5,FALSE),2.5)+IFERROR(VLOOKUP(V463,Assumptions!$A$7:$F$11,3,FALSE),3)+IFERROR(VLOOKUP(V463,Assumptions!$A$7:$F$11,4,FALSE),8)/2)</f>
        <v/>
      </c>
      <c r="Y463" s="22">
        <f>U463*W463/(1+Assumptions!$B$3)^X463</f>
        <v/>
      </c>
      <c r="Z463" s="26">
        <f>IF(U463=0,"",ROUND(Y463/U463*100,1))</f>
        <v/>
      </c>
      <c r="AA463" s="27">
        <f>Y463*Assumptions!$B$4</f>
        <v/>
      </c>
      <c r="AB463" s="26">
        <f>IF(U463=0,"",ROUND(AA463/U463*100,1))</f>
        <v/>
      </c>
      <c r="AC463" s="27">
        <f>Y463-AA463</f>
        <v/>
      </c>
      <c r="AD463" s="26">
        <f>IF(U463=0,"",ROUND((Y463-AA463)/U463*100,1))</f>
        <v/>
      </c>
      <c r="AE463" s="28" t="inlineStr">
        <is>
          <t>OK — totals reconciled</t>
        </is>
      </c>
      <c r="AF463" s="29" t="inlineStr">
        <is>
          <t>http://bernardobicalho.com.br/login/app/documents/Rela%C3%A7%C3%A3o%20de%20Credores/6.%20RVC-%20Nutricium%20-%20simplificada.pdf</t>
        </is>
      </c>
      <c r="AG463" s="28" t="inlineStr">
        <is>
          <t>p3 r14</t>
        </is>
      </c>
      <c r="AH463" s="28" t="inlineStr">
        <is>
          <t>p3: R$ 235.792,34</t>
        </is>
      </c>
      <c r="AI463" s="28" t="inlineStr">
        <is>
          <t>AJ list (art. 7 §2)</t>
        </is>
      </c>
      <c r="AJ463" s="28" t="inlineStr"/>
      <c r="AK463" s="28" t="inlineStr">
        <is>
          <t>NONE FOUND</t>
        </is>
      </c>
      <c r="AL463" s="30" t="inlineStr">
        <is>
          <t>(not printed)</t>
        </is>
      </c>
      <c r="AM463" s="30" t="inlineStr"/>
      <c r="AN463" s="30" t="inlineStr"/>
      <c r="AO463" s="30" t="inlineStr"/>
      <c r="AP463" s="30" t="inlineStr">
        <is>
          <t>RJ case number not identified on the document</t>
        </is>
      </c>
      <c r="AQ463" s="30" t="inlineStr"/>
      <c r="AR463" s="30" t="inlineStr">
        <is>
          <t>not identified</t>
        </is>
      </c>
      <c r="AS463" s="30" t="inlineStr">
        <is>
          <t>GUARULHOS</t>
        </is>
      </c>
      <c r="AT463" s="30" t="inlineStr">
        <is>
          <t>SP</t>
        </is>
      </c>
      <c r="AU463" s="30" t="inlineStr">
        <is>
          <t>Fabricação de outros produtos alimentícios não especificados anteriormente</t>
        </is>
      </c>
      <c r="AV463" s="30" t="inlineStr">
        <is>
          <t>DEMAIS</t>
        </is>
      </c>
      <c r="AW463" s="31" t="n">
        <v>80000000</v>
      </c>
      <c r="AX463" s="30" t="inlineStr">
        <is>
          <t>MID-MARKET</t>
        </is>
      </c>
      <c r="AY463" s="30" t="inlineStr">
        <is>
          <t>54289830</t>
        </is>
      </c>
      <c r="AZ463" s="30" t="n">
        <v>1</v>
      </c>
      <c r="BA463" s="30" t="inlineStr">
        <is>
          <t>CASE_NUMBER_MISSING ROWS:p3r14</t>
        </is>
      </c>
    </row>
    <row r="464">
      <c r="A464" s="16" t="inlineStr">
        <is>
          <t>COLOR VISAO DO BRASIL INDUSTRIA ACRILICA LIMITADA</t>
        </is>
      </c>
      <c r="B464" s="17" t="n">
        <v>491209.57</v>
      </c>
      <c r="C464" s="18" t="inlineStr">
        <is>
          <t>CREDIMÓVEIS NOVOLAR LTDA.</t>
        </is>
      </c>
      <c r="D464" s="19" t="inlineStr">
        <is>
          <t>NEW</t>
        </is>
      </c>
      <c r="E464" s="20" t="inlineStr"/>
      <c r="F464" s="19" t="inlineStr"/>
      <c r="G464" s="20" t="inlineStr"/>
      <c r="H464" s="19" t="inlineStr"/>
      <c r="I464" s="21" t="inlineStr">
        <is>
          <t>CARLOS ALBERTO RIBEIRO DA SILVA</t>
        </is>
      </c>
      <c r="J464" s="21" t="inlineStr">
        <is>
          <t>Sócio-Administrador (RFB partner)</t>
        </is>
      </c>
      <c r="K464" s="21" t="inlineStr">
        <is>
          <t>(18) 3631-8500</t>
        </is>
      </c>
      <c r="L464" s="21" t="inlineStr"/>
      <c r="M464" s="21" t="inlineStr"/>
      <c r="N464" s="21" t="inlineStr"/>
      <c r="O464" s="21" t="inlineStr"/>
      <c r="P464" s="21" t="inlineStr">
        <is>
          <t>JARRIER BELMONTE SILVA</t>
        </is>
      </c>
      <c r="Q464" s="21" t="inlineStr">
        <is>
          <t>Sócio-Administrador (RFB partner)</t>
        </is>
      </c>
      <c r="R464" s="21" t="inlineStr"/>
      <c r="S464" s="21" t="inlineStr"/>
      <c r="T464" s="21" t="inlineStr">
        <is>
          <t>RFB partner (QSA); no Apollo match</t>
        </is>
      </c>
      <c r="U464" s="22" t="n">
        <v>491209.57</v>
      </c>
      <c r="V464" s="38" t="inlineStr">
        <is>
          <t>C</t>
        </is>
      </c>
      <c r="W464" s="24">
        <f>IFERROR(VLOOKUP(V464,Assumptions!$A$7:$F$11,2,FALSE),0)</f>
        <v/>
      </c>
      <c r="X464" s="25">
        <f>IF(V464="A",MAX(1,IFERROR(VLOOKUP(V464,Assumptions!$A$7:$F$11,3,FALSE),3)+IFERROR(VLOOKUP(V464,Assumptions!$A$7:$F$11,4,FALSE),8)/2-MAX(0,IF(AO464="",0,YEAR(TODAY())-AO464)-IFERROR(VLOOKUP(V464,Assumptions!$A$7:$F$11,5,FALSE),1.5))),IFERROR(VLOOKUP(V464,Assumptions!$A$7:$F$11,5,FALSE),2.5)+IFERROR(VLOOKUP(V464,Assumptions!$A$7:$F$11,3,FALSE),3)+IFERROR(VLOOKUP(V464,Assumptions!$A$7:$F$11,4,FALSE),8)/2)</f>
        <v/>
      </c>
      <c r="Y464" s="22">
        <f>U464*W464/(1+Assumptions!$B$3)^X464</f>
        <v/>
      </c>
      <c r="Z464" s="26">
        <f>IF(U464=0,"",ROUND(Y464/U464*100,1))</f>
        <v/>
      </c>
      <c r="AA464" s="27">
        <f>Y464*Assumptions!$B$4</f>
        <v/>
      </c>
      <c r="AB464" s="26">
        <f>IF(U464=0,"",ROUND(AA464/U464*100,1))</f>
        <v/>
      </c>
      <c r="AC464" s="27">
        <f>Y464-AA464</f>
        <v/>
      </c>
      <c r="AD464" s="26">
        <f>IF(U464=0,"",ROUND((Y464-AA464)/U464*100,1))</f>
        <v/>
      </c>
      <c r="AE464" s="28" t="inlineStr">
        <is>
          <t>OK — totals reconciled</t>
        </is>
      </c>
      <c r="AF464" s="29" t="inlineStr">
        <is>
          <t>https://recuperacaojudicial.squarespace.com/s/RJ-Credimoveis-QGC-01082025.pdf</t>
        </is>
      </c>
      <c r="AG464" s="28" t="inlineStr">
        <is>
          <t>p15 r35</t>
        </is>
      </c>
      <c r="AH464" s="28" t="inlineStr">
        <is>
          <t>p15: R$ 491.209,57</t>
        </is>
      </c>
      <c r="AI464" s="28" t="inlineStr">
        <is>
          <t>QGC (art. 18)</t>
        </is>
      </c>
      <c r="AJ464" s="28" t="inlineStr">
        <is>
          <t>2026-01-28</t>
        </is>
      </c>
      <c r="AK464" s="28" t="inlineStr">
        <is>
          <t>NONE FOUND</t>
        </is>
      </c>
      <c r="AL464" s="30" t="inlineStr">
        <is>
          <t>0007565-40.2020.8.17.2370</t>
        </is>
      </c>
      <c r="AM464" s="30" t="inlineStr">
        <is>
          <t>TJPE</t>
        </is>
      </c>
      <c r="AN464" s="30" t="inlineStr">
        <is>
          <t>ACTIVE</t>
        </is>
      </c>
      <c r="AO464" s="30" t="n">
        <v>2020</v>
      </c>
      <c r="AP464" s="30" t="inlineStr">
        <is>
          <t>6y since filing, no plan document</t>
        </is>
      </c>
      <c r="AQ464" s="30" t="inlineStr">
        <is>
          <t>09.930.165/0001-37</t>
        </is>
      </c>
      <c r="AR464" s="30" t="inlineStr">
        <is>
          <t>printed on the list (read twice)</t>
        </is>
      </c>
      <c r="AS464" s="30" t="inlineStr">
        <is>
          <t>ARACATUBA</t>
        </is>
      </c>
      <c r="AT464" s="30" t="inlineStr">
        <is>
          <t>SP</t>
        </is>
      </c>
      <c r="AU464" s="30" t="inlineStr">
        <is>
          <t>Fabricação de fogões, refrigeradores e máquinas de lavar e secar para uso doméstico, peças e acessórios</t>
        </is>
      </c>
      <c r="AV464" s="30" t="inlineStr">
        <is>
          <t>DEMAIS</t>
        </is>
      </c>
      <c r="AW464" s="31" t="n">
        <v>17110940</v>
      </c>
      <c r="AX464" s="30" t="inlineStr">
        <is>
          <t>MID-MARKET</t>
        </is>
      </c>
      <c r="AY464" s="30" t="inlineStr">
        <is>
          <t>47747969</t>
        </is>
      </c>
      <c r="AZ464" s="30" t="n">
        <v>1</v>
      </c>
      <c r="BA464" s="30" t="inlineStr">
        <is>
          <t>ROWS:p15r35</t>
        </is>
      </c>
    </row>
    <row r="465">
      <c r="A465" s="16" t="inlineStr">
        <is>
          <t>CAEL ATACADO LTDA</t>
        </is>
      </c>
      <c r="B465" s="17" t="n">
        <v>489038.37</v>
      </c>
      <c r="C465" s="18" t="inlineStr">
        <is>
          <t>CREDIMÓVEIS NOVOLAR LTDA.</t>
        </is>
      </c>
      <c r="D465" s="19" t="inlineStr">
        <is>
          <t>NEW</t>
        </is>
      </c>
      <c r="E465" s="20" t="inlineStr"/>
      <c r="F465" s="19" t="inlineStr"/>
      <c r="G465" s="20" t="inlineStr"/>
      <c r="H465" s="19" t="inlineStr"/>
      <c r="I465" s="21" t="inlineStr">
        <is>
          <t>ALEXANDRE BARBOSA LEAL</t>
        </is>
      </c>
      <c r="J465" s="21" t="inlineStr">
        <is>
          <t>Sócio-Administrador (RFB partner)</t>
        </is>
      </c>
      <c r="K465" s="21" t="inlineStr">
        <is>
          <t>(81) 3722-5599</t>
        </is>
      </c>
      <c r="L465" s="21" t="inlineStr"/>
      <c r="M465" s="21" t="inlineStr"/>
      <c r="N465" s="21" t="inlineStr"/>
      <c r="O465" s="21" t="inlineStr"/>
      <c r="P465" s="21" t="inlineStr">
        <is>
          <t>TACIANA BARBOSA LEAL</t>
        </is>
      </c>
      <c r="Q465" s="21" t="inlineStr">
        <is>
          <t>Sócio-Administrador (RFB partner)</t>
        </is>
      </c>
      <c r="R465" s="21" t="inlineStr"/>
      <c r="S465" s="21" t="inlineStr"/>
      <c r="T465" s="21" t="inlineStr">
        <is>
          <t>RFB partner (QSA); no Apollo match</t>
        </is>
      </c>
      <c r="U465" s="22" t="n">
        <v>489038.37</v>
      </c>
      <c r="V465" s="38" t="inlineStr">
        <is>
          <t>C</t>
        </is>
      </c>
      <c r="W465" s="24">
        <f>IFERROR(VLOOKUP(V465,Assumptions!$A$7:$F$11,2,FALSE),0)</f>
        <v/>
      </c>
      <c r="X465" s="25">
        <f>IF(V465="A",MAX(1,IFERROR(VLOOKUP(V465,Assumptions!$A$7:$F$11,3,FALSE),3)+IFERROR(VLOOKUP(V465,Assumptions!$A$7:$F$11,4,FALSE),8)/2-MAX(0,IF(AO465="",0,YEAR(TODAY())-AO465)-IFERROR(VLOOKUP(V465,Assumptions!$A$7:$F$11,5,FALSE),1.5))),IFERROR(VLOOKUP(V465,Assumptions!$A$7:$F$11,5,FALSE),2.5)+IFERROR(VLOOKUP(V465,Assumptions!$A$7:$F$11,3,FALSE),3)+IFERROR(VLOOKUP(V465,Assumptions!$A$7:$F$11,4,FALSE),8)/2)</f>
        <v/>
      </c>
      <c r="Y465" s="22">
        <f>U465*W465/(1+Assumptions!$B$3)^X465</f>
        <v/>
      </c>
      <c r="Z465" s="26">
        <f>IF(U465=0,"",ROUND(Y465/U465*100,1))</f>
        <v/>
      </c>
      <c r="AA465" s="27">
        <f>Y465*Assumptions!$B$4</f>
        <v/>
      </c>
      <c r="AB465" s="26">
        <f>IF(U465=0,"",ROUND(AA465/U465*100,1))</f>
        <v/>
      </c>
      <c r="AC465" s="27">
        <f>Y465-AA465</f>
        <v/>
      </c>
      <c r="AD465" s="26">
        <f>IF(U465=0,"",ROUND((Y465-AA465)/U465*100,1))</f>
        <v/>
      </c>
      <c r="AE465" s="28" t="inlineStr">
        <is>
          <t>OK — totals reconciled</t>
        </is>
      </c>
      <c r="AF465" s="29" t="inlineStr">
        <is>
          <t>https://recuperacaojudicial.squarespace.com/s/RJ-Credimoveis-QGC-01082025.pdf</t>
        </is>
      </c>
      <c r="AG465" s="28" t="inlineStr">
        <is>
          <t>p15 r25</t>
        </is>
      </c>
      <c r="AH465" s="28" t="inlineStr">
        <is>
          <t>p15: R$ 489.038,37</t>
        </is>
      </c>
      <c r="AI465" s="28" t="inlineStr">
        <is>
          <t>QGC (art. 18)</t>
        </is>
      </c>
      <c r="AJ465" s="28" t="inlineStr">
        <is>
          <t>2026-01-28</t>
        </is>
      </c>
      <c r="AK465" s="28" t="inlineStr">
        <is>
          <t>NONE FOUND</t>
        </is>
      </c>
      <c r="AL465" s="30" t="inlineStr">
        <is>
          <t>0007565-40.2020.8.17.2370</t>
        </is>
      </c>
      <c r="AM465" s="30" t="inlineStr">
        <is>
          <t>TJPE</t>
        </is>
      </c>
      <c r="AN465" s="30" t="inlineStr">
        <is>
          <t>ACTIVE</t>
        </is>
      </c>
      <c r="AO465" s="30" t="n">
        <v>2020</v>
      </c>
      <c r="AP465" s="30" t="inlineStr">
        <is>
          <t>6y since filing, no plan document</t>
        </is>
      </c>
      <c r="AQ465" s="30" t="inlineStr">
        <is>
          <t>09.930.165/0001-37</t>
        </is>
      </c>
      <c r="AR465" s="30" t="inlineStr">
        <is>
          <t>printed on the list (read twice)</t>
        </is>
      </c>
      <c r="AS465" s="30" t="inlineStr">
        <is>
          <t>CARUARU</t>
        </is>
      </c>
      <c r="AT465" s="30" t="inlineStr">
        <is>
          <t>PE</t>
        </is>
      </c>
      <c r="AU465" s="30" t="inlineStr">
        <is>
          <t>Comércio atacadista de outros equipamentos e artigos de uso pessoal e doméstico não especificados anteriormente</t>
        </is>
      </c>
      <c r="AV465" s="30" t="inlineStr">
        <is>
          <t>DEMAIS</t>
        </is>
      </c>
      <c r="AW465" s="31" t="n">
        <v>3700000</v>
      </c>
      <c r="AX465" s="30" t="inlineStr">
        <is>
          <t>MID-MARKET</t>
        </is>
      </c>
      <c r="AY465" s="30" t="inlineStr">
        <is>
          <t>08439087</t>
        </is>
      </c>
      <c r="AZ465" s="30" t="n">
        <v>1</v>
      </c>
      <c r="BA465" s="30" t="inlineStr">
        <is>
          <t>ROWS:p15r25</t>
        </is>
      </c>
    </row>
    <row r="466">
      <c r="A466" s="16" t="inlineStr">
        <is>
          <t>ALUMAQ LOCACAO E COMERCIO DE MAQUINAS DE SOLDA LTDA</t>
        </is>
      </c>
      <c r="B466" s="17" t="n">
        <v>231035.6</v>
      </c>
      <c r="C466" s="18" t="inlineStr">
        <is>
          <t>EGESA ENGENHARIA S/A (Consórcio ETDI)</t>
        </is>
      </c>
      <c r="D466" s="19" t="inlineStr">
        <is>
          <t>NEW</t>
        </is>
      </c>
      <c r="E466" s="20" t="inlineStr"/>
      <c r="F466" s="19" t="inlineStr"/>
      <c r="G466" s="20" t="inlineStr"/>
      <c r="H466" s="19" t="inlineStr"/>
      <c r="I466" s="21" t="inlineStr">
        <is>
          <t>Joao Blanco</t>
        </is>
      </c>
      <c r="J466" s="21" t="inlineStr">
        <is>
          <t>Gerente Finanças e Controladoria</t>
        </is>
      </c>
      <c r="K466" s="21" t="inlineStr">
        <is>
          <t>(19) 3794-1201</t>
        </is>
      </c>
      <c r="L466" s="21" t="inlineStr"/>
      <c r="M466" s="21" t="inlineStr"/>
      <c r="N466" s="21" t="inlineStr"/>
      <c r="O466" s="21" t="inlineStr"/>
      <c r="P466" s="21" t="inlineStr">
        <is>
          <t>Jarbas Paraizo</t>
        </is>
      </c>
      <c r="Q466" s="21" t="inlineStr">
        <is>
          <t>Financial Administrative Manager</t>
        </is>
      </c>
      <c r="R466" s="21" t="inlineStr"/>
      <c r="S466" s="21" t="inlineStr"/>
      <c r="T466" s="21" t="inlineStr">
        <is>
          <t>no work email found in Apollo</t>
        </is>
      </c>
      <c r="U466" s="22" t="n">
        <v>231035.6</v>
      </c>
      <c r="V466" s="32" t="inlineStr">
        <is>
          <t>U</t>
        </is>
      </c>
      <c r="W466" s="24">
        <f>IFERROR(VLOOKUP(V466,Assumptions!$A$7:$F$11,2,FALSE),0)</f>
        <v/>
      </c>
      <c r="X466" s="25">
        <f>IF(V466="A",MAX(1,IFERROR(VLOOKUP(V466,Assumptions!$A$7:$F$11,3,FALSE),3)+IFERROR(VLOOKUP(V466,Assumptions!$A$7:$F$11,4,FALSE),8)/2-MAX(0,IF(AO466="",0,YEAR(TODAY())-AO466)-IFERROR(VLOOKUP(V466,Assumptions!$A$7:$F$11,5,FALSE),1.5))),IFERROR(VLOOKUP(V466,Assumptions!$A$7:$F$11,5,FALSE),2.5)+IFERROR(VLOOKUP(V466,Assumptions!$A$7:$F$11,3,FALSE),3)+IFERROR(VLOOKUP(V466,Assumptions!$A$7:$F$11,4,FALSE),8)/2)</f>
        <v/>
      </c>
      <c r="Y466" s="22">
        <f>U466*W466/(1+Assumptions!$B$3)^X466</f>
        <v/>
      </c>
      <c r="Z466" s="26">
        <f>IF(U466=0,"",ROUND(Y466/U466*100,1))</f>
        <v/>
      </c>
      <c r="AA466" s="27">
        <f>Y466*Assumptions!$B$4</f>
        <v/>
      </c>
      <c r="AB466" s="26">
        <f>IF(U466=0,"",ROUND(AA466/U466*100,1))</f>
        <v/>
      </c>
      <c r="AC466" s="27">
        <f>Y466-AA466</f>
        <v/>
      </c>
      <c r="AD466" s="26">
        <f>IF(U466=0,"",ROUND((Y466-AA466)/U466*100,1))</f>
        <v/>
      </c>
      <c r="AE466" s="28" t="inlineStr">
        <is>
          <t>OK — totals reconciled</t>
        </is>
      </c>
      <c r="AF466" s="29" t="inlineStr">
        <is>
          <t>https://scalzilliaj.com.br/sgc/download.php?file=files/processo_documento/processo_documento09514021082025_1_.pdf&amp;nome=04 - Relação de credores das Recuperandas</t>
        </is>
      </c>
      <c r="AG466" s="28" t="inlineStr">
        <is>
          <t>p62 r4</t>
        </is>
      </c>
      <c r="AH466" s="28" t="inlineStr">
        <is>
          <t>p62: R$ 231.035,60</t>
        </is>
      </c>
      <c r="AI466" s="28" t="inlineStr">
        <is>
          <t>Debtor list (art. 51)</t>
        </is>
      </c>
      <c r="AJ466" s="28" t="inlineStr"/>
      <c r="AK466" s="28" t="inlineStr">
        <is>
          <t>NONE FOUND</t>
        </is>
      </c>
      <c r="AL466" s="30" t="inlineStr">
        <is>
          <t>(not printed)</t>
        </is>
      </c>
      <c r="AM466" s="30" t="inlineStr"/>
      <c r="AN466" s="30" t="inlineStr"/>
      <c r="AO466" s="30" t="inlineStr"/>
      <c r="AP466" s="30" t="inlineStr">
        <is>
          <t>RJ case number not identified on the document</t>
        </is>
      </c>
      <c r="AQ466" s="30" t="inlineStr"/>
      <c r="AR466" s="30" t="inlineStr">
        <is>
          <t>portal page title / URL — not printed on the list</t>
        </is>
      </c>
      <c r="AS466" s="30" t="inlineStr">
        <is>
          <t>CAMPINAS</t>
        </is>
      </c>
      <c r="AT466" s="30" t="inlineStr">
        <is>
          <t>SP</t>
        </is>
      </c>
      <c r="AU466" s="30" t="inlineStr">
        <is>
          <t>Comércio atacadista de Máquinas e equipamentos para uso industrial; partes e peças</t>
        </is>
      </c>
      <c r="AV466" s="30" t="inlineStr">
        <is>
          <t>DEMAIS</t>
        </is>
      </c>
      <c r="AW466" s="31" t="n">
        <v>9329889</v>
      </c>
      <c r="AX466" s="30" t="inlineStr">
        <is>
          <t>MID-MARKET</t>
        </is>
      </c>
      <c r="AY466" s="30" t="inlineStr">
        <is>
          <t>46991618</t>
        </is>
      </c>
      <c r="AZ466" s="30" t="n">
        <v>1</v>
      </c>
      <c r="BA466" s="30" t="inlineStr">
        <is>
          <t>ROWS:p62r4 VALUE_COL:Valor_Atualizado CASE_NUMBER_CORRECTED</t>
        </is>
      </c>
    </row>
    <row r="467">
      <c r="A467" s="16" t="inlineStr">
        <is>
          <t>PALUDETTO &amp; CIA LTDA</t>
        </is>
      </c>
      <c r="B467" s="17" t="n">
        <v>475452</v>
      </c>
      <c r="C467" s="18" t="inlineStr">
        <is>
          <t>CREDIMÓVEIS NOVOLAR LTDA.</t>
        </is>
      </c>
      <c r="D467" s="19" t="inlineStr">
        <is>
          <t>NEW</t>
        </is>
      </c>
      <c r="E467" s="20" t="inlineStr"/>
      <c r="F467" s="19" t="inlineStr"/>
      <c r="G467" s="20" t="inlineStr"/>
      <c r="H467" s="19" t="inlineStr"/>
      <c r="I467" s="21" t="inlineStr">
        <is>
          <t>Andrey Paludetto</t>
        </is>
      </c>
      <c r="J467" s="21" t="inlineStr">
        <is>
          <t>Commercial Director</t>
        </is>
      </c>
      <c r="K467" s="21" t="inlineStr">
        <is>
          <t>(43) 3172-1600</t>
        </is>
      </c>
      <c r="L467" s="21" t="inlineStr">
        <is>
          <t>(43) 3172-1646</t>
        </is>
      </c>
      <c r="M467" s="21" t="inlineStr"/>
      <c r="N467" s="21" t="inlineStr">
        <is>
          <t>andrey@moveisalbatroz.com.br</t>
        </is>
      </c>
      <c r="O467" s="21" t="inlineStr"/>
      <c r="P467" s="21" t="inlineStr">
        <is>
          <t>EDUARDO PALUDETO</t>
        </is>
      </c>
      <c r="Q467" s="21" t="inlineStr">
        <is>
          <t>Sócio-Administrador (RFB partner)</t>
        </is>
      </c>
      <c r="R467" s="21" t="inlineStr"/>
      <c r="S467" s="21" t="inlineStr"/>
      <c r="T467" s="21" t="inlineStr">
        <is>
          <t>email verified by Apollo</t>
        </is>
      </c>
      <c r="U467" s="22" t="n">
        <v>475452</v>
      </c>
      <c r="V467" s="38" t="inlineStr">
        <is>
          <t>C</t>
        </is>
      </c>
      <c r="W467" s="24">
        <f>IFERROR(VLOOKUP(V467,Assumptions!$A$7:$F$11,2,FALSE),0)</f>
        <v/>
      </c>
      <c r="X467" s="25">
        <f>IF(V467="A",MAX(1,IFERROR(VLOOKUP(V467,Assumptions!$A$7:$F$11,3,FALSE),3)+IFERROR(VLOOKUP(V467,Assumptions!$A$7:$F$11,4,FALSE),8)/2-MAX(0,IF(AO467="",0,YEAR(TODAY())-AO467)-IFERROR(VLOOKUP(V467,Assumptions!$A$7:$F$11,5,FALSE),1.5))),IFERROR(VLOOKUP(V467,Assumptions!$A$7:$F$11,5,FALSE),2.5)+IFERROR(VLOOKUP(V467,Assumptions!$A$7:$F$11,3,FALSE),3)+IFERROR(VLOOKUP(V467,Assumptions!$A$7:$F$11,4,FALSE),8)/2)</f>
        <v/>
      </c>
      <c r="Y467" s="22">
        <f>U467*W467/(1+Assumptions!$B$3)^X467</f>
        <v/>
      </c>
      <c r="Z467" s="26">
        <f>IF(U467=0,"",ROUND(Y467/U467*100,1))</f>
        <v/>
      </c>
      <c r="AA467" s="27">
        <f>Y467*Assumptions!$B$4</f>
        <v/>
      </c>
      <c r="AB467" s="26">
        <f>IF(U467=0,"",ROUND(AA467/U467*100,1))</f>
        <v/>
      </c>
      <c r="AC467" s="27">
        <f>Y467-AA467</f>
        <v/>
      </c>
      <c r="AD467" s="26">
        <f>IF(U467=0,"",ROUND((Y467-AA467)/U467*100,1))</f>
        <v/>
      </c>
      <c r="AE467" s="28" t="inlineStr">
        <is>
          <t>OK — totals reconciled</t>
        </is>
      </c>
      <c r="AF467" s="29" t="inlineStr">
        <is>
          <t>https://recuperacaojudicial.squarespace.com/s/RJ-Credimoveis-QGC-01082025.pdf</t>
        </is>
      </c>
      <c r="AG467" s="28" t="inlineStr">
        <is>
          <t>p16 r37</t>
        </is>
      </c>
      <c r="AH467" s="28" t="inlineStr">
        <is>
          <t>p16: R$ 475.452,00</t>
        </is>
      </c>
      <c r="AI467" s="28" t="inlineStr">
        <is>
          <t>QGC (art. 18)</t>
        </is>
      </c>
      <c r="AJ467" s="28" t="inlineStr">
        <is>
          <t>2026-01-28</t>
        </is>
      </c>
      <c r="AK467" s="28" t="inlineStr">
        <is>
          <t>NONE FOUND</t>
        </is>
      </c>
      <c r="AL467" s="30" t="inlineStr">
        <is>
          <t>0007565-40.2020.8.17.2370</t>
        </is>
      </c>
      <c r="AM467" s="30" t="inlineStr">
        <is>
          <t>TJPE</t>
        </is>
      </c>
      <c r="AN467" s="30" t="inlineStr">
        <is>
          <t>ACTIVE</t>
        </is>
      </c>
      <c r="AO467" s="30" t="n">
        <v>2020</v>
      </c>
      <c r="AP467" s="30" t="inlineStr">
        <is>
          <t>6y since filing, no plan document</t>
        </is>
      </c>
      <c r="AQ467" s="30" t="inlineStr">
        <is>
          <t>09.930.165/0001-37</t>
        </is>
      </c>
      <c r="AR467" s="30" t="inlineStr">
        <is>
          <t>printed on the list (read twice)</t>
        </is>
      </c>
      <c r="AS467" s="30" t="inlineStr">
        <is>
          <t>ARAPONGAS</t>
        </is>
      </c>
      <c r="AT467" s="30" t="inlineStr">
        <is>
          <t>PR</t>
        </is>
      </c>
      <c r="AU467" s="30" t="inlineStr">
        <is>
          <t>Fabricação de móveis com predominância de madeira</t>
        </is>
      </c>
      <c r="AV467" s="30" t="inlineStr">
        <is>
          <t>DEMAIS</t>
        </is>
      </c>
      <c r="AW467" s="31" t="n">
        <v>4000000</v>
      </c>
      <c r="AX467" s="30" t="inlineStr">
        <is>
          <t>MID-MARKET</t>
        </is>
      </c>
      <c r="AY467" s="30" t="inlineStr">
        <is>
          <t>77991552</t>
        </is>
      </c>
      <c r="AZ467" s="30" t="n">
        <v>1</v>
      </c>
      <c r="BA467" s="30" t="inlineStr">
        <is>
          <t>ROWS:p16r37</t>
        </is>
      </c>
    </row>
    <row r="468">
      <c r="A468" s="16" t="inlineStr">
        <is>
          <t>GEOQUEST BRASIL LTDA</t>
        </is>
      </c>
      <c r="B468" s="17" t="n">
        <v>220382.08</v>
      </c>
      <c r="C468" s="18" t="inlineStr">
        <is>
          <t>EGESA ENGENHARIA S/A (Consórcio ETDI)</t>
        </is>
      </c>
      <c r="D468" s="19" t="inlineStr">
        <is>
          <t>NEW</t>
        </is>
      </c>
      <c r="E468" s="20" t="inlineStr"/>
      <c r="F468" s="19" t="inlineStr"/>
      <c r="G468" s="20" t="inlineStr"/>
      <c r="H468" s="19" t="inlineStr"/>
      <c r="I468" s="21" t="inlineStr">
        <is>
          <t>Rogerio Negosia</t>
        </is>
      </c>
      <c r="J468" s="21" t="inlineStr">
        <is>
          <t>Customer Relationship Executive</t>
        </is>
      </c>
      <c r="K468" s="21" t="inlineStr">
        <is>
          <t>(21) 2233-7353</t>
        </is>
      </c>
      <c r="L468" s="21" t="inlineStr">
        <is>
          <t>(21) 2233-7354</t>
        </is>
      </c>
      <c r="M468" s="21" t="inlineStr"/>
      <c r="N468" s="21" t="inlineStr"/>
      <c r="O468" s="21" t="inlineStr"/>
      <c r="P468" s="21" t="inlineStr"/>
      <c r="Q468" s="21" t="inlineStr"/>
      <c r="R468" s="21" t="inlineStr"/>
      <c r="S468" s="21" t="inlineStr"/>
      <c r="T468" s="21" t="inlineStr">
        <is>
          <t>no work email found in Apollo</t>
        </is>
      </c>
      <c r="U468" s="22" t="n">
        <v>220382.08</v>
      </c>
      <c r="V468" s="32" t="inlineStr">
        <is>
          <t>U</t>
        </is>
      </c>
      <c r="W468" s="24">
        <f>IFERROR(VLOOKUP(V468,Assumptions!$A$7:$F$11,2,FALSE),0)</f>
        <v/>
      </c>
      <c r="X468" s="25">
        <f>IF(V468="A",MAX(1,IFERROR(VLOOKUP(V468,Assumptions!$A$7:$F$11,3,FALSE),3)+IFERROR(VLOOKUP(V468,Assumptions!$A$7:$F$11,4,FALSE),8)/2-MAX(0,IF(AO468="",0,YEAR(TODAY())-AO468)-IFERROR(VLOOKUP(V468,Assumptions!$A$7:$F$11,5,FALSE),1.5))),IFERROR(VLOOKUP(V468,Assumptions!$A$7:$F$11,5,FALSE),2.5)+IFERROR(VLOOKUP(V468,Assumptions!$A$7:$F$11,3,FALSE),3)+IFERROR(VLOOKUP(V468,Assumptions!$A$7:$F$11,4,FALSE),8)/2)</f>
        <v/>
      </c>
      <c r="Y468" s="22">
        <f>U468*W468/(1+Assumptions!$B$3)^X468</f>
        <v/>
      </c>
      <c r="Z468" s="26">
        <f>IF(U468=0,"",ROUND(Y468/U468*100,1))</f>
        <v/>
      </c>
      <c r="AA468" s="27">
        <f>Y468*Assumptions!$B$4</f>
        <v/>
      </c>
      <c r="AB468" s="26">
        <f>IF(U468=0,"",ROUND(AA468/U468*100,1))</f>
        <v/>
      </c>
      <c r="AC468" s="27">
        <f>Y468-AA468</f>
        <v/>
      </c>
      <c r="AD468" s="26">
        <f>IF(U468=0,"",ROUND((Y468-AA468)/U468*100,1))</f>
        <v/>
      </c>
      <c r="AE468" s="28" t="inlineStr">
        <is>
          <t>OK — totals reconciled</t>
        </is>
      </c>
      <c r="AF468" s="29" t="inlineStr">
        <is>
          <t>https://scalzilliaj.com.br/sgc/download.php?file=files/processo_documento/processo_documento09514021082025_1_.pdf&amp;nome=04 - Relação de credores das Recuperandas</t>
        </is>
      </c>
      <c r="AG468" s="28" t="inlineStr">
        <is>
          <t>p74 r6</t>
        </is>
      </c>
      <c r="AH468" s="28" t="inlineStr">
        <is>
          <t>p74: R$ 220.382,08</t>
        </is>
      </c>
      <c r="AI468" s="28" t="inlineStr">
        <is>
          <t>Debtor list (art. 51)</t>
        </is>
      </c>
      <c r="AJ468" s="28" t="inlineStr"/>
      <c r="AK468" s="28" t="inlineStr">
        <is>
          <t>NONE FOUND</t>
        </is>
      </c>
      <c r="AL468" s="30" t="inlineStr">
        <is>
          <t>(not printed)</t>
        </is>
      </c>
      <c r="AM468" s="30" t="inlineStr"/>
      <c r="AN468" s="30" t="inlineStr"/>
      <c r="AO468" s="30" t="inlineStr"/>
      <c r="AP468" s="30" t="inlineStr">
        <is>
          <t>RJ case number not identified on the document</t>
        </is>
      </c>
      <c r="AQ468" s="30" t="inlineStr"/>
      <c r="AR468" s="30" t="inlineStr">
        <is>
          <t>portal page title / URL — not printed on the list</t>
        </is>
      </c>
      <c r="AS468" s="30" t="inlineStr">
        <is>
          <t>RIO DE JANEIRO</t>
        </is>
      </c>
      <c r="AT468" s="30" t="inlineStr">
        <is>
          <t>RJ</t>
        </is>
      </c>
      <c r="AU468" s="30" t="inlineStr">
        <is>
          <t>Outras obras de engenharia civil não especificadas anteriormente</t>
        </is>
      </c>
      <c r="AV468" s="30" t="inlineStr">
        <is>
          <t>DEMAIS</t>
        </is>
      </c>
      <c r="AW468" s="31" t="n">
        <v>1073294</v>
      </c>
      <c r="AX468" s="30" t="inlineStr">
        <is>
          <t>MID-MARKET</t>
        </is>
      </c>
      <c r="AY468" s="30" t="inlineStr">
        <is>
          <t>42470088</t>
        </is>
      </c>
      <c r="AZ468" s="30" t="n">
        <v>1</v>
      </c>
      <c r="BA468" s="30" t="inlineStr">
        <is>
          <t>ROWS:p74r6 VALUE_COL:Valor_Atualizado CASE_NUMBER_CORRECTED</t>
        </is>
      </c>
    </row>
    <row r="469">
      <c r="A469" s="16" t="inlineStr">
        <is>
          <t>ESCRITORIO CENTRAL DE ARRECADACAO E DISTRIBUICAO ECAD</t>
        </is>
      </c>
      <c r="B469" s="17" t="n">
        <v>453771.76</v>
      </c>
      <c r="C469" s="18" t="inlineStr">
        <is>
          <t>GRUPO ARNON DE MELLO</t>
        </is>
      </c>
      <c r="D469" s="19" t="inlineStr">
        <is>
          <t>NEW</t>
        </is>
      </c>
      <c r="E469" s="20" t="inlineStr"/>
      <c r="F469" s="19" t="inlineStr"/>
      <c r="G469" s="20" t="inlineStr"/>
      <c r="H469" s="19" t="inlineStr"/>
      <c r="I469" s="21" t="inlineStr">
        <is>
          <t>ISABEL AMORIM SICHERLE</t>
        </is>
      </c>
      <c r="J469" s="21" t="inlineStr">
        <is>
          <t>Presidente (RFB partner)</t>
        </is>
      </c>
      <c r="K469" s="21" t="inlineStr">
        <is>
          <t>(21) 3505-8500</t>
        </is>
      </c>
      <c r="L469" s="21" t="inlineStr"/>
      <c r="M469" s="21" t="inlineStr"/>
      <c r="N469" s="21" t="inlineStr"/>
      <c r="O469" s="21" t="inlineStr"/>
      <c r="P469" s="21" t="inlineStr"/>
      <c r="Q469" s="21" t="inlineStr"/>
      <c r="R469" s="21" t="inlineStr"/>
      <c r="S469" s="21" t="inlineStr"/>
      <c r="T469" s="21" t="inlineStr">
        <is>
          <t>RFB partner (QSA); no Apollo match</t>
        </is>
      </c>
      <c r="U469" s="22" t="n">
        <v>453771.76</v>
      </c>
      <c r="V469" s="38" t="inlineStr">
        <is>
          <t>C</t>
        </is>
      </c>
      <c r="W469" s="24">
        <f>IFERROR(VLOOKUP(V469,Assumptions!$A$7:$F$11,2,FALSE),0)</f>
        <v/>
      </c>
      <c r="X469" s="25">
        <f>IF(V469="A",MAX(1,IFERROR(VLOOKUP(V469,Assumptions!$A$7:$F$11,3,FALSE),3)+IFERROR(VLOOKUP(V469,Assumptions!$A$7:$F$11,4,FALSE),8)/2-MAX(0,IF(AO469="",0,YEAR(TODAY())-AO469)-IFERROR(VLOOKUP(V469,Assumptions!$A$7:$F$11,5,FALSE),1.5))),IFERROR(VLOOKUP(V469,Assumptions!$A$7:$F$11,5,FALSE),2.5)+IFERROR(VLOOKUP(V469,Assumptions!$A$7:$F$11,3,FALSE),3)+IFERROR(VLOOKUP(V469,Assumptions!$A$7:$F$11,4,FALSE),8)/2)</f>
        <v/>
      </c>
      <c r="Y469" s="22">
        <f>U469*W469/(1+Assumptions!$B$3)^X469</f>
        <v/>
      </c>
      <c r="Z469" s="26">
        <f>IF(U469=0,"",ROUND(Y469/U469*100,1))</f>
        <v/>
      </c>
      <c r="AA469" s="27">
        <f>Y469*Assumptions!$B$4</f>
        <v/>
      </c>
      <c r="AB469" s="26">
        <f>IF(U469=0,"",ROUND(AA469/U469*100,1))</f>
        <v/>
      </c>
      <c r="AC469" s="27">
        <f>Y469-AA469</f>
        <v/>
      </c>
      <c r="AD469" s="26">
        <f>IF(U469=0,"",ROUND((Y469-AA469)/U469*100,1))</f>
        <v/>
      </c>
      <c r="AE469" s="33" t="inlineStr">
        <is>
          <t>NO TOTALS — list prints none; check page</t>
        </is>
      </c>
      <c r="AF469" s="29" t="inlineStr">
        <is>
          <t>https://recuperacaojudicial.squarespace.com/s/RJ-Grupo-Arnon-de-Melo-Lista-de-Credores-Consolidada-abril-2022.pdf</t>
        </is>
      </c>
      <c r="AG469" s="28" t="inlineStr">
        <is>
          <t>p8 r4</t>
        </is>
      </c>
      <c r="AH469" s="28" t="inlineStr">
        <is>
          <t>p8: R$ 453.771,76</t>
        </is>
      </c>
      <c r="AI469" s="28" t="inlineStr">
        <is>
          <t>AJ list (art. 7 §2)</t>
        </is>
      </c>
      <c r="AJ469" s="28" t="inlineStr"/>
      <c r="AK469" s="28" t="inlineStr">
        <is>
          <t>NONE FOUND</t>
        </is>
      </c>
      <c r="AL469" s="30" t="inlineStr">
        <is>
          <t>0700256-03.2019.8.02.0066</t>
        </is>
      </c>
      <c r="AM469" s="30" t="inlineStr">
        <is>
          <t>TJAL</t>
        </is>
      </c>
      <c r="AN469" s="30" t="inlineStr"/>
      <c r="AO469" s="30" t="n">
        <v>2019</v>
      </c>
      <c r="AP469" s="30" t="inlineStr">
        <is>
          <t>7y since filing, no plan document</t>
        </is>
      </c>
      <c r="AQ469" s="30" t="inlineStr">
        <is>
          <t>12.503.801/0001-59</t>
        </is>
      </c>
      <c r="AR469" s="30" t="inlineStr">
        <is>
          <t>printed on the list (read twice)</t>
        </is>
      </c>
      <c r="AS469" s="30" t="inlineStr">
        <is>
          <t>RIO DE JANEIRO</t>
        </is>
      </c>
      <c r="AT469" s="30" t="inlineStr">
        <is>
          <t>RJ</t>
        </is>
      </c>
      <c r="AU469" s="30" t="inlineStr">
        <is>
          <t>Atividades de organizações associativas ligadas à cultura e à arte</t>
        </is>
      </c>
      <c r="AV469" s="30" t="inlineStr">
        <is>
          <t>DEMAIS</t>
        </is>
      </c>
      <c r="AW469" s="31" t="inlineStr"/>
      <c r="AX469" s="30" t="inlineStr">
        <is>
          <t>MID-MARKET</t>
        </is>
      </c>
      <c r="AY469" s="30" t="inlineStr">
        <is>
          <t>00474973</t>
        </is>
      </c>
      <c r="AZ469" s="30" t="n">
        <v>1</v>
      </c>
      <c r="BA469" s="30" t="inlineStr">
        <is>
          <t>ROWS:p8r4 UNRECONCILED_SOURCE</t>
        </is>
      </c>
    </row>
    <row r="470">
      <c r="A470" s="16" t="inlineStr">
        <is>
          <t>NP BRASIL SERVICOS E PROJETOS LTDA</t>
        </is>
      </c>
      <c r="B470" s="17" t="n">
        <v>830950.0600000001</v>
      </c>
      <c r="C470" s="18" t="inlineStr">
        <is>
          <t>Mannes</t>
        </is>
      </c>
      <c r="D470" s="19" t="inlineStr">
        <is>
          <t>NEW</t>
        </is>
      </c>
      <c r="E470" s="20" t="inlineStr"/>
      <c r="F470" s="19" t="inlineStr"/>
      <c r="G470" s="20" t="inlineStr"/>
      <c r="H470" s="19" t="inlineStr"/>
      <c r="I470" s="21" t="inlineStr">
        <is>
          <t>ANTONIO SERGIO HURTADO</t>
        </is>
      </c>
      <c r="J470" s="21" t="inlineStr">
        <is>
          <t>Sócio-Administrador (RFB partner)</t>
        </is>
      </c>
      <c r="K470" s="21" t="inlineStr">
        <is>
          <t>(11) 4443-1000</t>
        </is>
      </c>
      <c r="L470" s="21" t="inlineStr"/>
      <c r="M470" s="21" t="inlineStr"/>
      <c r="N470" s="21" t="inlineStr"/>
      <c r="O470" s="21" t="inlineStr"/>
      <c r="P470" s="21" t="inlineStr"/>
      <c r="Q470" s="21" t="inlineStr"/>
      <c r="R470" s="21" t="inlineStr"/>
      <c r="S470" s="21" t="inlineStr"/>
      <c r="T470" s="21" t="inlineStr">
        <is>
          <t>RFB partner (QSA); no Apollo match</t>
        </is>
      </c>
      <c r="U470" s="22" t="n">
        <v>830950.0600000001</v>
      </c>
      <c r="V470" s="39" t="inlineStr">
        <is>
          <t>D</t>
        </is>
      </c>
      <c r="W470" s="24">
        <f>IFERROR(VLOOKUP(V470,Assumptions!$A$7:$F$11,2,FALSE),0)</f>
        <v/>
      </c>
      <c r="X470" s="25">
        <f>IF(V470="A",MAX(1,IFERROR(VLOOKUP(V470,Assumptions!$A$7:$F$11,3,FALSE),3)+IFERROR(VLOOKUP(V470,Assumptions!$A$7:$F$11,4,FALSE),8)/2-MAX(0,IF(AO470="",0,YEAR(TODAY())-AO470)-IFERROR(VLOOKUP(V470,Assumptions!$A$7:$F$11,5,FALSE),1.5))),IFERROR(VLOOKUP(V470,Assumptions!$A$7:$F$11,5,FALSE),2.5)+IFERROR(VLOOKUP(V470,Assumptions!$A$7:$F$11,3,FALSE),3)+IFERROR(VLOOKUP(V470,Assumptions!$A$7:$F$11,4,FALSE),8)/2)</f>
        <v/>
      </c>
      <c r="Y470" s="22">
        <f>U470*W470/(1+Assumptions!$B$3)^X470</f>
        <v/>
      </c>
      <c r="Z470" s="26">
        <f>IF(U470=0,"",ROUND(Y470/U470*100,1))</f>
        <v/>
      </c>
      <c r="AA470" s="27">
        <f>Y470*Assumptions!$B$4</f>
        <v/>
      </c>
      <c r="AB470" s="26">
        <f>IF(U470=0,"",ROUND(AA470/U470*100,1))</f>
        <v/>
      </c>
      <c r="AC470" s="27">
        <f>Y470-AA470</f>
        <v/>
      </c>
      <c r="AD470" s="26">
        <f>IF(U470=0,"",ROUND((Y470-AA470)/U470*100,1))</f>
        <v/>
      </c>
      <c r="AE470" s="36" t="inlineStr">
        <is>
          <t>CHECK — source is not a statutory creditor list</t>
        </is>
      </c>
      <c r="AF470" s="29" t="inlineStr">
        <is>
          <t>https://administradorajudicialgs.com.br/wp-content/uploads/2024/12/relacao-de-credores-da-falida.pdf</t>
        </is>
      </c>
      <c r="AG470" s="28" t="inlineStr">
        <is>
          <t>p17 r14</t>
        </is>
      </c>
      <c r="AH470" s="28" t="inlineStr">
        <is>
          <t>p17: R$ 830.950,06</t>
        </is>
      </c>
      <c r="AI470" s="28" t="inlineStr">
        <is>
          <t>Other filing — NOT an art. 7/51 list</t>
        </is>
      </c>
      <c r="AJ470" s="28" t="inlineStr">
        <is>
          <t>2025-03-25</t>
        </is>
      </c>
      <c r="AK470" s="28" t="inlineStr">
        <is>
          <t>NONE FOUND</t>
        </is>
      </c>
      <c r="AL470" s="30" t="inlineStr">
        <is>
          <t>0005010-50.2013.8.24.0026</t>
        </is>
      </c>
      <c r="AM470" s="30" t="inlineStr">
        <is>
          <t>TJSC</t>
        </is>
      </c>
      <c r="AN470" s="30" t="inlineStr"/>
      <c r="AO470" s="30" t="n">
        <v>2013</v>
      </c>
      <c r="AP470" s="30" t="inlineStr">
        <is>
          <t>document is a falência (bankruptcy) list</t>
        </is>
      </c>
      <c r="AQ470" s="30" t="inlineStr"/>
      <c r="AR470" s="30" t="inlineStr">
        <is>
          <t>printed on the list (read twice)</t>
        </is>
      </c>
      <c r="AS470" s="30" t="inlineStr">
        <is>
          <t>FRANCO DA ROCHA</t>
        </is>
      </c>
      <c r="AT470" s="30" t="inlineStr">
        <is>
          <t>SP</t>
        </is>
      </c>
      <c r="AU470" s="30" t="inlineStr">
        <is>
          <t>Fabricação de embalagens de material plástico</t>
        </is>
      </c>
      <c r="AV470" s="30" t="inlineStr">
        <is>
          <t>DEMAIS</t>
        </is>
      </c>
      <c r="AW470" s="31" t="n">
        <v>460000</v>
      </c>
      <c r="AX470" s="30" t="inlineStr">
        <is>
          <t>MID-MARKET</t>
        </is>
      </c>
      <c r="AY470" s="30" t="inlineStr">
        <is>
          <t>67959015</t>
        </is>
      </c>
      <c r="AZ470" s="30" t="n">
        <v>1</v>
      </c>
      <c r="BA470" s="30" t="inlineStr">
        <is>
          <t>ROWS:p17r14 UNRECONCILED_SOURCE CASE_NUMBER_CORRECTED</t>
        </is>
      </c>
    </row>
    <row r="471">
      <c r="A471" s="16" t="inlineStr">
        <is>
          <t>MK BR S.A</t>
        </is>
      </c>
      <c r="B471" s="17" t="n">
        <v>450760.99</v>
      </c>
      <c r="C471" s="18" t="inlineStr">
        <is>
          <t>CREDIMÓVEIS NOVOLAR LTDA.</t>
        </is>
      </c>
      <c r="D471" s="19" t="inlineStr">
        <is>
          <t>NEW</t>
        </is>
      </c>
      <c r="E471" s="20" t="inlineStr"/>
      <c r="F471" s="19" t="inlineStr"/>
      <c r="G471" s="20" t="inlineStr"/>
      <c r="H471" s="19" t="inlineStr"/>
      <c r="I471" s="21" t="inlineStr">
        <is>
          <t>ALBERTO BAGGIANI</t>
        </is>
      </c>
      <c r="J471" s="21" t="inlineStr">
        <is>
          <t>Diretor (RFB partner)</t>
        </is>
      </c>
      <c r="K471" s="21" t="inlineStr">
        <is>
          <t>(11) 3581-4125</t>
        </is>
      </c>
      <c r="L471" s="21" t="inlineStr"/>
      <c r="M471" s="21" t="inlineStr"/>
      <c r="N471" s="21" t="inlineStr"/>
      <c r="O471" s="21" t="inlineStr"/>
      <c r="P471" s="21" t="inlineStr">
        <is>
          <t>GIOVANNI MARINS CARDOSO</t>
        </is>
      </c>
      <c r="Q471" s="21" t="inlineStr">
        <is>
          <t>Diretor (RFB partner)</t>
        </is>
      </c>
      <c r="R471" s="21" t="inlineStr"/>
      <c r="S471" s="21" t="inlineStr"/>
      <c r="T471" s="21" t="inlineStr">
        <is>
          <t>RFB partner (QSA); no Apollo match</t>
        </is>
      </c>
      <c r="U471" s="22" t="n">
        <v>450760.99</v>
      </c>
      <c r="V471" s="38" t="inlineStr">
        <is>
          <t>C</t>
        </is>
      </c>
      <c r="W471" s="24">
        <f>IFERROR(VLOOKUP(V471,Assumptions!$A$7:$F$11,2,FALSE),0)</f>
        <v/>
      </c>
      <c r="X471" s="25">
        <f>IF(V471="A",MAX(1,IFERROR(VLOOKUP(V471,Assumptions!$A$7:$F$11,3,FALSE),3)+IFERROR(VLOOKUP(V471,Assumptions!$A$7:$F$11,4,FALSE),8)/2-MAX(0,IF(AO471="",0,YEAR(TODAY())-AO471)-IFERROR(VLOOKUP(V471,Assumptions!$A$7:$F$11,5,FALSE),1.5))),IFERROR(VLOOKUP(V471,Assumptions!$A$7:$F$11,5,FALSE),2.5)+IFERROR(VLOOKUP(V471,Assumptions!$A$7:$F$11,3,FALSE),3)+IFERROR(VLOOKUP(V471,Assumptions!$A$7:$F$11,4,FALSE),8)/2)</f>
        <v/>
      </c>
      <c r="Y471" s="22">
        <f>U471*W471/(1+Assumptions!$B$3)^X471</f>
        <v/>
      </c>
      <c r="Z471" s="26">
        <f>IF(U471=0,"",ROUND(Y471/U471*100,1))</f>
        <v/>
      </c>
      <c r="AA471" s="27">
        <f>Y471*Assumptions!$B$4</f>
        <v/>
      </c>
      <c r="AB471" s="26">
        <f>IF(U471=0,"",ROUND(AA471/U471*100,1))</f>
        <v/>
      </c>
      <c r="AC471" s="27">
        <f>Y471-AA471</f>
        <v/>
      </c>
      <c r="AD471" s="26">
        <f>IF(U471=0,"",ROUND((Y471-AA471)/U471*100,1))</f>
        <v/>
      </c>
      <c r="AE471" s="28" t="inlineStr">
        <is>
          <t>OK — totals reconciled</t>
        </is>
      </c>
      <c r="AF471" s="29" t="inlineStr">
        <is>
          <t>https://recuperacaojudicial.squarespace.com/s/RJ-Credimoveis-QGC-01082025.pdf</t>
        </is>
      </c>
      <c r="AG471" s="28" t="inlineStr">
        <is>
          <t>p16 r20</t>
        </is>
      </c>
      <c r="AH471" s="28" t="inlineStr">
        <is>
          <t>p16: R$ 450.760,99</t>
        </is>
      </c>
      <c r="AI471" s="28" t="inlineStr">
        <is>
          <t>QGC (art. 18)</t>
        </is>
      </c>
      <c r="AJ471" s="28" t="inlineStr">
        <is>
          <t>2026-01-28</t>
        </is>
      </c>
      <c r="AK471" s="28" t="inlineStr">
        <is>
          <t>NONE FOUND</t>
        </is>
      </c>
      <c r="AL471" s="30" t="inlineStr">
        <is>
          <t>0007565-40.2020.8.17.2370</t>
        </is>
      </c>
      <c r="AM471" s="30" t="inlineStr">
        <is>
          <t>TJPE</t>
        </is>
      </c>
      <c r="AN471" s="30" t="inlineStr">
        <is>
          <t>ACTIVE</t>
        </is>
      </c>
      <c r="AO471" s="30" t="n">
        <v>2020</v>
      </c>
      <c r="AP471" s="30" t="inlineStr">
        <is>
          <t>6y since filing, no plan document</t>
        </is>
      </c>
      <c r="AQ471" s="30" t="inlineStr">
        <is>
          <t>09.930.165/0001-37</t>
        </is>
      </c>
      <c r="AR471" s="30" t="inlineStr">
        <is>
          <t>printed on the list (read twice)</t>
        </is>
      </c>
      <c r="AS471" s="30" t="inlineStr">
        <is>
          <t>CONCEICAO DO JACUIPE</t>
        </is>
      </c>
      <c r="AT471" s="30" t="inlineStr">
        <is>
          <t>BA</t>
        </is>
      </c>
      <c r="AU471" s="30" t="inlineStr">
        <is>
          <t>Fabricação de outros aparelhos eletrodomésticos não especificados anteriormente, peças e acessórios</t>
        </is>
      </c>
      <c r="AV471" s="30" t="inlineStr">
        <is>
          <t>DEMAIS</t>
        </is>
      </c>
      <c r="AW471" s="31" t="n">
        <v>4121320</v>
      </c>
      <c r="AX471" s="30" t="inlineStr">
        <is>
          <t>MID-MARKET</t>
        </is>
      </c>
      <c r="AY471" s="30" t="inlineStr">
        <is>
          <t>07666567</t>
        </is>
      </c>
      <c r="AZ471" s="30" t="n">
        <v>1</v>
      </c>
      <c r="BA471" s="30" t="inlineStr">
        <is>
          <t>ROWS:p16r20</t>
        </is>
      </c>
    </row>
    <row r="472">
      <c r="A472" s="16" t="inlineStr">
        <is>
          <t>GRUPO K1 S.A.</t>
        </is>
      </c>
      <c r="B472" s="17" t="n">
        <v>449678.5</v>
      </c>
      <c r="C472" s="18" t="inlineStr">
        <is>
          <t>CREDIMÓVEIS NOVOLAR LTDA.</t>
        </is>
      </c>
      <c r="D472" s="19" t="inlineStr">
        <is>
          <t>NEW</t>
        </is>
      </c>
      <c r="E472" s="20" t="inlineStr"/>
      <c r="F472" s="19" t="inlineStr"/>
      <c r="G472" s="20" t="inlineStr"/>
      <c r="H472" s="19" t="inlineStr"/>
      <c r="I472" s="21" t="inlineStr">
        <is>
          <t>Aline Bervian</t>
        </is>
      </c>
      <c r="J472" s="21" t="inlineStr">
        <is>
          <t>Administrative Director (ex Gerente de Crédito e Cobrança)</t>
        </is>
      </c>
      <c r="K472" s="21" t="inlineStr">
        <is>
          <t>(51) 3635-8800</t>
        </is>
      </c>
      <c r="L472" s="21" t="inlineStr">
        <is>
          <t>(51) 3635-8819</t>
        </is>
      </c>
      <c r="M472" s="21" t="inlineStr"/>
      <c r="N472" s="21" t="inlineStr">
        <is>
          <t>aline@kappesberg.com.br</t>
        </is>
      </c>
      <c r="O472" s="21" t="inlineStr"/>
      <c r="P472" s="21" t="inlineStr"/>
      <c r="Q472" s="21" t="inlineStr"/>
      <c r="R472" s="21" t="inlineStr"/>
      <c r="S472" s="21" t="inlineStr"/>
      <c r="T472" s="21" t="inlineStr">
        <is>
          <t>email verified by Apollo</t>
        </is>
      </c>
      <c r="U472" s="22" t="n">
        <v>449678.5</v>
      </c>
      <c r="V472" s="38" t="inlineStr">
        <is>
          <t>C</t>
        </is>
      </c>
      <c r="W472" s="24">
        <f>IFERROR(VLOOKUP(V472,Assumptions!$A$7:$F$11,2,FALSE),0)</f>
        <v/>
      </c>
      <c r="X472" s="25">
        <f>IF(V472="A",MAX(1,IFERROR(VLOOKUP(V472,Assumptions!$A$7:$F$11,3,FALSE),3)+IFERROR(VLOOKUP(V472,Assumptions!$A$7:$F$11,4,FALSE),8)/2-MAX(0,IF(AO472="",0,YEAR(TODAY())-AO472)-IFERROR(VLOOKUP(V472,Assumptions!$A$7:$F$11,5,FALSE),1.5))),IFERROR(VLOOKUP(V472,Assumptions!$A$7:$F$11,5,FALSE),2.5)+IFERROR(VLOOKUP(V472,Assumptions!$A$7:$F$11,3,FALSE),3)+IFERROR(VLOOKUP(V472,Assumptions!$A$7:$F$11,4,FALSE),8)/2)</f>
        <v/>
      </c>
      <c r="Y472" s="22">
        <f>U472*W472/(1+Assumptions!$B$3)^X472</f>
        <v/>
      </c>
      <c r="Z472" s="26">
        <f>IF(U472=0,"",ROUND(Y472/U472*100,1))</f>
        <v/>
      </c>
      <c r="AA472" s="27">
        <f>Y472*Assumptions!$B$4</f>
        <v/>
      </c>
      <c r="AB472" s="26">
        <f>IF(U472=0,"",ROUND(AA472/U472*100,1))</f>
        <v/>
      </c>
      <c r="AC472" s="27">
        <f>Y472-AA472</f>
        <v/>
      </c>
      <c r="AD472" s="26">
        <f>IF(U472=0,"",ROUND((Y472-AA472)/U472*100,1))</f>
        <v/>
      </c>
      <c r="AE472" s="28" t="inlineStr">
        <is>
          <t>OK — totals reconciled</t>
        </is>
      </c>
      <c r="AF472" s="29" t="inlineStr">
        <is>
          <t>https://recuperacaojudicial.squarespace.com/s/RJ-Credimoveis-QGC-01082025.pdf</t>
        </is>
      </c>
      <c r="AG472" s="28" t="inlineStr">
        <is>
          <t>p16 r23</t>
        </is>
      </c>
      <c r="AH472" s="28" t="inlineStr">
        <is>
          <t>p16: R$ 449.678,50</t>
        </is>
      </c>
      <c r="AI472" s="28" t="inlineStr">
        <is>
          <t>QGC (art. 18)</t>
        </is>
      </c>
      <c r="AJ472" s="28" t="inlineStr">
        <is>
          <t>2026-01-28</t>
        </is>
      </c>
      <c r="AK472" s="28" t="inlineStr">
        <is>
          <t>NONE FOUND</t>
        </is>
      </c>
      <c r="AL472" s="30" t="inlineStr">
        <is>
          <t>0007565-40.2020.8.17.2370</t>
        </is>
      </c>
      <c r="AM472" s="30" t="inlineStr">
        <is>
          <t>TJPE</t>
        </is>
      </c>
      <c r="AN472" s="30" t="inlineStr">
        <is>
          <t>ACTIVE</t>
        </is>
      </c>
      <c r="AO472" s="30" t="n">
        <v>2020</v>
      </c>
      <c r="AP472" s="30" t="inlineStr">
        <is>
          <t>6y since filing, no plan document</t>
        </is>
      </c>
      <c r="AQ472" s="30" t="inlineStr">
        <is>
          <t>09.930.165/0001-37</t>
        </is>
      </c>
      <c r="AR472" s="30" t="inlineStr">
        <is>
          <t>printed on the list (read twice)</t>
        </is>
      </c>
      <c r="AS472" s="30" t="inlineStr">
        <is>
          <t>TUPANDI</t>
        </is>
      </c>
      <c r="AT472" s="30" t="inlineStr">
        <is>
          <t>RS</t>
        </is>
      </c>
      <c r="AU472" s="30" t="inlineStr">
        <is>
          <t>Fabricação de móveis com predominância de madeira</t>
        </is>
      </c>
      <c r="AV472" s="30" t="inlineStr">
        <is>
          <t>DEMAIS</t>
        </is>
      </c>
      <c r="AW472" s="31" t="n">
        <v>60015000</v>
      </c>
      <c r="AX472" s="30" t="inlineStr">
        <is>
          <t>MID-MARKET</t>
        </is>
      </c>
      <c r="AY472" s="30" t="inlineStr">
        <is>
          <t>00912882</t>
        </is>
      </c>
      <c r="AZ472" s="30" t="n">
        <v>1</v>
      </c>
      <c r="BA472" s="30" t="inlineStr">
        <is>
          <t>ROWS:p16r23</t>
        </is>
      </c>
    </row>
    <row r="473">
      <c r="A473" s="16" t="inlineStr">
        <is>
          <t>CANADA LOCADORA DE EQUIPAMENTOS LIMITADA</t>
        </is>
      </c>
      <c r="B473" s="17" t="n">
        <v>212769.31</v>
      </c>
      <c r="C473" s="18" t="inlineStr">
        <is>
          <t>EGESA ENGENHARIA S/A (Consórcio ETDI)</t>
        </is>
      </c>
      <c r="D473" s="19" t="inlineStr">
        <is>
          <t>NEW</t>
        </is>
      </c>
      <c r="E473" s="20" t="inlineStr"/>
      <c r="F473" s="19" t="inlineStr"/>
      <c r="G473" s="20" t="inlineStr"/>
      <c r="H473" s="19" t="inlineStr"/>
      <c r="I473" s="21" t="inlineStr">
        <is>
          <t>Lucas Bitencourt</t>
        </is>
      </c>
      <c r="J473" s="21" t="inlineStr">
        <is>
          <t>Sales Department</t>
        </is>
      </c>
      <c r="K473" s="21" t="inlineStr">
        <is>
          <t>(31) 3589-4500</t>
        </is>
      </c>
      <c r="L473" s="21" t="inlineStr"/>
      <c r="M473" s="21" t="inlineStr"/>
      <c r="N473" s="21" t="inlineStr"/>
      <c r="O473" s="21" t="inlineStr"/>
      <c r="P473" s="21" t="inlineStr">
        <is>
          <t>GUILHERME RUGANI ZIEGLER</t>
        </is>
      </c>
      <c r="Q473" s="21" t="inlineStr">
        <is>
          <t>Sócio-Administrador (RFB partner)</t>
        </is>
      </c>
      <c r="R473" s="21" t="inlineStr"/>
      <c r="S473" s="21" t="inlineStr"/>
      <c r="T473" s="21" t="inlineStr">
        <is>
          <t>no work email found in Apollo</t>
        </is>
      </c>
      <c r="U473" s="22" t="n">
        <v>212769.31</v>
      </c>
      <c r="V473" s="32" t="inlineStr">
        <is>
          <t>U</t>
        </is>
      </c>
      <c r="W473" s="24">
        <f>IFERROR(VLOOKUP(V473,Assumptions!$A$7:$F$11,2,FALSE),0)</f>
        <v/>
      </c>
      <c r="X473" s="25">
        <f>IF(V473="A",MAX(1,IFERROR(VLOOKUP(V473,Assumptions!$A$7:$F$11,3,FALSE),3)+IFERROR(VLOOKUP(V473,Assumptions!$A$7:$F$11,4,FALSE),8)/2-MAX(0,IF(AO473="",0,YEAR(TODAY())-AO473)-IFERROR(VLOOKUP(V473,Assumptions!$A$7:$F$11,5,FALSE),1.5))),IFERROR(VLOOKUP(V473,Assumptions!$A$7:$F$11,5,FALSE),2.5)+IFERROR(VLOOKUP(V473,Assumptions!$A$7:$F$11,3,FALSE),3)+IFERROR(VLOOKUP(V473,Assumptions!$A$7:$F$11,4,FALSE),8)/2)</f>
        <v/>
      </c>
      <c r="Y473" s="22">
        <f>U473*W473/(1+Assumptions!$B$3)^X473</f>
        <v/>
      </c>
      <c r="Z473" s="26">
        <f>IF(U473=0,"",ROUND(Y473/U473*100,1))</f>
        <v/>
      </c>
      <c r="AA473" s="27">
        <f>Y473*Assumptions!$B$4</f>
        <v/>
      </c>
      <c r="AB473" s="26">
        <f>IF(U473=0,"",ROUND(AA473/U473*100,1))</f>
        <v/>
      </c>
      <c r="AC473" s="27">
        <f>Y473-AA473</f>
        <v/>
      </c>
      <c r="AD473" s="26">
        <f>IF(U473=0,"",ROUND((Y473-AA473)/U473*100,1))</f>
        <v/>
      </c>
      <c r="AE473" s="28" t="inlineStr">
        <is>
          <t>OK — totals reconciled</t>
        </is>
      </c>
      <c r="AF473" s="29" t="inlineStr">
        <is>
          <t>https://scalzilliaj.com.br/sgc/download.php?file=files/processo_documento/processo_documento09514021082025_1_.pdf&amp;nome=04 - Relação de credores das Recuperandas</t>
        </is>
      </c>
      <c r="AG473" s="28" t="inlineStr">
        <is>
          <t>p64 r2</t>
        </is>
      </c>
      <c r="AH473" s="28" t="inlineStr">
        <is>
          <t>p64: R$ 212.769,31</t>
        </is>
      </c>
      <c r="AI473" s="28" t="inlineStr">
        <is>
          <t>Debtor list (art. 51)</t>
        </is>
      </c>
      <c r="AJ473" s="28" t="inlineStr"/>
      <c r="AK473" s="28" t="inlineStr">
        <is>
          <t>NONE FOUND</t>
        </is>
      </c>
      <c r="AL473" s="30" t="inlineStr">
        <is>
          <t>(not printed)</t>
        </is>
      </c>
      <c r="AM473" s="30" t="inlineStr"/>
      <c r="AN473" s="30" t="inlineStr"/>
      <c r="AO473" s="30" t="inlineStr"/>
      <c r="AP473" s="30" t="inlineStr">
        <is>
          <t>RJ case number not identified on the document</t>
        </is>
      </c>
      <c r="AQ473" s="30" t="inlineStr"/>
      <c r="AR473" s="30" t="inlineStr">
        <is>
          <t>portal page title / URL — not printed on the list</t>
        </is>
      </c>
      <c r="AS473" s="30" t="inlineStr">
        <is>
          <t>NOVA LIMA</t>
        </is>
      </c>
      <c r="AT473" s="30" t="inlineStr">
        <is>
          <t>MG</t>
        </is>
      </c>
      <c r="AU473" s="30" t="inlineStr">
        <is>
          <t>Fabricação de máquinas e equipamentos para uso industrial específico não especificados anteriormente, peças e acessórios</t>
        </is>
      </c>
      <c r="AV473" s="30" t="inlineStr">
        <is>
          <t>EMPRESA DE PEQUENO PORTE</t>
        </is>
      </c>
      <c r="AW473" s="31" t="n">
        <v>30000</v>
      </c>
      <c r="AX473" s="30" t="inlineStr">
        <is>
          <t>SMALL</t>
        </is>
      </c>
      <c r="AY473" s="30" t="inlineStr">
        <is>
          <t>02694691</t>
        </is>
      </c>
      <c r="AZ473" s="30" t="n">
        <v>1</v>
      </c>
      <c r="BA473" s="30" t="inlineStr">
        <is>
          <t>ROWS:p64r2 VALUE_COL:Valor_Atualizado CASE_NUMBER_CORRECTED</t>
        </is>
      </c>
    </row>
    <row r="474">
      <c r="A474" s="16" t="inlineStr">
        <is>
          <t>WAL CONSULTORIA AERONAUTICA LTDA</t>
        </is>
      </c>
      <c r="B474" s="17" t="n">
        <v>208303.18</v>
      </c>
      <c r="C474" s="18" t="inlineStr">
        <is>
          <t>EGESA ENGENHARIA S/A (Consórcio ETDI)</t>
        </is>
      </c>
      <c r="D474" s="19" t="inlineStr">
        <is>
          <t>NEW</t>
        </is>
      </c>
      <c r="E474" s="20" t="inlineStr"/>
      <c r="F474" s="19" t="inlineStr"/>
      <c r="G474" s="20" t="inlineStr"/>
      <c r="H474" s="19" t="inlineStr"/>
      <c r="I474" s="21" t="inlineStr">
        <is>
          <t>Wanderson Costa</t>
        </is>
      </c>
      <c r="J474" s="21" t="inlineStr">
        <is>
          <t>Technical Director</t>
        </is>
      </c>
      <c r="K474" s="21" t="inlineStr">
        <is>
          <t>(31) 2536-4813</t>
        </is>
      </c>
      <c r="L474" s="21" t="inlineStr"/>
      <c r="M474" s="21" t="inlineStr"/>
      <c r="N474" s="21" t="inlineStr">
        <is>
          <t>wcosta@walaviation.com</t>
        </is>
      </c>
      <c r="O474" s="21" t="inlineStr">
        <is>
          <t>lais@walaviation.com</t>
        </is>
      </c>
      <c r="P474" s="21" t="inlineStr">
        <is>
          <t>Lais Soares</t>
        </is>
      </c>
      <c r="Q474" s="21" t="inlineStr">
        <is>
          <t>Technical Consultant</t>
        </is>
      </c>
      <c r="R474" s="21" t="inlineStr"/>
      <c r="S474" s="21" t="inlineStr">
        <is>
          <t>lais@walaviation.com</t>
        </is>
      </c>
      <c r="T474" s="21" t="inlineStr">
        <is>
          <t>email verified by Apollo</t>
        </is>
      </c>
      <c r="U474" s="22" t="n">
        <v>208303.18</v>
      </c>
      <c r="V474" s="32" t="inlineStr">
        <is>
          <t>U</t>
        </is>
      </c>
      <c r="W474" s="24">
        <f>IFERROR(VLOOKUP(V474,Assumptions!$A$7:$F$11,2,FALSE),0)</f>
        <v/>
      </c>
      <c r="X474" s="25">
        <f>IF(V474="A",MAX(1,IFERROR(VLOOKUP(V474,Assumptions!$A$7:$F$11,3,FALSE),3)+IFERROR(VLOOKUP(V474,Assumptions!$A$7:$F$11,4,FALSE),8)/2-MAX(0,IF(AO474="",0,YEAR(TODAY())-AO474)-IFERROR(VLOOKUP(V474,Assumptions!$A$7:$F$11,5,FALSE),1.5))),IFERROR(VLOOKUP(V474,Assumptions!$A$7:$F$11,5,FALSE),2.5)+IFERROR(VLOOKUP(V474,Assumptions!$A$7:$F$11,3,FALSE),3)+IFERROR(VLOOKUP(V474,Assumptions!$A$7:$F$11,4,FALSE),8)/2)</f>
        <v/>
      </c>
      <c r="Y474" s="22">
        <f>U474*W474/(1+Assumptions!$B$3)^X474</f>
        <v/>
      </c>
      <c r="Z474" s="26">
        <f>IF(U474=0,"",ROUND(Y474/U474*100,1))</f>
        <v/>
      </c>
      <c r="AA474" s="27">
        <f>Y474*Assumptions!$B$4</f>
        <v/>
      </c>
      <c r="AB474" s="26">
        <f>IF(U474=0,"",ROUND(AA474/U474*100,1))</f>
        <v/>
      </c>
      <c r="AC474" s="27">
        <f>Y474-AA474</f>
        <v/>
      </c>
      <c r="AD474" s="26">
        <f>IF(U474=0,"",ROUND((Y474-AA474)/U474*100,1))</f>
        <v/>
      </c>
      <c r="AE474" s="28" t="inlineStr">
        <is>
          <t>OK — totals reconciled</t>
        </is>
      </c>
      <c r="AF474" s="29" t="inlineStr">
        <is>
          <t>https://scalzilliaj.com.br/sgc/download.php?file=files/processo_documento/processo_documento09514021082025_1_.pdf&amp;nome=04 - Relação de credores das Recuperandas</t>
        </is>
      </c>
      <c r="AG474" s="28" t="inlineStr">
        <is>
          <t>p76 r6</t>
        </is>
      </c>
      <c r="AH474" s="28" t="inlineStr">
        <is>
          <t>p76: R$ 208.303,18</t>
        </is>
      </c>
      <c r="AI474" s="28" t="inlineStr">
        <is>
          <t>Debtor list (art. 51)</t>
        </is>
      </c>
      <c r="AJ474" s="28" t="inlineStr"/>
      <c r="AK474" s="28" t="inlineStr">
        <is>
          <t>NONE FOUND</t>
        </is>
      </c>
      <c r="AL474" s="30" t="inlineStr">
        <is>
          <t>(not printed)</t>
        </is>
      </c>
      <c r="AM474" s="30" t="inlineStr"/>
      <c r="AN474" s="30" t="inlineStr"/>
      <c r="AO474" s="30" t="inlineStr"/>
      <c r="AP474" s="30" t="inlineStr">
        <is>
          <t>RJ case number not identified on the document</t>
        </is>
      </c>
      <c r="AQ474" s="30" t="inlineStr"/>
      <c r="AR474" s="30" t="inlineStr">
        <is>
          <t>portal page title / URL — not printed on the list</t>
        </is>
      </c>
      <c r="AS474" s="30" t="inlineStr">
        <is>
          <t>BELO HORIZONTE</t>
        </is>
      </c>
      <c r="AT474" s="30" t="inlineStr">
        <is>
          <t>MG</t>
        </is>
      </c>
      <c r="AU474" s="30" t="inlineStr">
        <is>
          <t>Outras atividades profissionais, científicas e técnicas não especificadas anteriormente</t>
        </is>
      </c>
      <c r="AV474" s="30" t="inlineStr">
        <is>
          <t>DEMAIS</t>
        </is>
      </c>
      <c r="AW474" s="31" t="n">
        <v>20000</v>
      </c>
      <c r="AX474" s="30" t="inlineStr">
        <is>
          <t>MID-MARKET</t>
        </is>
      </c>
      <c r="AY474" s="30" t="inlineStr">
        <is>
          <t>08464282</t>
        </is>
      </c>
      <c r="AZ474" s="30" t="n">
        <v>1</v>
      </c>
      <c r="BA474" s="30" t="inlineStr">
        <is>
          <t>ROWS:p76r6 VALUE_COL:Valor_Atualizado CASE_NUMBER_CORRECTED</t>
        </is>
      </c>
    </row>
    <row r="475">
      <c r="A475" s="16" t="inlineStr">
        <is>
          <t>HUESKER LTDA</t>
        </is>
      </c>
      <c r="B475" s="17" t="n">
        <v>429201.75</v>
      </c>
      <c r="C475" s="18" t="inlineStr">
        <is>
          <t>CONSTRUTORA ANDRADE GUEDES LTDA</t>
        </is>
      </c>
      <c r="D475" s="19" t="inlineStr">
        <is>
          <t>NEW</t>
        </is>
      </c>
      <c r="E475" s="20" t="inlineStr"/>
      <c r="F475" s="19" t="inlineStr"/>
      <c r="G475" s="20" t="inlineStr"/>
      <c r="H475" s="19" t="inlineStr"/>
      <c r="I475" s="21" t="inlineStr">
        <is>
          <t>Fernando Wickert</t>
        </is>
      </c>
      <c r="J475" s="21" t="inlineStr">
        <is>
          <t>Commercial Director</t>
        </is>
      </c>
      <c r="K475" s="21" t="inlineStr">
        <is>
          <t>(12) 3903-9300</t>
        </is>
      </c>
      <c r="L475" s="21" t="inlineStr">
        <is>
          <t>(12) 2138-8200</t>
        </is>
      </c>
      <c r="M475" s="21" t="inlineStr"/>
      <c r="N475" s="21" t="inlineStr">
        <is>
          <t>fernando.wickert@huesker.com.br</t>
        </is>
      </c>
      <c r="O475" s="21" t="inlineStr"/>
      <c r="P475" s="21" t="inlineStr">
        <is>
          <t>Jose Pandolpho</t>
        </is>
      </c>
      <c r="Q475" s="21" t="inlineStr">
        <is>
          <t>Director</t>
        </is>
      </c>
      <c r="R475" s="21" t="inlineStr"/>
      <c r="S475" s="21" t="inlineStr"/>
      <c r="T475" s="21" t="inlineStr">
        <is>
          <t>email verified by Apollo</t>
        </is>
      </c>
      <c r="U475" s="22" t="n">
        <v>429201.75</v>
      </c>
      <c r="V475" s="38" t="inlineStr">
        <is>
          <t>C</t>
        </is>
      </c>
      <c r="W475" s="24">
        <f>IFERROR(VLOOKUP(V475,Assumptions!$A$7:$F$11,2,FALSE),0)</f>
        <v/>
      </c>
      <c r="X475" s="25">
        <f>IF(V475="A",MAX(1,IFERROR(VLOOKUP(V475,Assumptions!$A$7:$F$11,3,FALSE),3)+IFERROR(VLOOKUP(V475,Assumptions!$A$7:$F$11,4,FALSE),8)/2-MAX(0,IF(AO475="",0,YEAR(TODAY())-AO475)-IFERROR(VLOOKUP(V475,Assumptions!$A$7:$F$11,5,FALSE),1.5))),IFERROR(VLOOKUP(V475,Assumptions!$A$7:$F$11,5,FALSE),2.5)+IFERROR(VLOOKUP(V475,Assumptions!$A$7:$F$11,3,FALSE),3)+IFERROR(VLOOKUP(V475,Assumptions!$A$7:$F$11,4,FALSE),8)/2)</f>
        <v/>
      </c>
      <c r="Y475" s="22">
        <f>U475*W475/(1+Assumptions!$B$3)^X475</f>
        <v/>
      </c>
      <c r="Z475" s="26">
        <f>IF(U475=0,"",ROUND(Y475/U475*100,1))</f>
        <v/>
      </c>
      <c r="AA475" s="27">
        <f>Y475*Assumptions!$B$4</f>
        <v/>
      </c>
      <c r="AB475" s="26">
        <f>IF(U475=0,"",ROUND(AA475/U475*100,1))</f>
        <v/>
      </c>
      <c r="AC475" s="27">
        <f>Y475-AA475</f>
        <v/>
      </c>
      <c r="AD475" s="26">
        <f>IF(U475=0,"",ROUND((Y475-AA475)/U475*100,1))</f>
        <v/>
      </c>
      <c r="AE475" s="33" t="inlineStr">
        <is>
          <t>NO TOTALS — list prints none; check page</t>
        </is>
      </c>
      <c r="AF475" s="29" t="inlineStr">
        <is>
          <t>https://diligence.adm.br/wp-content/plugins/download-attachments/includes/download.php?id=4599</t>
        </is>
      </c>
      <c r="AG475" s="28" t="inlineStr">
        <is>
          <t>p10 r38</t>
        </is>
      </c>
      <c r="AH475" s="28" t="inlineStr">
        <is>
          <t>p10: R$ 429.201,75</t>
        </is>
      </c>
      <c r="AI475" s="28" t="inlineStr">
        <is>
          <t>AJ list (art. 7 §2)</t>
        </is>
      </c>
      <c r="AJ475" s="28" t="inlineStr">
        <is>
          <t>2024-06-25</t>
        </is>
      </c>
      <c r="AK475" s="28" t="inlineStr">
        <is>
          <t>NONE FOUND</t>
        </is>
      </c>
      <c r="AL475" s="30" t="inlineStr">
        <is>
          <t>0000880-57.2020.8.17.2001</t>
        </is>
      </c>
      <c r="AM475" s="30" t="inlineStr">
        <is>
          <t>TJPE</t>
        </is>
      </c>
      <c r="AN475" s="30" t="inlineStr">
        <is>
          <t>ACTIVE</t>
        </is>
      </c>
      <c r="AO475" s="30" t="n">
        <v>2020</v>
      </c>
      <c r="AP475" s="30" t="inlineStr">
        <is>
          <t>6y since filing, no plan document</t>
        </is>
      </c>
      <c r="AQ475" s="30" t="inlineStr">
        <is>
          <t>08.073.264/0001-87</t>
        </is>
      </c>
      <c r="AR475" s="30" t="inlineStr">
        <is>
          <t>printed on the list (read twice)</t>
        </is>
      </c>
      <c r="AS475" s="30" t="inlineStr">
        <is>
          <t>SAO JOSE DOS CAMPOS</t>
        </is>
      </c>
      <c r="AT475" s="30" t="inlineStr">
        <is>
          <t>SP</t>
        </is>
      </c>
      <c r="AU475" s="30" t="inlineStr">
        <is>
          <t>Comércio atacadista especializado de materiais de construção não especificados anteriormente</t>
        </is>
      </c>
      <c r="AV475" s="30" t="inlineStr">
        <is>
          <t>DEMAIS</t>
        </is>
      </c>
      <c r="AW475" s="31" t="n">
        <v>158000</v>
      </c>
      <c r="AX475" s="30" t="inlineStr">
        <is>
          <t>MID-MARKET</t>
        </is>
      </c>
      <c r="AY475" s="30" t="inlineStr">
        <is>
          <t>02565876</t>
        </is>
      </c>
      <c r="AZ475" s="30" t="n">
        <v>1</v>
      </c>
      <c r="BA475" s="30" t="inlineStr">
        <is>
          <t>ALT_VALUE:R$429.201,75 ROWS:p10r38 UNRECONCILED_SOURCE VALUE_COL:2ª_Lista</t>
        </is>
      </c>
    </row>
    <row r="476">
      <c r="A476" s="16" t="inlineStr">
        <is>
          <t>POLIMIX CONCRETO LTDA</t>
        </is>
      </c>
      <c r="B476" s="17" t="n">
        <v>425000</v>
      </c>
      <c r="C476" s="18" t="inlineStr">
        <is>
          <t>CONSTRUTORA ANDRADE GUEDES LTDA</t>
        </is>
      </c>
      <c r="D476" s="19" t="inlineStr">
        <is>
          <t>NEW</t>
        </is>
      </c>
      <c r="E476" s="20" t="inlineStr"/>
      <c r="F476" s="19" t="inlineStr"/>
      <c r="G476" s="20" t="inlineStr"/>
      <c r="H476" s="19" t="inlineStr"/>
      <c r="I476" s="21" t="inlineStr">
        <is>
          <t>ALCINDO ANTONIO CHRUSCIELSKI</t>
        </is>
      </c>
      <c r="J476" s="21" t="inlineStr">
        <is>
          <t>Administrador (RFB partner)</t>
        </is>
      </c>
      <c r="K476" s="21" t="inlineStr">
        <is>
          <t>(11) 4168-0300</t>
        </is>
      </c>
      <c r="L476" s="21" t="inlineStr"/>
      <c r="M476" s="21" t="inlineStr"/>
      <c r="N476" s="21" t="inlineStr"/>
      <c r="O476" s="21" t="inlineStr"/>
      <c r="P476" s="21" t="inlineStr">
        <is>
          <t>ANDERSON JOSE MESSIAS</t>
        </is>
      </c>
      <c r="Q476" s="21" t="inlineStr">
        <is>
          <t>Administrador (RFB partner)</t>
        </is>
      </c>
      <c r="R476" s="21" t="inlineStr"/>
      <c r="S476" s="21" t="inlineStr"/>
      <c r="T476" s="21" t="inlineStr">
        <is>
          <t>RFB partner (QSA); no Apollo match</t>
        </is>
      </c>
      <c r="U476" s="22" t="n">
        <v>425000</v>
      </c>
      <c r="V476" s="38" t="inlineStr">
        <is>
          <t>C</t>
        </is>
      </c>
      <c r="W476" s="24">
        <f>IFERROR(VLOOKUP(V476,Assumptions!$A$7:$F$11,2,FALSE),0)</f>
        <v/>
      </c>
      <c r="X476" s="25">
        <f>IF(V476="A",MAX(1,IFERROR(VLOOKUP(V476,Assumptions!$A$7:$F$11,3,FALSE),3)+IFERROR(VLOOKUP(V476,Assumptions!$A$7:$F$11,4,FALSE),8)/2-MAX(0,IF(AO476="",0,YEAR(TODAY())-AO476)-IFERROR(VLOOKUP(V476,Assumptions!$A$7:$F$11,5,FALSE),1.5))),IFERROR(VLOOKUP(V476,Assumptions!$A$7:$F$11,5,FALSE),2.5)+IFERROR(VLOOKUP(V476,Assumptions!$A$7:$F$11,3,FALSE),3)+IFERROR(VLOOKUP(V476,Assumptions!$A$7:$F$11,4,FALSE),8)/2)</f>
        <v/>
      </c>
      <c r="Y476" s="22">
        <f>U476*W476/(1+Assumptions!$B$3)^X476</f>
        <v/>
      </c>
      <c r="Z476" s="26">
        <f>IF(U476=0,"",ROUND(Y476/U476*100,1))</f>
        <v/>
      </c>
      <c r="AA476" s="27">
        <f>Y476*Assumptions!$B$4</f>
        <v/>
      </c>
      <c r="AB476" s="26">
        <f>IF(U476=0,"",ROUND(AA476/U476*100,1))</f>
        <v/>
      </c>
      <c r="AC476" s="27">
        <f>Y476-AA476</f>
        <v/>
      </c>
      <c r="AD476" s="26">
        <f>IF(U476=0,"",ROUND((Y476-AA476)/U476*100,1))</f>
        <v/>
      </c>
      <c r="AE476" s="33" t="inlineStr">
        <is>
          <t>NO TOTALS — list prints none; check page</t>
        </is>
      </c>
      <c r="AF476" s="29" t="inlineStr">
        <is>
          <t>https://diligence.adm.br/wp-content/plugins/download-attachments/includes/download.php?id=4599</t>
        </is>
      </c>
      <c r="AG476" s="28" t="inlineStr">
        <is>
          <t>p10 r65</t>
        </is>
      </c>
      <c r="AH476" s="28" t="inlineStr">
        <is>
          <t>p10: R$ 425.000,00</t>
        </is>
      </c>
      <c r="AI476" s="28" t="inlineStr">
        <is>
          <t>AJ list (art. 7 §2)</t>
        </is>
      </c>
      <c r="AJ476" s="28" t="inlineStr">
        <is>
          <t>2024-06-25</t>
        </is>
      </c>
      <c r="AK476" s="28" t="inlineStr">
        <is>
          <t>NONE FOUND</t>
        </is>
      </c>
      <c r="AL476" s="30" t="inlineStr">
        <is>
          <t>0000880-57.2020.8.17.2001</t>
        </is>
      </c>
      <c r="AM476" s="30" t="inlineStr">
        <is>
          <t>TJPE</t>
        </is>
      </c>
      <c r="AN476" s="30" t="inlineStr">
        <is>
          <t>ACTIVE</t>
        </is>
      </c>
      <c r="AO476" s="30" t="n">
        <v>2020</v>
      </c>
      <c r="AP476" s="30" t="inlineStr">
        <is>
          <t>6y since filing, no plan document</t>
        </is>
      </c>
      <c r="AQ476" s="30" t="inlineStr">
        <is>
          <t>08.073.264/0001-87</t>
        </is>
      </c>
      <c r="AR476" s="30" t="inlineStr">
        <is>
          <t>printed on the list (read twice)</t>
        </is>
      </c>
      <c r="AS476" s="30" t="inlineStr">
        <is>
          <t>SANTANA DE PARNAIBA</t>
        </is>
      </c>
      <c r="AT476" s="30" t="inlineStr">
        <is>
          <t>SP</t>
        </is>
      </c>
      <c r="AU476" s="30" t="inlineStr">
        <is>
          <t>Serviços combinados de escritório e apoio administrativo</t>
        </is>
      </c>
      <c r="AV476" s="30" t="inlineStr">
        <is>
          <t>DEMAIS</t>
        </is>
      </c>
      <c r="AW476" s="31" t="n">
        <v>1135600000</v>
      </c>
      <c r="AX476" s="30" t="inlineStr">
        <is>
          <t>LARGE CORP</t>
        </is>
      </c>
      <c r="AY476" s="30" t="inlineStr">
        <is>
          <t>29067113</t>
        </is>
      </c>
      <c r="AZ476" s="30" t="n">
        <v>1</v>
      </c>
      <c r="BA476" s="30" t="inlineStr">
        <is>
          <t>ALT_VALUE:-R$25.000,00 ALT_VALUE:R$450.000,00 ROWS:p10r65 UNRECONCILED_SOURCE VALUE_COL:2ª_Lista</t>
        </is>
      </c>
    </row>
    <row r="477">
      <c r="A477" s="16" t="inlineStr">
        <is>
          <t>VIBRA ENERGIA S.A</t>
        </is>
      </c>
      <c r="B477" s="17" t="n">
        <v>422999.28</v>
      </c>
      <c r="C477" s="18" t="inlineStr">
        <is>
          <t>AUTO POSTO FREITAS &amp; MAIA LTDA</t>
        </is>
      </c>
      <c r="D477" s="19" t="inlineStr">
        <is>
          <t>NEW</t>
        </is>
      </c>
      <c r="E477" s="20" t="inlineStr"/>
      <c r="F477" s="19" t="inlineStr"/>
      <c r="G477" s="20" t="inlineStr"/>
      <c r="H477" s="19" t="inlineStr"/>
      <c r="I477" s="21" t="inlineStr">
        <is>
          <t>ERNESTO PERES POUSADA JUNIOR</t>
        </is>
      </c>
      <c r="J477" s="21" t="inlineStr">
        <is>
          <t>Presidente (RFB partner)</t>
        </is>
      </c>
      <c r="K477" s="21" t="inlineStr">
        <is>
          <t>(21) 2354-3151</t>
        </is>
      </c>
      <c r="L477" s="21" t="inlineStr">
        <is>
          <t>(21) 2354-3146</t>
        </is>
      </c>
      <c r="M477" s="21" t="inlineStr"/>
      <c r="N477" s="21" t="inlineStr"/>
      <c r="O477" s="21" t="inlineStr"/>
      <c r="P477" s="21" t="inlineStr">
        <is>
          <t>DANIEL DRUMOND CAMPOS E SILVA</t>
        </is>
      </c>
      <c r="Q477" s="21" t="inlineStr">
        <is>
          <t>Diretor (RFB partner)</t>
        </is>
      </c>
      <c r="R477" s="21" t="inlineStr"/>
      <c r="S477" s="21" t="inlineStr"/>
      <c r="T477" s="21" t="inlineStr">
        <is>
          <t>RFB partner (QSA); no Apollo match</t>
        </is>
      </c>
      <c r="U477" s="22" t="n">
        <v>422999.28</v>
      </c>
      <c r="V477" s="38" t="inlineStr">
        <is>
          <t>C</t>
        </is>
      </c>
      <c r="W477" s="24">
        <f>IFERROR(VLOOKUP(V477,Assumptions!$A$7:$F$11,2,FALSE),0)</f>
        <v/>
      </c>
      <c r="X477" s="25">
        <f>IF(V477="A",MAX(1,IFERROR(VLOOKUP(V477,Assumptions!$A$7:$F$11,3,FALSE),3)+IFERROR(VLOOKUP(V477,Assumptions!$A$7:$F$11,4,FALSE),8)/2-MAX(0,IF(AO477="",0,YEAR(TODAY())-AO477)-IFERROR(VLOOKUP(V477,Assumptions!$A$7:$F$11,5,FALSE),1.5))),IFERROR(VLOOKUP(V477,Assumptions!$A$7:$F$11,5,FALSE),2.5)+IFERROR(VLOOKUP(V477,Assumptions!$A$7:$F$11,3,FALSE),3)+IFERROR(VLOOKUP(V477,Assumptions!$A$7:$F$11,4,FALSE),8)/2)</f>
        <v/>
      </c>
      <c r="Y477" s="22">
        <f>U477*W477/(1+Assumptions!$B$3)^X477</f>
        <v/>
      </c>
      <c r="Z477" s="26">
        <f>IF(U477=0,"",ROUND(Y477/U477*100,1))</f>
        <v/>
      </c>
      <c r="AA477" s="27">
        <f>Y477*Assumptions!$B$4</f>
        <v/>
      </c>
      <c r="AB477" s="26">
        <f>IF(U477=0,"",ROUND(AA477/U477*100,1))</f>
        <v/>
      </c>
      <c r="AC477" s="27">
        <f>Y477-AA477</f>
        <v/>
      </c>
      <c r="AD477" s="26">
        <f>IF(U477=0,"",ROUND((Y477-AA477)/U477*100,1))</f>
        <v/>
      </c>
      <c r="AE477" s="28" t="inlineStr">
        <is>
          <t>OK — totals reconciled</t>
        </is>
      </c>
      <c r="AF477" s="29" t="inlineStr">
        <is>
          <t>https://recuperacaojudicial.squarespace.com/s/LISTA-DE-CREDORES-CONSOLIDADA-EM-11072025_6419.pdf</t>
        </is>
      </c>
      <c r="AG477" s="28" t="inlineStr">
        <is>
          <t>p4 r7</t>
        </is>
      </c>
      <c r="AH477" s="28" t="inlineStr">
        <is>
          <t>p4: R$ 422.999,28</t>
        </is>
      </c>
      <c r="AI477" s="28" t="inlineStr">
        <is>
          <t>AJ list (art. 7 §2)</t>
        </is>
      </c>
      <c r="AJ477" s="28" t="inlineStr">
        <is>
          <t>2025-07-15</t>
        </is>
      </c>
      <c r="AK477" s="28" t="inlineStr">
        <is>
          <t>NONE FOUND</t>
        </is>
      </c>
      <c r="AL477" s="30" t="inlineStr">
        <is>
          <t>0700087-51.2020.8.02.0043</t>
        </is>
      </c>
      <c r="AM477" s="30" t="inlineStr">
        <is>
          <t>TJAL</t>
        </is>
      </c>
      <c r="AN477" s="30" t="inlineStr">
        <is>
          <t>ACTIVE</t>
        </is>
      </c>
      <c r="AO477" s="30" t="n">
        <v>2020</v>
      </c>
      <c r="AP477" s="30" t="inlineStr">
        <is>
          <t>6y since filing, no plan document</t>
        </is>
      </c>
      <c r="AQ477" s="30" t="inlineStr">
        <is>
          <t>12.436.978/0001-80</t>
        </is>
      </c>
      <c r="AR477" s="30" t="inlineStr">
        <is>
          <t>printed on the list (read twice)</t>
        </is>
      </c>
      <c r="AS477" s="30" t="inlineStr">
        <is>
          <t>RIO DE JANEIRO</t>
        </is>
      </c>
      <c r="AT477" s="30" t="inlineStr">
        <is>
          <t>RJ</t>
        </is>
      </c>
      <c r="AU477" s="30" t="inlineStr">
        <is>
          <t>Comércio atacadista de álcool carburante, biodiesel, gasolina e demais derivados de petróleo, exceto lubrificantes, não realizado por transportador re</t>
        </is>
      </c>
      <c r="AV477" s="30" t="inlineStr">
        <is>
          <t>DEMAIS</t>
        </is>
      </c>
      <c r="AW477" s="31" t="n">
        <v>12051386000</v>
      </c>
      <c r="AX477" s="30" t="inlineStr">
        <is>
          <t>LARGE CORP</t>
        </is>
      </c>
      <c r="AY477" s="30" t="inlineStr">
        <is>
          <t>34274233</t>
        </is>
      </c>
      <c r="AZ477" s="30" t="n">
        <v>1</v>
      </c>
      <c r="BA477" s="30" t="inlineStr">
        <is>
          <t>ROWS:p4r7 VALUE_COL:Valor_Do_Crédito</t>
        </is>
      </c>
    </row>
    <row r="478">
      <c r="A478" s="16" t="inlineStr">
        <is>
          <t>TCL SEMP INDUSTRIA E COMERCIO DE ELETROELETRONICOS S.A</t>
        </is>
      </c>
      <c r="B478" s="17" t="n">
        <v>412477.83</v>
      </c>
      <c r="C478" s="18" t="inlineStr">
        <is>
          <t>CREDIMÓVEIS NOVOLAR LTDA.</t>
        </is>
      </c>
      <c r="D478" s="19" t="inlineStr">
        <is>
          <t>NEW</t>
        </is>
      </c>
      <c r="E478" s="20" t="inlineStr"/>
      <c r="F478" s="19" t="inlineStr"/>
      <c r="G478" s="20" t="inlineStr"/>
      <c r="H478" s="19" t="inlineStr"/>
      <c r="I478" s="21" t="inlineStr">
        <is>
          <t>Pedro Carvalho</t>
        </is>
      </c>
      <c r="J478" s="21" t="inlineStr">
        <is>
          <t>Chief Financial Officer</t>
        </is>
      </c>
      <c r="K478" s="21" t="inlineStr">
        <is>
          <t>(92) 2127-6333</t>
        </is>
      </c>
      <c r="L478" s="21" t="inlineStr"/>
      <c r="M478" s="21" t="inlineStr"/>
      <c r="N478" s="21" t="inlineStr">
        <is>
          <t>pedro.carvalho@tclsemp.com.br</t>
        </is>
      </c>
      <c r="O478" s="21" t="inlineStr">
        <is>
          <t>claudinei.batista@tclsemp.com.br</t>
        </is>
      </c>
      <c r="P478" s="21" t="inlineStr">
        <is>
          <t>Claudinei Batista</t>
        </is>
      </c>
      <c r="Q478" s="21" t="inlineStr">
        <is>
          <t>Analista de Crédito e Cobrança Sênior</t>
        </is>
      </c>
      <c r="R478" s="21" t="inlineStr"/>
      <c r="S478" s="21" t="inlineStr">
        <is>
          <t>claudinei.batista@tclsemp.com.br</t>
        </is>
      </c>
      <c r="T478" s="21" t="inlineStr">
        <is>
          <t>email verified by Apollo</t>
        </is>
      </c>
      <c r="U478" s="22" t="n">
        <v>412477.83</v>
      </c>
      <c r="V478" s="38" t="inlineStr">
        <is>
          <t>C</t>
        </is>
      </c>
      <c r="W478" s="24">
        <f>IFERROR(VLOOKUP(V478,Assumptions!$A$7:$F$11,2,FALSE),0)</f>
        <v/>
      </c>
      <c r="X478" s="25">
        <f>IF(V478="A",MAX(1,IFERROR(VLOOKUP(V478,Assumptions!$A$7:$F$11,3,FALSE),3)+IFERROR(VLOOKUP(V478,Assumptions!$A$7:$F$11,4,FALSE),8)/2-MAX(0,IF(AO478="",0,YEAR(TODAY())-AO478)-IFERROR(VLOOKUP(V478,Assumptions!$A$7:$F$11,5,FALSE),1.5))),IFERROR(VLOOKUP(V478,Assumptions!$A$7:$F$11,5,FALSE),2.5)+IFERROR(VLOOKUP(V478,Assumptions!$A$7:$F$11,3,FALSE),3)+IFERROR(VLOOKUP(V478,Assumptions!$A$7:$F$11,4,FALSE),8)/2)</f>
        <v/>
      </c>
      <c r="Y478" s="22">
        <f>U478*W478/(1+Assumptions!$B$3)^X478</f>
        <v/>
      </c>
      <c r="Z478" s="26">
        <f>IF(U478=0,"",ROUND(Y478/U478*100,1))</f>
        <v/>
      </c>
      <c r="AA478" s="27">
        <f>Y478*Assumptions!$B$4</f>
        <v/>
      </c>
      <c r="AB478" s="26">
        <f>IF(U478=0,"",ROUND(AA478/U478*100,1))</f>
        <v/>
      </c>
      <c r="AC478" s="27">
        <f>Y478-AA478</f>
        <v/>
      </c>
      <c r="AD478" s="26">
        <f>IF(U478=0,"",ROUND((Y478-AA478)/U478*100,1))</f>
        <v/>
      </c>
      <c r="AE478" s="28" t="inlineStr">
        <is>
          <t>OK — totals reconciled</t>
        </is>
      </c>
      <c r="AF478" s="29" t="inlineStr">
        <is>
          <t>https://recuperacaojudicial.squarespace.com/s/RJ-Credimoveis-QGC-01082025.pdf</t>
        </is>
      </c>
      <c r="AG478" s="28" t="inlineStr">
        <is>
          <t>p16 r58</t>
        </is>
      </c>
      <c r="AH478" s="28" t="inlineStr">
        <is>
          <t>p16: R$ 412.477,83</t>
        </is>
      </c>
      <c r="AI478" s="28" t="inlineStr">
        <is>
          <t>QGC (art. 18)</t>
        </is>
      </c>
      <c r="AJ478" s="28" t="inlineStr">
        <is>
          <t>2026-01-28</t>
        </is>
      </c>
      <c r="AK478" s="28" t="inlineStr">
        <is>
          <t>NONE FOUND</t>
        </is>
      </c>
      <c r="AL478" s="30" t="inlineStr">
        <is>
          <t>0007565-40.2020.8.17.2370</t>
        </is>
      </c>
      <c r="AM478" s="30" t="inlineStr">
        <is>
          <t>TJPE</t>
        </is>
      </c>
      <c r="AN478" s="30" t="inlineStr">
        <is>
          <t>ACTIVE</t>
        </is>
      </c>
      <c r="AO478" s="30" t="n">
        <v>2020</v>
      </c>
      <c r="AP478" s="30" t="inlineStr">
        <is>
          <t>6y since filing, no plan document</t>
        </is>
      </c>
      <c r="AQ478" s="30" t="inlineStr">
        <is>
          <t>09.930.165/0001-37</t>
        </is>
      </c>
      <c r="AR478" s="30" t="inlineStr">
        <is>
          <t>printed on the list (read twice)</t>
        </is>
      </c>
      <c r="AS478" s="30" t="inlineStr">
        <is>
          <t>MANAUS</t>
        </is>
      </c>
      <c r="AT478" s="30" t="inlineStr">
        <is>
          <t>AM</t>
        </is>
      </c>
      <c r="AU478" s="30" t="inlineStr">
        <is>
          <t>Fabricação de aparelhos de recepção, reprodução, gravação e amplificação de áudio e vídeo</t>
        </is>
      </c>
      <c r="AV478" s="30" t="inlineStr">
        <is>
          <t>DEMAIS</t>
        </is>
      </c>
      <c r="AW478" s="31" t="n">
        <v>600949440</v>
      </c>
      <c r="AX478" s="30" t="inlineStr">
        <is>
          <t>LARGE CORP</t>
        </is>
      </c>
      <c r="AY478" s="30" t="inlineStr">
        <is>
          <t>24227491</t>
        </is>
      </c>
      <c r="AZ478" s="30" t="n">
        <v>1</v>
      </c>
      <c r="BA478" s="30" t="inlineStr">
        <is>
          <t>ROWS:p16r58</t>
        </is>
      </c>
    </row>
    <row r="479">
      <c r="A479" s="16" t="inlineStr">
        <is>
          <t>DOCELAR MOVEIS LTDA</t>
        </is>
      </c>
      <c r="B479" s="17" t="n">
        <v>406451</v>
      </c>
      <c r="C479" s="18" t="inlineStr">
        <is>
          <t>CREDIMÓVEIS NOVOLAR LTDA.</t>
        </is>
      </c>
      <c r="D479" s="19" t="inlineStr">
        <is>
          <t>NEW</t>
        </is>
      </c>
      <c r="E479" s="20" t="inlineStr"/>
      <c r="F479" s="19" t="inlineStr"/>
      <c r="G479" s="20" t="inlineStr"/>
      <c r="H479" s="19" t="inlineStr"/>
      <c r="I479" s="21" t="inlineStr">
        <is>
          <t>Ana Flavia</t>
        </is>
      </c>
      <c r="J479" s="21" t="inlineStr">
        <is>
          <t>Gestor Administrativo Financeiro</t>
        </is>
      </c>
      <c r="K479" s="21" t="inlineStr">
        <is>
          <t>(27) 3372-6868</t>
        </is>
      </c>
      <c r="L479" s="21" t="inlineStr"/>
      <c r="M479" s="21" t="inlineStr"/>
      <c r="N479" s="21" t="inlineStr"/>
      <c r="O479" s="21" t="inlineStr">
        <is>
          <t>marcia@docelarmoveis.com.br</t>
        </is>
      </c>
      <c r="P479" s="21" t="inlineStr">
        <is>
          <t>Marcia Matoso</t>
        </is>
      </c>
      <c r="Q479" s="21" t="inlineStr">
        <is>
          <t>Financial Analyst</t>
        </is>
      </c>
      <c r="R479" s="21" t="inlineStr"/>
      <c r="S479" s="21" t="inlineStr">
        <is>
          <t>marcia@docelarmoveis.com.br</t>
        </is>
      </c>
      <c r="T479" s="21" t="inlineStr">
        <is>
          <t>no work email found in Apollo</t>
        </is>
      </c>
      <c r="U479" s="22" t="n">
        <v>406451</v>
      </c>
      <c r="V479" s="38" t="inlineStr">
        <is>
          <t>C</t>
        </is>
      </c>
      <c r="W479" s="24">
        <f>IFERROR(VLOOKUP(V479,Assumptions!$A$7:$F$11,2,FALSE),0)</f>
        <v/>
      </c>
      <c r="X479" s="25">
        <f>IF(V479="A",MAX(1,IFERROR(VLOOKUP(V479,Assumptions!$A$7:$F$11,3,FALSE),3)+IFERROR(VLOOKUP(V479,Assumptions!$A$7:$F$11,4,FALSE),8)/2-MAX(0,IF(AO479="",0,YEAR(TODAY())-AO479)-IFERROR(VLOOKUP(V479,Assumptions!$A$7:$F$11,5,FALSE),1.5))),IFERROR(VLOOKUP(V479,Assumptions!$A$7:$F$11,5,FALSE),2.5)+IFERROR(VLOOKUP(V479,Assumptions!$A$7:$F$11,3,FALSE),3)+IFERROR(VLOOKUP(V479,Assumptions!$A$7:$F$11,4,FALSE),8)/2)</f>
        <v/>
      </c>
      <c r="Y479" s="22">
        <f>U479*W479/(1+Assumptions!$B$3)^X479</f>
        <v/>
      </c>
      <c r="Z479" s="26">
        <f>IF(U479=0,"",ROUND(Y479/U479*100,1))</f>
        <v/>
      </c>
      <c r="AA479" s="27">
        <f>Y479*Assumptions!$B$4</f>
        <v/>
      </c>
      <c r="AB479" s="26">
        <f>IF(U479=0,"",ROUND(AA479/U479*100,1))</f>
        <v/>
      </c>
      <c r="AC479" s="27">
        <f>Y479-AA479</f>
        <v/>
      </c>
      <c r="AD479" s="26">
        <f>IF(U479=0,"",ROUND((Y479-AA479)/U479*100,1))</f>
        <v/>
      </c>
      <c r="AE479" s="28" t="inlineStr">
        <is>
          <t>OK — totals reconciled</t>
        </is>
      </c>
      <c r="AF479" s="29" t="inlineStr">
        <is>
          <t>https://recuperacaojudicial.squarespace.com/s/RJ-Credimoveis-QGC-01082025.pdf</t>
        </is>
      </c>
      <c r="AG479" s="28" t="inlineStr">
        <is>
          <t>p15 r39</t>
        </is>
      </c>
      <c r="AH479" s="28" t="inlineStr">
        <is>
          <t>p15: R$ 406.451,00</t>
        </is>
      </c>
      <c r="AI479" s="28" t="inlineStr">
        <is>
          <t>QGC (art. 18)</t>
        </is>
      </c>
      <c r="AJ479" s="28" t="inlineStr">
        <is>
          <t>2026-01-28</t>
        </is>
      </c>
      <c r="AK479" s="28" t="inlineStr">
        <is>
          <t>NONE FOUND</t>
        </is>
      </c>
      <c r="AL479" s="30" t="inlineStr">
        <is>
          <t>0007565-40.2020.8.17.2370</t>
        </is>
      </c>
      <c r="AM479" s="30" t="inlineStr">
        <is>
          <t>TJPE</t>
        </is>
      </c>
      <c r="AN479" s="30" t="inlineStr">
        <is>
          <t>ACTIVE</t>
        </is>
      </c>
      <c r="AO479" s="30" t="n">
        <v>2020</v>
      </c>
      <c r="AP479" s="30" t="inlineStr">
        <is>
          <t>6y since filing, no plan document</t>
        </is>
      </c>
      <c r="AQ479" s="30" t="inlineStr">
        <is>
          <t>09.930.165/0001-37</t>
        </is>
      </c>
      <c r="AR479" s="30" t="inlineStr">
        <is>
          <t>printed on the list (read twice)</t>
        </is>
      </c>
      <c r="AS479" s="30" t="inlineStr">
        <is>
          <t>LINHARES</t>
        </is>
      </c>
      <c r="AT479" s="30" t="inlineStr">
        <is>
          <t>ES</t>
        </is>
      </c>
      <c r="AU479" s="30" t="inlineStr">
        <is>
          <t>Fabricação de móveis com predominância de madeira</t>
        </is>
      </c>
      <c r="AV479" s="30" t="inlineStr">
        <is>
          <t>DEMAIS</t>
        </is>
      </c>
      <c r="AW479" s="31" t="n">
        <v>3357900</v>
      </c>
      <c r="AX479" s="30" t="inlineStr">
        <is>
          <t>MID-MARKET</t>
        </is>
      </c>
      <c r="AY479" s="30" t="inlineStr">
        <is>
          <t>28485746</t>
        </is>
      </c>
      <c r="AZ479" s="30" t="n">
        <v>1</v>
      </c>
      <c r="BA479" s="30" t="inlineStr">
        <is>
          <t>ROWS:p15r39</t>
        </is>
      </c>
    </row>
    <row r="480">
      <c r="A480" s="16" t="inlineStr">
        <is>
          <t>EPE - PRODUTOS AGROPECUARIOS LTDA</t>
        </is>
      </c>
      <c r="B480" s="17" t="n">
        <v>399413.94</v>
      </c>
      <c r="C480" s="18" t="inlineStr">
        <is>
          <t>AGROPECUÁRIA SERROTE REDONDO</t>
        </is>
      </c>
      <c r="D480" s="19" t="inlineStr">
        <is>
          <t>NEW</t>
        </is>
      </c>
      <c r="E480" s="20" t="inlineStr"/>
      <c r="F480" s="19" t="inlineStr"/>
      <c r="G480" s="20" t="inlineStr"/>
      <c r="H480" s="19" t="inlineStr"/>
      <c r="I480" s="21" t="inlineStr">
        <is>
          <t>EDIVAL VERAS DE BARROS CAMPELO FILHO</t>
        </is>
      </c>
      <c r="J480" s="21" t="inlineStr">
        <is>
          <t>Sócio-Administrador (RFB partner)</t>
        </is>
      </c>
      <c r="K480" s="21" t="inlineStr">
        <is>
          <t>(81) 3465-3775</t>
        </is>
      </c>
      <c r="L480" s="21" t="inlineStr">
        <is>
          <t>(81) 8865-3037</t>
        </is>
      </c>
      <c r="M480" s="21" t="inlineStr"/>
      <c r="N480" s="21" t="inlineStr"/>
      <c r="O480" s="21" t="inlineStr"/>
      <c r="P480" s="21" t="inlineStr">
        <is>
          <t>EMMANUEL LIMA DA ROCHA</t>
        </is>
      </c>
      <c r="Q480" s="21" t="inlineStr">
        <is>
          <t>Sócio-Administrador (RFB partner)</t>
        </is>
      </c>
      <c r="R480" s="21" t="inlineStr"/>
      <c r="S480" s="21" t="inlineStr"/>
      <c r="T480" s="21" t="inlineStr">
        <is>
          <t>RFB partner (QSA); no Apollo match</t>
        </is>
      </c>
      <c r="U480" s="22" t="n">
        <v>399413.94</v>
      </c>
      <c r="V480" s="38" t="inlineStr">
        <is>
          <t>C</t>
        </is>
      </c>
      <c r="W480" s="24">
        <f>IFERROR(VLOOKUP(V480,Assumptions!$A$7:$F$11,2,FALSE),0)</f>
        <v/>
      </c>
      <c r="X480" s="25">
        <f>IF(V480="A",MAX(1,IFERROR(VLOOKUP(V480,Assumptions!$A$7:$F$11,3,FALSE),3)+IFERROR(VLOOKUP(V480,Assumptions!$A$7:$F$11,4,FALSE),8)/2-MAX(0,IF(AO480="",0,YEAR(TODAY())-AO480)-IFERROR(VLOOKUP(V480,Assumptions!$A$7:$F$11,5,FALSE),1.5))),IFERROR(VLOOKUP(V480,Assumptions!$A$7:$F$11,5,FALSE),2.5)+IFERROR(VLOOKUP(V480,Assumptions!$A$7:$F$11,3,FALSE),3)+IFERROR(VLOOKUP(V480,Assumptions!$A$7:$F$11,4,FALSE),8)/2)</f>
        <v/>
      </c>
      <c r="Y480" s="22">
        <f>U480*W480/(1+Assumptions!$B$3)^X480</f>
        <v/>
      </c>
      <c r="Z480" s="26">
        <f>IF(U480=0,"",ROUND(Y480/U480*100,1))</f>
        <v/>
      </c>
      <c r="AA480" s="27">
        <f>Y480*Assumptions!$B$4</f>
        <v/>
      </c>
      <c r="AB480" s="26">
        <f>IF(U480=0,"",ROUND(AA480/U480*100,1))</f>
        <v/>
      </c>
      <c r="AC480" s="27">
        <f>Y480-AA480</f>
        <v/>
      </c>
      <c r="AD480" s="26">
        <f>IF(U480=0,"",ROUND((Y480-AA480)/U480*100,1))</f>
        <v/>
      </c>
      <c r="AE480" s="28" t="inlineStr">
        <is>
          <t>OK — totals reconciled</t>
        </is>
      </c>
      <c r="AF480" s="29" t="inlineStr">
        <is>
          <t>https://lrflideres.com.br/wp-content/plugins/download-attachments/includes/download.php?id=5001</t>
        </is>
      </c>
      <c r="AG480" s="28" t="inlineStr">
        <is>
          <t>p2 r4</t>
        </is>
      </c>
      <c r="AH480" s="28" t="inlineStr">
        <is>
          <t>p2: R$ 399.413,94</t>
        </is>
      </c>
      <c r="AI480" s="28" t="inlineStr">
        <is>
          <t>Unclassified list</t>
        </is>
      </c>
      <c r="AJ480" s="28" t="inlineStr"/>
      <c r="AK480" s="28" t="inlineStr">
        <is>
          <t>NONE FOUND</t>
        </is>
      </c>
      <c r="AL480" s="30" t="inlineStr">
        <is>
          <t>0000206-69.2013.8.17.1340</t>
        </is>
      </c>
      <c r="AM480" s="30" t="inlineStr">
        <is>
          <t>TJPE</t>
        </is>
      </c>
      <c r="AN480" s="30" t="inlineStr"/>
      <c r="AO480" s="30" t="n">
        <v>2013</v>
      </c>
      <c r="AP480" s="30" t="inlineStr">
        <is>
          <t>13y since filing, no plan document</t>
        </is>
      </c>
      <c r="AQ480" s="30" t="inlineStr"/>
      <c r="AR480" s="30" t="inlineStr">
        <is>
          <t>portal page title / URL — not printed on the list</t>
        </is>
      </c>
      <c r="AS480" s="30" t="inlineStr">
        <is>
          <t>GARANHUNS</t>
        </is>
      </c>
      <c r="AT480" s="30" t="inlineStr">
        <is>
          <t>PE</t>
        </is>
      </c>
      <c r="AU480" s="30" t="inlineStr">
        <is>
          <t>Comércio atacadista de mercadorias em geral, com predominância de insumos agropecuários</t>
        </is>
      </c>
      <c r="AV480" s="30" t="inlineStr">
        <is>
          <t>DEMAIS</t>
        </is>
      </c>
      <c r="AW480" s="31" t="inlineStr"/>
      <c r="AX480" s="30" t="inlineStr">
        <is>
          <t>MID-MARKET</t>
        </is>
      </c>
      <c r="AY480" s="30" t="inlineStr">
        <is>
          <t>05860157</t>
        </is>
      </c>
      <c r="AZ480" s="30" t="n">
        <v>1</v>
      </c>
      <c r="BA480" s="30" t="inlineStr">
        <is>
          <t>ALT_VALUE:399.413,94 ROWS:p2r4</t>
        </is>
      </c>
    </row>
    <row r="481">
      <c r="A481" s="16" t="inlineStr">
        <is>
          <t>COMPANHIA ENERGETICA DE PERNAMBUCO</t>
        </is>
      </c>
      <c r="B481" s="17" t="n">
        <v>391331.27</v>
      </c>
      <c r="C481" s="18" t="inlineStr">
        <is>
          <t>CENTRO DE TRATAMENTO RENAL ZONA SUL LTDA</t>
        </is>
      </c>
      <c r="D481" s="19" t="inlineStr">
        <is>
          <t>NEW</t>
        </is>
      </c>
      <c r="E481" s="20" t="inlineStr"/>
      <c r="F481" s="19" t="inlineStr"/>
      <c r="G481" s="20" t="inlineStr"/>
      <c r="H481" s="19" t="inlineStr"/>
      <c r="I481" s="21" t="inlineStr">
        <is>
          <t>SAULO CABRAL E SILVA</t>
        </is>
      </c>
      <c r="J481" s="21" t="inlineStr">
        <is>
          <t>Presidente (RFB partner)</t>
        </is>
      </c>
      <c r="K481" s="21" t="inlineStr">
        <is>
          <t>(81) 3217-5226</t>
        </is>
      </c>
      <c r="L481" s="21" t="inlineStr"/>
      <c r="M481" s="21" t="inlineStr"/>
      <c r="N481" s="21" t="inlineStr"/>
      <c r="O481" s="21" t="inlineStr"/>
      <c r="P481" s="21" t="inlineStr">
        <is>
          <t>FABIANO DA ROSA CARVALHO</t>
        </is>
      </c>
      <c r="Q481" s="21" t="inlineStr">
        <is>
          <t>Diretor (RFB partner)</t>
        </is>
      </c>
      <c r="R481" s="21" t="inlineStr"/>
      <c r="S481" s="21" t="inlineStr"/>
      <c r="T481" s="21" t="inlineStr">
        <is>
          <t>RFB partner (QSA); no Apollo match</t>
        </is>
      </c>
      <c r="U481" s="22" t="n">
        <v>391331.27</v>
      </c>
      <c r="V481" s="38" t="inlineStr">
        <is>
          <t>C</t>
        </is>
      </c>
      <c r="W481" s="24">
        <f>IFERROR(VLOOKUP(V481,Assumptions!$A$7:$F$11,2,FALSE),0)</f>
        <v/>
      </c>
      <c r="X481" s="25">
        <f>IF(V481="A",MAX(1,IFERROR(VLOOKUP(V481,Assumptions!$A$7:$F$11,3,FALSE),3)+IFERROR(VLOOKUP(V481,Assumptions!$A$7:$F$11,4,FALSE),8)/2-MAX(0,IF(AO481="",0,YEAR(TODAY())-AO481)-IFERROR(VLOOKUP(V481,Assumptions!$A$7:$F$11,5,FALSE),1.5))),IFERROR(VLOOKUP(V481,Assumptions!$A$7:$F$11,5,FALSE),2.5)+IFERROR(VLOOKUP(V481,Assumptions!$A$7:$F$11,3,FALSE),3)+IFERROR(VLOOKUP(V481,Assumptions!$A$7:$F$11,4,FALSE),8)/2)</f>
        <v/>
      </c>
      <c r="Y481" s="22">
        <f>U481*W481/(1+Assumptions!$B$3)^X481</f>
        <v/>
      </c>
      <c r="Z481" s="26">
        <f>IF(U481=0,"",ROUND(Y481/U481*100,1))</f>
        <v/>
      </c>
      <c r="AA481" s="27">
        <f>Y481*Assumptions!$B$4</f>
        <v/>
      </c>
      <c r="AB481" s="26">
        <f>IF(U481=0,"",ROUND(AA481/U481*100,1))</f>
        <v/>
      </c>
      <c r="AC481" s="27">
        <f>Y481-AA481</f>
        <v/>
      </c>
      <c r="AD481" s="26">
        <f>IF(U481=0,"",ROUND((Y481-AA481)/U481*100,1))</f>
        <v/>
      </c>
      <c r="AE481" s="28" t="inlineStr">
        <is>
          <t>OK — totals reconciled</t>
        </is>
      </c>
      <c r="AF481" s="29" t="inlineStr">
        <is>
          <t>https://recuperacaojudicial.squarespace.com/s/4-RJCTREditalda2ListadeCredoresnovembro2019.pdf</t>
        </is>
      </c>
      <c r="AG481" s="28" t="inlineStr">
        <is>
          <t>p3 r10</t>
        </is>
      </c>
      <c r="AH481" s="28" t="inlineStr">
        <is>
          <t>p3: R$ 391.331,27</t>
        </is>
      </c>
      <c r="AI481" s="28" t="inlineStr">
        <is>
          <t>AJ list (art. 7 §2)</t>
        </is>
      </c>
      <c r="AJ481" s="28" t="inlineStr">
        <is>
          <t>2019-11-25</t>
        </is>
      </c>
      <c r="AK481" s="28" t="inlineStr">
        <is>
          <t>NONE FOUND</t>
        </is>
      </c>
      <c r="AL481" s="30" t="inlineStr">
        <is>
          <t>0015488-29.2018.8.17.2810</t>
        </is>
      </c>
      <c r="AM481" s="30" t="inlineStr">
        <is>
          <t>TJPE</t>
        </is>
      </c>
      <c r="AN481" s="30" t="inlineStr"/>
      <c r="AO481" s="30" t="n">
        <v>2018</v>
      </c>
      <c r="AP481" s="30" t="inlineStr">
        <is>
          <t>8y since filing, no plan document</t>
        </is>
      </c>
      <c r="AQ481" s="30" t="inlineStr">
        <is>
          <t>03.648.189/0001-11</t>
        </is>
      </c>
      <c r="AR481" s="30" t="inlineStr">
        <is>
          <t>printed on the list (read twice)</t>
        </is>
      </c>
      <c r="AS481" s="30" t="inlineStr">
        <is>
          <t>RECIFE</t>
        </is>
      </c>
      <c r="AT481" s="30" t="inlineStr">
        <is>
          <t>PE</t>
        </is>
      </c>
      <c r="AU481" s="30" t="inlineStr">
        <is>
          <t>Distribuição de energia elétrica</t>
        </is>
      </c>
      <c r="AV481" s="30" t="inlineStr">
        <is>
          <t>DEMAIS</t>
        </is>
      </c>
      <c r="AW481" s="31" t="n">
        <v>1663177700</v>
      </c>
      <c r="AX481" s="30" t="inlineStr">
        <is>
          <t>LARGE CORP</t>
        </is>
      </c>
      <c r="AY481" s="30" t="inlineStr">
        <is>
          <t>10835932</t>
        </is>
      </c>
      <c r="AZ481" s="30" t="n">
        <v>1</v>
      </c>
      <c r="BA481" s="30" t="inlineStr">
        <is>
          <t>ROWS:p3r10</t>
        </is>
      </c>
    </row>
    <row r="482">
      <c r="A482" s="16" t="inlineStr">
        <is>
          <t>L D NUNES</t>
        </is>
      </c>
      <c r="B482" s="17" t="n">
        <v>390081</v>
      </c>
      <c r="C482" s="18" t="inlineStr">
        <is>
          <t>AGROPECUÁRIA SERROTE REDONDO</t>
        </is>
      </c>
      <c r="D482" s="19" t="inlineStr">
        <is>
          <t>NEW</t>
        </is>
      </c>
      <c r="E482" s="20" t="inlineStr"/>
      <c r="F482" s="19" t="inlineStr"/>
      <c r="G482" s="20" t="inlineStr"/>
      <c r="H482" s="19" t="inlineStr"/>
      <c r="I482" s="21" t="inlineStr">
        <is>
          <t>Janaina Sousa</t>
        </is>
      </c>
      <c r="J482" s="21" t="inlineStr">
        <is>
          <t>Administrative Supervisor</t>
        </is>
      </c>
      <c r="K482" s="21" t="inlineStr"/>
      <c r="L482" s="21" t="inlineStr"/>
      <c r="M482" s="21" t="inlineStr"/>
      <c r="N482" s="21" t="inlineStr">
        <is>
          <t>janaina@indama.com.br</t>
        </is>
      </c>
      <c r="O482" s="21" t="inlineStr">
        <is>
          <t>janaina@indama.com.br</t>
        </is>
      </c>
      <c r="P482" s="21" t="inlineStr">
        <is>
          <t>Janaina Sousa</t>
        </is>
      </c>
      <c r="Q482" s="21" t="inlineStr">
        <is>
          <t>Administrative Supervisor</t>
        </is>
      </c>
      <c r="R482" s="21" t="inlineStr"/>
      <c r="S482" s="21" t="inlineStr">
        <is>
          <t>janaina@indama.com.br</t>
        </is>
      </c>
      <c r="T482" s="21" t="inlineStr">
        <is>
          <t>VERIFY org: Apollo 'Indama' profile is São Luís/MA, target is L D Nunes (Indama) RN; has_email; email verified by Apollo</t>
        </is>
      </c>
      <c r="U482" s="22" t="n">
        <v>390081</v>
      </c>
      <c r="V482" s="38" t="inlineStr">
        <is>
          <t>C</t>
        </is>
      </c>
      <c r="W482" s="24">
        <f>IFERROR(VLOOKUP(V482,Assumptions!$A$7:$F$11,2,FALSE),0)</f>
        <v/>
      </c>
      <c r="X482" s="25">
        <f>IF(V482="A",MAX(1,IFERROR(VLOOKUP(V482,Assumptions!$A$7:$F$11,3,FALSE),3)+IFERROR(VLOOKUP(V482,Assumptions!$A$7:$F$11,4,FALSE),8)/2-MAX(0,IF(AO482="",0,YEAR(TODAY())-AO482)-IFERROR(VLOOKUP(V482,Assumptions!$A$7:$F$11,5,FALSE),1.5))),IFERROR(VLOOKUP(V482,Assumptions!$A$7:$F$11,5,FALSE),2.5)+IFERROR(VLOOKUP(V482,Assumptions!$A$7:$F$11,3,FALSE),3)+IFERROR(VLOOKUP(V482,Assumptions!$A$7:$F$11,4,FALSE),8)/2)</f>
        <v/>
      </c>
      <c r="Y482" s="22">
        <f>U482*W482/(1+Assumptions!$B$3)^X482</f>
        <v/>
      </c>
      <c r="Z482" s="26">
        <f>IF(U482=0,"",ROUND(Y482/U482*100,1))</f>
        <v/>
      </c>
      <c r="AA482" s="27">
        <f>Y482*Assumptions!$B$4</f>
        <v/>
      </c>
      <c r="AB482" s="26">
        <f>IF(U482=0,"",ROUND(AA482/U482*100,1))</f>
        <v/>
      </c>
      <c r="AC482" s="27">
        <f>Y482-AA482</f>
        <v/>
      </c>
      <c r="AD482" s="26">
        <f>IF(U482=0,"",ROUND((Y482-AA482)/U482*100,1))</f>
        <v/>
      </c>
      <c r="AE482" s="28" t="inlineStr">
        <is>
          <t>OK — totals reconciled</t>
        </is>
      </c>
      <c r="AF482" s="29" t="inlineStr">
        <is>
          <t>https://lrflideres.com.br/wp-content/plugins/download-attachments/includes/download.php?id=5001</t>
        </is>
      </c>
      <c r="AG482" s="28" t="inlineStr">
        <is>
          <t>p2 r36</t>
        </is>
      </c>
      <c r="AH482" s="28" t="inlineStr">
        <is>
          <t>p2: R$ 390.081,00</t>
        </is>
      </c>
      <c r="AI482" s="28" t="inlineStr">
        <is>
          <t>Unclassified list</t>
        </is>
      </c>
      <c r="AJ482" s="28" t="inlineStr"/>
      <c r="AK482" s="28" t="inlineStr">
        <is>
          <t>NONE FOUND</t>
        </is>
      </c>
      <c r="AL482" s="30" t="inlineStr">
        <is>
          <t>0000206-69.2013.8.17.1340</t>
        </is>
      </c>
      <c r="AM482" s="30" t="inlineStr">
        <is>
          <t>TJPE</t>
        </is>
      </c>
      <c r="AN482" s="30" t="inlineStr"/>
      <c r="AO482" s="30" t="n">
        <v>2013</v>
      </c>
      <c r="AP482" s="30" t="inlineStr">
        <is>
          <t>13y since filing, no plan document</t>
        </is>
      </c>
      <c r="AQ482" s="30" t="inlineStr"/>
      <c r="AR482" s="30" t="inlineStr">
        <is>
          <t>portal page title / URL — not printed on the list</t>
        </is>
      </c>
      <c r="AS482" s="30" t="inlineStr">
        <is>
          <t>MACAIBA</t>
        </is>
      </c>
      <c r="AT482" s="30" t="inlineStr">
        <is>
          <t>RN</t>
        </is>
      </c>
      <c r="AU482" s="30" t="inlineStr">
        <is>
          <t>Preparação de subprodutos do abate</t>
        </is>
      </c>
      <c r="AV482" s="30" t="inlineStr">
        <is>
          <t>EMPRESA DE PEQUENO PORTE</t>
        </is>
      </c>
      <c r="AW482" s="31" t="inlineStr"/>
      <c r="AX482" s="30" t="inlineStr">
        <is>
          <t>SMALL</t>
        </is>
      </c>
      <c r="AY482" s="30" t="inlineStr">
        <is>
          <t>02291660</t>
        </is>
      </c>
      <c r="AZ482" s="30" t="n">
        <v>1</v>
      </c>
      <c r="BA482" s="30" t="inlineStr">
        <is>
          <t>ALT_VALUE:390.081,00 ROWS:p2r36</t>
        </is>
      </c>
    </row>
    <row r="483">
      <c r="A483" s="16" t="inlineStr">
        <is>
          <t>SIRI COMERCIO E SERVICOS LTDA.</t>
        </is>
      </c>
      <c r="B483" s="17" t="n">
        <v>383787.51</v>
      </c>
      <c r="C483" s="18" t="inlineStr">
        <is>
          <t>CREDIMÓVEIS NOVOLAR LTDA.</t>
        </is>
      </c>
      <c r="D483" s="19" t="inlineStr">
        <is>
          <t>NEW</t>
        </is>
      </c>
      <c r="E483" s="20" t="inlineStr"/>
      <c r="F483" s="19" t="inlineStr"/>
      <c r="G483" s="20" t="inlineStr"/>
      <c r="H483" s="19" t="inlineStr"/>
      <c r="I483" s="21" t="inlineStr">
        <is>
          <t>RICARDO DOS SANTOS BORBA CAVALCANTE</t>
        </is>
      </c>
      <c r="J483" s="21" t="inlineStr">
        <is>
          <t>Sócio-Administrador (RFB partner)</t>
        </is>
      </c>
      <c r="K483" s="21" t="inlineStr">
        <is>
          <t>(11) 3053-1611</t>
        </is>
      </c>
      <c r="L483" s="21" t="inlineStr"/>
      <c r="M483" s="21" t="inlineStr"/>
      <c r="N483" s="21" t="inlineStr"/>
      <c r="O483" s="21" t="inlineStr"/>
      <c r="P483" s="21" t="inlineStr"/>
      <c r="Q483" s="21" t="inlineStr"/>
      <c r="R483" s="21" t="inlineStr"/>
      <c r="S483" s="21" t="inlineStr"/>
      <c r="T483" s="21" t="inlineStr">
        <is>
          <t>RFB partner (QSA); no Apollo match</t>
        </is>
      </c>
      <c r="U483" s="22" t="n">
        <v>383787.51</v>
      </c>
      <c r="V483" s="38" t="inlineStr">
        <is>
          <t>C</t>
        </is>
      </c>
      <c r="W483" s="24">
        <f>IFERROR(VLOOKUP(V483,Assumptions!$A$7:$F$11,2,FALSE),0)</f>
        <v/>
      </c>
      <c r="X483" s="25">
        <f>IF(V483="A",MAX(1,IFERROR(VLOOKUP(V483,Assumptions!$A$7:$F$11,3,FALSE),3)+IFERROR(VLOOKUP(V483,Assumptions!$A$7:$F$11,4,FALSE),8)/2-MAX(0,IF(AO483="",0,YEAR(TODAY())-AO483)-IFERROR(VLOOKUP(V483,Assumptions!$A$7:$F$11,5,FALSE),1.5))),IFERROR(VLOOKUP(V483,Assumptions!$A$7:$F$11,5,FALSE),2.5)+IFERROR(VLOOKUP(V483,Assumptions!$A$7:$F$11,3,FALSE),3)+IFERROR(VLOOKUP(V483,Assumptions!$A$7:$F$11,4,FALSE),8)/2)</f>
        <v/>
      </c>
      <c r="Y483" s="22">
        <f>U483*W483/(1+Assumptions!$B$3)^X483</f>
        <v/>
      </c>
      <c r="Z483" s="26">
        <f>IF(U483=0,"",ROUND(Y483/U483*100,1))</f>
        <v/>
      </c>
      <c r="AA483" s="27">
        <f>Y483*Assumptions!$B$4</f>
        <v/>
      </c>
      <c r="AB483" s="26">
        <f>IF(U483=0,"",ROUND(AA483/U483*100,1))</f>
        <v/>
      </c>
      <c r="AC483" s="27">
        <f>Y483-AA483</f>
        <v/>
      </c>
      <c r="AD483" s="26">
        <f>IF(U483=0,"",ROUND((Y483-AA483)/U483*100,1))</f>
        <v/>
      </c>
      <c r="AE483" s="28" t="inlineStr">
        <is>
          <t>OK — totals reconciled</t>
        </is>
      </c>
      <c r="AF483" s="29" t="inlineStr">
        <is>
          <t>https://recuperacaojudicial.squarespace.com/s/RJ-Credimoveis-QGC-01082025.pdf</t>
        </is>
      </c>
      <c r="AG483" s="28" t="inlineStr">
        <is>
          <t>p16 r60</t>
        </is>
      </c>
      <c r="AH483" s="28" t="inlineStr">
        <is>
          <t>p16: R$ 383.787,51</t>
        </is>
      </c>
      <c r="AI483" s="28" t="inlineStr">
        <is>
          <t>QGC (art. 18)</t>
        </is>
      </c>
      <c r="AJ483" s="28" t="inlineStr">
        <is>
          <t>2026-01-28</t>
        </is>
      </c>
      <c r="AK483" s="28" t="inlineStr">
        <is>
          <t>NONE FOUND</t>
        </is>
      </c>
      <c r="AL483" s="30" t="inlineStr">
        <is>
          <t>0007565-40.2020.8.17.2370</t>
        </is>
      </c>
      <c r="AM483" s="30" t="inlineStr">
        <is>
          <t>TJPE</t>
        </is>
      </c>
      <c r="AN483" s="30" t="inlineStr">
        <is>
          <t>ACTIVE</t>
        </is>
      </c>
      <c r="AO483" s="30" t="n">
        <v>2020</v>
      </c>
      <c r="AP483" s="30" t="inlineStr">
        <is>
          <t>6y since filing, no plan document</t>
        </is>
      </c>
      <c r="AQ483" s="30" t="inlineStr">
        <is>
          <t>09.930.165/0001-37</t>
        </is>
      </c>
      <c r="AR483" s="30" t="inlineStr">
        <is>
          <t>printed on the list (read twice)</t>
        </is>
      </c>
      <c r="AS483" s="30" t="inlineStr">
        <is>
          <t>SAO PAULO</t>
        </is>
      </c>
      <c r="AT483" s="30" t="inlineStr">
        <is>
          <t>SP</t>
        </is>
      </c>
      <c r="AU483" s="30" t="inlineStr">
        <is>
          <t>Comércio atacadista de componentes eletrônicos e equipamentos de telefonia e comunicação</t>
        </is>
      </c>
      <c r="AV483" s="30" t="inlineStr">
        <is>
          <t>DEMAIS</t>
        </is>
      </c>
      <c r="AW483" s="31" t="n">
        <v>340000000</v>
      </c>
      <c r="AX483" s="30" t="inlineStr">
        <is>
          <t>MID-MARKET</t>
        </is>
      </c>
      <c r="AY483" s="30" t="inlineStr">
        <is>
          <t>04904042</t>
        </is>
      </c>
      <c r="AZ483" s="30" t="n">
        <v>1</v>
      </c>
      <c r="BA483" s="30" t="inlineStr">
        <is>
          <t>ROWS:p16r60</t>
        </is>
      </c>
    </row>
    <row r="484">
      <c r="A484" s="16" t="inlineStr">
        <is>
          <t>BELGO BEKAERT ARAMES LTDA</t>
        </is>
      </c>
      <c r="B484" s="17" t="n">
        <v>377941.88</v>
      </c>
      <c r="C484" s="18" t="inlineStr">
        <is>
          <t>BLUFIX IND. E COM. LTDA</t>
        </is>
      </c>
      <c r="D484" s="19" t="inlineStr">
        <is>
          <t>NEW</t>
        </is>
      </c>
      <c r="E484" s="20" t="inlineStr"/>
      <c r="F484" s="19" t="inlineStr"/>
      <c r="G484" s="20" t="inlineStr"/>
      <c r="H484" s="19" t="inlineStr"/>
      <c r="I484" s="21" t="inlineStr">
        <is>
          <t>RODRIGO AUGUSTO ARCHER</t>
        </is>
      </c>
      <c r="J484" s="21" t="inlineStr">
        <is>
          <t>Administrador (RFB partner)</t>
        </is>
      </c>
      <c r="K484" s="21" t="inlineStr">
        <is>
          <t>(31) 3329-2400</t>
        </is>
      </c>
      <c r="L484" s="21" t="inlineStr">
        <is>
          <t>(31) 3329-2200</t>
        </is>
      </c>
      <c r="M484" s="21" t="inlineStr"/>
      <c r="N484" s="21" t="inlineStr"/>
      <c r="O484" s="21" t="inlineStr"/>
      <c r="P484" s="21" t="inlineStr">
        <is>
          <t>STEPHAN LOUIS LYDIE GHYSELS</t>
        </is>
      </c>
      <c r="Q484" s="21" t="inlineStr">
        <is>
          <t>Administrador (RFB partner)</t>
        </is>
      </c>
      <c r="R484" s="21" t="inlineStr"/>
      <c r="S484" s="21" t="inlineStr"/>
      <c r="T484" s="21" t="inlineStr">
        <is>
          <t>RFB partner (QSA); no Apollo match</t>
        </is>
      </c>
      <c r="U484" s="22" t="n">
        <v>377941.88</v>
      </c>
      <c r="V484" s="38" t="inlineStr">
        <is>
          <t>C</t>
        </is>
      </c>
      <c r="W484" s="24">
        <f>IFERROR(VLOOKUP(V484,Assumptions!$A$7:$F$11,2,FALSE),0)</f>
        <v/>
      </c>
      <c r="X484" s="25">
        <f>IF(V484="A",MAX(1,IFERROR(VLOOKUP(V484,Assumptions!$A$7:$F$11,3,FALSE),3)+IFERROR(VLOOKUP(V484,Assumptions!$A$7:$F$11,4,FALSE),8)/2-MAX(0,IF(AO484="",0,YEAR(TODAY())-AO484)-IFERROR(VLOOKUP(V484,Assumptions!$A$7:$F$11,5,FALSE),1.5))),IFERROR(VLOOKUP(V484,Assumptions!$A$7:$F$11,5,FALSE),2.5)+IFERROR(VLOOKUP(V484,Assumptions!$A$7:$F$11,3,FALSE),3)+IFERROR(VLOOKUP(V484,Assumptions!$A$7:$F$11,4,FALSE),8)/2)</f>
        <v/>
      </c>
      <c r="Y484" s="22">
        <f>U484*W484/(1+Assumptions!$B$3)^X484</f>
        <v/>
      </c>
      <c r="Z484" s="26">
        <f>IF(U484=0,"",ROUND(Y484/U484*100,1))</f>
        <v/>
      </c>
      <c r="AA484" s="27">
        <f>Y484*Assumptions!$B$4</f>
        <v/>
      </c>
      <c r="AB484" s="26">
        <f>IF(U484=0,"",ROUND(AA484/U484*100,1))</f>
        <v/>
      </c>
      <c r="AC484" s="27">
        <f>Y484-AA484</f>
        <v/>
      </c>
      <c r="AD484" s="26">
        <f>IF(U484=0,"",ROUND((Y484-AA484)/U484*100,1))</f>
        <v/>
      </c>
      <c r="AE484" s="33" t="inlineStr">
        <is>
          <t>NO TOTALS — list prints none; check page</t>
        </is>
      </c>
      <c r="AF484" s="29" t="inlineStr">
        <is>
          <t>https://administradorajudicialgs.com.br/wp-content/uploads/2023/08/relacao-de-credores-empresa.pdf</t>
        </is>
      </c>
      <c r="AG484" s="28" t="inlineStr">
        <is>
          <t>p10 r76; p10 r77; p10 r78; p10 r79; p10 r80; p10 r81; p10 r82; p10 r83; p10 r84; p10 r85; p10 r86; p10 r87; p10 r88; p10 r89; p10 r90; p10 r91; p10 r92; p10 r93; p10 r94; p10 r95; p10 r96; p10 r97; p10 r98; p10 r99; p10 r100; p10 r101; p10 r102; p11 r1; p11 r2; p11 r3; p11 r4; p11 r5; p11 r6; p11 r7; p11 r8; p11 r9; p11 r10; p11 r11; p11 r12; p11 r13; p11 r14; p11 r15; p11 r16; p11 r17; p11 r18; p11 r19; p11 r20; p11 r21; p11 r22; p11 r23; p11 r24; p11 r25; p11 r26; p11 r27; p11 r28; p11 r29; p11 r30; p11 r31; p11 r32; p11 r33; p11 r34; p11 r35; p11 r36; p11 r37; p11 r38; p11 r39; p11 r40; p11 r41; p11 r42; p11 r43; p11 r44; p11 r45; p11 r46; p11 r47; p11 r48; p11 r49; p11 r50; p11 r51; p11 r52; p11 r53; p11 r54; p11 r55; p11 r56; p11 r57; p11 r58; p11 r59; p11 r60; p11 r61; p11 r62; p11 r63; p11 r64; p11 r65; p11 r66; p11 r67; p11 r68; p11 r69; p11 r70; p11 r71; p11 r72; p11 r73; p11 r74; p11 r75; p11 r76; p11 r77; p11 r78; p11 r79</t>
        </is>
      </c>
      <c r="AH484" s="28" t="inlineStr">
        <is>
          <t>p10: R$ 4.482,30; p10: R$ None; p10: R$ 7.151,67; p10: R$ 7.595,13; p10: R$ 5.282,91; p10: R$ 3.785,59; p10: R$ 9.478,62; p10: R$ 4.883,90; p10: R$ 4.637,06; p10: R$ 7.265,04; p10: R$ 3.525,37; p10: R$ 9.012,60; p10: R$ 3.742,05; p10: R$ 3.720,79; p10: R$ 2.421,68; p10: R$ 3.574,13; p10: R$ None; p10: R$ 4.090,85; p10: R$ None; p10: R$ 4.694,32; p10: R$ 3.579,10; p10: R$ 8.492,77; p10: R$ 4.948,60; p10: R$ 4.419,83; p10: R$ 6.755,01; p10: R$ 3.762,75; p10: R$ 4.638,91; p11: R$ 4.629,89; p11: R$ 4.805,76; p11: R$ 4.637,06; p11: R$ 3.869,41; p11: R$ 3.816,95; p11: R$ 7.055,97; p11: R$ 7.460,60; p11: R$ None; p11: R$ 9.253,26; p11: R$ 3.430,87; p11: R$ 3.716,87; p11: R$ 4.787,18; p11: R$ 3.574,13; p11: R$ None; p11: R$ 4.090,85; p11: R$ None; p11: R$ 4.694,32; p11: R$ 3.579,10; p11: R$ 9.478,91; p11: R$ 4.884,05; p11: R$ 4.637,19; p11: R$ 7.265,27; p11: R$ 3.525,47; p11: R$ 9.012,87; p11: R$ 5.712,81; p11: R$ None; p11: R$ 3.742,17; p11: R$ 3.720,89; p11: R$ 2.421,76; p11: R$ None; p11: R$ 4.835,35; p11: R$ None; p11: R$ 4.560,45; p11: R$ 8.493,03; p11: R$ 4.948,76; p11: R$ 4.419,97; p11: R$ 6.755,22; p11: R$ None; p11: R$ 9.253,26; p11: R$ 3.430,87; p11: R$ 3.716,87; p11: R$ 4.787,18; p11: R$ 3.762,86; p11: R$ 4.639,04; p11: R$ 4.629,89; p11: R$ 4.805,90; p11: R$ 4.637,19; p11: R$ 3.869,52; p11: R$ 3.817,07; p11: R$ 7.056,17; p11: R$ 7.460,60; p11: R$ 3.574,24; p11: R$ None; p11: R$ 4.090,96; p11: R$ None; p11: R$ 4.694,47; p11: R$ 3.579,22; p11: R$ None; p11: R$ 5.712,81; p11: R$ None; p11: R$ 9.240,74; p11: R$ 4.835,35; p11: R$ None; p11: R$ 4.560,45; p11: R$ None; p11: R$ 9.253,53; p11: R$ 3.430,98; p11: R$ 3.716,98; p11: R$ 4.787,32; p11: R$ 4.630,04; p11: R$ 7.460,83; p11: R$ 5.712,98; p11: R$ None; p11: R$ None; p11: R$ 9.240,74; p11: R$ 4.835,50; p11: R$ None; p11: R$ 4.560,60; p11: R$ 9.241,02</t>
        </is>
      </c>
      <c r="AI484" s="28" t="inlineStr">
        <is>
          <t>Unclassified list</t>
        </is>
      </c>
      <c r="AJ484" s="28" t="inlineStr">
        <is>
          <t>2017-10-25</t>
        </is>
      </c>
      <c r="AK484" s="28" t="inlineStr">
        <is>
          <t>NONE FOUND</t>
        </is>
      </c>
      <c r="AL484" s="30" t="inlineStr">
        <is>
          <t>0315021-46.2018.8.24.0008</t>
        </is>
      </c>
      <c r="AM484" s="30" t="inlineStr">
        <is>
          <t>TJSC</t>
        </is>
      </c>
      <c r="AN484" s="30" t="inlineStr"/>
      <c r="AO484" s="30" t="n">
        <v>2018</v>
      </c>
      <c r="AP484" s="30" t="inlineStr">
        <is>
          <t>8y since filing, no plan document</t>
        </is>
      </c>
      <c r="AQ484" s="30" t="inlineStr">
        <is>
          <t>82.638.388/0001-15</t>
        </is>
      </c>
      <c r="AR484" s="30" t="inlineStr">
        <is>
          <t>printed on the list (read twice)</t>
        </is>
      </c>
      <c r="AS484" s="30" t="inlineStr">
        <is>
          <t>CONTAGEM</t>
        </is>
      </c>
      <c r="AT484" s="30" t="inlineStr">
        <is>
          <t>MG</t>
        </is>
      </c>
      <c r="AU484" s="30" t="inlineStr">
        <is>
          <t>Produção de arames de aço</t>
        </is>
      </c>
      <c r="AV484" s="30" t="inlineStr">
        <is>
          <t>DEMAIS</t>
        </is>
      </c>
      <c r="AW484" s="31" t="n">
        <v>744345500</v>
      </c>
      <c r="AX484" s="30" t="inlineStr">
        <is>
          <t>MID-MARKET</t>
        </is>
      </c>
      <c r="AY484" s="30" t="inlineStr">
        <is>
          <t>61074506</t>
        </is>
      </c>
      <c r="AZ484" s="30" t="n">
        <v>71</v>
      </c>
      <c r="BA484" s="30" t="inlineStr">
        <is>
          <t>ROWS:p10r76,p10r78,p10r79,p10r80,p10r81,p10r82,p10r83,p10r84,p10r85,p10r86,p10r87,p10r88,p10r89,p10r90,p10r91,p10r93,p10r95,p10r96,p10r97,p10r98,p10r99,p10r100,p10r101,p10r102,p11r1,p11r2,p11r4,p11r5,p11r6,p11r7,p11r9,p11r10,p11r11,p11r12,p11r19,p11r20,p11r21,p11r22,p11r23,p11r24,p11r25,p11r27,p11r28,p11r29,p11r31,p11r33,p11r34,p11r35,p11r36,p11r37,p11r43,p11r44,p11r46,p11r48,p11r49,p11r50,p11r52,p11r54,p11r56,p11r57,p11r61,p11r66,p11r67,p11r68,p11r69,p11r70,p11r71,p11r72,p11r76,p11r78,p11r79 UNRECONCILED_SOURCE</t>
        </is>
      </c>
    </row>
    <row r="485">
      <c r="A485" s="16" t="inlineStr">
        <is>
          <t>CESDE INDUSTRIA E COMERCIO DE ELETRODOMESTICOS LTDA</t>
        </is>
      </c>
      <c r="B485" s="17" t="n">
        <v>376130.35</v>
      </c>
      <c r="C485" s="18" t="inlineStr">
        <is>
          <t>CREDIMÓVEIS NOVOLAR LTDA.</t>
        </is>
      </c>
      <c r="D485" s="19" t="inlineStr">
        <is>
          <t>NEW</t>
        </is>
      </c>
      <c r="E485" s="20" t="inlineStr"/>
      <c r="F485" s="19" t="inlineStr"/>
      <c r="G485" s="20" t="inlineStr"/>
      <c r="H485" s="19" t="inlineStr"/>
      <c r="I485" s="21" t="inlineStr">
        <is>
          <t>ALBERTO BETRIAN BLASCO</t>
        </is>
      </c>
      <c r="J485" s="21" t="inlineStr">
        <is>
          <t>Sócio-Administrador (RFB partner)</t>
        </is>
      </c>
      <c r="K485" s="21" t="inlineStr">
        <is>
          <t>(85) 4011-3800</t>
        </is>
      </c>
      <c r="L485" s="21" t="inlineStr">
        <is>
          <t>(85) 4011-3824</t>
        </is>
      </c>
      <c r="M485" s="21" t="inlineStr"/>
      <c r="N485" s="21" t="inlineStr"/>
      <c r="O485" s="21" t="inlineStr"/>
      <c r="P485" s="21" t="inlineStr"/>
      <c r="Q485" s="21" t="inlineStr"/>
      <c r="R485" s="21" t="inlineStr"/>
      <c r="S485" s="21" t="inlineStr"/>
      <c r="T485" s="21" t="inlineStr">
        <is>
          <t>RFB partner (QSA); no Apollo match</t>
        </is>
      </c>
      <c r="U485" s="22" t="n">
        <v>376130.35</v>
      </c>
      <c r="V485" s="38" t="inlineStr">
        <is>
          <t>C</t>
        </is>
      </c>
      <c r="W485" s="24">
        <f>IFERROR(VLOOKUP(V485,Assumptions!$A$7:$F$11,2,FALSE),0)</f>
        <v/>
      </c>
      <c r="X485" s="25">
        <f>IF(V485="A",MAX(1,IFERROR(VLOOKUP(V485,Assumptions!$A$7:$F$11,3,FALSE),3)+IFERROR(VLOOKUP(V485,Assumptions!$A$7:$F$11,4,FALSE),8)/2-MAX(0,IF(AO485="",0,YEAR(TODAY())-AO485)-IFERROR(VLOOKUP(V485,Assumptions!$A$7:$F$11,5,FALSE),1.5))),IFERROR(VLOOKUP(V485,Assumptions!$A$7:$F$11,5,FALSE),2.5)+IFERROR(VLOOKUP(V485,Assumptions!$A$7:$F$11,3,FALSE),3)+IFERROR(VLOOKUP(V485,Assumptions!$A$7:$F$11,4,FALSE),8)/2)</f>
        <v/>
      </c>
      <c r="Y485" s="22">
        <f>U485*W485/(1+Assumptions!$B$3)^X485</f>
        <v/>
      </c>
      <c r="Z485" s="26">
        <f>IF(U485=0,"",ROUND(Y485/U485*100,1))</f>
        <v/>
      </c>
      <c r="AA485" s="27">
        <f>Y485*Assumptions!$B$4</f>
        <v/>
      </c>
      <c r="AB485" s="26">
        <f>IF(U485=0,"",ROUND(AA485/U485*100,1))</f>
        <v/>
      </c>
      <c r="AC485" s="27">
        <f>Y485-AA485</f>
        <v/>
      </c>
      <c r="AD485" s="26">
        <f>IF(U485=0,"",ROUND((Y485-AA485)/U485*100,1))</f>
        <v/>
      </c>
      <c r="AE485" s="28" t="inlineStr">
        <is>
          <t>OK — totals reconciled</t>
        </is>
      </c>
      <c r="AF485" s="29" t="inlineStr">
        <is>
          <t>https://recuperacaojudicial.squarespace.com/s/RJ-Credimoveis-QGC-01082025.pdf</t>
        </is>
      </c>
      <c r="AG485" s="28" t="inlineStr">
        <is>
          <t>p15 r29</t>
        </is>
      </c>
      <c r="AH485" s="28" t="inlineStr">
        <is>
          <t>p15: R$ 376.130,35</t>
        </is>
      </c>
      <c r="AI485" s="28" t="inlineStr">
        <is>
          <t>QGC (art. 18)</t>
        </is>
      </c>
      <c r="AJ485" s="28" t="inlineStr">
        <is>
          <t>2026-01-28</t>
        </is>
      </c>
      <c r="AK485" s="28" t="inlineStr">
        <is>
          <t>NONE FOUND</t>
        </is>
      </c>
      <c r="AL485" s="30" t="inlineStr">
        <is>
          <t>0007565-40.2020.8.17.2370</t>
        </is>
      </c>
      <c r="AM485" s="30" t="inlineStr">
        <is>
          <t>TJPE</t>
        </is>
      </c>
      <c r="AN485" s="30" t="inlineStr">
        <is>
          <t>ACTIVE</t>
        </is>
      </c>
      <c r="AO485" s="30" t="n">
        <v>2020</v>
      </c>
      <c r="AP485" s="30" t="inlineStr">
        <is>
          <t>6y since filing, no plan document</t>
        </is>
      </c>
      <c r="AQ485" s="30" t="inlineStr">
        <is>
          <t>09.930.165/0001-37</t>
        </is>
      </c>
      <c r="AR485" s="30" t="inlineStr">
        <is>
          <t>printed on the list (read twice)</t>
        </is>
      </c>
      <c r="AS485" s="30" t="inlineStr">
        <is>
          <t>MARANGUAPE</t>
        </is>
      </c>
      <c r="AT485" s="30" t="inlineStr">
        <is>
          <t>CE</t>
        </is>
      </c>
      <c r="AU485" s="30" t="inlineStr">
        <is>
          <t>Fabricação de outros aparelhos eletrodomésticos não especificados anteriormente, peças e acessórios</t>
        </is>
      </c>
      <c r="AV485" s="30" t="inlineStr">
        <is>
          <t>DEMAIS</t>
        </is>
      </c>
      <c r="AW485" s="31" t="n">
        <v>81368980</v>
      </c>
      <c r="AX485" s="30" t="inlineStr">
        <is>
          <t>MID-MARKET</t>
        </is>
      </c>
      <c r="AY485" s="30" t="inlineStr">
        <is>
          <t>00153282</t>
        </is>
      </c>
      <c r="AZ485" s="30" t="n">
        <v>1</v>
      </c>
      <c r="BA485" s="30" t="inlineStr">
        <is>
          <t>ROWS:p15r29</t>
        </is>
      </c>
    </row>
    <row r="486">
      <c r="A486" s="16" t="inlineStr">
        <is>
          <t>COMPANHIA ESPIRITO SANTENSE DE SANEAMENTO CESAN</t>
        </is>
      </c>
      <c r="B486" s="17" t="n">
        <v>370928.52</v>
      </c>
      <c r="C486" s="18" t="inlineStr">
        <is>
          <t>HOSPITAL SANTA MÔNICA LTDA</t>
        </is>
      </c>
      <c r="D486" s="19" t="inlineStr">
        <is>
          <t>NEW</t>
        </is>
      </c>
      <c r="E486" s="20" t="inlineStr"/>
      <c r="F486" s="19" t="inlineStr"/>
      <c r="G486" s="20" t="inlineStr"/>
      <c r="H486" s="19" t="inlineStr"/>
      <c r="I486" s="21" t="inlineStr">
        <is>
          <t>MUNIR ABUD DE OLIVEIRA</t>
        </is>
      </c>
      <c r="J486" s="21" t="inlineStr">
        <is>
          <t>Presidente (RFB partner)</t>
        </is>
      </c>
      <c r="K486" s="21" t="inlineStr">
        <is>
          <t>(27) 2127-5005</t>
        </is>
      </c>
      <c r="L486" s="21" t="inlineStr"/>
      <c r="M486" s="21" t="inlineStr"/>
      <c r="N486" s="21" t="inlineStr"/>
      <c r="O486" s="21" t="inlineStr"/>
      <c r="P486" s="21" t="inlineStr">
        <is>
          <t>KATIA MUNIZ COCO</t>
        </is>
      </c>
      <c r="Q486" s="21" t="inlineStr">
        <is>
          <t>Diretor (RFB partner)</t>
        </is>
      </c>
      <c r="R486" s="21" t="inlineStr"/>
      <c r="S486" s="21" t="inlineStr"/>
      <c r="T486" s="21" t="inlineStr">
        <is>
          <t>RFB partner (QSA); no Apollo match</t>
        </is>
      </c>
      <c r="U486" s="22" t="n">
        <v>370928.52</v>
      </c>
      <c r="V486" s="38" t="inlineStr">
        <is>
          <t>C</t>
        </is>
      </c>
      <c r="W486" s="24">
        <f>IFERROR(VLOOKUP(V486,Assumptions!$A$7:$F$11,2,FALSE),0)</f>
        <v/>
      </c>
      <c r="X486" s="25">
        <f>IF(V486="A",MAX(1,IFERROR(VLOOKUP(V486,Assumptions!$A$7:$F$11,3,FALSE),3)+IFERROR(VLOOKUP(V486,Assumptions!$A$7:$F$11,4,FALSE),8)/2-MAX(0,IF(AO486="",0,YEAR(TODAY())-AO486)-IFERROR(VLOOKUP(V486,Assumptions!$A$7:$F$11,5,FALSE),1.5))),IFERROR(VLOOKUP(V486,Assumptions!$A$7:$F$11,5,FALSE),2.5)+IFERROR(VLOOKUP(V486,Assumptions!$A$7:$F$11,3,FALSE),3)+IFERROR(VLOOKUP(V486,Assumptions!$A$7:$F$11,4,FALSE),8)/2)</f>
        <v/>
      </c>
      <c r="Y486" s="22">
        <f>U486*W486/(1+Assumptions!$B$3)^X486</f>
        <v/>
      </c>
      <c r="Z486" s="26">
        <f>IF(U486=0,"",ROUND(Y486/U486*100,1))</f>
        <v/>
      </c>
      <c r="AA486" s="27">
        <f>Y486*Assumptions!$B$4</f>
        <v/>
      </c>
      <c r="AB486" s="26">
        <f>IF(U486=0,"",ROUND(AA486/U486*100,1))</f>
        <v/>
      </c>
      <c r="AC486" s="27">
        <f>Y486-AA486</f>
        <v/>
      </c>
      <c r="AD486" s="26">
        <f>IF(U486=0,"",ROUND((Y486-AA486)/U486*100,1))</f>
        <v/>
      </c>
      <c r="AE486" s="33" t="inlineStr">
        <is>
          <t>NO TOTALS — list prints none; check page</t>
        </is>
      </c>
      <c r="AF486" s="29" t="inlineStr">
        <is>
          <t>https://ricardobiancardi.com.br/wp-content/uploads/2024/12/Edital-1-relacao-de-credores-pub.-02.12.24-.pdf</t>
        </is>
      </c>
      <c r="AG486" s="28" t="inlineStr">
        <is>
          <t>p3 r16</t>
        </is>
      </c>
      <c r="AH486" s="28" t="inlineStr">
        <is>
          <t>p3: R$ 370.928,52</t>
        </is>
      </c>
      <c r="AI486" s="28" t="inlineStr">
        <is>
          <t>Debtor list (art. 51)</t>
        </is>
      </c>
      <c r="AJ486" s="28" t="inlineStr">
        <is>
          <t>2024-12-02</t>
        </is>
      </c>
      <c r="AK486" s="28" t="inlineStr">
        <is>
          <t>NONE FOUND</t>
        </is>
      </c>
      <c r="AL486" s="30" t="inlineStr">
        <is>
          <t>0041309-42.2014.8.08.0024</t>
        </is>
      </c>
      <c r="AM486" s="30" t="inlineStr">
        <is>
          <t>TJES</t>
        </is>
      </c>
      <c r="AN486" s="30" t="inlineStr"/>
      <c r="AO486" s="30" t="n">
        <v>2014</v>
      </c>
      <c r="AP486" s="30" t="inlineStr">
        <is>
          <t>12y since filing, no plan document</t>
        </is>
      </c>
      <c r="AQ486" s="30" t="inlineStr"/>
      <c r="AR486" s="30" t="inlineStr">
        <is>
          <t>printed on the list (read twice)</t>
        </is>
      </c>
      <c r="AS486" s="30" t="inlineStr">
        <is>
          <t>VITORIA</t>
        </is>
      </c>
      <c r="AT486" s="30" t="inlineStr">
        <is>
          <t>ES</t>
        </is>
      </c>
      <c r="AU486" s="30" t="inlineStr">
        <is>
          <t>Captação, tratamento e distribuição de água</t>
        </is>
      </c>
      <c r="AV486" s="30" t="inlineStr">
        <is>
          <t>DEMAIS</t>
        </is>
      </c>
      <c r="AW486" s="31" t="n">
        <v>4269909500</v>
      </c>
      <c r="AX486" s="30" t="inlineStr">
        <is>
          <t>LARGE CORP</t>
        </is>
      </c>
      <c r="AY486" s="30" t="inlineStr">
        <is>
          <t>28151363</t>
        </is>
      </c>
      <c r="AZ486" s="30" t="n">
        <v>1</v>
      </c>
      <c r="BA486" s="30" t="inlineStr">
        <is>
          <t>ROWS:p3r16 UNRECONCILED_SOURCE</t>
        </is>
      </c>
    </row>
    <row r="487">
      <c r="A487" s="16" t="inlineStr">
        <is>
          <t>ITW PPF BRASIL ADESIVOS LTDA.</t>
        </is>
      </c>
      <c r="B487" s="17" t="n">
        <v>662505.99</v>
      </c>
      <c r="C487" s="18" t="inlineStr">
        <is>
          <t>Mannes</t>
        </is>
      </c>
      <c r="D487" s="19" t="inlineStr">
        <is>
          <t>NEW</t>
        </is>
      </c>
      <c r="E487" s="20" t="inlineStr"/>
      <c r="F487" s="19" t="inlineStr"/>
      <c r="G487" s="20" t="inlineStr"/>
      <c r="H487" s="19" t="inlineStr"/>
      <c r="I487" s="21" t="inlineStr">
        <is>
          <t>Sonia Rogatto</t>
        </is>
      </c>
      <c r="J487" s="21" t="inlineStr">
        <is>
          <t>VP &amp; General Manager, ITW Polymers South America</t>
        </is>
      </c>
      <c r="K487" s="21" t="inlineStr">
        <is>
          <t>(19) 2138-7643</t>
        </is>
      </c>
      <c r="L487" s="21" t="inlineStr">
        <is>
          <t>(19) 2138-7642</t>
        </is>
      </c>
      <c r="M487" s="21" t="inlineStr"/>
      <c r="N487" s="21" t="inlineStr">
        <is>
          <t>srogatto@itw.com.br</t>
        </is>
      </c>
      <c r="O487" s="21" t="inlineStr"/>
      <c r="P487" s="21" t="inlineStr">
        <is>
          <t>ELIANE LOBO MANZANO</t>
        </is>
      </c>
      <c r="Q487" s="21" t="inlineStr">
        <is>
          <t>Administrador (RFB partner)</t>
        </is>
      </c>
      <c r="R487" s="21" t="inlineStr"/>
      <c r="S487" s="21" t="inlineStr"/>
      <c r="T487" s="21" t="inlineStr">
        <is>
          <t>email verified by Apollo</t>
        </is>
      </c>
      <c r="U487" s="22" t="n">
        <v>662505.99</v>
      </c>
      <c r="V487" s="39" t="inlineStr">
        <is>
          <t>D</t>
        </is>
      </c>
      <c r="W487" s="24">
        <f>IFERROR(VLOOKUP(V487,Assumptions!$A$7:$F$11,2,FALSE),0)</f>
        <v/>
      </c>
      <c r="X487" s="25">
        <f>IF(V487="A",MAX(1,IFERROR(VLOOKUP(V487,Assumptions!$A$7:$F$11,3,FALSE),3)+IFERROR(VLOOKUP(V487,Assumptions!$A$7:$F$11,4,FALSE),8)/2-MAX(0,IF(AO487="",0,YEAR(TODAY())-AO487)-IFERROR(VLOOKUP(V487,Assumptions!$A$7:$F$11,5,FALSE),1.5))),IFERROR(VLOOKUP(V487,Assumptions!$A$7:$F$11,5,FALSE),2.5)+IFERROR(VLOOKUP(V487,Assumptions!$A$7:$F$11,3,FALSE),3)+IFERROR(VLOOKUP(V487,Assumptions!$A$7:$F$11,4,FALSE),8)/2)</f>
        <v/>
      </c>
      <c r="Y487" s="22">
        <f>U487*W487/(1+Assumptions!$B$3)^X487</f>
        <v/>
      </c>
      <c r="Z487" s="26">
        <f>IF(U487=0,"",ROUND(Y487/U487*100,1))</f>
        <v/>
      </c>
      <c r="AA487" s="27">
        <f>Y487*Assumptions!$B$4</f>
        <v/>
      </c>
      <c r="AB487" s="26">
        <f>IF(U487=0,"",ROUND(AA487/U487*100,1))</f>
        <v/>
      </c>
      <c r="AC487" s="27">
        <f>Y487-AA487</f>
        <v/>
      </c>
      <c r="AD487" s="26">
        <f>IF(U487=0,"",ROUND((Y487-AA487)/U487*100,1))</f>
        <v/>
      </c>
      <c r="AE487" s="36" t="inlineStr">
        <is>
          <t>CHECK — source is not a statutory creditor list</t>
        </is>
      </c>
      <c r="AF487" s="29" t="inlineStr">
        <is>
          <t>https://administradorajudicialgs.com.br/wp-content/uploads/2024/12/relacao-de-credores-da-falida.pdf</t>
        </is>
      </c>
      <c r="AG487" s="28" t="inlineStr">
        <is>
          <t>p15 r41</t>
        </is>
      </c>
      <c r="AH487" s="28" t="inlineStr">
        <is>
          <t>p15: R$ 662.505,99</t>
        </is>
      </c>
      <c r="AI487" s="28" t="inlineStr">
        <is>
          <t>Other filing — NOT an art. 7/51 list</t>
        </is>
      </c>
      <c r="AJ487" s="28" t="inlineStr">
        <is>
          <t>2025-03-25</t>
        </is>
      </c>
      <c r="AK487" s="28" t="inlineStr">
        <is>
          <t>NONE FOUND</t>
        </is>
      </c>
      <c r="AL487" s="30" t="inlineStr">
        <is>
          <t>0005010-50.2013.8.24.0026</t>
        </is>
      </c>
      <c r="AM487" s="30" t="inlineStr">
        <is>
          <t>TJSC</t>
        </is>
      </c>
      <c r="AN487" s="30" t="inlineStr"/>
      <c r="AO487" s="30" t="n">
        <v>2013</v>
      </c>
      <c r="AP487" s="30" t="inlineStr">
        <is>
          <t>document is a falência (bankruptcy) list</t>
        </is>
      </c>
      <c r="AQ487" s="30" t="inlineStr"/>
      <c r="AR487" s="30" t="inlineStr">
        <is>
          <t>printed on the list (read twice)</t>
        </is>
      </c>
      <c r="AS487" s="30" t="inlineStr">
        <is>
          <t>VALINHOS</t>
        </is>
      </c>
      <c r="AT487" s="30" t="inlineStr">
        <is>
          <t>SP</t>
        </is>
      </c>
      <c r="AU487" s="30" t="inlineStr">
        <is>
          <t>Fabricação de adesivos e selantes</t>
        </is>
      </c>
      <c r="AV487" s="30" t="inlineStr">
        <is>
          <t>DEMAIS</t>
        </is>
      </c>
      <c r="AW487" s="31" t="n">
        <v>49809130</v>
      </c>
      <c r="AX487" s="30" t="inlineStr">
        <is>
          <t>MID-MARKET</t>
        </is>
      </c>
      <c r="AY487" s="30" t="inlineStr">
        <is>
          <t>05858780</t>
        </is>
      </c>
      <c r="AZ487" s="30" t="n">
        <v>1</v>
      </c>
      <c r="BA487" s="30" t="inlineStr">
        <is>
          <t>ROWS:p15r41 UNRECONCILED_SOURCE CASE_NUMBER_CORRECTED</t>
        </is>
      </c>
    </row>
    <row r="488">
      <c r="A488" s="16" t="inlineStr">
        <is>
          <t>COMPANHIA ENERGETICA DE PERNAMBUCO</t>
        </is>
      </c>
      <c r="B488" s="17" t="n">
        <v>642987.9399999999</v>
      </c>
      <c r="C488" s="18" t="inlineStr">
        <is>
          <t>COPA FRUIT IMPORTAÇÃO E EXPORTAÇÃO S.A</t>
        </is>
      </c>
      <c r="D488" s="19" t="inlineStr">
        <is>
          <t>NEW</t>
        </is>
      </c>
      <c r="E488" s="20" t="inlineStr"/>
      <c r="F488" s="19" t="inlineStr"/>
      <c r="G488" s="20" t="inlineStr"/>
      <c r="H488" s="19" t="inlineStr"/>
      <c r="I488" s="21" t="inlineStr">
        <is>
          <t>SAULO CABRAL E SILVA</t>
        </is>
      </c>
      <c r="J488" s="21" t="inlineStr">
        <is>
          <t>Presidente (RFB partner)</t>
        </is>
      </c>
      <c r="K488" s="21" t="inlineStr">
        <is>
          <t>(81) 3217-5226</t>
        </is>
      </c>
      <c r="L488" s="21" t="inlineStr"/>
      <c r="M488" s="21" t="inlineStr"/>
      <c r="N488" s="21" t="inlineStr"/>
      <c r="O488" s="21" t="inlineStr"/>
      <c r="P488" s="21" t="inlineStr">
        <is>
          <t>FABIANO DA ROSA CARVALHO</t>
        </is>
      </c>
      <c r="Q488" s="21" t="inlineStr">
        <is>
          <t>Diretor (RFB partner)</t>
        </is>
      </c>
      <c r="R488" s="21" t="inlineStr"/>
      <c r="S488" s="21" t="inlineStr"/>
      <c r="T488" s="21" t="inlineStr">
        <is>
          <t>RFB partner (QSA); no Apollo match</t>
        </is>
      </c>
      <c r="U488" s="22" t="n">
        <v>642987.9399999999</v>
      </c>
      <c r="V488" s="39" t="inlineStr">
        <is>
          <t>D</t>
        </is>
      </c>
      <c r="W488" s="24">
        <f>IFERROR(VLOOKUP(V488,Assumptions!$A$7:$F$11,2,FALSE),0)</f>
        <v/>
      </c>
      <c r="X488" s="25">
        <f>IF(V488="A",MAX(1,IFERROR(VLOOKUP(V488,Assumptions!$A$7:$F$11,3,FALSE),3)+IFERROR(VLOOKUP(V488,Assumptions!$A$7:$F$11,4,FALSE),8)/2-MAX(0,IF(AO488="",0,YEAR(TODAY())-AO488)-IFERROR(VLOOKUP(V488,Assumptions!$A$7:$F$11,5,FALSE),1.5))),IFERROR(VLOOKUP(V488,Assumptions!$A$7:$F$11,5,FALSE),2.5)+IFERROR(VLOOKUP(V488,Assumptions!$A$7:$F$11,3,FALSE),3)+IFERROR(VLOOKUP(V488,Assumptions!$A$7:$F$11,4,FALSE),8)/2)</f>
        <v/>
      </c>
      <c r="Y488" s="22">
        <f>U488*W488/(1+Assumptions!$B$3)^X488</f>
        <v/>
      </c>
      <c r="Z488" s="26">
        <f>IF(U488=0,"",ROUND(Y488/U488*100,1))</f>
        <v/>
      </c>
      <c r="AA488" s="27">
        <f>Y488*Assumptions!$B$4</f>
        <v/>
      </c>
      <c r="AB488" s="26">
        <f>IF(U488=0,"",ROUND(AA488/U488*100,1))</f>
        <v/>
      </c>
      <c r="AC488" s="27">
        <f>Y488-AA488</f>
        <v/>
      </c>
      <c r="AD488" s="26">
        <f>IF(U488=0,"",ROUND((Y488-AA488)/U488*100,1))</f>
        <v/>
      </c>
      <c r="AE488" s="33" t="inlineStr">
        <is>
          <t>NO TOTALS — list prints none; check page</t>
        </is>
      </c>
      <c r="AF488" s="29" t="inlineStr">
        <is>
          <t>https://diligence.adm.br/wp-content/plugins/download-attachments/includes/download.php?id=4579</t>
        </is>
      </c>
      <c r="AG488" s="28" t="inlineStr">
        <is>
          <t>p8 r9</t>
        </is>
      </c>
      <c r="AH488" s="28" t="inlineStr">
        <is>
          <t>p8: R$ 642.987,94</t>
        </is>
      </c>
      <c r="AI488" s="28" t="inlineStr">
        <is>
          <t>AJ list (art. 7 §2)</t>
        </is>
      </c>
      <c r="AJ488" s="28" t="inlineStr">
        <is>
          <t>2024-06-11</t>
        </is>
      </c>
      <c r="AK488" s="28" t="inlineStr">
        <is>
          <t>NONE FOUND</t>
        </is>
      </c>
      <c r="AL488" s="30" t="inlineStr">
        <is>
          <t>0032731-52.2010.8.17.0001</t>
        </is>
      </c>
      <c r="AM488" s="30" t="inlineStr">
        <is>
          <t>TJPE</t>
        </is>
      </c>
      <c r="AN488" s="30" t="inlineStr"/>
      <c r="AO488" s="30" t="n">
        <v>2010</v>
      </c>
      <c r="AP488" s="30" t="inlineStr">
        <is>
          <t>document is a falência (bankruptcy) list</t>
        </is>
      </c>
      <c r="AQ488" s="30" t="inlineStr">
        <is>
          <t>01.356.809/0001-13</t>
        </is>
      </c>
      <c r="AR488" s="30" t="inlineStr">
        <is>
          <t>printed on the list (read twice)</t>
        </is>
      </c>
      <c r="AS488" s="30" t="inlineStr">
        <is>
          <t>RECIFE</t>
        </is>
      </c>
      <c r="AT488" s="30" t="inlineStr">
        <is>
          <t>PE</t>
        </is>
      </c>
      <c r="AU488" s="30" t="inlineStr">
        <is>
          <t>Distribuição de energia elétrica</t>
        </is>
      </c>
      <c r="AV488" s="30" t="inlineStr">
        <is>
          <t>DEMAIS</t>
        </is>
      </c>
      <c r="AW488" s="31" t="n">
        <v>1663177700</v>
      </c>
      <c r="AX488" s="30" t="inlineStr">
        <is>
          <t>LARGE CORP</t>
        </is>
      </c>
      <c r="AY488" s="30" t="inlineStr">
        <is>
          <t>10835932</t>
        </is>
      </c>
      <c r="AZ488" s="30" t="n">
        <v>1</v>
      </c>
      <c r="BA488" s="30" t="inlineStr">
        <is>
          <t>ROWS:p8r9 UNRECONCILED_SOURCE VALUE_COL:Crédito_1ª_Lista</t>
        </is>
      </c>
    </row>
    <row r="489">
      <c r="A489" s="16" t="inlineStr">
        <is>
          <t>MOVAL MOVEIS ARAPONGAS LTDA</t>
        </is>
      </c>
      <c r="B489" s="17" t="n">
        <v>331696.27</v>
      </c>
      <c r="C489" s="18" t="inlineStr">
        <is>
          <t>CREDIMÓVEIS NOVOLAR LTDA.</t>
        </is>
      </c>
      <c r="D489" s="19" t="inlineStr">
        <is>
          <t>NEW</t>
        </is>
      </c>
      <c r="E489" s="20" t="inlineStr"/>
      <c r="F489" s="19" t="inlineStr"/>
      <c r="G489" s="20" t="inlineStr"/>
      <c r="H489" s="19" t="inlineStr"/>
      <c r="I489" s="21" t="inlineStr">
        <is>
          <t>EVANDRO MARCOS MARTINS E OLIVEIRA</t>
        </is>
      </c>
      <c r="J489" s="21" t="inlineStr">
        <is>
          <t>Sócio-Administrador (RFB partner)</t>
        </is>
      </c>
      <c r="K489" s="21" t="inlineStr"/>
      <c r="L489" s="21" t="inlineStr"/>
      <c r="M489" s="21" t="inlineStr"/>
      <c r="N489" s="21" t="inlineStr"/>
      <c r="O489" s="21" t="inlineStr"/>
      <c r="P489" s="21" t="inlineStr">
        <is>
          <t>FELIPE BATISTA E OLIVEIRA</t>
        </is>
      </c>
      <c r="Q489" s="21" t="inlineStr">
        <is>
          <t>Sócio-Administrador (RFB partner)</t>
        </is>
      </c>
      <c r="R489" s="21" t="inlineStr"/>
      <c r="S489" s="21" t="inlineStr"/>
      <c r="T489" s="21" t="inlineStr">
        <is>
          <t>RFB partner (QSA); no Apollo match</t>
        </is>
      </c>
      <c r="U489" s="22" t="n">
        <v>331696.27</v>
      </c>
      <c r="V489" s="38" t="inlineStr">
        <is>
          <t>C</t>
        </is>
      </c>
      <c r="W489" s="24">
        <f>IFERROR(VLOOKUP(V489,Assumptions!$A$7:$F$11,2,FALSE),0)</f>
        <v/>
      </c>
      <c r="X489" s="25">
        <f>IF(V489="A",MAX(1,IFERROR(VLOOKUP(V489,Assumptions!$A$7:$F$11,3,FALSE),3)+IFERROR(VLOOKUP(V489,Assumptions!$A$7:$F$11,4,FALSE),8)/2-MAX(0,IF(AO489="",0,YEAR(TODAY())-AO489)-IFERROR(VLOOKUP(V489,Assumptions!$A$7:$F$11,5,FALSE),1.5))),IFERROR(VLOOKUP(V489,Assumptions!$A$7:$F$11,5,FALSE),2.5)+IFERROR(VLOOKUP(V489,Assumptions!$A$7:$F$11,3,FALSE),3)+IFERROR(VLOOKUP(V489,Assumptions!$A$7:$F$11,4,FALSE),8)/2)</f>
        <v/>
      </c>
      <c r="Y489" s="22">
        <f>U489*W489/(1+Assumptions!$B$3)^X489</f>
        <v/>
      </c>
      <c r="Z489" s="26">
        <f>IF(U489=0,"",ROUND(Y489/U489*100,1))</f>
        <v/>
      </c>
      <c r="AA489" s="27">
        <f>Y489*Assumptions!$B$4</f>
        <v/>
      </c>
      <c r="AB489" s="26">
        <f>IF(U489=0,"",ROUND(AA489/U489*100,1))</f>
        <v/>
      </c>
      <c r="AC489" s="27">
        <f>Y489-AA489</f>
        <v/>
      </c>
      <c r="AD489" s="26">
        <f>IF(U489=0,"",ROUND((Y489-AA489)/U489*100,1))</f>
        <v/>
      </c>
      <c r="AE489" s="28" t="inlineStr">
        <is>
          <t>OK — totals reconciled</t>
        </is>
      </c>
      <c r="AF489" s="29" t="inlineStr">
        <is>
          <t>https://recuperacaojudicial.squarespace.com/s/RJ-Credimoveis-QGC-01082025.pdf</t>
        </is>
      </c>
      <c r="AG489" s="28" t="inlineStr">
        <is>
          <t>p16 r22</t>
        </is>
      </c>
      <c r="AH489" s="28" t="inlineStr">
        <is>
          <t>p16: R$ 331.696,27</t>
        </is>
      </c>
      <c r="AI489" s="28" t="inlineStr">
        <is>
          <t>QGC (art. 18)</t>
        </is>
      </c>
      <c r="AJ489" s="28" t="inlineStr">
        <is>
          <t>2026-01-28</t>
        </is>
      </c>
      <c r="AK489" s="28" t="inlineStr">
        <is>
          <t>NONE FOUND</t>
        </is>
      </c>
      <c r="AL489" s="30" t="inlineStr">
        <is>
          <t>0007565-40.2020.8.17.2370</t>
        </is>
      </c>
      <c r="AM489" s="30" t="inlineStr">
        <is>
          <t>TJPE</t>
        </is>
      </c>
      <c r="AN489" s="30" t="inlineStr">
        <is>
          <t>ACTIVE</t>
        </is>
      </c>
      <c r="AO489" s="30" t="n">
        <v>2020</v>
      </c>
      <c r="AP489" s="30" t="inlineStr">
        <is>
          <t>6y since filing, no plan document</t>
        </is>
      </c>
      <c r="AQ489" s="30" t="inlineStr">
        <is>
          <t>09.930.165/0001-37</t>
        </is>
      </c>
      <c r="AR489" s="30" t="inlineStr">
        <is>
          <t>printed on the list (read twice)</t>
        </is>
      </c>
      <c r="AS489" s="30" t="inlineStr">
        <is>
          <t>ARAPONGAS</t>
        </is>
      </c>
      <c r="AT489" s="30" t="inlineStr">
        <is>
          <t>PR</t>
        </is>
      </c>
      <c r="AU489" s="30" t="inlineStr">
        <is>
          <t>Fabricação de móveis com predominância de madeira</t>
        </is>
      </c>
      <c r="AV489" s="30" t="inlineStr">
        <is>
          <t>DEMAIS</t>
        </is>
      </c>
      <c r="AW489" s="31" t="n">
        <v>150000000</v>
      </c>
      <c r="AX489" s="30" t="inlineStr">
        <is>
          <t>MID-MARKET</t>
        </is>
      </c>
      <c r="AY489" s="30" t="inlineStr">
        <is>
          <t>75400903</t>
        </is>
      </c>
      <c r="AZ489" s="30" t="n">
        <v>1</v>
      </c>
      <c r="BA489" s="30" t="inlineStr">
        <is>
          <t>ROWS:p16r22</t>
        </is>
      </c>
    </row>
    <row r="490">
      <c r="A490" s="16" t="inlineStr">
        <is>
          <t>INCOFIOS INDUSTRIA E COMERCIO DE FIOS LTDA</t>
        </is>
      </c>
      <c r="B490" s="17" t="n">
        <v>330759.56</v>
      </c>
      <c r="C490" s="18" t="inlineStr">
        <is>
          <t>CONFECÇÕES ANDRIMALHAS LTDA</t>
        </is>
      </c>
      <c r="D490" s="19" t="inlineStr">
        <is>
          <t>NEW</t>
        </is>
      </c>
      <c r="E490" s="20" t="inlineStr"/>
      <c r="F490" s="19" t="inlineStr"/>
      <c r="G490" s="20" t="inlineStr"/>
      <c r="H490" s="19" t="inlineStr"/>
      <c r="I490" s="21" t="inlineStr">
        <is>
          <t>VITOR LUIZ RAMBO JUNIOR</t>
        </is>
      </c>
      <c r="J490" s="21" t="inlineStr">
        <is>
          <t>Administrador (RFB partner)</t>
        </is>
      </c>
      <c r="K490" s="21" t="inlineStr">
        <is>
          <t>(47) 3377-8000</t>
        </is>
      </c>
      <c r="L490" s="21" t="inlineStr"/>
      <c r="M490" s="21" t="inlineStr"/>
      <c r="N490" s="21" t="inlineStr"/>
      <c r="O490" s="21" t="inlineStr"/>
      <c r="P490" s="21" t="inlineStr"/>
      <c r="Q490" s="21" t="inlineStr"/>
      <c r="R490" s="21" t="inlineStr"/>
      <c r="S490" s="21" t="inlineStr"/>
      <c r="T490" s="21" t="inlineStr">
        <is>
          <t>RFB partner (QSA); no Apollo match</t>
        </is>
      </c>
      <c r="U490" s="22" t="n">
        <v>330759.56</v>
      </c>
      <c r="V490" s="38" t="inlineStr">
        <is>
          <t>C</t>
        </is>
      </c>
      <c r="W490" s="24">
        <f>IFERROR(VLOOKUP(V490,Assumptions!$A$7:$F$11,2,FALSE),0)</f>
        <v/>
      </c>
      <c r="X490" s="25">
        <f>IF(V490="A",MAX(1,IFERROR(VLOOKUP(V490,Assumptions!$A$7:$F$11,3,FALSE),3)+IFERROR(VLOOKUP(V490,Assumptions!$A$7:$F$11,4,FALSE),8)/2-MAX(0,IF(AO490="",0,YEAR(TODAY())-AO490)-IFERROR(VLOOKUP(V490,Assumptions!$A$7:$F$11,5,FALSE),1.5))),IFERROR(VLOOKUP(V490,Assumptions!$A$7:$F$11,5,FALSE),2.5)+IFERROR(VLOOKUP(V490,Assumptions!$A$7:$F$11,3,FALSE),3)+IFERROR(VLOOKUP(V490,Assumptions!$A$7:$F$11,4,FALSE),8)/2)</f>
        <v/>
      </c>
      <c r="Y490" s="22">
        <f>U490*W490/(1+Assumptions!$B$3)^X490</f>
        <v/>
      </c>
      <c r="Z490" s="26">
        <f>IF(U490=0,"",ROUND(Y490/U490*100,1))</f>
        <v/>
      </c>
      <c r="AA490" s="27">
        <f>Y490*Assumptions!$B$4</f>
        <v/>
      </c>
      <c r="AB490" s="26">
        <f>IF(U490=0,"",ROUND(AA490/U490*100,1))</f>
        <v/>
      </c>
      <c r="AC490" s="27">
        <f>Y490-AA490</f>
        <v/>
      </c>
      <c r="AD490" s="26">
        <f>IF(U490=0,"",ROUND((Y490-AA490)/U490*100,1))</f>
        <v/>
      </c>
      <c r="AE490" s="34" t="inlineStr">
        <is>
          <t>PARTIAL — class III reconciled, other classes not</t>
        </is>
      </c>
      <c r="AF490" s="29" t="inlineStr">
        <is>
          <t>https://administradorajudicialgs.com.br/wp-content/uploads/2023/08/doc-06-relacao-credores-do-administrador-judicial-10-02-2015.pdf</t>
        </is>
      </c>
      <c r="AG490" s="28" t="inlineStr">
        <is>
          <t>p2 r17</t>
        </is>
      </c>
      <c r="AH490" s="28" t="inlineStr">
        <is>
          <t>p2: R$ 330.759,56</t>
        </is>
      </c>
      <c r="AI490" s="28" t="inlineStr">
        <is>
          <t>AJ list (art. 7 §2)</t>
        </is>
      </c>
      <c r="AJ490" s="28" t="inlineStr"/>
      <c r="AK490" s="28" t="inlineStr">
        <is>
          <t>NONE FOUND</t>
        </is>
      </c>
      <c r="AL490" s="30" t="inlineStr">
        <is>
          <t>0302174-63.2015.8.24.0025</t>
        </is>
      </c>
      <c r="AM490" s="30" t="inlineStr">
        <is>
          <t>TJSC</t>
        </is>
      </c>
      <c r="AN490" s="30" t="inlineStr"/>
      <c r="AO490" s="30" t="n">
        <v>2015</v>
      </c>
      <c r="AP490" s="30" t="inlineStr">
        <is>
          <t>11y since filing, no plan document</t>
        </is>
      </c>
      <c r="AQ490" s="30" t="inlineStr"/>
      <c r="AR490" s="30" t="inlineStr">
        <is>
          <t>printed on the list (read twice)</t>
        </is>
      </c>
      <c r="AS490" s="30" t="inlineStr">
        <is>
          <t>INDAIAL</t>
        </is>
      </c>
      <c r="AT490" s="30" t="inlineStr">
        <is>
          <t>SC</t>
        </is>
      </c>
      <c r="AU490" s="30" t="inlineStr">
        <is>
          <t>Preparação e fiação de fibras de algodão</t>
        </is>
      </c>
      <c r="AV490" s="30" t="inlineStr">
        <is>
          <t>DEMAIS</t>
        </is>
      </c>
      <c r="AW490" s="31" t="n">
        <v>124107064</v>
      </c>
      <c r="AX490" s="30" t="inlineStr">
        <is>
          <t>MID-MARKET</t>
        </is>
      </c>
      <c r="AY490" s="30" t="inlineStr">
        <is>
          <t>04432327</t>
        </is>
      </c>
      <c r="AZ490" s="30" t="n">
        <v>1</v>
      </c>
      <c r="BA490" s="30" t="inlineStr">
        <is>
          <t>PARTIAL_DOC_CLASS_III_RECONCILED ROWS:p2r17</t>
        </is>
      </c>
    </row>
    <row r="491">
      <c r="A491" s="16" t="inlineStr">
        <is>
          <t>WHITE MARTINS GASES INDUSTRIAIS LTDA</t>
        </is>
      </c>
      <c r="B491" s="17" t="n">
        <v>328667.29</v>
      </c>
      <c r="C491" s="18" t="inlineStr">
        <is>
          <t>HOSPITAL SANTA MÔNICA LTDA</t>
        </is>
      </c>
      <c r="D491" s="19" t="inlineStr">
        <is>
          <t>NEW</t>
        </is>
      </c>
      <c r="E491" s="20" t="inlineStr"/>
      <c r="F491" s="19" t="inlineStr"/>
      <c r="G491" s="20" t="inlineStr"/>
      <c r="H491" s="19" t="inlineStr"/>
      <c r="I491" s="21" t="inlineStr">
        <is>
          <t>Claudio Ferreira</t>
        </is>
      </c>
      <c r="J491" s="21" t="inlineStr">
        <is>
          <t>Supervisor Contas a Receber</t>
        </is>
      </c>
      <c r="K491" s="21" t="inlineStr">
        <is>
          <t>(21) 3279-9000</t>
        </is>
      </c>
      <c r="L491" s="21" t="inlineStr"/>
      <c r="M491" s="21" t="inlineStr"/>
      <c r="N491" s="21" t="inlineStr"/>
      <c r="O491" s="21" t="inlineStr"/>
      <c r="P491" s="21" t="inlineStr">
        <is>
          <t>Livia Pestana</t>
        </is>
      </c>
      <c r="Q491" s="21" t="inlineStr">
        <is>
          <t>Supervisor de Cobrança / Contas a Receber</t>
        </is>
      </c>
      <c r="R491" s="21" t="inlineStr"/>
      <c r="S491" s="21" t="inlineStr"/>
      <c r="T491" s="21" t="inlineStr">
        <is>
          <t>no work email found in Apollo</t>
        </is>
      </c>
      <c r="U491" s="22" t="n">
        <v>328667.29</v>
      </c>
      <c r="V491" s="38" t="inlineStr">
        <is>
          <t>C</t>
        </is>
      </c>
      <c r="W491" s="24">
        <f>IFERROR(VLOOKUP(V491,Assumptions!$A$7:$F$11,2,FALSE),0)</f>
        <v/>
      </c>
      <c r="X491" s="25">
        <f>IF(V491="A",MAX(1,IFERROR(VLOOKUP(V491,Assumptions!$A$7:$F$11,3,FALSE),3)+IFERROR(VLOOKUP(V491,Assumptions!$A$7:$F$11,4,FALSE),8)/2-MAX(0,IF(AO491="",0,YEAR(TODAY())-AO491)-IFERROR(VLOOKUP(V491,Assumptions!$A$7:$F$11,5,FALSE),1.5))),IFERROR(VLOOKUP(V491,Assumptions!$A$7:$F$11,5,FALSE),2.5)+IFERROR(VLOOKUP(V491,Assumptions!$A$7:$F$11,3,FALSE),3)+IFERROR(VLOOKUP(V491,Assumptions!$A$7:$F$11,4,FALSE),8)/2)</f>
        <v/>
      </c>
      <c r="Y491" s="22">
        <f>U491*W491/(1+Assumptions!$B$3)^X491</f>
        <v/>
      </c>
      <c r="Z491" s="26">
        <f>IF(U491=0,"",ROUND(Y491/U491*100,1))</f>
        <v/>
      </c>
      <c r="AA491" s="27">
        <f>Y491*Assumptions!$B$4</f>
        <v/>
      </c>
      <c r="AB491" s="26">
        <f>IF(U491=0,"",ROUND(AA491/U491*100,1))</f>
        <v/>
      </c>
      <c r="AC491" s="27">
        <f>Y491-AA491</f>
        <v/>
      </c>
      <c r="AD491" s="26">
        <f>IF(U491=0,"",ROUND((Y491-AA491)/U491*100,1))</f>
        <v/>
      </c>
      <c r="AE491" s="33" t="inlineStr">
        <is>
          <t>NO TOTALS — list prints none; check page</t>
        </is>
      </c>
      <c r="AF491" s="29" t="inlineStr">
        <is>
          <t>https://ricardobiancardi.com.br/wp-content/uploads/2024/12/Edital-1-relacao-de-credores-pub.-02.12.24-.pdf</t>
        </is>
      </c>
      <c r="AG491" s="28" t="inlineStr">
        <is>
          <t>p5 r24</t>
        </is>
      </c>
      <c r="AH491" s="28" t="inlineStr">
        <is>
          <t>p5: R$ 328.667,29</t>
        </is>
      </c>
      <c r="AI491" s="28" t="inlineStr">
        <is>
          <t>Debtor list (art. 51)</t>
        </is>
      </c>
      <c r="AJ491" s="28" t="inlineStr">
        <is>
          <t>2024-12-02</t>
        </is>
      </c>
      <c r="AK491" s="28" t="inlineStr">
        <is>
          <t>NONE FOUND</t>
        </is>
      </c>
      <c r="AL491" s="30" t="inlineStr">
        <is>
          <t>0041309-42.2014.8.08.0024</t>
        </is>
      </c>
      <c r="AM491" s="30" t="inlineStr">
        <is>
          <t>TJES</t>
        </is>
      </c>
      <c r="AN491" s="30" t="inlineStr"/>
      <c r="AO491" s="30" t="n">
        <v>2014</v>
      </c>
      <c r="AP491" s="30" t="inlineStr">
        <is>
          <t>12y since filing, no plan document</t>
        </is>
      </c>
      <c r="AQ491" s="30" t="inlineStr"/>
      <c r="AR491" s="30" t="inlineStr">
        <is>
          <t>printed on the list (read twice)</t>
        </is>
      </c>
      <c r="AS491" s="30" t="inlineStr">
        <is>
          <t>RIO DE JANEIRO</t>
        </is>
      </c>
      <c r="AT491" s="30" t="inlineStr">
        <is>
          <t>RJ</t>
        </is>
      </c>
      <c r="AU491" s="30" t="inlineStr">
        <is>
          <t>Atividades de consultoria em gestão empresarial, exceto consultoria técnica específica</t>
        </is>
      </c>
      <c r="AV491" s="30" t="inlineStr">
        <is>
          <t>DEMAIS</t>
        </is>
      </c>
      <c r="AW491" s="31" t="n">
        <v>8532698000</v>
      </c>
      <c r="AX491" s="30" t="inlineStr">
        <is>
          <t>LARGE CORP</t>
        </is>
      </c>
      <c r="AY491" s="30" t="inlineStr">
        <is>
          <t>35820448</t>
        </is>
      </c>
      <c r="AZ491" s="30" t="n">
        <v>1</v>
      </c>
      <c r="BA491" s="30" t="inlineStr">
        <is>
          <t>ROWS:p5r24 UNRECONCILED_SOURCE</t>
        </is>
      </c>
    </row>
    <row r="492">
      <c r="A492" s="16" t="inlineStr">
        <is>
          <t>GSI CREOS BRASIL LTDA</t>
        </is>
      </c>
      <c r="B492" s="17" t="n">
        <v>325850.6</v>
      </c>
      <c r="C492" s="18" t="inlineStr">
        <is>
          <t>CENTRO DE TRATAMENTO RENAL ZONA SUL LTDA</t>
        </is>
      </c>
      <c r="D492" s="19" t="inlineStr">
        <is>
          <t>NEW</t>
        </is>
      </c>
      <c r="E492" s="20" t="inlineStr"/>
      <c r="F492" s="19" t="inlineStr"/>
      <c r="G492" s="20" t="inlineStr"/>
      <c r="H492" s="19" t="inlineStr"/>
      <c r="I492" s="21" t="inlineStr">
        <is>
          <t>Jamily Gueiros</t>
        </is>
      </c>
      <c r="J492" s="21" t="inlineStr">
        <is>
          <t>Financial Analyst</t>
        </is>
      </c>
      <c r="K492" s="21" t="inlineStr">
        <is>
          <t>(11) 3266-4133</t>
        </is>
      </c>
      <c r="L492" s="21" t="inlineStr"/>
      <c r="M492" s="21" t="inlineStr"/>
      <c r="N492" s="21" t="inlineStr"/>
      <c r="O492" s="21" t="inlineStr">
        <is>
          <t>daniela@gsi.com.br</t>
        </is>
      </c>
      <c r="P492" s="21" t="inlineStr">
        <is>
          <t>Daniela Yamauti</t>
        </is>
      </c>
      <c r="Q492" s="21" t="inlineStr">
        <is>
          <t>Operations Director</t>
        </is>
      </c>
      <c r="R492" s="21" t="inlineStr"/>
      <c r="S492" s="21" t="inlineStr">
        <is>
          <t>daniela@gsi.com.br</t>
        </is>
      </c>
      <c r="T492" s="21" t="inlineStr">
        <is>
          <t>no work email found in Apollo</t>
        </is>
      </c>
      <c r="U492" s="22" t="n">
        <v>325850.6</v>
      </c>
      <c r="V492" s="38" t="inlineStr">
        <is>
          <t>C</t>
        </is>
      </c>
      <c r="W492" s="24">
        <f>IFERROR(VLOOKUP(V492,Assumptions!$A$7:$F$11,2,FALSE),0)</f>
        <v/>
      </c>
      <c r="X492" s="25">
        <f>IF(V492="A",MAX(1,IFERROR(VLOOKUP(V492,Assumptions!$A$7:$F$11,3,FALSE),3)+IFERROR(VLOOKUP(V492,Assumptions!$A$7:$F$11,4,FALSE),8)/2-MAX(0,IF(AO492="",0,YEAR(TODAY())-AO492)-IFERROR(VLOOKUP(V492,Assumptions!$A$7:$F$11,5,FALSE),1.5))),IFERROR(VLOOKUP(V492,Assumptions!$A$7:$F$11,5,FALSE),2.5)+IFERROR(VLOOKUP(V492,Assumptions!$A$7:$F$11,3,FALSE),3)+IFERROR(VLOOKUP(V492,Assumptions!$A$7:$F$11,4,FALSE),8)/2)</f>
        <v/>
      </c>
      <c r="Y492" s="22">
        <f>U492*W492/(1+Assumptions!$B$3)^X492</f>
        <v/>
      </c>
      <c r="Z492" s="26">
        <f>IF(U492=0,"",ROUND(Y492/U492*100,1))</f>
        <v/>
      </c>
      <c r="AA492" s="27">
        <f>Y492*Assumptions!$B$4</f>
        <v/>
      </c>
      <c r="AB492" s="26">
        <f>IF(U492=0,"",ROUND(AA492/U492*100,1))</f>
        <v/>
      </c>
      <c r="AC492" s="27">
        <f>Y492-AA492</f>
        <v/>
      </c>
      <c r="AD492" s="26">
        <f>IF(U492=0,"",ROUND((Y492-AA492)/U492*100,1))</f>
        <v/>
      </c>
      <c r="AE492" s="28" t="inlineStr">
        <is>
          <t>OK — totals reconciled</t>
        </is>
      </c>
      <c r="AF492" s="29" t="inlineStr">
        <is>
          <t>https://recuperacaojudicial.squarespace.com/s/4-RJCTREditalda2ListadeCredoresnovembro2019.pdf</t>
        </is>
      </c>
      <c r="AG492" s="28" t="inlineStr">
        <is>
          <t>p3 r24</t>
        </is>
      </c>
      <c r="AH492" s="28" t="inlineStr">
        <is>
          <t>p3: R$ 325.850,60</t>
        </is>
      </c>
      <c r="AI492" s="28" t="inlineStr">
        <is>
          <t>AJ list (art. 7 §2)</t>
        </is>
      </c>
      <c r="AJ492" s="28" t="inlineStr">
        <is>
          <t>2019-11-25</t>
        </is>
      </c>
      <c r="AK492" s="28" t="inlineStr">
        <is>
          <t>NONE FOUND</t>
        </is>
      </c>
      <c r="AL492" s="30" t="inlineStr">
        <is>
          <t>0015488-29.2018.8.17.2810</t>
        </is>
      </c>
      <c r="AM492" s="30" t="inlineStr">
        <is>
          <t>TJPE</t>
        </is>
      </c>
      <c r="AN492" s="30" t="inlineStr"/>
      <c r="AO492" s="30" t="n">
        <v>2018</v>
      </c>
      <c r="AP492" s="30" t="inlineStr">
        <is>
          <t>8y since filing, no plan document</t>
        </is>
      </c>
      <c r="AQ492" s="30" t="inlineStr">
        <is>
          <t>03.648.189/0001-11</t>
        </is>
      </c>
      <c r="AR492" s="30" t="inlineStr">
        <is>
          <t>printed on the list (read twice)</t>
        </is>
      </c>
      <c r="AS492" s="30" t="inlineStr">
        <is>
          <t>SAO PAULO</t>
        </is>
      </c>
      <c r="AT492" s="30" t="inlineStr">
        <is>
          <t>SP</t>
        </is>
      </c>
      <c r="AU492" s="30" t="inlineStr">
        <is>
          <t>Comércio atacadista de máquinas, aparelhos e equipamentos para uso agropecuário; partes e peças</t>
        </is>
      </c>
      <c r="AV492" s="30" t="inlineStr">
        <is>
          <t>DEMAIS</t>
        </is>
      </c>
      <c r="AW492" s="31" t="n">
        <v>6404732</v>
      </c>
      <c r="AX492" s="30" t="inlineStr">
        <is>
          <t>MID-MARKET</t>
        </is>
      </c>
      <c r="AY492" s="30" t="inlineStr">
        <is>
          <t>43718469</t>
        </is>
      </c>
      <c r="AZ492" s="30" t="n">
        <v>1</v>
      </c>
      <c r="BA492" s="30" t="inlineStr">
        <is>
          <t>ROWS:p3r24</t>
        </is>
      </c>
    </row>
    <row r="493">
      <c r="A493" s="16" t="inlineStr">
        <is>
          <t>VENTISOL NORDESTE INDUSTRIA E COMERCIO DE VENTILADORES LTDA</t>
        </is>
      </c>
      <c r="B493" s="17" t="n">
        <v>321724.2</v>
      </c>
      <c r="C493" s="18" t="inlineStr">
        <is>
          <t>CREDIMÓVEIS NOVOLAR LTDA.</t>
        </is>
      </c>
      <c r="D493" s="19" t="inlineStr">
        <is>
          <t>NEW</t>
        </is>
      </c>
      <c r="E493" s="20" t="inlineStr"/>
      <c r="F493" s="19" t="inlineStr"/>
      <c r="G493" s="20" t="inlineStr"/>
      <c r="H493" s="19" t="inlineStr"/>
      <c r="I493" s="21" t="inlineStr">
        <is>
          <t>Naime Meyer</t>
        </is>
      </c>
      <c r="J493" s="21" t="inlineStr">
        <is>
          <t>Administrative Manager</t>
        </is>
      </c>
      <c r="K493" s="21" t="inlineStr">
        <is>
          <t>(81) 3523-1169</t>
        </is>
      </c>
      <c r="L493" s="21" t="inlineStr">
        <is>
          <t>(81) 3222-4350</t>
        </is>
      </c>
      <c r="M493" s="21" t="inlineStr"/>
      <c r="N493" s="21" t="inlineStr"/>
      <c r="O493" s="21" t="inlineStr"/>
      <c r="P493" s="21" t="inlineStr">
        <is>
          <t>Cleiton Santos</t>
        </is>
      </c>
      <c r="Q493" s="21" t="inlineStr">
        <is>
          <t>Sales Supervisor</t>
        </is>
      </c>
      <c r="R493" s="21" t="inlineStr"/>
      <c r="S493" s="21" t="inlineStr"/>
      <c r="T493" s="21" t="inlineStr">
        <is>
          <t>no work email found in Apollo</t>
        </is>
      </c>
      <c r="U493" s="22" t="n">
        <v>321724.2</v>
      </c>
      <c r="V493" s="38" t="inlineStr">
        <is>
          <t>C</t>
        </is>
      </c>
      <c r="W493" s="24">
        <f>IFERROR(VLOOKUP(V493,Assumptions!$A$7:$F$11,2,FALSE),0)</f>
        <v/>
      </c>
      <c r="X493" s="25">
        <f>IF(V493="A",MAX(1,IFERROR(VLOOKUP(V493,Assumptions!$A$7:$F$11,3,FALSE),3)+IFERROR(VLOOKUP(V493,Assumptions!$A$7:$F$11,4,FALSE),8)/2-MAX(0,IF(AO493="",0,YEAR(TODAY())-AO493)-IFERROR(VLOOKUP(V493,Assumptions!$A$7:$F$11,5,FALSE),1.5))),IFERROR(VLOOKUP(V493,Assumptions!$A$7:$F$11,5,FALSE),2.5)+IFERROR(VLOOKUP(V493,Assumptions!$A$7:$F$11,3,FALSE),3)+IFERROR(VLOOKUP(V493,Assumptions!$A$7:$F$11,4,FALSE),8)/2)</f>
        <v/>
      </c>
      <c r="Y493" s="22">
        <f>U493*W493/(1+Assumptions!$B$3)^X493</f>
        <v/>
      </c>
      <c r="Z493" s="26">
        <f>IF(U493=0,"",ROUND(Y493/U493*100,1))</f>
        <v/>
      </c>
      <c r="AA493" s="27">
        <f>Y493*Assumptions!$B$4</f>
        <v/>
      </c>
      <c r="AB493" s="26">
        <f>IF(U493=0,"",ROUND(AA493/U493*100,1))</f>
        <v/>
      </c>
      <c r="AC493" s="27">
        <f>Y493-AA493</f>
        <v/>
      </c>
      <c r="AD493" s="26">
        <f>IF(U493=0,"",ROUND((Y493-AA493)/U493*100,1))</f>
        <v/>
      </c>
      <c r="AE493" s="28" t="inlineStr">
        <is>
          <t>OK — totals reconciled</t>
        </is>
      </c>
      <c r="AF493" s="29" t="inlineStr">
        <is>
          <t>https://recuperacaojudicial.squarespace.com/s/RJ-Credimoveis-QGC-01082025.pdf</t>
        </is>
      </c>
      <c r="AG493" s="28" t="inlineStr">
        <is>
          <t>p17 r9</t>
        </is>
      </c>
      <c r="AH493" s="28" t="inlineStr">
        <is>
          <t>p17: R$ 321.724,20</t>
        </is>
      </c>
      <c r="AI493" s="28" t="inlineStr">
        <is>
          <t>QGC (art. 18)</t>
        </is>
      </c>
      <c r="AJ493" s="28" t="inlineStr">
        <is>
          <t>2026-01-28</t>
        </is>
      </c>
      <c r="AK493" s="28" t="inlineStr">
        <is>
          <t>NONE FOUND</t>
        </is>
      </c>
      <c r="AL493" s="30" t="inlineStr">
        <is>
          <t>0007565-40.2020.8.17.2370</t>
        </is>
      </c>
      <c r="AM493" s="30" t="inlineStr">
        <is>
          <t>TJPE</t>
        </is>
      </c>
      <c r="AN493" s="30" t="inlineStr">
        <is>
          <t>ACTIVE</t>
        </is>
      </c>
      <c r="AO493" s="30" t="n">
        <v>2020</v>
      </c>
      <c r="AP493" s="30" t="inlineStr">
        <is>
          <t>6y since filing, no plan document</t>
        </is>
      </c>
      <c r="AQ493" s="30" t="inlineStr">
        <is>
          <t>09.930.165/0001-37</t>
        </is>
      </c>
      <c r="AR493" s="30" t="inlineStr">
        <is>
          <t>printed on the list (read twice)</t>
        </is>
      </c>
      <c r="AS493" s="30" t="inlineStr">
        <is>
          <t>VITORIA DE SANTO ANTAO</t>
        </is>
      </c>
      <c r="AT493" s="30" t="inlineStr">
        <is>
          <t>PE</t>
        </is>
      </c>
      <c r="AU493" s="30" t="inlineStr">
        <is>
          <t>Fabricação de outros aparelhos eletrodomésticos não especificados anteriormente, peças e acessórios</t>
        </is>
      </c>
      <c r="AV493" s="30" t="inlineStr">
        <is>
          <t>DEMAIS</t>
        </is>
      </c>
      <c r="AW493" s="31" t="n">
        <v>19230000</v>
      </c>
      <c r="AX493" s="30" t="inlineStr">
        <is>
          <t>MID-MARKET</t>
        </is>
      </c>
      <c r="AY493" s="30" t="inlineStr">
        <is>
          <t>08934225</t>
        </is>
      </c>
      <c r="AZ493" s="30" t="n">
        <v>1</v>
      </c>
      <c r="BA493" s="30" t="inlineStr">
        <is>
          <t>ROWS:p17r9</t>
        </is>
      </c>
    </row>
    <row r="494">
      <c r="A494" s="16" t="inlineStr">
        <is>
          <t>MTC INCORPORACOES IMOBILIARIAS LTDA</t>
        </is>
      </c>
      <c r="B494" s="17" t="n">
        <v>309000</v>
      </c>
      <c r="C494" s="18" t="inlineStr">
        <is>
          <t>VECTOR INDÚSTRIA DE PRODUTOS METALÚRGICOS LTDA.</t>
        </is>
      </c>
      <c r="D494" s="19" t="inlineStr">
        <is>
          <t>NEW</t>
        </is>
      </c>
      <c r="E494" s="20" t="inlineStr"/>
      <c r="F494" s="19" t="inlineStr"/>
      <c r="G494" s="20" t="inlineStr"/>
      <c r="H494" s="19" t="inlineStr"/>
      <c r="I494" s="21" t="inlineStr">
        <is>
          <t>IVAN LUIZ CHEMELLO</t>
        </is>
      </c>
      <c r="J494" s="21" t="inlineStr">
        <is>
          <t>Sócio-Administrador (RFB partner)</t>
        </is>
      </c>
      <c r="K494" s="21" t="inlineStr">
        <is>
          <t>(54) 3028-1551</t>
        </is>
      </c>
      <c r="L494" s="21" t="inlineStr"/>
      <c r="M494" s="21" t="inlineStr"/>
      <c r="N494" s="21" t="inlineStr"/>
      <c r="O494" s="21" t="inlineStr"/>
      <c r="P494" s="21" t="inlineStr">
        <is>
          <t>LIANA MARIA GOMES CHEMELLO</t>
        </is>
      </c>
      <c r="Q494" s="21" t="inlineStr">
        <is>
          <t>Administrador (RFB partner)</t>
        </is>
      </c>
      <c r="R494" s="21" t="inlineStr"/>
      <c r="S494" s="21" t="inlineStr"/>
      <c r="T494" s="21" t="inlineStr">
        <is>
          <t>RFB partner (QSA); no Apollo match</t>
        </is>
      </c>
      <c r="U494" s="22" t="n">
        <v>309000</v>
      </c>
      <c r="V494" s="38" t="inlineStr">
        <is>
          <t>C</t>
        </is>
      </c>
      <c r="W494" s="24">
        <f>IFERROR(VLOOKUP(V494,Assumptions!$A$7:$F$11,2,FALSE),0)</f>
        <v/>
      </c>
      <c r="X494" s="25">
        <f>IF(V494="A",MAX(1,IFERROR(VLOOKUP(V494,Assumptions!$A$7:$F$11,3,FALSE),3)+IFERROR(VLOOKUP(V494,Assumptions!$A$7:$F$11,4,FALSE),8)/2-MAX(0,IF(AO494="",0,YEAR(TODAY())-AO494)-IFERROR(VLOOKUP(V494,Assumptions!$A$7:$F$11,5,FALSE),1.5))),IFERROR(VLOOKUP(V494,Assumptions!$A$7:$F$11,5,FALSE),2.5)+IFERROR(VLOOKUP(V494,Assumptions!$A$7:$F$11,3,FALSE),3)+IFERROR(VLOOKUP(V494,Assumptions!$A$7:$F$11,4,FALSE),8)/2)</f>
        <v/>
      </c>
      <c r="Y494" s="22">
        <f>U494*W494/(1+Assumptions!$B$3)^X494</f>
        <v/>
      </c>
      <c r="Z494" s="26">
        <f>IF(U494=0,"",ROUND(Y494/U494*100,1))</f>
        <v/>
      </c>
      <c r="AA494" s="27">
        <f>Y494*Assumptions!$B$4</f>
        <v/>
      </c>
      <c r="AB494" s="26">
        <f>IF(U494=0,"",ROUND(AA494/U494*100,1))</f>
        <v/>
      </c>
      <c r="AC494" s="27">
        <f>Y494-AA494</f>
        <v/>
      </c>
      <c r="AD494" s="26">
        <f>IF(U494=0,"",ROUND((Y494-AA494)/U494*100,1))</f>
        <v/>
      </c>
      <c r="AE494" s="33" t="inlineStr">
        <is>
          <t>NO TOTALS — list prints none; check page</t>
        </is>
      </c>
      <c r="AF494" s="29" t="inlineStr">
        <is>
          <t>https://scalzilliaj.com.br/sgc/download.php?file=files/processo_documento/processo_documento15513401112022_1_.pdf&amp;nome=15 - Edital do art. 7º, §2º (segunda lista de credores) e do art. 53 da Lei 11.101/2005 (recebimento do plano)</t>
        </is>
      </c>
      <c r="AG494" s="28" t="inlineStr">
        <is>
          <t>p8 r26</t>
        </is>
      </c>
      <c r="AH494" s="28" t="inlineStr">
        <is>
          <t>p8: R$ 309.000,00</t>
        </is>
      </c>
      <c r="AI494" s="28" t="inlineStr">
        <is>
          <t>AJ list (art. 7 §2)</t>
        </is>
      </c>
      <c r="AJ494" s="28" t="inlineStr">
        <is>
          <t>2022-11-01</t>
        </is>
      </c>
      <c r="AK494" s="28" t="inlineStr">
        <is>
          <t>NONE FOUND</t>
        </is>
      </c>
      <c r="AL494" s="30" t="inlineStr">
        <is>
          <t>5014104-85.2021.8.21.0010</t>
        </is>
      </c>
      <c r="AM494" s="30" t="inlineStr">
        <is>
          <t>TJRS</t>
        </is>
      </c>
      <c r="AN494" s="30" t="inlineStr">
        <is>
          <t>ACTIVE</t>
        </is>
      </c>
      <c r="AO494" s="30" t="n">
        <v>2021</v>
      </c>
      <c r="AP494" s="30" t="inlineStr">
        <is>
          <t>5y since filing, no plan document</t>
        </is>
      </c>
      <c r="AQ494" s="30" t="inlineStr">
        <is>
          <t>03.018.339/0001-03</t>
        </is>
      </c>
      <c r="AR494" s="30" t="inlineStr">
        <is>
          <t>printed on the list (read twice)</t>
        </is>
      </c>
      <c r="AS494" s="30" t="inlineStr">
        <is>
          <t>CAXIAS DO SUL</t>
        </is>
      </c>
      <c r="AT494" s="30" t="inlineStr">
        <is>
          <t>RS</t>
        </is>
      </c>
      <c r="AU494" s="30" t="inlineStr">
        <is>
          <t>Incorporação de empreendimentos imobiliários</t>
        </is>
      </c>
      <c r="AV494" s="30" t="inlineStr">
        <is>
          <t>DEMAIS</t>
        </is>
      </c>
      <c r="AW494" s="31" t="n">
        <v>2449651</v>
      </c>
      <c r="AX494" s="30" t="inlineStr">
        <is>
          <t>MID-MARKET</t>
        </is>
      </c>
      <c r="AY494" s="30" t="inlineStr">
        <is>
          <t>12749549</t>
        </is>
      </c>
      <c r="AZ494" s="30" t="n">
        <v>1</v>
      </c>
      <c r="BA494" s="30" t="inlineStr">
        <is>
          <t>ROWS:p8r26 UNRECONCILED_SOURCE</t>
        </is>
      </c>
    </row>
    <row r="495">
      <c r="A495" s="16" t="inlineStr">
        <is>
          <t>MADSON ELETROMETALURGICA LTDA</t>
        </is>
      </c>
      <c r="B495" s="17" t="n">
        <v>308189.05</v>
      </c>
      <c r="C495" s="18" t="inlineStr">
        <is>
          <t>CREDIMÓVEIS NOVOLAR LTDA.</t>
        </is>
      </c>
      <c r="D495" s="19" t="inlineStr">
        <is>
          <t>NEW</t>
        </is>
      </c>
      <c r="E495" s="20" t="inlineStr"/>
      <c r="F495" s="19" t="inlineStr"/>
      <c r="G495" s="20" t="inlineStr"/>
      <c r="H495" s="19" t="inlineStr"/>
      <c r="I495" s="21" t="inlineStr">
        <is>
          <t>FERNANDO CELSO GRASSI FERREIRA XAVIER</t>
        </is>
      </c>
      <c r="J495" s="21" t="inlineStr">
        <is>
          <t>Sócio-Administrador (RFB partner)</t>
        </is>
      </c>
      <c r="K495" s="21" t="inlineStr">
        <is>
          <t>(31) 2125-5236</t>
        </is>
      </c>
      <c r="L495" s="21" t="inlineStr">
        <is>
          <t>(31) 2125-5237</t>
        </is>
      </c>
      <c r="M495" s="21" t="inlineStr"/>
      <c r="N495" s="21" t="inlineStr"/>
      <c r="O495" s="21" t="inlineStr"/>
      <c r="P495" s="21" t="inlineStr">
        <is>
          <t>JOSE LUCIO COSTA</t>
        </is>
      </c>
      <c r="Q495" s="21" t="inlineStr">
        <is>
          <t>Sócio-Administrador (RFB partner)</t>
        </is>
      </c>
      <c r="R495" s="21" t="inlineStr"/>
      <c r="S495" s="21" t="inlineStr"/>
      <c r="T495" s="21" t="inlineStr">
        <is>
          <t>RFB partner (QSA); no Apollo match</t>
        </is>
      </c>
      <c r="U495" s="22" t="n">
        <v>308189.05</v>
      </c>
      <c r="V495" s="38" t="inlineStr">
        <is>
          <t>C</t>
        </is>
      </c>
      <c r="W495" s="24">
        <f>IFERROR(VLOOKUP(V495,Assumptions!$A$7:$F$11,2,FALSE),0)</f>
        <v/>
      </c>
      <c r="X495" s="25">
        <f>IF(V495="A",MAX(1,IFERROR(VLOOKUP(V495,Assumptions!$A$7:$F$11,3,FALSE),3)+IFERROR(VLOOKUP(V495,Assumptions!$A$7:$F$11,4,FALSE),8)/2-MAX(0,IF(AO495="",0,YEAR(TODAY())-AO495)-IFERROR(VLOOKUP(V495,Assumptions!$A$7:$F$11,5,FALSE),1.5))),IFERROR(VLOOKUP(V495,Assumptions!$A$7:$F$11,5,FALSE),2.5)+IFERROR(VLOOKUP(V495,Assumptions!$A$7:$F$11,3,FALSE),3)+IFERROR(VLOOKUP(V495,Assumptions!$A$7:$F$11,4,FALSE),8)/2)</f>
        <v/>
      </c>
      <c r="Y495" s="22">
        <f>U495*W495/(1+Assumptions!$B$3)^X495</f>
        <v/>
      </c>
      <c r="Z495" s="26">
        <f>IF(U495=0,"",ROUND(Y495/U495*100,1))</f>
        <v/>
      </c>
      <c r="AA495" s="27">
        <f>Y495*Assumptions!$B$4</f>
        <v/>
      </c>
      <c r="AB495" s="26">
        <f>IF(U495=0,"",ROUND(AA495/U495*100,1))</f>
        <v/>
      </c>
      <c r="AC495" s="27">
        <f>Y495-AA495</f>
        <v/>
      </c>
      <c r="AD495" s="26">
        <f>IF(U495=0,"",ROUND((Y495-AA495)/U495*100,1))</f>
        <v/>
      </c>
      <c r="AE495" s="28" t="inlineStr">
        <is>
          <t>OK — totals reconciled</t>
        </is>
      </c>
      <c r="AF495" s="29" t="inlineStr">
        <is>
          <t>https://recuperacaojudicial.squarespace.com/s/RJ-Credimoveis-QGC-01082025.pdf</t>
        </is>
      </c>
      <c r="AG495" s="28" t="inlineStr">
        <is>
          <t>p16 r13</t>
        </is>
      </c>
      <c r="AH495" s="28" t="inlineStr">
        <is>
          <t>p16: R$ 308.189,05</t>
        </is>
      </c>
      <c r="AI495" s="28" t="inlineStr">
        <is>
          <t>QGC (art. 18)</t>
        </is>
      </c>
      <c r="AJ495" s="28" t="inlineStr">
        <is>
          <t>2026-01-28</t>
        </is>
      </c>
      <c r="AK495" s="28" t="inlineStr">
        <is>
          <t>NONE FOUND</t>
        </is>
      </c>
      <c r="AL495" s="30" t="inlineStr">
        <is>
          <t>0007565-40.2020.8.17.2370</t>
        </is>
      </c>
      <c r="AM495" s="30" t="inlineStr">
        <is>
          <t>TJPE</t>
        </is>
      </c>
      <c r="AN495" s="30" t="inlineStr">
        <is>
          <t>ACTIVE</t>
        </is>
      </c>
      <c r="AO495" s="30" t="n">
        <v>2020</v>
      </c>
      <c r="AP495" s="30" t="inlineStr">
        <is>
          <t>6y since filing, no plan document</t>
        </is>
      </c>
      <c r="AQ495" s="30" t="inlineStr">
        <is>
          <t>09.930.165/0001-37</t>
        </is>
      </c>
      <c r="AR495" s="30" t="inlineStr">
        <is>
          <t>printed on the list (read twice)</t>
        </is>
      </c>
      <c r="AS495" s="30" t="inlineStr">
        <is>
          <t>BELO HORIZONTE</t>
        </is>
      </c>
      <c r="AT495" s="30" t="inlineStr">
        <is>
          <t>MG</t>
        </is>
      </c>
      <c r="AU495" s="30" t="inlineStr">
        <is>
          <t>Fabricação de fogões, refrigeradores e máquinas de lavar e secar para uso doméstico, peças e acessórios</t>
        </is>
      </c>
      <c r="AV495" s="30" t="inlineStr">
        <is>
          <t>DEMAIS</t>
        </is>
      </c>
      <c r="AW495" s="31" t="n">
        <v>11007046</v>
      </c>
      <c r="AX495" s="30" t="inlineStr">
        <is>
          <t>MID-MARKET</t>
        </is>
      </c>
      <c r="AY495" s="30" t="inlineStr">
        <is>
          <t>20520367</t>
        </is>
      </c>
      <c r="AZ495" s="30" t="n">
        <v>1</v>
      </c>
      <c r="BA495" s="30" t="inlineStr">
        <is>
          <t>ROWS:p16r13</t>
        </is>
      </c>
    </row>
    <row r="496">
      <c r="A496" s="16" t="inlineStr">
        <is>
          <t>GR SERVICOS E ALIMENTACAO LTDA.</t>
        </is>
      </c>
      <c r="B496" s="17" t="n">
        <v>306115.81</v>
      </c>
      <c r="C496" s="18" t="inlineStr">
        <is>
          <t>HOSPITAL SANTA MÔNICA LTDA</t>
        </is>
      </c>
      <c r="D496" s="19" t="inlineStr">
        <is>
          <t>NEW</t>
        </is>
      </c>
      <c r="E496" s="20" t="inlineStr"/>
      <c r="F496" s="19" t="inlineStr"/>
      <c r="G496" s="20" t="inlineStr"/>
      <c r="H496" s="19" t="inlineStr"/>
      <c r="I496" s="21" t="inlineStr">
        <is>
          <t>ANDERSON NUNES DA SILVA</t>
        </is>
      </c>
      <c r="J496" s="21" t="inlineStr">
        <is>
          <t>Administrador (RFB partner)</t>
        </is>
      </c>
      <c r="K496" s="21" t="inlineStr">
        <is>
          <t>(11) 2135-3000</t>
        </is>
      </c>
      <c r="L496" s="21" t="inlineStr"/>
      <c r="M496" s="21" t="inlineStr"/>
      <c r="N496" s="21" t="inlineStr"/>
      <c r="O496" s="21" t="inlineStr"/>
      <c r="P496" s="21" t="inlineStr">
        <is>
          <t>GUILHERME NASCIMENTO ROBORTELLA</t>
        </is>
      </c>
      <c r="Q496" s="21" t="inlineStr">
        <is>
          <t>Administrador (RFB partner)</t>
        </is>
      </c>
      <c r="R496" s="21" t="inlineStr"/>
      <c r="S496" s="21" t="inlineStr"/>
      <c r="T496" s="21" t="inlineStr">
        <is>
          <t>RFB partner (QSA); no Apollo match</t>
        </is>
      </c>
      <c r="U496" s="22" t="n">
        <v>306115.81</v>
      </c>
      <c r="V496" s="38" t="inlineStr">
        <is>
          <t>C</t>
        </is>
      </c>
      <c r="W496" s="24">
        <f>IFERROR(VLOOKUP(V496,Assumptions!$A$7:$F$11,2,FALSE),0)</f>
        <v/>
      </c>
      <c r="X496" s="25">
        <f>IF(V496="A",MAX(1,IFERROR(VLOOKUP(V496,Assumptions!$A$7:$F$11,3,FALSE),3)+IFERROR(VLOOKUP(V496,Assumptions!$A$7:$F$11,4,FALSE),8)/2-MAX(0,IF(AO496="",0,YEAR(TODAY())-AO496)-IFERROR(VLOOKUP(V496,Assumptions!$A$7:$F$11,5,FALSE),1.5))),IFERROR(VLOOKUP(V496,Assumptions!$A$7:$F$11,5,FALSE),2.5)+IFERROR(VLOOKUP(V496,Assumptions!$A$7:$F$11,3,FALSE),3)+IFERROR(VLOOKUP(V496,Assumptions!$A$7:$F$11,4,FALSE),8)/2)</f>
        <v/>
      </c>
      <c r="Y496" s="22">
        <f>U496*W496/(1+Assumptions!$B$3)^X496</f>
        <v/>
      </c>
      <c r="Z496" s="26">
        <f>IF(U496=0,"",ROUND(Y496/U496*100,1))</f>
        <v/>
      </c>
      <c r="AA496" s="27">
        <f>Y496*Assumptions!$B$4</f>
        <v/>
      </c>
      <c r="AB496" s="26">
        <f>IF(U496=0,"",ROUND(AA496/U496*100,1))</f>
        <v/>
      </c>
      <c r="AC496" s="27">
        <f>Y496-AA496</f>
        <v/>
      </c>
      <c r="AD496" s="26">
        <f>IF(U496=0,"",ROUND((Y496-AA496)/U496*100,1))</f>
        <v/>
      </c>
      <c r="AE496" s="33" t="inlineStr">
        <is>
          <t>NO TOTALS — list prints none; check page</t>
        </is>
      </c>
      <c r="AF496" s="29" t="inlineStr">
        <is>
          <t>https://ricardobiancardi.com.br/wp-content/uploads/2024/12/Edital-1-relacao-de-credores-pub.-02.12.24-.pdf</t>
        </is>
      </c>
      <c r="AG496" s="28" t="inlineStr">
        <is>
          <t>p4 r16</t>
        </is>
      </c>
      <c r="AH496" s="28" t="inlineStr">
        <is>
          <t>p4: R$ 306.115,81</t>
        </is>
      </c>
      <c r="AI496" s="28" t="inlineStr">
        <is>
          <t>Debtor list (art. 51)</t>
        </is>
      </c>
      <c r="AJ496" s="28" t="inlineStr">
        <is>
          <t>2024-12-02</t>
        </is>
      </c>
      <c r="AK496" s="28" t="inlineStr">
        <is>
          <t>NONE FOUND</t>
        </is>
      </c>
      <c r="AL496" s="30" t="inlineStr">
        <is>
          <t>0041309-42.2014.8.08.0024</t>
        </is>
      </c>
      <c r="AM496" s="30" t="inlineStr">
        <is>
          <t>TJES</t>
        </is>
      </c>
      <c r="AN496" s="30" t="inlineStr"/>
      <c r="AO496" s="30" t="n">
        <v>2014</v>
      </c>
      <c r="AP496" s="30" t="inlineStr">
        <is>
          <t>12y since filing, no plan document</t>
        </is>
      </c>
      <c r="AQ496" s="30" t="inlineStr"/>
      <c r="AR496" s="30" t="inlineStr">
        <is>
          <t>printed on the list (read twice)</t>
        </is>
      </c>
      <c r="AS496" s="30" t="inlineStr">
        <is>
          <t>SAO PAULO</t>
        </is>
      </c>
      <c r="AT496" s="30" t="inlineStr">
        <is>
          <t>SP</t>
        </is>
      </c>
      <c r="AU496" s="30" t="inlineStr">
        <is>
          <t>Fornecimento de alimentos preparados preponderantemente para empresas</t>
        </is>
      </c>
      <c r="AV496" s="30" t="inlineStr">
        <is>
          <t>DEMAIS</t>
        </is>
      </c>
      <c r="AW496" s="31" t="n">
        <v>1512718800</v>
      </c>
      <c r="AX496" s="30" t="inlineStr">
        <is>
          <t>LARGE CORP</t>
        </is>
      </c>
      <c r="AY496" s="30" t="inlineStr">
        <is>
          <t>02905110</t>
        </is>
      </c>
      <c r="AZ496" s="30" t="n">
        <v>1</v>
      </c>
      <c r="BA496" s="30" t="inlineStr">
        <is>
          <t>ROWS:p4r16 UNRECONCILED_SOURCE</t>
        </is>
      </c>
    </row>
    <row r="497">
      <c r="A497" s="16" t="inlineStr">
        <is>
          <t>ACOTUBO SOLUCOES EM ACOS LTDA</t>
        </is>
      </c>
      <c r="B497" s="17" t="n">
        <v>303544.67</v>
      </c>
      <c r="C497" s="18" t="inlineStr">
        <is>
          <t>VECTOR INDÚSTRIA DE PRODUTOS METALÚRGICOS LTDA.</t>
        </is>
      </c>
      <c r="D497" s="19" t="inlineStr">
        <is>
          <t>NEW</t>
        </is>
      </c>
      <c r="E497" s="20" t="inlineStr"/>
      <c r="F497" s="19" t="inlineStr"/>
      <c r="G497" s="20" t="inlineStr"/>
      <c r="H497" s="19" t="inlineStr"/>
      <c r="I497" s="21" t="inlineStr">
        <is>
          <t>Wilson Bassi</t>
        </is>
      </c>
      <c r="J497" s="21" t="inlineStr">
        <is>
          <t>Financial Director</t>
        </is>
      </c>
      <c r="K497" s="21" t="inlineStr">
        <is>
          <t>(11) 2413-2000</t>
        </is>
      </c>
      <c r="L497" s="21" t="inlineStr"/>
      <c r="M497" s="21" t="inlineStr"/>
      <c r="N497" s="21" t="inlineStr">
        <is>
          <t>wilsonbassi@acotubo.com.br</t>
        </is>
      </c>
      <c r="O497" s="21" t="inlineStr">
        <is>
          <t>leonardo.reys@acotubo.com.br</t>
        </is>
      </c>
      <c r="P497" s="21" t="inlineStr">
        <is>
          <t>Leonardo Reys</t>
        </is>
      </c>
      <c r="Q497" s="21" t="inlineStr">
        <is>
          <t>Financial Manager</t>
        </is>
      </c>
      <c r="R497" s="21" t="inlineStr"/>
      <c r="S497" s="21" t="inlineStr">
        <is>
          <t>leonardo.reys@acotubo.com.br</t>
        </is>
      </c>
      <c r="T497" s="21" t="inlineStr">
        <is>
          <t>email verified by Apollo</t>
        </is>
      </c>
      <c r="U497" s="22" t="n">
        <v>303544.67</v>
      </c>
      <c r="V497" s="38" t="inlineStr">
        <is>
          <t>C</t>
        </is>
      </c>
      <c r="W497" s="24">
        <f>IFERROR(VLOOKUP(V497,Assumptions!$A$7:$F$11,2,FALSE),0)</f>
        <v/>
      </c>
      <c r="X497" s="25">
        <f>IF(V497="A",MAX(1,IFERROR(VLOOKUP(V497,Assumptions!$A$7:$F$11,3,FALSE),3)+IFERROR(VLOOKUP(V497,Assumptions!$A$7:$F$11,4,FALSE),8)/2-MAX(0,IF(AO497="",0,YEAR(TODAY())-AO497)-IFERROR(VLOOKUP(V497,Assumptions!$A$7:$F$11,5,FALSE),1.5))),IFERROR(VLOOKUP(V497,Assumptions!$A$7:$F$11,5,FALSE),2.5)+IFERROR(VLOOKUP(V497,Assumptions!$A$7:$F$11,3,FALSE),3)+IFERROR(VLOOKUP(V497,Assumptions!$A$7:$F$11,4,FALSE),8)/2)</f>
        <v/>
      </c>
      <c r="Y497" s="22">
        <f>U497*W497/(1+Assumptions!$B$3)^X497</f>
        <v/>
      </c>
      <c r="Z497" s="26">
        <f>IF(U497=0,"",ROUND(Y497/U497*100,1))</f>
        <v/>
      </c>
      <c r="AA497" s="27">
        <f>Y497*Assumptions!$B$4</f>
        <v/>
      </c>
      <c r="AB497" s="26">
        <f>IF(U497=0,"",ROUND(AA497/U497*100,1))</f>
        <v/>
      </c>
      <c r="AC497" s="27">
        <f>Y497-AA497</f>
        <v/>
      </c>
      <c r="AD497" s="26">
        <f>IF(U497=0,"",ROUND((Y497-AA497)/U497*100,1))</f>
        <v/>
      </c>
      <c r="AE497" s="33" t="inlineStr">
        <is>
          <t>NO TOTALS — list prints none; check page</t>
        </is>
      </c>
      <c r="AF497" s="29" t="inlineStr">
        <is>
          <t>https://scalzilliaj.com.br/sgc/download.php?file=files/processo_documento/processo_documento15513401112022_1_.pdf&amp;nome=15 - Edital do art. 7º, §2º (segunda lista de credores) e do art. 53 da Lei 11.101/2005 (recebimento do plano)</t>
        </is>
      </c>
      <c r="AG497" s="28" t="inlineStr">
        <is>
          <t>p5 r18</t>
        </is>
      </c>
      <c r="AH497" s="28" t="inlineStr">
        <is>
          <t>p5: R$ 303.544,67</t>
        </is>
      </c>
      <c r="AI497" s="28" t="inlineStr">
        <is>
          <t>AJ list (art. 7 §2)</t>
        </is>
      </c>
      <c r="AJ497" s="28" t="inlineStr">
        <is>
          <t>2022-11-01</t>
        </is>
      </c>
      <c r="AK497" s="28" t="inlineStr">
        <is>
          <t>NONE FOUND</t>
        </is>
      </c>
      <c r="AL497" s="30" t="inlineStr">
        <is>
          <t>5014104-85.2021.8.21.0010</t>
        </is>
      </c>
      <c r="AM497" s="30" t="inlineStr">
        <is>
          <t>TJRS</t>
        </is>
      </c>
      <c r="AN497" s="30" t="inlineStr">
        <is>
          <t>ACTIVE</t>
        </is>
      </c>
      <c r="AO497" s="30" t="n">
        <v>2021</v>
      </c>
      <c r="AP497" s="30" t="inlineStr">
        <is>
          <t>5y since filing, no plan document</t>
        </is>
      </c>
      <c r="AQ497" s="30" t="inlineStr">
        <is>
          <t>03.018.339/0001-03</t>
        </is>
      </c>
      <c r="AR497" s="30" t="inlineStr">
        <is>
          <t>printed on the list (read twice)</t>
        </is>
      </c>
      <c r="AS497" s="30" t="inlineStr">
        <is>
          <t>GUARULHOS</t>
        </is>
      </c>
      <c r="AT497" s="30" t="inlineStr">
        <is>
          <t>SP</t>
        </is>
      </c>
      <c r="AU497" s="30" t="inlineStr">
        <is>
          <t>Comércio atacadista de produtos siderúrgicos e metalúrgicos, exceto para construção</t>
        </is>
      </c>
      <c r="AV497" s="30" t="inlineStr">
        <is>
          <t>DEMAIS</t>
        </is>
      </c>
      <c r="AW497" s="31" t="n">
        <v>583500000</v>
      </c>
      <c r="AX497" s="30" t="inlineStr">
        <is>
          <t>MID-MARKET</t>
        </is>
      </c>
      <c r="AY497" s="30" t="inlineStr">
        <is>
          <t>33150053</t>
        </is>
      </c>
      <c r="AZ497" s="30" t="n">
        <v>1</v>
      </c>
      <c r="BA497" s="30" t="inlineStr">
        <is>
          <t>ROWS:p5r18 UNRECONCILED_SOURCE</t>
        </is>
      </c>
    </row>
    <row r="498">
      <c r="A498" s="16" t="inlineStr">
        <is>
          <t>SUL BRASIL IND E COM DE ACESSORIOS PLASTICOS E METALICOS S/A</t>
        </is>
      </c>
      <c r="B498" s="17" t="n">
        <v>555381.14</v>
      </c>
      <c r="C498" s="18" t="inlineStr">
        <is>
          <t>Mannes</t>
        </is>
      </c>
      <c r="D498" s="19" t="inlineStr">
        <is>
          <t>NEW</t>
        </is>
      </c>
      <c r="E498" s="20" t="inlineStr"/>
      <c r="F498" s="19" t="inlineStr"/>
      <c r="G498" s="20" t="inlineStr"/>
      <c r="H498" s="19" t="inlineStr"/>
      <c r="I498" s="21" t="inlineStr">
        <is>
          <t>Josemar Santos</t>
        </is>
      </c>
      <c r="J498" s="21" t="inlineStr">
        <is>
          <t>Purchasing Manager</t>
        </is>
      </c>
      <c r="K498" s="21" t="inlineStr">
        <is>
          <t>(49) 3561-1500</t>
        </is>
      </c>
      <c r="L498" s="21" t="inlineStr">
        <is>
          <t>(49) 3561-1514</t>
        </is>
      </c>
      <c r="M498" s="21" t="inlineStr"/>
      <c r="N498" s="21" t="inlineStr">
        <is>
          <t>compras02@sulbrasil.com.br</t>
        </is>
      </c>
      <c r="O498" s="21" t="inlineStr"/>
      <c r="P498" s="21" t="inlineStr">
        <is>
          <t>DEVALCIR ANGELO GOMES</t>
        </is>
      </c>
      <c r="Q498" s="21" t="inlineStr">
        <is>
          <t>Diretor (RFB partner)</t>
        </is>
      </c>
      <c r="R498" s="21" t="inlineStr"/>
      <c r="S498" s="21" t="inlineStr"/>
      <c r="T498" s="21" t="inlineStr">
        <is>
          <t>email verified by Apollo</t>
        </is>
      </c>
      <c r="U498" s="22" t="n">
        <v>555381.14</v>
      </c>
      <c r="V498" s="39" t="inlineStr">
        <is>
          <t>D</t>
        </is>
      </c>
      <c r="W498" s="24">
        <f>IFERROR(VLOOKUP(V498,Assumptions!$A$7:$F$11,2,FALSE),0)</f>
        <v/>
      </c>
      <c r="X498" s="25">
        <f>IF(V498="A",MAX(1,IFERROR(VLOOKUP(V498,Assumptions!$A$7:$F$11,3,FALSE),3)+IFERROR(VLOOKUP(V498,Assumptions!$A$7:$F$11,4,FALSE),8)/2-MAX(0,IF(AO498="",0,YEAR(TODAY())-AO498)-IFERROR(VLOOKUP(V498,Assumptions!$A$7:$F$11,5,FALSE),1.5))),IFERROR(VLOOKUP(V498,Assumptions!$A$7:$F$11,5,FALSE),2.5)+IFERROR(VLOOKUP(V498,Assumptions!$A$7:$F$11,3,FALSE),3)+IFERROR(VLOOKUP(V498,Assumptions!$A$7:$F$11,4,FALSE),8)/2)</f>
        <v/>
      </c>
      <c r="Y498" s="22">
        <f>U498*W498/(1+Assumptions!$B$3)^X498</f>
        <v/>
      </c>
      <c r="Z498" s="26">
        <f>IF(U498=0,"",ROUND(Y498/U498*100,1))</f>
        <v/>
      </c>
      <c r="AA498" s="27">
        <f>Y498*Assumptions!$B$4</f>
        <v/>
      </c>
      <c r="AB498" s="26">
        <f>IF(U498=0,"",ROUND(AA498/U498*100,1))</f>
        <v/>
      </c>
      <c r="AC498" s="27">
        <f>Y498-AA498</f>
        <v/>
      </c>
      <c r="AD498" s="26">
        <f>IF(U498=0,"",ROUND((Y498-AA498)/U498*100,1))</f>
        <v/>
      </c>
      <c r="AE498" s="36" t="inlineStr">
        <is>
          <t>CHECK — source is not a statutory creditor list</t>
        </is>
      </c>
      <c r="AF498" s="29" t="inlineStr">
        <is>
          <t>https://administradorajudicialgs.com.br/wp-content/uploads/2024/12/relacao-de-credores-da-falida.pdf</t>
        </is>
      </c>
      <c r="AG498" s="28" t="inlineStr">
        <is>
          <t>p18 r46</t>
        </is>
      </c>
      <c r="AH498" s="28" t="inlineStr">
        <is>
          <t>p18: R$ 555.381,14</t>
        </is>
      </c>
      <c r="AI498" s="28" t="inlineStr">
        <is>
          <t>Other filing — NOT an art. 7/51 list</t>
        </is>
      </c>
      <c r="AJ498" s="28" t="inlineStr">
        <is>
          <t>2025-03-25</t>
        </is>
      </c>
      <c r="AK498" s="28" t="inlineStr">
        <is>
          <t>NONE FOUND</t>
        </is>
      </c>
      <c r="AL498" s="30" t="inlineStr">
        <is>
          <t>0005010-50.2013.8.24.0026</t>
        </is>
      </c>
      <c r="AM498" s="30" t="inlineStr">
        <is>
          <t>TJSC</t>
        </is>
      </c>
      <c r="AN498" s="30" t="inlineStr"/>
      <c r="AO498" s="30" t="n">
        <v>2013</v>
      </c>
      <c r="AP498" s="30" t="inlineStr">
        <is>
          <t>document is a falência (bankruptcy) list</t>
        </is>
      </c>
      <c r="AQ498" s="30" t="inlineStr"/>
      <c r="AR498" s="30" t="inlineStr">
        <is>
          <t>printed on the list (read twice)</t>
        </is>
      </c>
      <c r="AS498" s="30" t="inlineStr">
        <is>
          <t>CACADOR</t>
        </is>
      </c>
      <c r="AT498" s="30" t="inlineStr">
        <is>
          <t>SC</t>
        </is>
      </c>
      <c r="AU498" s="30" t="inlineStr">
        <is>
          <t>Fabricação de tecidos especiais, inclusive artefatos</t>
        </is>
      </c>
      <c r="AV498" s="30" t="inlineStr">
        <is>
          <t>DEMAIS</t>
        </is>
      </c>
      <c r="AW498" s="31" t="n">
        <v>135681040</v>
      </c>
      <c r="AX498" s="30" t="inlineStr">
        <is>
          <t>MID-MARKET</t>
        </is>
      </c>
      <c r="AY498" s="30" t="inlineStr">
        <is>
          <t>83011460</t>
        </is>
      </c>
      <c r="AZ498" s="30" t="n">
        <v>1</v>
      </c>
      <c r="BA498" s="30" t="inlineStr">
        <is>
          <t>ROWS:p18r46 UNRECONCILED_SOURCE CASE_NUMBER_CORRECTED</t>
        </is>
      </c>
    </row>
    <row r="499">
      <c r="A499" s="16" t="inlineStr">
        <is>
          <t>I. F. DOS SANTOS &amp; CIA LTDA</t>
        </is>
      </c>
      <c r="B499" s="17" t="n">
        <v>301720.99</v>
      </c>
      <c r="C499" s="18" t="inlineStr">
        <is>
          <t>CREDIMÓVEIS NOVOLAR LTDA.</t>
        </is>
      </c>
      <c r="D499" s="19" t="inlineStr">
        <is>
          <t>NEW</t>
        </is>
      </c>
      <c r="E499" s="20" t="inlineStr"/>
      <c r="F499" s="19" t="inlineStr"/>
      <c r="G499" s="20" t="inlineStr"/>
      <c r="H499" s="19" t="inlineStr"/>
      <c r="I499" s="21" t="inlineStr">
        <is>
          <t>Edileide Lima</t>
        </is>
      </c>
      <c r="J499" s="21" t="inlineStr">
        <is>
          <t>Office Assistant</t>
        </is>
      </c>
      <c r="K499" s="21" t="inlineStr">
        <is>
          <t>(81) 9649-1169</t>
        </is>
      </c>
      <c r="L499" s="21" t="inlineStr"/>
      <c r="M499" s="21" t="inlineStr"/>
      <c r="N499" s="21" t="inlineStr"/>
      <c r="O499" s="21" t="inlineStr"/>
      <c r="P499" s="21" t="inlineStr">
        <is>
          <t>JOSELMA JOSE DE LIMA SANTOS</t>
        </is>
      </c>
      <c r="Q499" s="21" t="inlineStr">
        <is>
          <t>Sócio-Administrador (RFB partner)</t>
        </is>
      </c>
      <c r="R499" s="21" t="inlineStr"/>
      <c r="S499" s="21" t="inlineStr"/>
      <c r="T499" s="21" t="inlineStr">
        <is>
          <t>no work email found in Apollo</t>
        </is>
      </c>
      <c r="U499" s="22" t="n">
        <v>301720.99</v>
      </c>
      <c r="V499" s="38" t="inlineStr">
        <is>
          <t>C</t>
        </is>
      </c>
      <c r="W499" s="24">
        <f>IFERROR(VLOOKUP(V499,Assumptions!$A$7:$F$11,2,FALSE),0)</f>
        <v/>
      </c>
      <c r="X499" s="25">
        <f>IF(V499="A",MAX(1,IFERROR(VLOOKUP(V499,Assumptions!$A$7:$F$11,3,FALSE),3)+IFERROR(VLOOKUP(V499,Assumptions!$A$7:$F$11,4,FALSE),8)/2-MAX(0,IF(AO499="",0,YEAR(TODAY())-AO499)-IFERROR(VLOOKUP(V499,Assumptions!$A$7:$F$11,5,FALSE),1.5))),IFERROR(VLOOKUP(V499,Assumptions!$A$7:$F$11,5,FALSE),2.5)+IFERROR(VLOOKUP(V499,Assumptions!$A$7:$F$11,3,FALSE),3)+IFERROR(VLOOKUP(V499,Assumptions!$A$7:$F$11,4,FALSE),8)/2)</f>
        <v/>
      </c>
      <c r="Y499" s="22">
        <f>U499*W499/(1+Assumptions!$B$3)^X499</f>
        <v/>
      </c>
      <c r="Z499" s="26">
        <f>IF(U499=0,"",ROUND(Y499/U499*100,1))</f>
        <v/>
      </c>
      <c r="AA499" s="27">
        <f>Y499*Assumptions!$B$4</f>
        <v/>
      </c>
      <c r="AB499" s="26">
        <f>IF(U499=0,"",ROUND(AA499/U499*100,1))</f>
        <v/>
      </c>
      <c r="AC499" s="27">
        <f>Y499-AA499</f>
        <v/>
      </c>
      <c r="AD499" s="26">
        <f>IF(U499=0,"",ROUND((Y499-AA499)/U499*100,1))</f>
        <v/>
      </c>
      <c r="AE499" s="28" t="inlineStr">
        <is>
          <t>OK — totals reconciled</t>
        </is>
      </c>
      <c r="AF499" s="29" t="inlineStr">
        <is>
          <t>https://recuperacaojudicial.squarespace.com/s/RJ-Credimoveis-QGC-01082025.pdf</t>
        </is>
      </c>
      <c r="AG499" s="28" t="inlineStr">
        <is>
          <t>p15 r51</t>
        </is>
      </c>
      <c r="AH499" s="28" t="inlineStr">
        <is>
          <t>p15: R$ 301.720,99</t>
        </is>
      </c>
      <c r="AI499" s="28" t="inlineStr">
        <is>
          <t>QGC (art. 18)</t>
        </is>
      </c>
      <c r="AJ499" s="28" t="inlineStr">
        <is>
          <t>2026-01-28</t>
        </is>
      </c>
      <c r="AK499" s="28" t="inlineStr">
        <is>
          <t>NONE FOUND</t>
        </is>
      </c>
      <c r="AL499" s="30" t="inlineStr">
        <is>
          <t>0007565-40.2020.8.17.2370</t>
        </is>
      </c>
      <c r="AM499" s="30" t="inlineStr">
        <is>
          <t>TJPE</t>
        </is>
      </c>
      <c r="AN499" s="30" t="inlineStr">
        <is>
          <t>ACTIVE</t>
        </is>
      </c>
      <c r="AO499" s="30" t="n">
        <v>2020</v>
      </c>
      <c r="AP499" s="30" t="inlineStr">
        <is>
          <t>6y since filing, no plan document</t>
        </is>
      </c>
      <c r="AQ499" s="30" t="inlineStr">
        <is>
          <t>09.930.165/0001-37</t>
        </is>
      </c>
      <c r="AR499" s="30" t="inlineStr">
        <is>
          <t>printed on the list (read twice)</t>
        </is>
      </c>
      <c r="AS499" s="30" t="inlineStr">
        <is>
          <t>JOAO ALFREDO</t>
        </is>
      </c>
      <c r="AT499" s="30" t="inlineStr">
        <is>
          <t>PE</t>
        </is>
      </c>
      <c r="AU499" s="30" t="inlineStr">
        <is>
          <t>Fabricação de móveis com predominância de madeira</t>
        </is>
      </c>
      <c r="AV499" s="30" t="inlineStr">
        <is>
          <t>DEMAIS</t>
        </is>
      </c>
      <c r="AW499" s="31" t="n">
        <v>500000</v>
      </c>
      <c r="AX499" s="30" t="inlineStr">
        <is>
          <t>MID-MARKET</t>
        </is>
      </c>
      <c r="AY499" s="30" t="inlineStr">
        <is>
          <t>10758022</t>
        </is>
      </c>
      <c r="AZ499" s="30" t="n">
        <v>1</v>
      </c>
      <c r="BA499" s="30" t="inlineStr">
        <is>
          <t>ROWS:p15r51</t>
        </is>
      </c>
    </row>
    <row r="500">
      <c r="A500" s="16" t="inlineStr">
        <is>
          <t>J. CONFORT FABRICACAO DE MOVEIS E ESTOFADOS LTDA</t>
        </is>
      </c>
      <c r="B500" s="17" t="n">
        <v>300559.34</v>
      </c>
      <c r="C500" s="18" t="inlineStr">
        <is>
          <t>CREDIMÓVEIS NOVOLAR LTDA.</t>
        </is>
      </c>
      <c r="D500" s="19" t="inlineStr">
        <is>
          <t>NEW</t>
        </is>
      </c>
      <c r="E500" s="20" t="inlineStr"/>
      <c r="F500" s="19" t="inlineStr"/>
      <c r="G500" s="20" t="inlineStr"/>
      <c r="H500" s="19" t="inlineStr"/>
      <c r="I500" s="21" t="inlineStr">
        <is>
          <t>JOSE SILVINO DA SILVA FILHO</t>
        </is>
      </c>
      <c r="J500" s="21" t="inlineStr">
        <is>
          <t>Sócio-Administrador (RFB partner)</t>
        </is>
      </c>
      <c r="K500" s="21" t="inlineStr">
        <is>
          <t>(81) 3628-1296</t>
        </is>
      </c>
      <c r="L500" s="21" t="inlineStr"/>
      <c r="M500" s="21" t="inlineStr"/>
      <c r="N500" s="21" t="inlineStr"/>
      <c r="O500" s="21" t="inlineStr"/>
      <c r="P500" s="21" t="inlineStr"/>
      <c r="Q500" s="21" t="inlineStr"/>
      <c r="R500" s="21" t="inlineStr"/>
      <c r="S500" s="21" t="inlineStr"/>
      <c r="T500" s="21" t="inlineStr">
        <is>
          <t>RFB partner (QSA); no Apollo match</t>
        </is>
      </c>
      <c r="U500" s="22" t="n">
        <v>300559.34</v>
      </c>
      <c r="V500" s="38" t="inlineStr">
        <is>
          <t>C</t>
        </is>
      </c>
      <c r="W500" s="24">
        <f>IFERROR(VLOOKUP(V500,Assumptions!$A$7:$F$11,2,FALSE),0)</f>
        <v/>
      </c>
      <c r="X500" s="25">
        <f>IF(V500="A",MAX(1,IFERROR(VLOOKUP(V500,Assumptions!$A$7:$F$11,3,FALSE),3)+IFERROR(VLOOKUP(V500,Assumptions!$A$7:$F$11,4,FALSE),8)/2-MAX(0,IF(AO500="",0,YEAR(TODAY())-AO500)-IFERROR(VLOOKUP(V500,Assumptions!$A$7:$F$11,5,FALSE),1.5))),IFERROR(VLOOKUP(V500,Assumptions!$A$7:$F$11,5,FALSE),2.5)+IFERROR(VLOOKUP(V500,Assumptions!$A$7:$F$11,3,FALSE),3)+IFERROR(VLOOKUP(V500,Assumptions!$A$7:$F$11,4,FALSE),8)/2)</f>
        <v/>
      </c>
      <c r="Y500" s="22">
        <f>U500*W500/(1+Assumptions!$B$3)^X500</f>
        <v/>
      </c>
      <c r="Z500" s="26">
        <f>IF(U500=0,"",ROUND(Y500/U500*100,1))</f>
        <v/>
      </c>
      <c r="AA500" s="27">
        <f>Y500*Assumptions!$B$4</f>
        <v/>
      </c>
      <c r="AB500" s="26">
        <f>IF(U500=0,"",ROUND(AA500/U500*100,1))</f>
        <v/>
      </c>
      <c r="AC500" s="27">
        <f>Y500-AA500</f>
        <v/>
      </c>
      <c r="AD500" s="26">
        <f>IF(U500=0,"",ROUND((Y500-AA500)/U500*100,1))</f>
        <v/>
      </c>
      <c r="AE500" s="28" t="inlineStr">
        <is>
          <t>OK — totals reconciled</t>
        </is>
      </c>
      <c r="AF500" s="29" t="inlineStr">
        <is>
          <t>https://recuperacaojudicial.squarespace.com/s/RJ-Credimoveis-QGC-01082025.pdf</t>
        </is>
      </c>
      <c r="AG500" s="28" t="inlineStr">
        <is>
          <t>p16 r1</t>
        </is>
      </c>
      <c r="AH500" s="28" t="inlineStr">
        <is>
          <t>p16: R$ 300.559,34</t>
        </is>
      </c>
      <c r="AI500" s="28" t="inlineStr">
        <is>
          <t>QGC (art. 18)</t>
        </is>
      </c>
      <c r="AJ500" s="28" t="inlineStr">
        <is>
          <t>2026-01-28</t>
        </is>
      </c>
      <c r="AK500" s="28" t="inlineStr">
        <is>
          <t>NONE FOUND</t>
        </is>
      </c>
      <c r="AL500" s="30" t="inlineStr">
        <is>
          <t>0007565-40.2020.8.17.2370</t>
        </is>
      </c>
      <c r="AM500" s="30" t="inlineStr">
        <is>
          <t>TJPE</t>
        </is>
      </c>
      <c r="AN500" s="30" t="inlineStr">
        <is>
          <t>ACTIVE</t>
        </is>
      </c>
      <c r="AO500" s="30" t="n">
        <v>2020</v>
      </c>
      <c r="AP500" s="30" t="inlineStr">
        <is>
          <t>6y since filing, no plan document</t>
        </is>
      </c>
      <c r="AQ500" s="30" t="inlineStr">
        <is>
          <t>09.930.165/0001-37</t>
        </is>
      </c>
      <c r="AR500" s="30" t="inlineStr">
        <is>
          <t>printed on the list (read twice)</t>
        </is>
      </c>
      <c r="AS500" s="30" t="inlineStr">
        <is>
          <t>JOAO ALFREDO</t>
        </is>
      </c>
      <c r="AT500" s="30" t="inlineStr">
        <is>
          <t>PE</t>
        </is>
      </c>
      <c r="AU500" s="30" t="inlineStr">
        <is>
          <t>Fabricação de móveis com predominância de madeira</t>
        </is>
      </c>
      <c r="AV500" s="30" t="inlineStr">
        <is>
          <t>DEMAIS</t>
        </is>
      </c>
      <c r="AW500" s="31" t="n">
        <v>200000</v>
      </c>
      <c r="AX500" s="30" t="inlineStr">
        <is>
          <t>MID-MARKET</t>
        </is>
      </c>
      <c r="AY500" s="30" t="inlineStr">
        <is>
          <t>11324540</t>
        </is>
      </c>
      <c r="AZ500" s="30" t="n">
        <v>1</v>
      </c>
      <c r="BA500" s="30" t="inlineStr">
        <is>
          <t>ROWS:p16r1</t>
        </is>
      </c>
    </row>
    <row r="501">
      <c r="A501" s="16" t="inlineStr">
        <is>
          <t>BUNGE ALIMENTOS S/A</t>
        </is>
      </c>
      <c r="B501" s="17" t="n">
        <v>295774.65</v>
      </c>
      <c r="C501" s="18" t="inlineStr">
        <is>
          <t>Grupo Mastter</t>
        </is>
      </c>
      <c r="D501" s="19" t="inlineStr">
        <is>
          <t>NEW</t>
        </is>
      </c>
      <c r="E501" s="20" t="inlineStr"/>
      <c r="F501" s="19" t="inlineStr"/>
      <c r="G501" s="20" t="inlineStr"/>
      <c r="H501" s="19" t="inlineStr"/>
      <c r="I501" s="21" t="inlineStr">
        <is>
          <t>Leonardo Nogueira</t>
        </is>
      </c>
      <c r="J501" s="21" t="inlineStr">
        <is>
          <t>Senior Credit Manager - Projects</t>
        </is>
      </c>
      <c r="K501" s="21" t="inlineStr">
        <is>
          <t>(47) 3703-2500</t>
        </is>
      </c>
      <c r="L501" s="21" t="inlineStr">
        <is>
          <t>(47) 3703-2200</t>
        </is>
      </c>
      <c r="M501" s="21" t="inlineStr"/>
      <c r="N501" s="21" t="inlineStr">
        <is>
          <t>leonardo.nogueira@bunge.com</t>
        </is>
      </c>
      <c r="O501" s="21" t="inlineStr">
        <is>
          <t>beatriz.yamamoto@bunge.com</t>
        </is>
      </c>
      <c r="P501" s="21" t="inlineStr">
        <is>
          <t>Beatriz Yamamoto</t>
        </is>
      </c>
      <c r="Q501" s="21" t="inlineStr">
        <is>
          <t>Coordenadora de Crédito na Bunge</t>
        </is>
      </c>
      <c r="R501" s="21" t="inlineStr"/>
      <c r="S501" s="21" t="inlineStr">
        <is>
          <t>beatriz.yamamoto@bunge.com</t>
        </is>
      </c>
      <c r="T501" s="21" t="inlineStr">
        <is>
          <t>email verified by Apollo</t>
        </is>
      </c>
      <c r="U501" s="22" t="n">
        <v>295774.65</v>
      </c>
      <c r="V501" s="38" t="inlineStr">
        <is>
          <t>C</t>
        </is>
      </c>
      <c r="W501" s="24">
        <f>IFERROR(VLOOKUP(V501,Assumptions!$A$7:$F$11,2,FALSE),0)</f>
        <v/>
      </c>
      <c r="X501" s="25">
        <f>IF(V501="A",MAX(1,IFERROR(VLOOKUP(V501,Assumptions!$A$7:$F$11,3,FALSE),3)+IFERROR(VLOOKUP(V501,Assumptions!$A$7:$F$11,4,FALSE),8)/2-MAX(0,IF(AO501="",0,YEAR(TODAY())-AO501)-IFERROR(VLOOKUP(V501,Assumptions!$A$7:$F$11,5,FALSE),1.5))),IFERROR(VLOOKUP(V501,Assumptions!$A$7:$F$11,5,FALSE),2.5)+IFERROR(VLOOKUP(V501,Assumptions!$A$7:$F$11,3,FALSE),3)+IFERROR(VLOOKUP(V501,Assumptions!$A$7:$F$11,4,FALSE),8)/2)</f>
        <v/>
      </c>
      <c r="Y501" s="22">
        <f>U501*W501/(1+Assumptions!$B$3)^X501</f>
        <v/>
      </c>
      <c r="Z501" s="26">
        <f>IF(U501=0,"",ROUND(Y501/U501*100,1))</f>
        <v/>
      </c>
      <c r="AA501" s="27">
        <f>Y501*Assumptions!$B$4</f>
        <v/>
      </c>
      <c r="AB501" s="26">
        <f>IF(U501=0,"",ROUND(AA501/U501*100,1))</f>
        <v/>
      </c>
      <c r="AC501" s="27">
        <f>Y501-AA501</f>
        <v/>
      </c>
      <c r="AD501" s="26">
        <f>IF(U501=0,"",ROUND((Y501-AA501)/U501*100,1))</f>
        <v/>
      </c>
      <c r="AE501" s="33" t="inlineStr">
        <is>
          <t>NO TOTALS — list prints none; check page</t>
        </is>
      </c>
      <c r="AF501" s="29" t="inlineStr">
        <is>
          <t>https://realbrasil.com.br/wp-content/uploads/2017/05/Relação-de-Credores_-Mastter-1.pdf</t>
        </is>
      </c>
      <c r="AG501" s="28" t="inlineStr">
        <is>
          <t>p13 r14</t>
        </is>
      </c>
      <c r="AH501" s="28" t="inlineStr">
        <is>
          <t>p13: R$ 295.774,65</t>
        </is>
      </c>
      <c r="AI501" s="28" t="inlineStr">
        <is>
          <t>Debtor list (art. 51)</t>
        </is>
      </c>
      <c r="AJ501" s="28" t="inlineStr">
        <is>
          <t>2016-02-10</t>
        </is>
      </c>
      <c r="AK501" s="28" t="inlineStr">
        <is>
          <t>NONE FOUND</t>
        </is>
      </c>
      <c r="AL501" s="30" t="inlineStr">
        <is>
          <t>0801893-91.2016.8.12.0011</t>
        </is>
      </c>
      <c r="AM501" s="30" t="inlineStr">
        <is>
          <t>TJMS</t>
        </is>
      </c>
      <c r="AN501" s="30" t="inlineStr"/>
      <c r="AO501" s="30" t="n">
        <v>2016</v>
      </c>
      <c r="AP501" s="30" t="inlineStr">
        <is>
          <t>10y since filing, no plan document</t>
        </is>
      </c>
      <c r="AQ501" s="30" t="inlineStr"/>
      <c r="AR501" s="30" t="inlineStr">
        <is>
          <t>printed on the list (read twice)</t>
        </is>
      </c>
      <c r="AS501" s="30" t="inlineStr">
        <is>
          <t>GASPAR</t>
        </is>
      </c>
      <c r="AT501" s="30" t="inlineStr">
        <is>
          <t>SC</t>
        </is>
      </c>
      <c r="AU501" s="30" t="inlineStr">
        <is>
          <t>Fabricação de óleos vegetais em bruto, exceto óleo de milho</t>
        </is>
      </c>
      <c r="AV501" s="30" t="inlineStr">
        <is>
          <t>DEMAIS</t>
        </is>
      </c>
      <c r="AW501" s="31" t="n">
        <v>9489807000</v>
      </c>
      <c r="AX501" s="30" t="inlineStr">
        <is>
          <t>LARGE CORP</t>
        </is>
      </c>
      <c r="AY501" s="30" t="inlineStr">
        <is>
          <t>84046101</t>
        </is>
      </c>
      <c r="AZ501" s="30" t="n">
        <v>1</v>
      </c>
      <c r="BA501" s="30" t="inlineStr">
        <is>
          <t>ALT_VALUE:*** ALT_VALUE:R$700.000,00 ROWS:p13r14 UNRECONCILED_SOURCE</t>
        </is>
      </c>
    </row>
    <row r="502">
      <c r="A502" s="16" t="inlineStr">
        <is>
          <t>MV INFORMATICA NORDESTE LTDA</t>
        </is>
      </c>
      <c r="B502" s="17" t="n">
        <v>290787.94</v>
      </c>
      <c r="C502" s="18" t="inlineStr">
        <is>
          <t>HOSPITAL SANTA MÔNICA LTDA</t>
        </is>
      </c>
      <c r="D502" s="19" t="inlineStr">
        <is>
          <t>NEW</t>
        </is>
      </c>
      <c r="E502" s="20" t="inlineStr"/>
      <c r="F502" s="19" t="inlineStr"/>
      <c r="G502" s="20" t="inlineStr"/>
      <c r="H502" s="19" t="inlineStr"/>
      <c r="I502" s="21" t="inlineStr">
        <is>
          <t>Suellen Karoliny</t>
        </is>
      </c>
      <c r="J502" s="21" t="inlineStr">
        <is>
          <t>Administrative Analyst</t>
        </is>
      </c>
      <c r="K502" s="21" t="inlineStr">
        <is>
          <t>(81) 3972-7028</t>
        </is>
      </c>
      <c r="L502" s="21" t="inlineStr"/>
      <c r="M502" s="21" t="inlineStr"/>
      <c r="N502" s="21" t="inlineStr"/>
      <c r="O502" s="21" t="inlineStr"/>
      <c r="P502" s="21" t="inlineStr">
        <is>
          <t>Suellen Karoliny</t>
        </is>
      </c>
      <c r="Q502" s="21" t="inlineStr">
        <is>
          <t>Administrative Analyst</t>
        </is>
      </c>
      <c r="R502" s="21" t="inlineStr"/>
      <c r="S502" s="21" t="inlineStr"/>
      <c r="T502" s="21" t="inlineStr">
        <is>
          <t>no work email found in Apollo</t>
        </is>
      </c>
      <c r="U502" s="22" t="n">
        <v>290787.94</v>
      </c>
      <c r="V502" s="38" t="inlineStr">
        <is>
          <t>C</t>
        </is>
      </c>
      <c r="W502" s="24">
        <f>IFERROR(VLOOKUP(V502,Assumptions!$A$7:$F$11,2,FALSE),0)</f>
        <v/>
      </c>
      <c r="X502" s="25">
        <f>IF(V502="A",MAX(1,IFERROR(VLOOKUP(V502,Assumptions!$A$7:$F$11,3,FALSE),3)+IFERROR(VLOOKUP(V502,Assumptions!$A$7:$F$11,4,FALSE),8)/2-MAX(0,IF(AO502="",0,YEAR(TODAY())-AO502)-IFERROR(VLOOKUP(V502,Assumptions!$A$7:$F$11,5,FALSE),1.5))),IFERROR(VLOOKUP(V502,Assumptions!$A$7:$F$11,5,FALSE),2.5)+IFERROR(VLOOKUP(V502,Assumptions!$A$7:$F$11,3,FALSE),3)+IFERROR(VLOOKUP(V502,Assumptions!$A$7:$F$11,4,FALSE),8)/2)</f>
        <v/>
      </c>
      <c r="Y502" s="22">
        <f>U502*W502/(1+Assumptions!$B$3)^X502</f>
        <v/>
      </c>
      <c r="Z502" s="26">
        <f>IF(U502=0,"",ROUND(Y502/U502*100,1))</f>
        <v/>
      </c>
      <c r="AA502" s="27">
        <f>Y502*Assumptions!$B$4</f>
        <v/>
      </c>
      <c r="AB502" s="26">
        <f>IF(U502=0,"",ROUND(AA502/U502*100,1))</f>
        <v/>
      </c>
      <c r="AC502" s="27">
        <f>Y502-AA502</f>
        <v/>
      </c>
      <c r="AD502" s="26">
        <f>IF(U502=0,"",ROUND((Y502-AA502)/U502*100,1))</f>
        <v/>
      </c>
      <c r="AE502" s="33" t="inlineStr">
        <is>
          <t>NO TOTALS — list prints none; check page</t>
        </is>
      </c>
      <c r="AF502" s="29" t="inlineStr">
        <is>
          <t>https://ricardobiancardi.com.br/wp-content/uploads/2024/12/Edital-1-relacao-de-credores-pub.-02.12.24-.pdf</t>
        </is>
      </c>
      <c r="AG502" s="28" t="inlineStr">
        <is>
          <t>p5 r3</t>
        </is>
      </c>
      <c r="AH502" s="28" t="inlineStr">
        <is>
          <t>p5: R$ 290.787,94</t>
        </is>
      </c>
      <c r="AI502" s="28" t="inlineStr">
        <is>
          <t>Debtor list (art. 51)</t>
        </is>
      </c>
      <c r="AJ502" s="28" t="inlineStr">
        <is>
          <t>2024-12-02</t>
        </is>
      </c>
      <c r="AK502" s="28" t="inlineStr">
        <is>
          <t>NONE FOUND</t>
        </is>
      </c>
      <c r="AL502" s="30" t="inlineStr">
        <is>
          <t>0041309-42.2014.8.08.0024</t>
        </is>
      </c>
      <c r="AM502" s="30" t="inlineStr">
        <is>
          <t>TJES</t>
        </is>
      </c>
      <c r="AN502" s="30" t="inlineStr"/>
      <c r="AO502" s="30" t="n">
        <v>2014</v>
      </c>
      <c r="AP502" s="30" t="inlineStr">
        <is>
          <t>12y since filing, no plan document</t>
        </is>
      </c>
      <c r="AQ502" s="30" t="inlineStr"/>
      <c r="AR502" s="30" t="inlineStr">
        <is>
          <t>printed on the list (read twice)</t>
        </is>
      </c>
      <c r="AS502" s="30" t="inlineStr">
        <is>
          <t>PORTO ALEGRE</t>
        </is>
      </c>
      <c r="AT502" s="30" t="inlineStr">
        <is>
          <t>RS</t>
        </is>
      </c>
      <c r="AU502" s="30" t="inlineStr">
        <is>
          <t>Desenvolvimento e licenciamento de programas de computador customizáveis</t>
        </is>
      </c>
      <c r="AV502" s="30" t="inlineStr">
        <is>
          <t>DEMAIS</t>
        </is>
      </c>
      <c r="AW502" s="31" t="n">
        <v>19694880</v>
      </c>
      <c r="AX502" s="30" t="inlineStr">
        <is>
          <t>MID-MARKET</t>
        </is>
      </c>
      <c r="AY502" s="30" t="inlineStr">
        <is>
          <t>92306257</t>
        </is>
      </c>
      <c r="AZ502" s="30" t="n">
        <v>1</v>
      </c>
      <c r="BA502" s="30" t="inlineStr">
        <is>
          <t>ROWS:p5r3 UNRECONCILED_SOURCE</t>
        </is>
      </c>
    </row>
    <row r="503">
      <c r="A503" s="16" t="inlineStr">
        <is>
          <t>MAGNO MOVEIS LTDA</t>
        </is>
      </c>
      <c r="B503" s="17" t="n">
        <v>287455.47</v>
      </c>
      <c r="C503" s="18" t="inlineStr">
        <is>
          <t>CREDIMÓVEIS NOVOLAR LTDA.</t>
        </is>
      </c>
      <c r="D503" s="19" t="inlineStr">
        <is>
          <t>NEW</t>
        </is>
      </c>
      <c r="E503" s="20" t="inlineStr"/>
      <c r="F503" s="19" t="inlineStr"/>
      <c r="G503" s="20" t="inlineStr"/>
      <c r="H503" s="19" t="inlineStr"/>
      <c r="I503" s="21" t="inlineStr">
        <is>
          <t>ALEXANDRE MAGNO BARROS DE BRITO</t>
        </is>
      </c>
      <c r="J503" s="21" t="inlineStr">
        <is>
          <t>Sócio-Administrador (RFB partner)</t>
        </is>
      </c>
      <c r="K503" s="21" t="inlineStr">
        <is>
          <t>(87) 9908-0035</t>
        </is>
      </c>
      <c r="L503" s="21" t="inlineStr">
        <is>
          <t>(87) 9908-0046</t>
        </is>
      </c>
      <c r="M503" s="21" t="inlineStr"/>
      <c r="N503" s="21" t="inlineStr"/>
      <c r="O503" s="21" t="inlineStr"/>
      <c r="P503" s="21" t="inlineStr"/>
      <c r="Q503" s="21" t="inlineStr"/>
      <c r="R503" s="21" t="inlineStr"/>
      <c r="S503" s="21" t="inlineStr"/>
      <c r="T503" s="21" t="inlineStr">
        <is>
          <t>RFB partner (QSA); no Apollo match</t>
        </is>
      </c>
      <c r="U503" s="22" t="n">
        <v>287455.47</v>
      </c>
      <c r="V503" s="38" t="inlineStr">
        <is>
          <t>C</t>
        </is>
      </c>
      <c r="W503" s="24">
        <f>IFERROR(VLOOKUP(V503,Assumptions!$A$7:$F$11,2,FALSE),0)</f>
        <v/>
      </c>
      <c r="X503" s="25">
        <f>IF(V503="A",MAX(1,IFERROR(VLOOKUP(V503,Assumptions!$A$7:$F$11,3,FALSE),3)+IFERROR(VLOOKUP(V503,Assumptions!$A$7:$F$11,4,FALSE),8)/2-MAX(0,IF(AO503="",0,YEAR(TODAY())-AO503)-IFERROR(VLOOKUP(V503,Assumptions!$A$7:$F$11,5,FALSE),1.5))),IFERROR(VLOOKUP(V503,Assumptions!$A$7:$F$11,5,FALSE),2.5)+IFERROR(VLOOKUP(V503,Assumptions!$A$7:$F$11,3,FALSE),3)+IFERROR(VLOOKUP(V503,Assumptions!$A$7:$F$11,4,FALSE),8)/2)</f>
        <v/>
      </c>
      <c r="Y503" s="22">
        <f>U503*W503/(1+Assumptions!$B$3)^X503</f>
        <v/>
      </c>
      <c r="Z503" s="26">
        <f>IF(U503=0,"",ROUND(Y503/U503*100,1))</f>
        <v/>
      </c>
      <c r="AA503" s="27">
        <f>Y503*Assumptions!$B$4</f>
        <v/>
      </c>
      <c r="AB503" s="26">
        <f>IF(U503=0,"",ROUND(AA503/U503*100,1))</f>
        <v/>
      </c>
      <c r="AC503" s="27">
        <f>Y503-AA503</f>
        <v/>
      </c>
      <c r="AD503" s="26">
        <f>IF(U503=0,"",ROUND((Y503-AA503)/U503*100,1))</f>
        <v/>
      </c>
      <c r="AE503" s="28" t="inlineStr">
        <is>
          <t>OK — totals reconciled</t>
        </is>
      </c>
      <c r="AF503" s="29" t="inlineStr">
        <is>
          <t>https://recuperacaojudicial.squarespace.com/s/RJ-Credimoveis-QGC-01082025.pdf</t>
        </is>
      </c>
      <c r="AG503" s="28" t="inlineStr">
        <is>
          <t>p16 r14</t>
        </is>
      </c>
      <c r="AH503" s="28" t="inlineStr">
        <is>
          <t>p16: R$ 287.455,47</t>
        </is>
      </c>
      <c r="AI503" s="28" t="inlineStr">
        <is>
          <t>QGC (art. 18)</t>
        </is>
      </c>
      <c r="AJ503" s="28" t="inlineStr">
        <is>
          <t>2026-01-28</t>
        </is>
      </c>
      <c r="AK503" s="28" t="inlineStr">
        <is>
          <t>NONE FOUND</t>
        </is>
      </c>
      <c r="AL503" s="30" t="inlineStr">
        <is>
          <t>0007565-40.2020.8.17.2370</t>
        </is>
      </c>
      <c r="AM503" s="30" t="inlineStr">
        <is>
          <t>TJPE</t>
        </is>
      </c>
      <c r="AN503" s="30" t="inlineStr">
        <is>
          <t>ACTIVE</t>
        </is>
      </c>
      <c r="AO503" s="30" t="n">
        <v>2020</v>
      </c>
      <c r="AP503" s="30" t="inlineStr">
        <is>
          <t>6y since filing, no plan document</t>
        </is>
      </c>
      <c r="AQ503" s="30" t="inlineStr">
        <is>
          <t>09.930.165/0001-37</t>
        </is>
      </c>
      <c r="AR503" s="30" t="inlineStr">
        <is>
          <t>printed on the list (read twice)</t>
        </is>
      </c>
      <c r="AS503" s="30" t="inlineStr">
        <is>
          <t>AFOGADOS DA INGAZEIRA</t>
        </is>
      </c>
      <c r="AT503" s="30" t="inlineStr">
        <is>
          <t>PE</t>
        </is>
      </c>
      <c r="AU503" s="30" t="inlineStr">
        <is>
          <t>Fabricação de móveis com predominância de madeira</t>
        </is>
      </c>
      <c r="AV503" s="30" t="inlineStr">
        <is>
          <t>DEMAIS</t>
        </is>
      </c>
      <c r="AW503" s="31" t="n">
        <v>13450000</v>
      </c>
      <c r="AX503" s="30" t="inlineStr">
        <is>
          <t>MID-MARKET</t>
        </is>
      </c>
      <c r="AY503" s="30" t="inlineStr">
        <is>
          <t>40887879</t>
        </is>
      </c>
      <c r="AZ503" s="30" t="n">
        <v>1</v>
      </c>
      <c r="BA503" s="30" t="inlineStr">
        <is>
          <t>ROWS:p16r14</t>
        </is>
      </c>
    </row>
    <row r="504">
      <c r="A504" s="16" t="inlineStr">
        <is>
          <t>PLASKEM EMBALAGENS LTDA</t>
        </is>
      </c>
      <c r="B504" s="17" t="n">
        <v>286961.94</v>
      </c>
      <c r="C504" s="18" t="inlineStr">
        <is>
          <t>AGROPECUÁRIA SERROTE REDONDO</t>
        </is>
      </c>
      <c r="D504" s="19" t="inlineStr">
        <is>
          <t>NEW</t>
        </is>
      </c>
      <c r="E504" s="20" t="inlineStr"/>
      <c r="F504" s="19" t="inlineStr"/>
      <c r="G504" s="20" t="inlineStr"/>
      <c r="H504" s="19" t="inlineStr"/>
      <c r="I504" s="21" t="inlineStr">
        <is>
          <t>Robson Jesus</t>
        </is>
      </c>
      <c r="J504" s="21" t="inlineStr">
        <is>
          <t>Manager</t>
        </is>
      </c>
      <c r="K504" s="21" t="inlineStr">
        <is>
          <t>(71) 3186-0354</t>
        </is>
      </c>
      <c r="L504" s="21" t="inlineStr"/>
      <c r="M504" s="21" t="inlineStr"/>
      <c r="N504" s="21" t="inlineStr">
        <is>
          <t>robson@plaskem.com.br</t>
        </is>
      </c>
      <c r="O504" s="21" t="inlineStr">
        <is>
          <t>robson@plaskem.com.br</t>
        </is>
      </c>
      <c r="P504" s="21" t="inlineStr">
        <is>
          <t>Robson Jesus</t>
        </is>
      </c>
      <c r="Q504" s="21" t="inlineStr">
        <is>
          <t>Manager</t>
        </is>
      </c>
      <c r="R504" s="21" t="inlineStr"/>
      <c r="S504" s="21" t="inlineStr">
        <is>
          <t>robson@plaskem.com.br</t>
        </is>
      </c>
      <c r="T504" s="21" t="inlineStr">
        <is>
          <t>email is pattern-guessed, not verified</t>
        </is>
      </c>
      <c r="U504" s="22" t="n">
        <v>286961.94</v>
      </c>
      <c r="V504" s="38" t="inlineStr">
        <is>
          <t>C</t>
        </is>
      </c>
      <c r="W504" s="24">
        <f>IFERROR(VLOOKUP(V504,Assumptions!$A$7:$F$11,2,FALSE),0)</f>
        <v/>
      </c>
      <c r="X504" s="25">
        <f>IF(V504="A",MAX(1,IFERROR(VLOOKUP(V504,Assumptions!$A$7:$F$11,3,FALSE),3)+IFERROR(VLOOKUP(V504,Assumptions!$A$7:$F$11,4,FALSE),8)/2-MAX(0,IF(AO504="",0,YEAR(TODAY())-AO504)-IFERROR(VLOOKUP(V504,Assumptions!$A$7:$F$11,5,FALSE),1.5))),IFERROR(VLOOKUP(V504,Assumptions!$A$7:$F$11,5,FALSE),2.5)+IFERROR(VLOOKUP(V504,Assumptions!$A$7:$F$11,3,FALSE),3)+IFERROR(VLOOKUP(V504,Assumptions!$A$7:$F$11,4,FALSE),8)/2)</f>
        <v/>
      </c>
      <c r="Y504" s="22">
        <f>U504*W504/(1+Assumptions!$B$3)^X504</f>
        <v/>
      </c>
      <c r="Z504" s="26">
        <f>IF(U504=0,"",ROUND(Y504/U504*100,1))</f>
        <v/>
      </c>
      <c r="AA504" s="27">
        <f>Y504*Assumptions!$B$4</f>
        <v/>
      </c>
      <c r="AB504" s="26">
        <f>IF(U504=0,"",ROUND(AA504/U504*100,1))</f>
        <v/>
      </c>
      <c r="AC504" s="27">
        <f>Y504-AA504</f>
        <v/>
      </c>
      <c r="AD504" s="26">
        <f>IF(U504=0,"",ROUND((Y504-AA504)/U504*100,1))</f>
        <v/>
      </c>
      <c r="AE504" s="28" t="inlineStr">
        <is>
          <t>OK — totals reconciled</t>
        </is>
      </c>
      <c r="AF504" s="29" t="inlineStr">
        <is>
          <t>https://lrflideres.com.br/wp-content/plugins/download-attachments/includes/download.php?id=5001</t>
        </is>
      </c>
      <c r="AG504" s="28" t="inlineStr">
        <is>
          <t>p3 r15</t>
        </is>
      </c>
      <c r="AH504" s="28" t="inlineStr">
        <is>
          <t>p3: R$ 286.961,94</t>
        </is>
      </c>
      <c r="AI504" s="28" t="inlineStr">
        <is>
          <t>Unclassified list</t>
        </is>
      </c>
      <c r="AJ504" s="28" t="inlineStr"/>
      <c r="AK504" s="28" t="inlineStr">
        <is>
          <t>NONE FOUND</t>
        </is>
      </c>
      <c r="AL504" s="30" t="inlineStr">
        <is>
          <t>0000206-69.2013.8.17.1340</t>
        </is>
      </c>
      <c r="AM504" s="30" t="inlineStr">
        <is>
          <t>TJPE</t>
        </is>
      </c>
      <c r="AN504" s="30" t="inlineStr"/>
      <c r="AO504" s="30" t="n">
        <v>2013</v>
      </c>
      <c r="AP504" s="30" t="inlineStr">
        <is>
          <t>13y since filing, no plan document</t>
        </is>
      </c>
      <c r="AQ504" s="30" t="inlineStr"/>
      <c r="AR504" s="30" t="inlineStr">
        <is>
          <t>portal page title / URL — not printed on the list</t>
        </is>
      </c>
      <c r="AS504" s="30" t="inlineStr">
        <is>
          <t>LAURO DE FREITAS</t>
        </is>
      </c>
      <c r="AT504" s="30" t="inlineStr">
        <is>
          <t>BA</t>
        </is>
      </c>
      <c r="AU504" s="30" t="inlineStr">
        <is>
          <t>Fabricação de embalagens de material plástico</t>
        </is>
      </c>
      <c r="AV504" s="30" t="inlineStr">
        <is>
          <t>DEMAIS</t>
        </is>
      </c>
      <c r="AW504" s="31" t="n">
        <v>35445800</v>
      </c>
      <c r="AX504" s="30" t="inlineStr">
        <is>
          <t>MID-MARKET</t>
        </is>
      </c>
      <c r="AY504" s="30" t="inlineStr">
        <is>
          <t>05052443</t>
        </is>
      </c>
      <c r="AZ504" s="30" t="n">
        <v>1</v>
      </c>
      <c r="BA504" s="30" t="inlineStr">
        <is>
          <t>ALT_VALUE:286.961,94 ROWS:p3r15</t>
        </is>
      </c>
    </row>
    <row r="505">
      <c r="A505" s="16" t="inlineStr">
        <is>
          <t>KIT S PARANA-INDUSTRIA E COMERCIO DE MOVEIS LTDA</t>
        </is>
      </c>
      <c r="B505" s="17" t="n">
        <v>277283.04</v>
      </c>
      <c r="C505" s="18" t="inlineStr">
        <is>
          <t>CREDIMÓVEIS NOVOLAR LTDA.</t>
        </is>
      </c>
      <c r="D505" s="19" t="inlineStr">
        <is>
          <t>NEW</t>
        </is>
      </c>
      <c r="E505" s="20" t="inlineStr"/>
      <c r="F505" s="19" t="inlineStr"/>
      <c r="G505" s="20" t="inlineStr"/>
      <c r="H505" s="19" t="inlineStr"/>
      <c r="I505" s="21" t="inlineStr">
        <is>
          <t>EVALDO LUIS ARRUDA</t>
        </is>
      </c>
      <c r="J505" s="21" t="inlineStr">
        <is>
          <t>Sócio-Administrador (RFB partner)</t>
        </is>
      </c>
      <c r="K505" s="21" t="inlineStr">
        <is>
          <t>(04) 3252-1633</t>
        </is>
      </c>
      <c r="L505" s="21" t="inlineStr"/>
      <c r="M505" s="21" t="inlineStr"/>
      <c r="N505" s="21" t="inlineStr"/>
      <c r="O505" s="21" t="inlineStr"/>
      <c r="P505" s="21" t="inlineStr"/>
      <c r="Q505" s="21" t="inlineStr"/>
      <c r="R505" s="21" t="inlineStr"/>
      <c r="S505" s="21" t="inlineStr"/>
      <c r="T505" s="21" t="inlineStr">
        <is>
          <t>RFB partner (QSA); no Apollo match</t>
        </is>
      </c>
      <c r="U505" s="22" t="n">
        <v>277283.04</v>
      </c>
      <c r="V505" s="38" t="inlineStr">
        <is>
          <t>C</t>
        </is>
      </c>
      <c r="W505" s="24">
        <f>IFERROR(VLOOKUP(V505,Assumptions!$A$7:$F$11,2,FALSE),0)</f>
        <v/>
      </c>
      <c r="X505" s="25">
        <f>IF(V505="A",MAX(1,IFERROR(VLOOKUP(V505,Assumptions!$A$7:$F$11,3,FALSE),3)+IFERROR(VLOOKUP(V505,Assumptions!$A$7:$F$11,4,FALSE),8)/2-MAX(0,IF(AO505="",0,YEAR(TODAY())-AO505)-IFERROR(VLOOKUP(V505,Assumptions!$A$7:$F$11,5,FALSE),1.5))),IFERROR(VLOOKUP(V505,Assumptions!$A$7:$F$11,5,FALSE),2.5)+IFERROR(VLOOKUP(V505,Assumptions!$A$7:$F$11,3,FALSE),3)+IFERROR(VLOOKUP(V505,Assumptions!$A$7:$F$11,4,FALSE),8)/2)</f>
        <v/>
      </c>
      <c r="Y505" s="22">
        <f>U505*W505/(1+Assumptions!$B$3)^X505</f>
        <v/>
      </c>
      <c r="Z505" s="26">
        <f>IF(U505=0,"",ROUND(Y505/U505*100,1))</f>
        <v/>
      </c>
      <c r="AA505" s="27">
        <f>Y505*Assumptions!$B$4</f>
        <v/>
      </c>
      <c r="AB505" s="26">
        <f>IF(U505=0,"",ROUND(AA505/U505*100,1))</f>
        <v/>
      </c>
      <c r="AC505" s="27">
        <f>Y505-AA505</f>
        <v/>
      </c>
      <c r="AD505" s="26">
        <f>IF(U505=0,"",ROUND((Y505-AA505)/U505*100,1))</f>
        <v/>
      </c>
      <c r="AE505" s="28" t="inlineStr">
        <is>
          <t>OK — totals reconciled</t>
        </is>
      </c>
      <c r="AF505" s="29" t="inlineStr">
        <is>
          <t>https://recuperacaojudicial.squarespace.com/s/RJ-Credimoveis-QGC-01082025.pdf</t>
        </is>
      </c>
      <c r="AG505" s="28" t="inlineStr">
        <is>
          <t>p16 r5</t>
        </is>
      </c>
      <c r="AH505" s="28" t="inlineStr">
        <is>
          <t>p16: R$ 277.283,04</t>
        </is>
      </c>
      <c r="AI505" s="28" t="inlineStr">
        <is>
          <t>QGC (art. 18)</t>
        </is>
      </c>
      <c r="AJ505" s="28" t="inlineStr">
        <is>
          <t>2026-01-28</t>
        </is>
      </c>
      <c r="AK505" s="28" t="inlineStr">
        <is>
          <t>NONE FOUND</t>
        </is>
      </c>
      <c r="AL505" s="30" t="inlineStr">
        <is>
          <t>0007565-40.2020.8.17.2370</t>
        </is>
      </c>
      <c r="AM505" s="30" t="inlineStr">
        <is>
          <t>TJPE</t>
        </is>
      </c>
      <c r="AN505" s="30" t="inlineStr">
        <is>
          <t>ACTIVE</t>
        </is>
      </c>
      <c r="AO505" s="30" t="n">
        <v>2020</v>
      </c>
      <c r="AP505" s="30" t="inlineStr">
        <is>
          <t>6y since filing, no plan document</t>
        </is>
      </c>
      <c r="AQ505" s="30" t="inlineStr">
        <is>
          <t>09.930.165/0001-37</t>
        </is>
      </c>
      <c r="AR505" s="30" t="inlineStr">
        <is>
          <t>printed on the list (read twice)</t>
        </is>
      </c>
      <c r="AS505" s="30" t="inlineStr">
        <is>
          <t>ARAPONGAS</t>
        </is>
      </c>
      <c r="AT505" s="30" t="inlineStr">
        <is>
          <t>PR</t>
        </is>
      </c>
      <c r="AU505" s="30" t="inlineStr">
        <is>
          <t>Fabricação de móveis com predominância de madeira</t>
        </is>
      </c>
      <c r="AV505" s="30" t="inlineStr">
        <is>
          <t>DEMAIS</t>
        </is>
      </c>
      <c r="AW505" s="31" t="n">
        <v>1000000</v>
      </c>
      <c r="AX505" s="30" t="inlineStr">
        <is>
          <t>MID-MARKET</t>
        </is>
      </c>
      <c r="AY505" s="30" t="inlineStr">
        <is>
          <t>79460192</t>
        </is>
      </c>
      <c r="AZ505" s="30" t="n">
        <v>1</v>
      </c>
      <c r="BA505" s="30" t="inlineStr">
        <is>
          <t>ROWS:p16r5</t>
        </is>
      </c>
    </row>
    <row r="506">
      <c r="A506" s="16" t="inlineStr">
        <is>
          <t>ROBERT BOSCH LIMITADA</t>
        </is>
      </c>
      <c r="B506" s="17" t="n">
        <v>503949.11</v>
      </c>
      <c r="C506" s="18" t="inlineStr">
        <is>
          <t>SERMAP COMÉRCIO E SERVIÇOS LTDA</t>
        </is>
      </c>
      <c r="D506" s="19" t="inlineStr">
        <is>
          <t>NEW</t>
        </is>
      </c>
      <c r="E506" s="20" t="inlineStr"/>
      <c r="F506" s="19" t="inlineStr"/>
      <c r="G506" s="20" t="inlineStr"/>
      <c r="H506" s="19" t="inlineStr"/>
      <c r="I506" s="21" t="inlineStr">
        <is>
          <t>ANDRE AUGUSTO GARCEZ BERTOLIN</t>
        </is>
      </c>
      <c r="J506" s="21" t="inlineStr">
        <is>
          <t>Administrador (RFB partner)</t>
        </is>
      </c>
      <c r="K506" s="21" t="inlineStr">
        <is>
          <t>(19) 2103-1954</t>
        </is>
      </c>
      <c r="L506" s="21" t="inlineStr"/>
      <c r="M506" s="21" t="inlineStr"/>
      <c r="N506" s="21" t="inlineStr"/>
      <c r="O506" s="21" t="inlineStr"/>
      <c r="P506" s="21" t="inlineStr">
        <is>
          <t>EDUARDO GASTON DIAZ PEREZ</t>
        </is>
      </c>
      <c r="Q506" s="21" t="inlineStr">
        <is>
          <t>Administrador (RFB partner)</t>
        </is>
      </c>
      <c r="R506" s="21" t="inlineStr"/>
      <c r="S506" s="21" t="inlineStr"/>
      <c r="T506" s="21" t="inlineStr">
        <is>
          <t>RFB partner (QSA); no Apollo match</t>
        </is>
      </c>
      <c r="U506" s="22" t="n">
        <v>503949.11</v>
      </c>
      <c r="V506" s="39" t="inlineStr">
        <is>
          <t>D</t>
        </is>
      </c>
      <c r="W506" s="24">
        <f>IFERROR(VLOOKUP(V506,Assumptions!$A$7:$F$11,2,FALSE),0)</f>
        <v/>
      </c>
      <c r="X506" s="25">
        <f>IF(V506="A",MAX(1,IFERROR(VLOOKUP(V506,Assumptions!$A$7:$F$11,3,FALSE),3)+IFERROR(VLOOKUP(V506,Assumptions!$A$7:$F$11,4,FALSE),8)/2-MAX(0,IF(AO506="",0,YEAR(TODAY())-AO506)-IFERROR(VLOOKUP(V506,Assumptions!$A$7:$F$11,5,FALSE),1.5))),IFERROR(VLOOKUP(V506,Assumptions!$A$7:$F$11,5,FALSE),2.5)+IFERROR(VLOOKUP(V506,Assumptions!$A$7:$F$11,3,FALSE),3)+IFERROR(VLOOKUP(V506,Assumptions!$A$7:$F$11,4,FALSE),8)/2)</f>
        <v/>
      </c>
      <c r="Y506" s="22">
        <f>U506*W506/(1+Assumptions!$B$3)^X506</f>
        <v/>
      </c>
      <c r="Z506" s="26">
        <f>IF(U506=0,"",ROUND(Y506/U506*100,1))</f>
        <v/>
      </c>
      <c r="AA506" s="27">
        <f>Y506*Assumptions!$B$4</f>
        <v/>
      </c>
      <c r="AB506" s="26">
        <f>IF(U506=0,"",ROUND(AA506/U506*100,1))</f>
        <v/>
      </c>
      <c r="AC506" s="27">
        <f>Y506-AA506</f>
        <v/>
      </c>
      <c r="AD506" s="26">
        <f>IF(U506=0,"",ROUND((Y506-AA506)/U506*100,1))</f>
        <v/>
      </c>
      <c r="AE506" s="33" t="inlineStr">
        <is>
          <t>NO TOTALS — list prints none; check page</t>
        </is>
      </c>
      <c r="AF506" s="29" t="inlineStr">
        <is>
          <t>https://realbrasil.com.br/wp-content/uploads/2019/02/LISTA-DE-CREDORES-DA-RECUPERANDA.pdf</t>
        </is>
      </c>
      <c r="AG506" s="28" t="inlineStr">
        <is>
          <t>p9 r15</t>
        </is>
      </c>
      <c r="AH506" s="28" t="inlineStr">
        <is>
          <t>p9: R$ 503.949,11</t>
        </is>
      </c>
      <c r="AI506" s="28" t="inlineStr">
        <is>
          <t>Unclassified list</t>
        </is>
      </c>
      <c r="AJ506" s="28" t="inlineStr"/>
      <c r="AK506" s="28" t="inlineStr">
        <is>
          <t>NONE FOUND</t>
        </is>
      </c>
      <c r="AL506" s="30" t="inlineStr">
        <is>
          <t>0010193-34.2013.8.19.0028</t>
        </is>
      </c>
      <c r="AM506" s="30" t="inlineStr">
        <is>
          <t>TJRJ</t>
        </is>
      </c>
      <c r="AN506" s="30" t="inlineStr"/>
      <c r="AO506" s="30" t="n">
        <v>2013</v>
      </c>
      <c r="AP506" s="30" t="inlineStr">
        <is>
          <t>debtor not ATIVA at RFB (04)</t>
        </is>
      </c>
      <c r="AQ506" s="30" t="inlineStr">
        <is>
          <t>32.247.009/0001-98</t>
        </is>
      </c>
      <c r="AR506" s="30" t="inlineStr">
        <is>
          <t>printed on the list (read twice)</t>
        </is>
      </c>
      <c r="AS506" s="30" t="inlineStr">
        <is>
          <t>CAMPINAS</t>
        </is>
      </c>
      <c r="AT506" s="30" t="inlineStr">
        <is>
          <t>SP</t>
        </is>
      </c>
      <c r="AU506" s="30" t="inlineStr">
        <is>
          <t>Fabricação de peças e acessórios para o sistema motor de veículos automotores</t>
        </is>
      </c>
      <c r="AV506" s="30" t="inlineStr">
        <is>
          <t>DEMAIS</t>
        </is>
      </c>
      <c r="AW506" s="31" t="n">
        <v>1814844500</v>
      </c>
      <c r="AX506" s="30" t="inlineStr">
        <is>
          <t>LARGE CORP</t>
        </is>
      </c>
      <c r="AY506" s="30" t="inlineStr">
        <is>
          <t>45990181</t>
        </is>
      </c>
      <c r="AZ506" s="30" t="n">
        <v>1</v>
      </c>
      <c r="BA506" s="30" t="inlineStr">
        <is>
          <t>ROWS:p9r15 UNRECONCILED_SOURCE</t>
        </is>
      </c>
    </row>
    <row r="507">
      <c r="A507" s="16" t="inlineStr">
        <is>
          <t>GOLDEN DISTRIBUIDORA LTDA.</t>
        </is>
      </c>
      <c r="B507" s="17" t="n">
        <v>271484.12</v>
      </c>
      <c r="C507" s="18" t="inlineStr">
        <is>
          <t>CREDIMÓVEIS NOVOLAR LTDA.</t>
        </is>
      </c>
      <c r="D507" s="19" t="inlineStr">
        <is>
          <t>NEW</t>
        </is>
      </c>
      <c r="E507" s="20" t="inlineStr"/>
      <c r="F507" s="19" t="inlineStr"/>
      <c r="G507" s="20" t="inlineStr"/>
      <c r="H507" s="19" t="inlineStr"/>
      <c r="I507" s="21" t="inlineStr">
        <is>
          <t>Antonio Jorge</t>
        </is>
      </c>
      <c r="J507" s="21" t="inlineStr">
        <is>
          <t>CFO</t>
        </is>
      </c>
      <c r="K507" s="21" t="inlineStr">
        <is>
          <t>(11) 3646-6600</t>
        </is>
      </c>
      <c r="L507" s="21" t="inlineStr"/>
      <c r="M507" s="21" t="inlineStr"/>
      <c r="N507" s="21" t="inlineStr"/>
      <c r="O507" s="21" t="inlineStr">
        <is>
          <t>victor.melo@goldendistribuidora.com.br</t>
        </is>
      </c>
      <c r="P507" s="21" t="inlineStr">
        <is>
          <t>Victor Melo</t>
        </is>
      </c>
      <c r="Q507" s="21" t="inlineStr">
        <is>
          <t>Coordenador de Crédito, Cobrança e Soluções Financeiras</t>
        </is>
      </c>
      <c r="R507" s="21" t="inlineStr"/>
      <c r="S507" s="21" t="inlineStr">
        <is>
          <t>victor.melo@goldendistribuidora.com.br</t>
        </is>
      </c>
      <c r="T507" s="21" t="inlineStr">
        <is>
          <t>no work email found in Apollo</t>
        </is>
      </c>
      <c r="U507" s="22" t="n">
        <v>271484.12</v>
      </c>
      <c r="V507" s="38" t="inlineStr">
        <is>
          <t>C</t>
        </is>
      </c>
      <c r="W507" s="24">
        <f>IFERROR(VLOOKUP(V507,Assumptions!$A$7:$F$11,2,FALSE),0)</f>
        <v/>
      </c>
      <c r="X507" s="25">
        <f>IF(V507="A",MAX(1,IFERROR(VLOOKUP(V507,Assumptions!$A$7:$F$11,3,FALSE),3)+IFERROR(VLOOKUP(V507,Assumptions!$A$7:$F$11,4,FALSE),8)/2-MAX(0,IF(AO507="",0,YEAR(TODAY())-AO507)-IFERROR(VLOOKUP(V507,Assumptions!$A$7:$F$11,5,FALSE),1.5))),IFERROR(VLOOKUP(V507,Assumptions!$A$7:$F$11,5,FALSE),2.5)+IFERROR(VLOOKUP(V507,Assumptions!$A$7:$F$11,3,FALSE),3)+IFERROR(VLOOKUP(V507,Assumptions!$A$7:$F$11,4,FALSE),8)/2)</f>
        <v/>
      </c>
      <c r="Y507" s="22">
        <f>U507*W507/(1+Assumptions!$B$3)^X507</f>
        <v/>
      </c>
      <c r="Z507" s="26">
        <f>IF(U507=0,"",ROUND(Y507/U507*100,1))</f>
        <v/>
      </c>
      <c r="AA507" s="27">
        <f>Y507*Assumptions!$B$4</f>
        <v/>
      </c>
      <c r="AB507" s="26">
        <f>IF(U507=0,"",ROUND(AA507/U507*100,1))</f>
        <v/>
      </c>
      <c r="AC507" s="27">
        <f>Y507-AA507</f>
        <v/>
      </c>
      <c r="AD507" s="26">
        <f>IF(U507=0,"",ROUND((Y507-AA507)/U507*100,1))</f>
        <v/>
      </c>
      <c r="AE507" s="28" t="inlineStr">
        <is>
          <t>OK — totals reconciled</t>
        </is>
      </c>
      <c r="AF507" s="29" t="inlineStr">
        <is>
          <t>https://recuperacaojudicial.squarespace.com/s/RJ-Credimoveis-QGC-01082025.pdf</t>
        </is>
      </c>
      <c r="AG507" s="28" t="inlineStr">
        <is>
          <t>p15 r48</t>
        </is>
      </c>
      <c r="AH507" s="28" t="inlineStr">
        <is>
          <t>p15: R$ 271.484,12</t>
        </is>
      </c>
      <c r="AI507" s="28" t="inlineStr">
        <is>
          <t>QGC (art. 18)</t>
        </is>
      </c>
      <c r="AJ507" s="28" t="inlineStr">
        <is>
          <t>2026-01-28</t>
        </is>
      </c>
      <c r="AK507" s="28" t="inlineStr">
        <is>
          <t>NONE FOUND</t>
        </is>
      </c>
      <c r="AL507" s="30" t="inlineStr">
        <is>
          <t>0007565-40.2020.8.17.2370</t>
        </is>
      </c>
      <c r="AM507" s="30" t="inlineStr">
        <is>
          <t>TJPE</t>
        </is>
      </c>
      <c r="AN507" s="30" t="inlineStr">
        <is>
          <t>ACTIVE</t>
        </is>
      </c>
      <c r="AO507" s="30" t="n">
        <v>2020</v>
      </c>
      <c r="AP507" s="30" t="inlineStr">
        <is>
          <t>6y since filing, no plan document</t>
        </is>
      </c>
      <c r="AQ507" s="30" t="inlineStr">
        <is>
          <t>09.930.165/0001-37</t>
        </is>
      </c>
      <c r="AR507" s="30" t="inlineStr">
        <is>
          <t>printed on the list (read twice)</t>
        </is>
      </c>
      <c r="AS507" s="30" t="inlineStr">
        <is>
          <t>SERRA</t>
        </is>
      </c>
      <c r="AT507" s="30" t="inlineStr">
        <is>
          <t>ES</t>
        </is>
      </c>
      <c r="AU507" s="30" t="inlineStr">
        <is>
          <t>Comércio atacadista de papel e papelão em bruto</t>
        </is>
      </c>
      <c r="AV507" s="30" t="inlineStr">
        <is>
          <t>DEMAIS</t>
        </is>
      </c>
      <c r="AW507" s="31" t="n">
        <v>50000000</v>
      </c>
      <c r="AX507" s="30" t="inlineStr">
        <is>
          <t>MID-MARKET</t>
        </is>
      </c>
      <c r="AY507" s="30" t="inlineStr">
        <is>
          <t>04196935</t>
        </is>
      </c>
      <c r="AZ507" s="30" t="n">
        <v>1</v>
      </c>
      <c r="BA507" s="30" t="inlineStr">
        <is>
          <t>ROWS:p15r48</t>
        </is>
      </c>
    </row>
    <row r="508">
      <c r="A508" s="16" t="inlineStr">
        <is>
          <t>QUAKER TEXTIL DO BRASIL LTDA.</t>
        </is>
      </c>
      <c r="B508" s="17" t="n">
        <v>479105.31</v>
      </c>
      <c r="C508" s="18" t="inlineStr">
        <is>
          <t>Mannes</t>
        </is>
      </c>
      <c r="D508" s="19" t="inlineStr">
        <is>
          <t>NEW</t>
        </is>
      </c>
      <c r="E508" s="20" t="inlineStr"/>
      <c r="F508" s="19" t="inlineStr"/>
      <c r="G508" s="20" t="inlineStr"/>
      <c r="H508" s="19" t="inlineStr"/>
      <c r="I508" s="21" t="inlineStr">
        <is>
          <t>RODRIGO PRIETO PEREZ</t>
        </is>
      </c>
      <c r="J508" s="21" t="inlineStr">
        <is>
          <t>Sócio-Administrador (RFB partner)</t>
        </is>
      </c>
      <c r="K508" s="21" t="inlineStr">
        <is>
          <t>(11) 3284-3355</t>
        </is>
      </c>
      <c r="L508" s="21" t="inlineStr">
        <is>
          <t>(11) 3284-3355</t>
        </is>
      </c>
      <c r="M508" s="21" t="inlineStr"/>
      <c r="N508" s="21" t="inlineStr"/>
      <c r="O508" s="21" t="inlineStr"/>
      <c r="P508" s="21" t="inlineStr"/>
      <c r="Q508" s="21" t="inlineStr"/>
      <c r="R508" s="21" t="inlineStr"/>
      <c r="S508" s="21" t="inlineStr"/>
      <c r="T508" s="21" t="inlineStr">
        <is>
          <t>RFB partner (QSA); no Apollo match</t>
        </is>
      </c>
      <c r="U508" s="22" t="n">
        <v>479105.31</v>
      </c>
      <c r="V508" s="39" t="inlineStr">
        <is>
          <t>D</t>
        </is>
      </c>
      <c r="W508" s="24">
        <f>IFERROR(VLOOKUP(V508,Assumptions!$A$7:$F$11,2,FALSE),0)</f>
        <v/>
      </c>
      <c r="X508" s="25">
        <f>IF(V508="A",MAX(1,IFERROR(VLOOKUP(V508,Assumptions!$A$7:$F$11,3,FALSE),3)+IFERROR(VLOOKUP(V508,Assumptions!$A$7:$F$11,4,FALSE),8)/2-MAX(0,IF(AO508="",0,YEAR(TODAY())-AO508)-IFERROR(VLOOKUP(V508,Assumptions!$A$7:$F$11,5,FALSE),1.5))),IFERROR(VLOOKUP(V508,Assumptions!$A$7:$F$11,5,FALSE),2.5)+IFERROR(VLOOKUP(V508,Assumptions!$A$7:$F$11,3,FALSE),3)+IFERROR(VLOOKUP(V508,Assumptions!$A$7:$F$11,4,FALSE),8)/2)</f>
        <v/>
      </c>
      <c r="Y508" s="22">
        <f>U508*W508/(1+Assumptions!$B$3)^X508</f>
        <v/>
      </c>
      <c r="Z508" s="26">
        <f>IF(U508=0,"",ROUND(Y508/U508*100,1))</f>
        <v/>
      </c>
      <c r="AA508" s="27">
        <f>Y508*Assumptions!$B$4</f>
        <v/>
      </c>
      <c r="AB508" s="26">
        <f>IF(U508=0,"",ROUND(AA508/U508*100,1))</f>
        <v/>
      </c>
      <c r="AC508" s="27">
        <f>Y508-AA508</f>
        <v/>
      </c>
      <c r="AD508" s="26">
        <f>IF(U508=0,"",ROUND((Y508-AA508)/U508*100,1))</f>
        <v/>
      </c>
      <c r="AE508" s="36" t="inlineStr">
        <is>
          <t>CHECK — source is not a statutory creditor list</t>
        </is>
      </c>
      <c r="AF508" s="29" t="inlineStr">
        <is>
          <t>https://administradorajudicialgs.com.br/wp-content/uploads/2024/12/relacao-de-credores-da-falida.pdf</t>
        </is>
      </c>
      <c r="AG508" s="28" t="inlineStr">
        <is>
          <t>p17 r46</t>
        </is>
      </c>
      <c r="AH508" s="28" t="inlineStr">
        <is>
          <t>p17: R$ 479.105,31</t>
        </is>
      </c>
      <c r="AI508" s="28" t="inlineStr">
        <is>
          <t>Other filing — NOT an art. 7/51 list</t>
        </is>
      </c>
      <c r="AJ508" s="28" t="inlineStr">
        <is>
          <t>2025-03-25</t>
        </is>
      </c>
      <c r="AK508" s="28" t="inlineStr">
        <is>
          <t>NONE FOUND</t>
        </is>
      </c>
      <c r="AL508" s="30" t="inlineStr">
        <is>
          <t>0005010-50.2013.8.24.0026</t>
        </is>
      </c>
      <c r="AM508" s="30" t="inlineStr">
        <is>
          <t>TJSC</t>
        </is>
      </c>
      <c r="AN508" s="30" t="inlineStr"/>
      <c r="AO508" s="30" t="n">
        <v>2013</v>
      </c>
      <c r="AP508" s="30" t="inlineStr">
        <is>
          <t>document is a falência (bankruptcy) list</t>
        </is>
      </c>
      <c r="AQ508" s="30" t="inlineStr"/>
      <c r="AR508" s="30" t="inlineStr">
        <is>
          <t>printed on the list (read twice)</t>
        </is>
      </c>
      <c r="AS508" s="30" t="inlineStr">
        <is>
          <t>SAO PAULO</t>
        </is>
      </c>
      <c r="AT508" s="30" t="inlineStr">
        <is>
          <t>SP</t>
        </is>
      </c>
      <c r="AU508" s="30" t="inlineStr">
        <is>
          <t>Comércio atacadista especializado em outros produtos intermediários não especificados anteriormente</t>
        </is>
      </c>
      <c r="AV508" s="30" t="inlineStr">
        <is>
          <t>DEMAIS</t>
        </is>
      </c>
      <c r="AW508" s="31" t="n">
        <v>1165000</v>
      </c>
      <c r="AX508" s="30" t="inlineStr">
        <is>
          <t>MID-MARKET</t>
        </is>
      </c>
      <c r="AY508" s="30" t="inlineStr">
        <is>
          <t>03784035</t>
        </is>
      </c>
      <c r="AZ508" s="30" t="n">
        <v>1</v>
      </c>
      <c r="BA508" s="30" t="inlineStr">
        <is>
          <t>ROWS:p17r46 UNRECONCILED_SOURCE CASE_NUMBER_CORRECTED</t>
        </is>
      </c>
    </row>
    <row r="509">
      <c r="A509" s="16" t="inlineStr">
        <is>
          <t>KASPER INDUSTRIA DE MOVEIS LTDA</t>
        </is>
      </c>
      <c r="B509" s="17" t="n">
        <v>253853.5</v>
      </c>
      <c r="C509" s="18" t="inlineStr">
        <is>
          <t>CREDIMÓVEIS NOVOLAR LTDA.</t>
        </is>
      </c>
      <c r="D509" s="19" t="inlineStr">
        <is>
          <t>NEW</t>
        </is>
      </c>
      <c r="E509" s="20" t="inlineStr"/>
      <c r="F509" s="19" t="inlineStr"/>
      <c r="G509" s="20" t="inlineStr"/>
      <c r="H509" s="19" t="inlineStr"/>
      <c r="I509" s="21" t="inlineStr">
        <is>
          <t>INGRID PAULINA KASPER DEDECO</t>
        </is>
      </c>
      <c r="J509" s="21" t="inlineStr">
        <is>
          <t>Sócio-Administrador (RFB partner)</t>
        </is>
      </c>
      <c r="K509" s="21" t="inlineStr">
        <is>
          <t>49643-0133</t>
        </is>
      </c>
      <c r="L509" s="21" t="inlineStr"/>
      <c r="M509" s="21" t="inlineStr"/>
      <c r="N509" s="21" t="inlineStr"/>
      <c r="O509" s="21" t="inlineStr"/>
      <c r="P509" s="21" t="inlineStr">
        <is>
          <t>JORGE LUIZ SALLES DEDECO</t>
        </is>
      </c>
      <c r="Q509" s="21" t="inlineStr">
        <is>
          <t>Sócio-Administrador (RFB partner)</t>
        </is>
      </c>
      <c r="R509" s="21" t="inlineStr"/>
      <c r="S509" s="21" t="inlineStr"/>
      <c r="T509" s="21" t="inlineStr">
        <is>
          <t>RFB partner (QSA); no Apollo match</t>
        </is>
      </c>
      <c r="U509" s="22" t="n">
        <v>253853.5</v>
      </c>
      <c r="V509" s="38" t="inlineStr">
        <is>
          <t>C</t>
        </is>
      </c>
      <c r="W509" s="24">
        <f>IFERROR(VLOOKUP(V509,Assumptions!$A$7:$F$11,2,FALSE),0)</f>
        <v/>
      </c>
      <c r="X509" s="25">
        <f>IF(V509="A",MAX(1,IFERROR(VLOOKUP(V509,Assumptions!$A$7:$F$11,3,FALSE),3)+IFERROR(VLOOKUP(V509,Assumptions!$A$7:$F$11,4,FALSE),8)/2-MAX(0,IF(AO509="",0,YEAR(TODAY())-AO509)-IFERROR(VLOOKUP(V509,Assumptions!$A$7:$F$11,5,FALSE),1.5))),IFERROR(VLOOKUP(V509,Assumptions!$A$7:$F$11,5,FALSE),2.5)+IFERROR(VLOOKUP(V509,Assumptions!$A$7:$F$11,3,FALSE),3)+IFERROR(VLOOKUP(V509,Assumptions!$A$7:$F$11,4,FALSE),8)/2)</f>
        <v/>
      </c>
      <c r="Y509" s="22">
        <f>U509*W509/(1+Assumptions!$B$3)^X509</f>
        <v/>
      </c>
      <c r="Z509" s="26">
        <f>IF(U509=0,"",ROUND(Y509/U509*100,1))</f>
        <v/>
      </c>
      <c r="AA509" s="27">
        <f>Y509*Assumptions!$B$4</f>
        <v/>
      </c>
      <c r="AB509" s="26">
        <f>IF(U509=0,"",ROUND(AA509/U509*100,1))</f>
        <v/>
      </c>
      <c r="AC509" s="27">
        <f>Y509-AA509</f>
        <v/>
      </c>
      <c r="AD509" s="26">
        <f>IF(U509=0,"",ROUND((Y509-AA509)/U509*100,1))</f>
        <v/>
      </c>
      <c r="AE509" s="28" t="inlineStr">
        <is>
          <t>OK — totals reconciled</t>
        </is>
      </c>
      <c r="AF509" s="29" t="inlineStr">
        <is>
          <t>https://recuperacaojudicial.squarespace.com/s/RJ-Credimoveis-QGC-01082025.pdf</t>
        </is>
      </c>
      <c r="AG509" s="28" t="inlineStr">
        <is>
          <t>p16 r3</t>
        </is>
      </c>
      <c r="AH509" s="28" t="inlineStr">
        <is>
          <t>p16: R$ 253.853,50</t>
        </is>
      </c>
      <c r="AI509" s="28" t="inlineStr">
        <is>
          <t>QGC (art. 18)</t>
        </is>
      </c>
      <c r="AJ509" s="28" t="inlineStr">
        <is>
          <t>2026-01-28</t>
        </is>
      </c>
      <c r="AK509" s="28" t="inlineStr">
        <is>
          <t>NONE FOUND</t>
        </is>
      </c>
      <c r="AL509" s="30" t="inlineStr">
        <is>
          <t>0007565-40.2020.8.17.2370</t>
        </is>
      </c>
      <c r="AM509" s="30" t="inlineStr">
        <is>
          <t>TJPE</t>
        </is>
      </c>
      <c r="AN509" s="30" t="inlineStr">
        <is>
          <t>ACTIVE</t>
        </is>
      </c>
      <c r="AO509" s="30" t="n">
        <v>2020</v>
      </c>
      <c r="AP509" s="30" t="inlineStr">
        <is>
          <t>6y since filing, no plan document</t>
        </is>
      </c>
      <c r="AQ509" s="30" t="inlineStr">
        <is>
          <t>09.930.165/0001-37</t>
        </is>
      </c>
      <c r="AR509" s="30" t="inlineStr">
        <is>
          <t>printed on the list (read twice)</t>
        </is>
      </c>
      <c r="AS509" s="30" t="inlineStr">
        <is>
          <t>SAO JOSE DO CEDRO</t>
        </is>
      </c>
      <c r="AT509" s="30" t="inlineStr">
        <is>
          <t>SC</t>
        </is>
      </c>
      <c r="AU509" s="30" t="inlineStr">
        <is>
          <t>Fabricação de móveis com predominância de madeira</t>
        </is>
      </c>
      <c r="AV509" s="30" t="inlineStr">
        <is>
          <t>DEMAIS</t>
        </is>
      </c>
      <c r="AW509" s="31" t="n">
        <v>300000</v>
      </c>
      <c r="AX509" s="30" t="inlineStr">
        <is>
          <t>MID-MARKET</t>
        </is>
      </c>
      <c r="AY509" s="30" t="inlineStr">
        <is>
          <t>86205416</t>
        </is>
      </c>
      <c r="AZ509" s="30" t="n">
        <v>1</v>
      </c>
      <c r="BA509" s="30" t="inlineStr">
        <is>
          <t>ROWS:p16r3</t>
        </is>
      </c>
    </row>
    <row r="510">
      <c r="A510" s="16" t="inlineStr">
        <is>
          <t>SANTOS ANDIRA INDUSTRIA DE MOVEIS LTDA</t>
        </is>
      </c>
      <c r="B510" s="17" t="n">
        <v>252798.81</v>
      </c>
      <c r="C510" s="18" t="inlineStr">
        <is>
          <t>CREDIMÓVEIS NOVOLAR LTDA.</t>
        </is>
      </c>
      <c r="D510" s="19" t="inlineStr">
        <is>
          <t>NEW</t>
        </is>
      </c>
      <c r="E510" s="20" t="inlineStr"/>
      <c r="F510" s="19" t="inlineStr"/>
      <c r="G510" s="20" t="inlineStr"/>
      <c r="H510" s="19" t="inlineStr"/>
      <c r="I510" s="21" t="inlineStr">
        <is>
          <t>Andresa De</t>
        </is>
      </c>
      <c r="J510" s="21" t="inlineStr">
        <is>
          <t>Supervisora de Crédito e Cobrança</t>
        </is>
      </c>
      <c r="K510" s="21" t="inlineStr">
        <is>
          <t>(43) 3538-8304</t>
        </is>
      </c>
      <c r="L510" s="21" t="inlineStr">
        <is>
          <t>(43) 3638-8300</t>
        </is>
      </c>
      <c r="M510" s="21" t="inlineStr"/>
      <c r="N510" s="21" t="inlineStr"/>
      <c r="O510" s="21" t="inlineStr">
        <is>
          <t>egson.nascimento@santosandira.com.br</t>
        </is>
      </c>
      <c r="P510" s="21" t="inlineStr">
        <is>
          <t>Egson Nascimento</t>
        </is>
      </c>
      <c r="Q510" s="21" t="inlineStr">
        <is>
          <t>Purchasing Manager</t>
        </is>
      </c>
      <c r="R510" s="21" t="inlineStr"/>
      <c r="S510" s="21" t="inlineStr">
        <is>
          <t>egson.nascimento@santosandira.com.br</t>
        </is>
      </c>
      <c r="T510" s="21" t="inlineStr">
        <is>
          <t>no work email found in Apollo</t>
        </is>
      </c>
      <c r="U510" s="22" t="n">
        <v>252798.81</v>
      </c>
      <c r="V510" s="38" t="inlineStr">
        <is>
          <t>C</t>
        </is>
      </c>
      <c r="W510" s="24">
        <f>IFERROR(VLOOKUP(V510,Assumptions!$A$7:$F$11,2,FALSE),0)</f>
        <v/>
      </c>
      <c r="X510" s="25">
        <f>IF(V510="A",MAX(1,IFERROR(VLOOKUP(V510,Assumptions!$A$7:$F$11,3,FALSE),3)+IFERROR(VLOOKUP(V510,Assumptions!$A$7:$F$11,4,FALSE),8)/2-MAX(0,IF(AO510="",0,YEAR(TODAY())-AO510)-IFERROR(VLOOKUP(V510,Assumptions!$A$7:$F$11,5,FALSE),1.5))),IFERROR(VLOOKUP(V510,Assumptions!$A$7:$F$11,5,FALSE),2.5)+IFERROR(VLOOKUP(V510,Assumptions!$A$7:$F$11,3,FALSE),3)+IFERROR(VLOOKUP(V510,Assumptions!$A$7:$F$11,4,FALSE),8)/2)</f>
        <v/>
      </c>
      <c r="Y510" s="22">
        <f>U510*W510/(1+Assumptions!$B$3)^X510</f>
        <v/>
      </c>
      <c r="Z510" s="26">
        <f>IF(U510=0,"",ROUND(Y510/U510*100,1))</f>
        <v/>
      </c>
      <c r="AA510" s="27">
        <f>Y510*Assumptions!$B$4</f>
        <v/>
      </c>
      <c r="AB510" s="26">
        <f>IF(U510=0,"",ROUND(AA510/U510*100,1))</f>
        <v/>
      </c>
      <c r="AC510" s="27">
        <f>Y510-AA510</f>
        <v/>
      </c>
      <c r="AD510" s="26">
        <f>IF(U510=0,"",ROUND((Y510-AA510)/U510*100,1))</f>
        <v/>
      </c>
      <c r="AE510" s="28" t="inlineStr">
        <is>
          <t>OK — totals reconciled</t>
        </is>
      </c>
      <c r="AF510" s="29" t="inlineStr">
        <is>
          <t>https://recuperacaojudicial.squarespace.com/s/RJ-Credimoveis-QGC-01082025.pdf</t>
        </is>
      </c>
      <c r="AG510" s="28" t="inlineStr">
        <is>
          <t>p16 r55</t>
        </is>
      </c>
      <c r="AH510" s="28" t="inlineStr">
        <is>
          <t>p16: R$ 252.798,81</t>
        </is>
      </c>
      <c r="AI510" s="28" t="inlineStr">
        <is>
          <t>QGC (art. 18)</t>
        </is>
      </c>
      <c r="AJ510" s="28" t="inlineStr">
        <is>
          <t>2026-01-28</t>
        </is>
      </c>
      <c r="AK510" s="28" t="inlineStr">
        <is>
          <t>NONE FOUND</t>
        </is>
      </c>
      <c r="AL510" s="30" t="inlineStr">
        <is>
          <t>0007565-40.2020.8.17.2370</t>
        </is>
      </c>
      <c r="AM510" s="30" t="inlineStr">
        <is>
          <t>TJPE</t>
        </is>
      </c>
      <c r="AN510" s="30" t="inlineStr">
        <is>
          <t>ACTIVE</t>
        </is>
      </c>
      <c r="AO510" s="30" t="n">
        <v>2020</v>
      </c>
      <c r="AP510" s="30" t="inlineStr">
        <is>
          <t>6y since filing, no plan document</t>
        </is>
      </c>
      <c r="AQ510" s="30" t="inlineStr">
        <is>
          <t>09.930.165/0001-37</t>
        </is>
      </c>
      <c r="AR510" s="30" t="inlineStr">
        <is>
          <t>printed on the list (read twice)</t>
        </is>
      </c>
      <c r="AS510" s="30" t="inlineStr">
        <is>
          <t>ANDIRA</t>
        </is>
      </c>
      <c r="AT510" s="30" t="inlineStr">
        <is>
          <t>PR</t>
        </is>
      </c>
      <c r="AU510" s="30" t="inlineStr">
        <is>
          <t>Fabricação de móveis com predominância de madeira</t>
        </is>
      </c>
      <c r="AV510" s="30" t="inlineStr">
        <is>
          <t>DEMAIS</t>
        </is>
      </c>
      <c r="AW510" s="31" t="n">
        <v>25000000</v>
      </c>
      <c r="AX510" s="30" t="inlineStr">
        <is>
          <t>MID-MARKET</t>
        </is>
      </c>
      <c r="AY510" s="30" t="inlineStr">
        <is>
          <t>75205831</t>
        </is>
      </c>
      <c r="AZ510" s="30" t="n">
        <v>1</v>
      </c>
      <c r="BA510" s="30" t="inlineStr">
        <is>
          <t>ROWS:p16r55</t>
        </is>
      </c>
    </row>
    <row r="511">
      <c r="A511" s="16" t="inlineStr">
        <is>
          <t>LOTEX TEXTIL LTDA</t>
        </is>
      </c>
      <c r="B511" s="17" t="n">
        <v>459317.41</v>
      </c>
      <c r="C511" s="18" t="inlineStr">
        <is>
          <t>Mannes</t>
        </is>
      </c>
      <c r="D511" s="19" t="inlineStr">
        <is>
          <t>NEW</t>
        </is>
      </c>
      <c r="E511" s="20" t="inlineStr"/>
      <c r="F511" s="19" t="inlineStr"/>
      <c r="G511" s="20" t="inlineStr"/>
      <c r="H511" s="19" t="inlineStr"/>
      <c r="I511" s="21" t="inlineStr">
        <is>
          <t>ELEMAR LOTH</t>
        </is>
      </c>
      <c r="J511" s="21" t="inlineStr">
        <is>
          <t>Sócio-Administrador (RFB partner)</t>
        </is>
      </c>
      <c r="K511" s="21" t="inlineStr">
        <is>
          <t>(47) 3055-0027</t>
        </is>
      </c>
      <c r="L511" s="21" t="inlineStr">
        <is>
          <t>(47) 3055-0817</t>
        </is>
      </c>
      <c r="M511" s="21" t="inlineStr"/>
      <c r="N511" s="21" t="inlineStr"/>
      <c r="O511" s="21" t="inlineStr"/>
      <c r="P511" s="21" t="inlineStr"/>
      <c r="Q511" s="21" t="inlineStr"/>
      <c r="R511" s="21" t="inlineStr"/>
      <c r="S511" s="21" t="inlineStr"/>
      <c r="T511" s="21" t="inlineStr">
        <is>
          <t>RFB partner (QSA); no Apollo match</t>
        </is>
      </c>
      <c r="U511" s="22" t="n">
        <v>459317.41</v>
      </c>
      <c r="V511" s="39" t="inlineStr">
        <is>
          <t>D</t>
        </is>
      </c>
      <c r="W511" s="24">
        <f>IFERROR(VLOOKUP(V511,Assumptions!$A$7:$F$11,2,FALSE),0)</f>
        <v/>
      </c>
      <c r="X511" s="25">
        <f>IF(V511="A",MAX(1,IFERROR(VLOOKUP(V511,Assumptions!$A$7:$F$11,3,FALSE),3)+IFERROR(VLOOKUP(V511,Assumptions!$A$7:$F$11,4,FALSE),8)/2-MAX(0,IF(AO511="",0,YEAR(TODAY())-AO511)-IFERROR(VLOOKUP(V511,Assumptions!$A$7:$F$11,5,FALSE),1.5))),IFERROR(VLOOKUP(V511,Assumptions!$A$7:$F$11,5,FALSE),2.5)+IFERROR(VLOOKUP(V511,Assumptions!$A$7:$F$11,3,FALSE),3)+IFERROR(VLOOKUP(V511,Assumptions!$A$7:$F$11,4,FALSE),8)/2)</f>
        <v/>
      </c>
      <c r="Y511" s="22">
        <f>U511*W511/(1+Assumptions!$B$3)^X511</f>
        <v/>
      </c>
      <c r="Z511" s="26">
        <f>IF(U511=0,"",ROUND(Y511/U511*100,1))</f>
        <v/>
      </c>
      <c r="AA511" s="27">
        <f>Y511*Assumptions!$B$4</f>
        <v/>
      </c>
      <c r="AB511" s="26">
        <f>IF(U511=0,"",ROUND(AA511/U511*100,1))</f>
        <v/>
      </c>
      <c r="AC511" s="27">
        <f>Y511-AA511</f>
        <v/>
      </c>
      <c r="AD511" s="26">
        <f>IF(U511=0,"",ROUND((Y511-AA511)/U511*100,1))</f>
        <v/>
      </c>
      <c r="AE511" s="36" t="inlineStr">
        <is>
          <t>CHECK — source is not a statutory creditor list</t>
        </is>
      </c>
      <c r="AF511" s="29" t="inlineStr">
        <is>
          <t>https://administradorajudicialgs.com.br/wp-content/uploads/2024/12/relacao-de-credores-da-falida.pdf</t>
        </is>
      </c>
      <c r="AG511" s="28" t="inlineStr">
        <is>
          <t>p16 r17</t>
        </is>
      </c>
      <c r="AH511" s="28" t="inlineStr">
        <is>
          <t>p16: R$ 459.317,41</t>
        </is>
      </c>
      <c r="AI511" s="28" t="inlineStr">
        <is>
          <t>Other filing — NOT an art. 7/51 list</t>
        </is>
      </c>
      <c r="AJ511" s="28" t="inlineStr">
        <is>
          <t>2025-03-25</t>
        </is>
      </c>
      <c r="AK511" s="28" t="inlineStr">
        <is>
          <t>NONE FOUND</t>
        </is>
      </c>
      <c r="AL511" s="30" t="inlineStr">
        <is>
          <t>0005010-50.2013.8.24.0026</t>
        </is>
      </c>
      <c r="AM511" s="30" t="inlineStr">
        <is>
          <t>TJSC</t>
        </is>
      </c>
      <c r="AN511" s="30" t="inlineStr"/>
      <c r="AO511" s="30" t="n">
        <v>2013</v>
      </c>
      <c r="AP511" s="30" t="inlineStr">
        <is>
          <t>document is a falência (bankruptcy) list</t>
        </is>
      </c>
      <c r="AQ511" s="30" t="inlineStr"/>
      <c r="AR511" s="30" t="inlineStr">
        <is>
          <t>printed on the list (read twice)</t>
        </is>
      </c>
      <c r="AS511" s="30" t="inlineStr">
        <is>
          <t>JARAGUA DO SUL</t>
        </is>
      </c>
      <c r="AT511" s="30" t="inlineStr">
        <is>
          <t>SC</t>
        </is>
      </c>
      <c r="AU511" s="30" t="inlineStr">
        <is>
          <t>Fabricação de outros produtos têxteis não especificados anteriormente</t>
        </is>
      </c>
      <c r="AV511" s="30" t="inlineStr">
        <is>
          <t>MICRO EMPRESA</t>
        </is>
      </c>
      <c r="AW511" s="31" t="n">
        <v>5000</v>
      </c>
      <c r="AX511" s="30" t="inlineStr">
        <is>
          <t>SMALL</t>
        </is>
      </c>
      <c r="AY511" s="30" t="inlineStr">
        <is>
          <t>09454490</t>
        </is>
      </c>
      <c r="AZ511" s="30" t="n">
        <v>1</v>
      </c>
      <c r="BA511" s="30" t="inlineStr">
        <is>
          <t>ROWS:p16r17 UNRECONCILED_SOURCE CASE_NUMBER_CORRECTED</t>
        </is>
      </c>
    </row>
    <row r="512">
      <c r="A512" s="16" t="inlineStr">
        <is>
          <t>CICLO CAIRU LTDA</t>
        </is>
      </c>
      <c r="B512" s="17" t="n">
        <v>249307.74</v>
      </c>
      <c r="C512" s="18" t="inlineStr">
        <is>
          <t>CREDIMÓVEIS NOVOLAR LTDA.</t>
        </is>
      </c>
      <c r="D512" s="19" t="inlineStr">
        <is>
          <t>NEW</t>
        </is>
      </c>
      <c r="E512" s="20" t="inlineStr"/>
      <c r="F512" s="19" t="inlineStr"/>
      <c r="G512" s="20" t="inlineStr"/>
      <c r="H512" s="19" t="inlineStr"/>
      <c r="I512" s="21" t="inlineStr">
        <is>
          <t>Dariane Garcia</t>
        </is>
      </c>
      <c r="J512" s="21" t="inlineStr">
        <is>
          <t>Financial</t>
        </is>
      </c>
      <c r="K512" s="21" t="inlineStr">
        <is>
          <t>(69) 3451-0500</t>
        </is>
      </c>
      <c r="L512" s="21" t="inlineStr"/>
      <c r="M512" s="21" t="inlineStr"/>
      <c r="N512" s="21" t="inlineStr"/>
      <c r="O512" s="21" t="inlineStr"/>
      <c r="P512" s="21" t="inlineStr">
        <is>
          <t>Natalia Moraes</t>
        </is>
      </c>
      <c r="Q512" s="21" t="inlineStr">
        <is>
          <t>Financial</t>
        </is>
      </c>
      <c r="R512" s="21" t="inlineStr"/>
      <c r="S512" s="21" t="inlineStr"/>
      <c r="T512" s="21" t="inlineStr">
        <is>
          <t>no work email found in Apollo</t>
        </is>
      </c>
      <c r="U512" s="22" t="n">
        <v>249307.74</v>
      </c>
      <c r="V512" s="38" t="inlineStr">
        <is>
          <t>C</t>
        </is>
      </c>
      <c r="W512" s="24">
        <f>IFERROR(VLOOKUP(V512,Assumptions!$A$7:$F$11,2,FALSE),0)</f>
        <v/>
      </c>
      <c r="X512" s="25">
        <f>IF(V512="A",MAX(1,IFERROR(VLOOKUP(V512,Assumptions!$A$7:$F$11,3,FALSE),3)+IFERROR(VLOOKUP(V512,Assumptions!$A$7:$F$11,4,FALSE),8)/2-MAX(0,IF(AO512="",0,YEAR(TODAY())-AO512)-IFERROR(VLOOKUP(V512,Assumptions!$A$7:$F$11,5,FALSE),1.5))),IFERROR(VLOOKUP(V512,Assumptions!$A$7:$F$11,5,FALSE),2.5)+IFERROR(VLOOKUP(V512,Assumptions!$A$7:$F$11,3,FALSE),3)+IFERROR(VLOOKUP(V512,Assumptions!$A$7:$F$11,4,FALSE),8)/2)</f>
        <v/>
      </c>
      <c r="Y512" s="22">
        <f>U512*W512/(1+Assumptions!$B$3)^X512</f>
        <v/>
      </c>
      <c r="Z512" s="26">
        <f>IF(U512=0,"",ROUND(Y512/U512*100,1))</f>
        <v/>
      </c>
      <c r="AA512" s="27">
        <f>Y512*Assumptions!$B$4</f>
        <v/>
      </c>
      <c r="AB512" s="26">
        <f>IF(U512=0,"",ROUND(AA512/U512*100,1))</f>
        <v/>
      </c>
      <c r="AC512" s="27">
        <f>Y512-AA512</f>
        <v/>
      </c>
      <c r="AD512" s="26">
        <f>IF(U512=0,"",ROUND((Y512-AA512)/U512*100,1))</f>
        <v/>
      </c>
      <c r="AE512" s="28" t="inlineStr">
        <is>
          <t>OK — totals reconciled</t>
        </is>
      </c>
      <c r="AF512" s="29" t="inlineStr">
        <is>
          <t>https://recuperacaojudicial.squarespace.com/s/RJ-Credimoveis-QGC-01082025.pdf</t>
        </is>
      </c>
      <c r="AG512" s="28" t="inlineStr">
        <is>
          <t>p15 r30</t>
        </is>
      </c>
      <c r="AH512" s="28" t="inlineStr">
        <is>
          <t>p15: R$ 249.307,74</t>
        </is>
      </c>
      <c r="AI512" s="28" t="inlineStr">
        <is>
          <t>QGC (art. 18)</t>
        </is>
      </c>
      <c r="AJ512" s="28" t="inlineStr">
        <is>
          <t>2026-01-28</t>
        </is>
      </c>
      <c r="AK512" s="28" t="inlineStr">
        <is>
          <t>NONE FOUND</t>
        </is>
      </c>
      <c r="AL512" s="30" t="inlineStr">
        <is>
          <t>0007565-40.2020.8.17.2370</t>
        </is>
      </c>
      <c r="AM512" s="30" t="inlineStr">
        <is>
          <t>TJPE</t>
        </is>
      </c>
      <c r="AN512" s="30" t="inlineStr">
        <is>
          <t>ACTIVE</t>
        </is>
      </c>
      <c r="AO512" s="30" t="n">
        <v>2020</v>
      </c>
      <c r="AP512" s="30" t="inlineStr">
        <is>
          <t>6y since filing, no plan document</t>
        </is>
      </c>
      <c r="AQ512" s="30" t="inlineStr">
        <is>
          <t>09.930.165/0001-37</t>
        </is>
      </c>
      <c r="AR512" s="30" t="inlineStr">
        <is>
          <t>printed on the list (read twice)</t>
        </is>
      </c>
      <c r="AS512" s="30" t="inlineStr">
        <is>
          <t>PIMENTA BUENO</t>
        </is>
      </c>
      <c r="AT512" s="30" t="inlineStr">
        <is>
          <t>RO</t>
        </is>
      </c>
      <c r="AU512" s="30" t="inlineStr">
        <is>
          <t>Comércio por atacado de peças e acessórios para motocicletas e motonetas</t>
        </is>
      </c>
      <c r="AV512" s="30" t="inlineStr">
        <is>
          <t>DEMAIS</t>
        </is>
      </c>
      <c r="AW512" s="31" t="n">
        <v>13000000</v>
      </c>
      <c r="AX512" s="30" t="inlineStr">
        <is>
          <t>MID-MARKET</t>
        </is>
      </c>
      <c r="AY512" s="30" t="inlineStr">
        <is>
          <t>02513526</t>
        </is>
      </c>
      <c r="AZ512" s="30" t="n">
        <v>1</v>
      </c>
      <c r="BA512" s="30" t="inlineStr">
        <is>
          <t>ROWS:p15r30</t>
        </is>
      </c>
    </row>
    <row r="513">
      <c r="A513" s="16" t="inlineStr">
        <is>
          <t>ITABOX INDUSTRIA E COMERCIO DE MOVEIS DE MADEIRA LTDA</t>
        </is>
      </c>
      <c r="B513" s="17" t="n">
        <v>456074.41</v>
      </c>
      <c r="C513" s="18" t="inlineStr">
        <is>
          <t>Mannes</t>
        </is>
      </c>
      <c r="D513" s="19" t="inlineStr">
        <is>
          <t>NEW</t>
        </is>
      </c>
      <c r="E513" s="20" t="inlineStr"/>
      <c r="F513" s="19" t="inlineStr"/>
      <c r="G513" s="20" t="inlineStr"/>
      <c r="H513" s="19" t="inlineStr"/>
      <c r="I513" s="21" t="inlineStr">
        <is>
          <t>RODOLFO ROHR</t>
        </is>
      </c>
      <c r="J513" s="21" t="inlineStr">
        <is>
          <t>Sócio-Administrador (RFB partner)</t>
        </is>
      </c>
      <c r="K513" s="21" t="inlineStr">
        <is>
          <t>(14) 3711-2222</t>
        </is>
      </c>
      <c r="L513" s="21" t="inlineStr"/>
      <c r="M513" s="21" t="inlineStr"/>
      <c r="N513" s="21" t="inlineStr"/>
      <c r="O513" s="21" t="inlineStr"/>
      <c r="P513" s="21" t="inlineStr">
        <is>
          <t>HEDERSON CAMARGO MANTOVANI</t>
        </is>
      </c>
      <c r="Q513" s="21" t="inlineStr">
        <is>
          <t>Administrador (RFB partner)</t>
        </is>
      </c>
      <c r="R513" s="21" t="inlineStr"/>
      <c r="S513" s="21" t="inlineStr"/>
      <c r="T513" s="21" t="inlineStr">
        <is>
          <t>RFB partner (QSA); no Apollo match</t>
        </is>
      </c>
      <c r="U513" s="22" t="n">
        <v>456074.41</v>
      </c>
      <c r="V513" s="39" t="inlineStr">
        <is>
          <t>D</t>
        </is>
      </c>
      <c r="W513" s="24">
        <f>IFERROR(VLOOKUP(V513,Assumptions!$A$7:$F$11,2,FALSE),0)</f>
        <v/>
      </c>
      <c r="X513" s="25">
        <f>IF(V513="A",MAX(1,IFERROR(VLOOKUP(V513,Assumptions!$A$7:$F$11,3,FALSE),3)+IFERROR(VLOOKUP(V513,Assumptions!$A$7:$F$11,4,FALSE),8)/2-MAX(0,IF(AO513="",0,YEAR(TODAY())-AO513)-IFERROR(VLOOKUP(V513,Assumptions!$A$7:$F$11,5,FALSE),1.5))),IFERROR(VLOOKUP(V513,Assumptions!$A$7:$F$11,5,FALSE),2.5)+IFERROR(VLOOKUP(V513,Assumptions!$A$7:$F$11,3,FALSE),3)+IFERROR(VLOOKUP(V513,Assumptions!$A$7:$F$11,4,FALSE),8)/2)</f>
        <v/>
      </c>
      <c r="Y513" s="22">
        <f>U513*W513/(1+Assumptions!$B$3)^X513</f>
        <v/>
      </c>
      <c r="Z513" s="26">
        <f>IF(U513=0,"",ROUND(Y513/U513*100,1))</f>
        <v/>
      </c>
      <c r="AA513" s="27">
        <f>Y513*Assumptions!$B$4</f>
        <v/>
      </c>
      <c r="AB513" s="26">
        <f>IF(U513=0,"",ROUND(AA513/U513*100,1))</f>
        <v/>
      </c>
      <c r="AC513" s="27">
        <f>Y513-AA513</f>
        <v/>
      </c>
      <c r="AD513" s="26">
        <f>IF(U513=0,"",ROUND((Y513-AA513)/U513*100,1))</f>
        <v/>
      </c>
      <c r="AE513" s="36" t="inlineStr">
        <is>
          <t>CHECK — source is not a statutory creditor list</t>
        </is>
      </c>
      <c r="AF513" s="29" t="inlineStr">
        <is>
          <t>https://administradorajudicialgs.com.br/wp-content/uploads/2024/12/relacao-de-credores-da-falida.pdf</t>
        </is>
      </c>
      <c r="AG513" s="28" t="inlineStr">
        <is>
          <t>p15 r38</t>
        </is>
      </c>
      <c r="AH513" s="28" t="inlineStr">
        <is>
          <t>p15: R$ 456.074,41</t>
        </is>
      </c>
      <c r="AI513" s="28" t="inlineStr">
        <is>
          <t>Other filing — NOT an art. 7/51 list</t>
        </is>
      </c>
      <c r="AJ513" s="28" t="inlineStr">
        <is>
          <t>2025-03-25</t>
        </is>
      </c>
      <c r="AK513" s="28" t="inlineStr">
        <is>
          <t>NONE FOUND</t>
        </is>
      </c>
      <c r="AL513" s="30" t="inlineStr">
        <is>
          <t>0005010-50.2013.8.24.0026</t>
        </is>
      </c>
      <c r="AM513" s="30" t="inlineStr">
        <is>
          <t>TJSC</t>
        </is>
      </c>
      <c r="AN513" s="30" t="inlineStr"/>
      <c r="AO513" s="30" t="n">
        <v>2013</v>
      </c>
      <c r="AP513" s="30" t="inlineStr">
        <is>
          <t>document is a falência (bankruptcy) list</t>
        </is>
      </c>
      <c r="AQ513" s="30" t="inlineStr"/>
      <c r="AR513" s="30" t="inlineStr">
        <is>
          <t>printed on the list (read twice)</t>
        </is>
      </c>
      <c r="AS513" s="30" t="inlineStr">
        <is>
          <t>ITAPETININGA</t>
        </is>
      </c>
      <c r="AT513" s="30" t="inlineStr">
        <is>
          <t>SP</t>
        </is>
      </c>
      <c r="AU513" s="30" t="inlineStr">
        <is>
          <t>Fabricação de móveis com predominância de madeira</t>
        </is>
      </c>
      <c r="AV513" s="30" t="inlineStr">
        <is>
          <t>DEMAIS</t>
        </is>
      </c>
      <c r="AW513" s="31" t="n">
        <v>1000000</v>
      </c>
      <c r="AX513" s="30" t="inlineStr">
        <is>
          <t>MID-MARKET</t>
        </is>
      </c>
      <c r="AY513" s="30" t="inlineStr">
        <is>
          <t>11679253</t>
        </is>
      </c>
      <c r="AZ513" s="30" t="n">
        <v>1</v>
      </c>
      <c r="BA513" s="30" t="inlineStr">
        <is>
          <t>ROWS:p15r38 UNRECONCILED_SOURCE CASE_NUMBER_CORRECTED</t>
        </is>
      </c>
    </row>
    <row r="514">
      <c r="A514" s="16" t="inlineStr">
        <is>
          <t>BASF SA</t>
        </is>
      </c>
      <c r="B514" s="17" t="n">
        <v>455966.74</v>
      </c>
      <c r="C514" s="18" t="inlineStr">
        <is>
          <t>Mannes</t>
        </is>
      </c>
      <c r="D514" s="19" t="inlineStr">
        <is>
          <t>NEW</t>
        </is>
      </c>
      <c r="E514" s="20" t="inlineStr"/>
      <c r="F514" s="19" t="inlineStr"/>
      <c r="G514" s="20" t="inlineStr"/>
      <c r="H514" s="19" t="inlineStr"/>
      <c r="I514" s="21" t="inlineStr">
        <is>
          <t>PRISCILA CAMARA LEAL CARVALHO DE SOUZA</t>
        </is>
      </c>
      <c r="J514" s="21" t="inlineStr">
        <is>
          <t>Presidente (RFB partner)</t>
        </is>
      </c>
      <c r="K514" s="21" t="inlineStr">
        <is>
          <t>(11) 2039-2273</t>
        </is>
      </c>
      <c r="L514" s="21" t="inlineStr"/>
      <c r="M514" s="21" t="inlineStr"/>
      <c r="N514" s="21" t="inlineStr"/>
      <c r="O514" s="21" t="inlineStr"/>
      <c r="P514" s="21" t="inlineStr">
        <is>
          <t>FERNANDO SVIZZERO DA SILVA LOBO</t>
        </is>
      </c>
      <c r="Q514" s="21" t="inlineStr">
        <is>
          <t>Diretor (RFB partner)</t>
        </is>
      </c>
      <c r="R514" s="21" t="inlineStr"/>
      <c r="S514" s="21" t="inlineStr"/>
      <c r="T514" s="21" t="inlineStr">
        <is>
          <t>RFB partner (QSA); no Apollo match</t>
        </is>
      </c>
      <c r="U514" s="22" t="n">
        <v>455966.74</v>
      </c>
      <c r="V514" s="39" t="inlineStr">
        <is>
          <t>D</t>
        </is>
      </c>
      <c r="W514" s="24">
        <f>IFERROR(VLOOKUP(V514,Assumptions!$A$7:$F$11,2,FALSE),0)</f>
        <v/>
      </c>
      <c r="X514" s="25">
        <f>IF(V514="A",MAX(1,IFERROR(VLOOKUP(V514,Assumptions!$A$7:$F$11,3,FALSE),3)+IFERROR(VLOOKUP(V514,Assumptions!$A$7:$F$11,4,FALSE),8)/2-MAX(0,IF(AO514="",0,YEAR(TODAY())-AO514)-IFERROR(VLOOKUP(V514,Assumptions!$A$7:$F$11,5,FALSE),1.5))),IFERROR(VLOOKUP(V514,Assumptions!$A$7:$F$11,5,FALSE),2.5)+IFERROR(VLOOKUP(V514,Assumptions!$A$7:$F$11,3,FALSE),3)+IFERROR(VLOOKUP(V514,Assumptions!$A$7:$F$11,4,FALSE),8)/2)</f>
        <v/>
      </c>
      <c r="Y514" s="22">
        <f>U514*W514/(1+Assumptions!$B$3)^X514</f>
        <v/>
      </c>
      <c r="Z514" s="26">
        <f>IF(U514=0,"",ROUND(Y514/U514*100,1))</f>
        <v/>
      </c>
      <c r="AA514" s="27">
        <f>Y514*Assumptions!$B$4</f>
        <v/>
      </c>
      <c r="AB514" s="26">
        <f>IF(U514=0,"",ROUND(AA514/U514*100,1))</f>
        <v/>
      </c>
      <c r="AC514" s="27">
        <f>Y514-AA514</f>
        <v/>
      </c>
      <c r="AD514" s="26">
        <f>IF(U514=0,"",ROUND((Y514-AA514)/U514*100,1))</f>
        <v/>
      </c>
      <c r="AE514" s="36" t="inlineStr">
        <is>
          <t>CHECK — source is not a statutory creditor list</t>
        </is>
      </c>
      <c r="AF514" s="29" t="inlineStr">
        <is>
          <t>https://administradorajudicialgs.com.br/wp-content/uploads/2024/12/relacao-de-credores-da-falida.pdf</t>
        </is>
      </c>
      <c r="AG514" s="28" t="inlineStr">
        <is>
          <t>p13 r14</t>
        </is>
      </c>
      <c r="AH514" s="28" t="inlineStr">
        <is>
          <t>p13: R$ 455.966,74</t>
        </is>
      </c>
      <c r="AI514" s="28" t="inlineStr">
        <is>
          <t>Other filing — NOT an art. 7/51 list</t>
        </is>
      </c>
      <c r="AJ514" s="28" t="inlineStr">
        <is>
          <t>2025-03-25</t>
        </is>
      </c>
      <c r="AK514" s="28" t="inlineStr">
        <is>
          <t>NONE FOUND</t>
        </is>
      </c>
      <c r="AL514" s="30" t="inlineStr">
        <is>
          <t>0005010-50.2013.8.24.0026</t>
        </is>
      </c>
      <c r="AM514" s="30" t="inlineStr">
        <is>
          <t>TJSC</t>
        </is>
      </c>
      <c r="AN514" s="30" t="inlineStr"/>
      <c r="AO514" s="30" t="n">
        <v>2013</v>
      </c>
      <c r="AP514" s="30" t="inlineStr">
        <is>
          <t>document is a falência (bankruptcy) list</t>
        </is>
      </c>
      <c r="AQ514" s="30" t="inlineStr"/>
      <c r="AR514" s="30" t="inlineStr">
        <is>
          <t>printed on the list (read twice)</t>
        </is>
      </c>
      <c r="AS514" s="30" t="inlineStr">
        <is>
          <t>SAO PAULO</t>
        </is>
      </c>
      <c r="AT514" s="30" t="inlineStr">
        <is>
          <t>SP</t>
        </is>
      </c>
      <c r="AU514" s="30" t="inlineStr">
        <is>
          <t>Serviços combinados de escritório e apoio administrativo</t>
        </is>
      </c>
      <c r="AV514" s="30" t="inlineStr">
        <is>
          <t>DEMAIS</t>
        </is>
      </c>
      <c r="AW514" s="31" t="n">
        <v>3889965000</v>
      </c>
      <c r="AX514" s="30" t="inlineStr">
        <is>
          <t>LARGE CORP</t>
        </is>
      </c>
      <c r="AY514" s="30" t="inlineStr">
        <is>
          <t>48539407</t>
        </is>
      </c>
      <c r="AZ514" s="30" t="n">
        <v>1</v>
      </c>
      <c r="BA514" s="30" t="inlineStr">
        <is>
          <t>ROWS:p13r14 UNRECONCILED_SOURCE CASE_NUMBER_CORRECTED</t>
        </is>
      </c>
    </row>
    <row r="515">
      <c r="A515" s="16" t="inlineStr">
        <is>
          <t>TEXTILNOVA FIACAO LTDA EM RECUPERACAO JUDICIAL</t>
        </is>
      </c>
      <c r="B515" s="17" t="n">
        <v>248330.45</v>
      </c>
      <c r="C515" s="18" t="inlineStr">
        <is>
          <t>CONFECÇÕES ANDRIMALHAS LTDA</t>
        </is>
      </c>
      <c r="D515" s="19" t="inlineStr">
        <is>
          <t>NEW</t>
        </is>
      </c>
      <c r="E515" s="20" t="inlineStr"/>
      <c r="F515" s="19" t="inlineStr"/>
      <c r="G515" s="20" t="inlineStr"/>
      <c r="H515" s="19" t="inlineStr"/>
      <c r="I515" s="21" t="inlineStr">
        <is>
          <t>Fernanda Dutra</t>
        </is>
      </c>
      <c r="J515" s="21" t="inlineStr">
        <is>
          <t>Financial Analyst</t>
        </is>
      </c>
      <c r="K515" s="21" t="inlineStr">
        <is>
          <t>(35) 3551-5921</t>
        </is>
      </c>
      <c r="L515" s="21" t="inlineStr">
        <is>
          <t>(12) 9739-5397</t>
        </is>
      </c>
      <c r="M515" s="21" t="inlineStr"/>
      <c r="N515" s="21" t="inlineStr"/>
      <c r="O515" s="21" t="inlineStr"/>
      <c r="P515" s="21" t="inlineStr">
        <is>
          <t>Renan Moraes</t>
        </is>
      </c>
      <c r="Q515" s="21" t="inlineStr">
        <is>
          <t>Diretor de Planejamento Industrial COO</t>
        </is>
      </c>
      <c r="R515" s="21" t="inlineStr"/>
      <c r="S515" s="21" t="inlineStr"/>
      <c r="T515" s="21" t="inlineStr">
        <is>
          <t>no work email found in Apollo</t>
        </is>
      </c>
      <c r="U515" s="22" t="n">
        <v>248330.45</v>
      </c>
      <c r="V515" s="38" t="inlineStr">
        <is>
          <t>C</t>
        </is>
      </c>
      <c r="W515" s="24">
        <f>IFERROR(VLOOKUP(V515,Assumptions!$A$7:$F$11,2,FALSE),0)</f>
        <v/>
      </c>
      <c r="X515" s="25">
        <f>IF(V515="A",MAX(1,IFERROR(VLOOKUP(V515,Assumptions!$A$7:$F$11,3,FALSE),3)+IFERROR(VLOOKUP(V515,Assumptions!$A$7:$F$11,4,FALSE),8)/2-MAX(0,IF(AO515="",0,YEAR(TODAY())-AO515)-IFERROR(VLOOKUP(V515,Assumptions!$A$7:$F$11,5,FALSE),1.5))),IFERROR(VLOOKUP(V515,Assumptions!$A$7:$F$11,5,FALSE),2.5)+IFERROR(VLOOKUP(V515,Assumptions!$A$7:$F$11,3,FALSE),3)+IFERROR(VLOOKUP(V515,Assumptions!$A$7:$F$11,4,FALSE),8)/2)</f>
        <v/>
      </c>
      <c r="Y515" s="22">
        <f>U515*W515/(1+Assumptions!$B$3)^X515</f>
        <v/>
      </c>
      <c r="Z515" s="26">
        <f>IF(U515=0,"",ROUND(Y515/U515*100,1))</f>
        <v/>
      </c>
      <c r="AA515" s="27">
        <f>Y515*Assumptions!$B$4</f>
        <v/>
      </c>
      <c r="AB515" s="26">
        <f>IF(U515=0,"",ROUND(AA515/U515*100,1))</f>
        <v/>
      </c>
      <c r="AC515" s="27">
        <f>Y515-AA515</f>
        <v/>
      </c>
      <c r="AD515" s="26">
        <f>IF(U515=0,"",ROUND((Y515-AA515)/U515*100,1))</f>
        <v/>
      </c>
      <c r="AE515" s="34" t="inlineStr">
        <is>
          <t>PARTIAL — class III reconciled, other classes not</t>
        </is>
      </c>
      <c r="AF515" s="29" t="inlineStr">
        <is>
          <t>https://administradorajudicialgs.com.br/wp-content/uploads/2023/08/doc-06-relacao-credores-do-administrador-judicial-10-02-2015.pdf</t>
        </is>
      </c>
      <c r="AG515" s="28" t="inlineStr">
        <is>
          <t>p2 r44</t>
        </is>
      </c>
      <c r="AH515" s="28" t="inlineStr">
        <is>
          <t>p2: R$ 248.330,45</t>
        </is>
      </c>
      <c r="AI515" s="28" t="inlineStr">
        <is>
          <t>AJ list (art. 7 §2)</t>
        </is>
      </c>
      <c r="AJ515" s="28" t="inlineStr"/>
      <c r="AK515" s="28" t="inlineStr">
        <is>
          <t>NONE FOUND</t>
        </is>
      </c>
      <c r="AL515" s="30" t="inlineStr">
        <is>
          <t>0302174-63.2015.8.24.0025</t>
        </is>
      </c>
      <c r="AM515" s="30" t="inlineStr">
        <is>
          <t>TJSC</t>
        </is>
      </c>
      <c r="AN515" s="30" t="inlineStr"/>
      <c r="AO515" s="30" t="n">
        <v>2015</v>
      </c>
      <c r="AP515" s="30" t="inlineStr">
        <is>
          <t>11y since filing, no plan document</t>
        </is>
      </c>
      <c r="AQ515" s="30" t="inlineStr"/>
      <c r="AR515" s="30" t="inlineStr">
        <is>
          <t>printed on the list (read twice)</t>
        </is>
      </c>
      <c r="AS515" s="30" t="inlineStr">
        <is>
          <t>GUAXUPE</t>
        </is>
      </c>
      <c r="AT515" s="30" t="inlineStr">
        <is>
          <t>MG</t>
        </is>
      </c>
      <c r="AU515" s="30" t="inlineStr">
        <is>
          <t>Preparação e fiação de fibras de algodão</t>
        </is>
      </c>
      <c r="AV515" s="30" t="inlineStr">
        <is>
          <t>DEMAIS</t>
        </is>
      </c>
      <c r="AW515" s="31" t="n">
        <v>21377436</v>
      </c>
      <c r="AX515" s="30" t="inlineStr">
        <is>
          <t>MID-MARKET</t>
        </is>
      </c>
      <c r="AY515" s="30" t="inlineStr">
        <is>
          <t>60182904</t>
        </is>
      </c>
      <c r="AZ515" s="30" t="n">
        <v>1</v>
      </c>
      <c r="BA515" s="30" t="inlineStr">
        <is>
          <t>PARTIAL_DOC_CLASS_III_RECONCILED ROWS:p2r44</t>
        </is>
      </c>
    </row>
    <row r="516">
      <c r="A516" s="16" t="inlineStr">
        <is>
          <t>GPS EMPREENDIMENTOS LTDA - EM RECUPERACAO JUDICIAL</t>
        </is>
      </c>
      <c r="B516" s="17" t="n">
        <v>245892.54</v>
      </c>
      <c r="C516" s="18" t="inlineStr">
        <is>
          <t>GRUPO ARNON DE MELLO</t>
        </is>
      </c>
      <c r="D516" s="19" t="inlineStr">
        <is>
          <t>NEW</t>
        </is>
      </c>
      <c r="E516" s="20" t="inlineStr"/>
      <c r="F516" s="19" t="inlineStr"/>
      <c r="G516" s="20" t="inlineStr"/>
      <c r="H516" s="19" t="inlineStr"/>
      <c r="I516" s="21" t="inlineStr">
        <is>
          <t>Flavinha Gps1</t>
        </is>
      </c>
      <c r="J516" s="21" t="inlineStr">
        <is>
          <t>Assistente Adm/Financeiro</t>
        </is>
      </c>
      <c r="K516" s="21" t="inlineStr">
        <is>
          <t>(82) 3377-1300</t>
        </is>
      </c>
      <c r="L516" s="21" t="inlineStr"/>
      <c r="M516" s="21" t="inlineStr"/>
      <c r="N516" s="21" t="inlineStr"/>
      <c r="O516" s="21" t="inlineStr"/>
      <c r="P516" s="21" t="inlineStr">
        <is>
          <t>DJACYR SOARES PEREIRA JUNIOR</t>
        </is>
      </c>
      <c r="Q516" s="21" t="inlineStr">
        <is>
          <t>Sócio-Administrador (RFB partner)</t>
        </is>
      </c>
      <c r="R516" s="21" t="inlineStr"/>
      <c r="S516" s="21" t="inlineStr"/>
      <c r="T516" s="21" t="inlineStr">
        <is>
          <t>no work email found in Apollo</t>
        </is>
      </c>
      <c r="U516" s="22" t="n">
        <v>245892.54</v>
      </c>
      <c r="V516" s="38" t="inlineStr">
        <is>
          <t>C</t>
        </is>
      </c>
      <c r="W516" s="24">
        <f>IFERROR(VLOOKUP(V516,Assumptions!$A$7:$F$11,2,FALSE),0)</f>
        <v/>
      </c>
      <c r="X516" s="25">
        <f>IF(V516="A",MAX(1,IFERROR(VLOOKUP(V516,Assumptions!$A$7:$F$11,3,FALSE),3)+IFERROR(VLOOKUP(V516,Assumptions!$A$7:$F$11,4,FALSE),8)/2-MAX(0,IF(AO516="",0,YEAR(TODAY())-AO516)-IFERROR(VLOOKUP(V516,Assumptions!$A$7:$F$11,5,FALSE),1.5))),IFERROR(VLOOKUP(V516,Assumptions!$A$7:$F$11,5,FALSE),2.5)+IFERROR(VLOOKUP(V516,Assumptions!$A$7:$F$11,3,FALSE),3)+IFERROR(VLOOKUP(V516,Assumptions!$A$7:$F$11,4,FALSE),8)/2)</f>
        <v/>
      </c>
      <c r="Y516" s="22">
        <f>U516*W516/(1+Assumptions!$B$3)^X516</f>
        <v/>
      </c>
      <c r="Z516" s="26">
        <f>IF(U516=0,"",ROUND(Y516/U516*100,1))</f>
        <v/>
      </c>
      <c r="AA516" s="27">
        <f>Y516*Assumptions!$B$4</f>
        <v/>
      </c>
      <c r="AB516" s="26">
        <f>IF(U516=0,"",ROUND(AA516/U516*100,1))</f>
        <v/>
      </c>
      <c r="AC516" s="27">
        <f>Y516-AA516</f>
        <v/>
      </c>
      <c r="AD516" s="26">
        <f>IF(U516=0,"",ROUND((Y516-AA516)/U516*100,1))</f>
        <v/>
      </c>
      <c r="AE516" s="33" t="inlineStr">
        <is>
          <t>NO TOTALS — list prints none; check page</t>
        </is>
      </c>
      <c r="AF516" s="29" t="inlineStr">
        <is>
          <t>https://recuperacaojudicial.squarespace.com/s/RJ-Grupo-Arnon-de-Melo-Lista-de-Credores-Consolidada-abril-2022.pdf</t>
        </is>
      </c>
      <c r="AG516" s="28" t="inlineStr">
        <is>
          <t>p8 r17</t>
        </is>
      </c>
      <c r="AH516" s="28" t="inlineStr">
        <is>
          <t>p8: R$ 245.892,54</t>
        </is>
      </c>
      <c r="AI516" s="28" t="inlineStr">
        <is>
          <t>AJ list (art. 7 §2)</t>
        </is>
      </c>
      <c r="AJ516" s="28" t="inlineStr"/>
      <c r="AK516" s="28" t="inlineStr">
        <is>
          <t>NONE FOUND</t>
        </is>
      </c>
      <c r="AL516" s="30" t="inlineStr">
        <is>
          <t>0700256-03.2019.8.02.0066</t>
        </is>
      </c>
      <c r="AM516" s="30" t="inlineStr">
        <is>
          <t>TJAL</t>
        </is>
      </c>
      <c r="AN516" s="30" t="inlineStr"/>
      <c r="AO516" s="30" t="n">
        <v>2019</v>
      </c>
      <c r="AP516" s="30" t="inlineStr">
        <is>
          <t>7y since filing, no plan document</t>
        </is>
      </c>
      <c r="AQ516" s="30" t="inlineStr">
        <is>
          <t>12.503.801/0001-59</t>
        </is>
      </c>
      <c r="AR516" s="30" t="inlineStr">
        <is>
          <t>printed on the list (read twice)</t>
        </is>
      </c>
      <c r="AS516" s="30" t="inlineStr">
        <is>
          <t>MACEIO</t>
        </is>
      </c>
      <c r="AT516" s="30" t="inlineStr">
        <is>
          <t>AL</t>
        </is>
      </c>
      <c r="AU516" s="30" t="inlineStr">
        <is>
          <t>Construção de edifícios</t>
        </is>
      </c>
      <c r="AV516" s="30" t="inlineStr">
        <is>
          <t>EMPRESA DE PEQUENO PORTE</t>
        </is>
      </c>
      <c r="AW516" s="31" t="n">
        <v>7050000</v>
      </c>
      <c r="AX516" s="30" t="inlineStr">
        <is>
          <t>SMALL</t>
        </is>
      </c>
      <c r="AY516" s="30" t="inlineStr">
        <is>
          <t>02339308</t>
        </is>
      </c>
      <c r="AZ516" s="30" t="n">
        <v>1</v>
      </c>
      <c r="BA516" s="30" t="inlineStr">
        <is>
          <t>ROWS:p8r17 UNRECONCILED_SOURCE</t>
        </is>
      </c>
    </row>
    <row r="517">
      <c r="A517" s="16" t="inlineStr">
        <is>
          <t>CONSTRUTORA HUMBERTO LOBO LTDA EM RECUPERACAO JUDICIAL</t>
        </is>
      </c>
      <c r="B517" s="17" t="n">
        <v>244838.03</v>
      </c>
      <c r="C517" s="18" t="inlineStr">
        <is>
          <t>GRUPO ARNON DE MELLO</t>
        </is>
      </c>
      <c r="D517" s="19" t="inlineStr">
        <is>
          <t>NEW</t>
        </is>
      </c>
      <c r="E517" s="20" t="inlineStr"/>
      <c r="F517" s="19" t="inlineStr"/>
      <c r="G517" s="20" t="inlineStr"/>
      <c r="H517" s="19" t="inlineStr"/>
      <c r="I517" s="21" t="inlineStr">
        <is>
          <t>Ilka Lobo</t>
        </is>
      </c>
      <c r="J517" s="21" t="inlineStr">
        <is>
          <t>Financial Manager</t>
        </is>
      </c>
      <c r="K517" s="21" t="inlineStr">
        <is>
          <t>(82) 3241-3599</t>
        </is>
      </c>
      <c r="L517" s="21" t="inlineStr"/>
      <c r="M517" s="21" t="inlineStr"/>
      <c r="N517" s="21" t="inlineStr">
        <is>
          <t>ilka@humbertolobo.com.br</t>
        </is>
      </c>
      <c r="O517" s="21" t="inlineStr"/>
      <c r="P517" s="21" t="inlineStr">
        <is>
          <t>Lia Lobo</t>
        </is>
      </c>
      <c r="Q517" s="21" t="inlineStr">
        <is>
          <t>Buyer</t>
        </is>
      </c>
      <c r="R517" s="21" t="inlineStr"/>
      <c r="S517" s="21" t="inlineStr"/>
      <c r="T517" s="21" t="inlineStr">
        <is>
          <t>email verified by Apollo</t>
        </is>
      </c>
      <c r="U517" s="22" t="n">
        <v>244838.03</v>
      </c>
      <c r="V517" s="38" t="inlineStr">
        <is>
          <t>C</t>
        </is>
      </c>
      <c r="W517" s="24">
        <f>IFERROR(VLOOKUP(V517,Assumptions!$A$7:$F$11,2,FALSE),0)</f>
        <v/>
      </c>
      <c r="X517" s="25">
        <f>IF(V517="A",MAX(1,IFERROR(VLOOKUP(V517,Assumptions!$A$7:$F$11,3,FALSE),3)+IFERROR(VLOOKUP(V517,Assumptions!$A$7:$F$11,4,FALSE),8)/2-MAX(0,IF(AO517="",0,YEAR(TODAY())-AO517)-IFERROR(VLOOKUP(V517,Assumptions!$A$7:$F$11,5,FALSE),1.5))),IFERROR(VLOOKUP(V517,Assumptions!$A$7:$F$11,5,FALSE),2.5)+IFERROR(VLOOKUP(V517,Assumptions!$A$7:$F$11,3,FALSE),3)+IFERROR(VLOOKUP(V517,Assumptions!$A$7:$F$11,4,FALSE),8)/2)</f>
        <v/>
      </c>
      <c r="Y517" s="22">
        <f>U517*W517/(1+Assumptions!$B$3)^X517</f>
        <v/>
      </c>
      <c r="Z517" s="26">
        <f>IF(U517=0,"",ROUND(Y517/U517*100,1))</f>
        <v/>
      </c>
      <c r="AA517" s="27">
        <f>Y517*Assumptions!$B$4</f>
        <v/>
      </c>
      <c r="AB517" s="26">
        <f>IF(U517=0,"",ROUND(AA517/U517*100,1))</f>
        <v/>
      </c>
      <c r="AC517" s="27">
        <f>Y517-AA517</f>
        <v/>
      </c>
      <c r="AD517" s="26">
        <f>IF(U517=0,"",ROUND((Y517-AA517)/U517*100,1))</f>
        <v/>
      </c>
      <c r="AE517" s="33" t="inlineStr">
        <is>
          <t>NO TOTALS — list prints none; check page</t>
        </is>
      </c>
      <c r="AF517" s="29" t="inlineStr">
        <is>
          <t>https://recuperacaojudicial.squarespace.com/s/RJ-Grupo-Arnon-de-Melo-Lista-de-Credores-Consolidada-abril-2022.pdf</t>
        </is>
      </c>
      <c r="AG517" s="28" t="inlineStr">
        <is>
          <t>p7 r52</t>
        </is>
      </c>
      <c r="AH517" s="28" t="inlineStr">
        <is>
          <t>p7: R$ 244.838,03</t>
        </is>
      </c>
      <c r="AI517" s="28" t="inlineStr">
        <is>
          <t>AJ list (art. 7 §2)</t>
        </is>
      </c>
      <c r="AJ517" s="28" t="inlineStr"/>
      <c r="AK517" s="28" t="inlineStr">
        <is>
          <t>NONE FOUND</t>
        </is>
      </c>
      <c r="AL517" s="30" t="inlineStr">
        <is>
          <t>0700256-03.2019.8.02.0066</t>
        </is>
      </c>
      <c r="AM517" s="30" t="inlineStr">
        <is>
          <t>TJAL</t>
        </is>
      </c>
      <c r="AN517" s="30" t="inlineStr"/>
      <c r="AO517" s="30" t="n">
        <v>2019</v>
      </c>
      <c r="AP517" s="30" t="inlineStr">
        <is>
          <t>7y since filing, no plan document</t>
        </is>
      </c>
      <c r="AQ517" s="30" t="inlineStr">
        <is>
          <t>12.503.801/0001-59</t>
        </is>
      </c>
      <c r="AR517" s="30" t="inlineStr">
        <is>
          <t>printed on the list (read twice)</t>
        </is>
      </c>
      <c r="AS517" s="30" t="inlineStr">
        <is>
          <t>MACEIO</t>
        </is>
      </c>
      <c r="AT517" s="30" t="inlineStr">
        <is>
          <t>AL</t>
        </is>
      </c>
      <c r="AU517" s="30" t="inlineStr">
        <is>
          <t>Construção de edifícios</t>
        </is>
      </c>
      <c r="AV517" s="30" t="inlineStr">
        <is>
          <t>DEMAIS</t>
        </is>
      </c>
      <c r="AW517" s="31" t="n">
        <v>20000000</v>
      </c>
      <c r="AX517" s="30" t="inlineStr">
        <is>
          <t>MID-MARKET</t>
        </is>
      </c>
      <c r="AY517" s="30" t="inlineStr">
        <is>
          <t>12286944</t>
        </is>
      </c>
      <c r="AZ517" s="30" t="n">
        <v>1</v>
      </c>
      <c r="BA517" s="30" t="inlineStr">
        <is>
          <t>ROWS:p7r52 UNRECONCILED_SOURCE</t>
        </is>
      </c>
    </row>
    <row r="518">
      <c r="A518" s="16" t="inlineStr">
        <is>
          <t>TRISOFT MANTAS DE POLIESTER LTDA.</t>
        </is>
      </c>
      <c r="B518" s="17" t="n">
        <v>445884.94</v>
      </c>
      <c r="C518" s="18" t="inlineStr">
        <is>
          <t>Mannes</t>
        </is>
      </c>
      <c r="D518" s="19" t="inlineStr">
        <is>
          <t>NEW</t>
        </is>
      </c>
      <c r="E518" s="20" t="inlineStr"/>
      <c r="F518" s="19" t="inlineStr"/>
      <c r="G518" s="20" t="inlineStr"/>
      <c r="H518" s="19" t="inlineStr"/>
      <c r="I518" s="21" t="inlineStr">
        <is>
          <t>JACQUES SAFRA</t>
        </is>
      </c>
      <c r="J518" s="21" t="inlineStr">
        <is>
          <t>Sócio-Administrador (RFB partner)</t>
        </is>
      </c>
      <c r="K518" s="21" t="inlineStr">
        <is>
          <t>(11) 4143-7900</t>
        </is>
      </c>
      <c r="L518" s="21" t="inlineStr"/>
      <c r="M518" s="21" t="inlineStr"/>
      <c r="N518" s="21" t="inlineStr"/>
      <c r="O518" s="21" t="inlineStr"/>
      <c r="P518" s="21" t="inlineStr">
        <is>
          <t>MAURICIO CHARLES COHAB</t>
        </is>
      </c>
      <c r="Q518" s="21" t="inlineStr">
        <is>
          <t>Sócio-Administrador (RFB partner)</t>
        </is>
      </c>
      <c r="R518" s="21" t="inlineStr"/>
      <c r="S518" s="21" t="inlineStr"/>
      <c r="T518" s="21" t="inlineStr">
        <is>
          <t>RFB partner (QSA); no Apollo match</t>
        </is>
      </c>
      <c r="U518" s="22" t="n">
        <v>445884.94</v>
      </c>
      <c r="V518" s="39" t="inlineStr">
        <is>
          <t>D</t>
        </is>
      </c>
      <c r="W518" s="24">
        <f>IFERROR(VLOOKUP(V518,Assumptions!$A$7:$F$11,2,FALSE),0)</f>
        <v/>
      </c>
      <c r="X518" s="25">
        <f>IF(V518="A",MAX(1,IFERROR(VLOOKUP(V518,Assumptions!$A$7:$F$11,3,FALSE),3)+IFERROR(VLOOKUP(V518,Assumptions!$A$7:$F$11,4,FALSE),8)/2-MAX(0,IF(AO518="",0,YEAR(TODAY())-AO518)-IFERROR(VLOOKUP(V518,Assumptions!$A$7:$F$11,5,FALSE),1.5))),IFERROR(VLOOKUP(V518,Assumptions!$A$7:$F$11,5,FALSE),2.5)+IFERROR(VLOOKUP(V518,Assumptions!$A$7:$F$11,3,FALSE),3)+IFERROR(VLOOKUP(V518,Assumptions!$A$7:$F$11,4,FALSE),8)/2)</f>
        <v/>
      </c>
      <c r="Y518" s="22">
        <f>U518*W518/(1+Assumptions!$B$3)^X518</f>
        <v/>
      </c>
      <c r="Z518" s="26">
        <f>IF(U518=0,"",ROUND(Y518/U518*100,1))</f>
        <v/>
      </c>
      <c r="AA518" s="27">
        <f>Y518*Assumptions!$B$4</f>
        <v/>
      </c>
      <c r="AB518" s="26">
        <f>IF(U518=0,"",ROUND(AA518/U518*100,1))</f>
        <v/>
      </c>
      <c r="AC518" s="27">
        <f>Y518-AA518</f>
        <v/>
      </c>
      <c r="AD518" s="26">
        <f>IF(U518=0,"",ROUND((Y518-AA518)/U518*100,1))</f>
        <v/>
      </c>
      <c r="AE518" s="36" t="inlineStr">
        <is>
          <t>CHECK — source is not a statutory creditor list</t>
        </is>
      </c>
      <c r="AF518" s="29" t="inlineStr">
        <is>
          <t>https://administradorajudicialgs.com.br/wp-content/uploads/2024/12/relacao-de-credores-da-falida.pdf</t>
        </is>
      </c>
      <c r="AG518" s="28" t="inlineStr">
        <is>
          <t>p19 r30; p19 r31</t>
        </is>
      </c>
      <c r="AH518" s="28" t="inlineStr">
        <is>
          <t>p19: R$ 15.995,79; p19: R$ 429.889,15</t>
        </is>
      </c>
      <c r="AI518" s="28" t="inlineStr">
        <is>
          <t>Other filing — NOT an art. 7/51 list</t>
        </is>
      </c>
      <c r="AJ518" s="28" t="inlineStr">
        <is>
          <t>2025-03-25</t>
        </is>
      </c>
      <c r="AK518" s="28" t="inlineStr">
        <is>
          <t>NONE FOUND</t>
        </is>
      </c>
      <c r="AL518" s="30" t="inlineStr">
        <is>
          <t>0005010-50.2013.8.24.0026</t>
        </is>
      </c>
      <c r="AM518" s="30" t="inlineStr">
        <is>
          <t>TJSC</t>
        </is>
      </c>
      <c r="AN518" s="30" t="inlineStr"/>
      <c r="AO518" s="30" t="n">
        <v>2013</v>
      </c>
      <c r="AP518" s="30" t="inlineStr">
        <is>
          <t>document is a falência (bankruptcy) list</t>
        </is>
      </c>
      <c r="AQ518" s="30" t="inlineStr"/>
      <c r="AR518" s="30" t="inlineStr">
        <is>
          <t>printed on the list (read twice)</t>
        </is>
      </c>
      <c r="AS518" s="30" t="inlineStr">
        <is>
          <t>ITAPEVI</t>
        </is>
      </c>
      <c r="AT518" s="30" t="inlineStr">
        <is>
          <t>SP</t>
        </is>
      </c>
      <c r="AU518" s="30" t="inlineStr">
        <is>
          <t>Fabricação de artefatos têxteis para uso doméstico</t>
        </is>
      </c>
      <c r="AV518" s="30" t="inlineStr">
        <is>
          <t>DEMAIS</t>
        </is>
      </c>
      <c r="AW518" s="31" t="n">
        <v>3741989</v>
      </c>
      <c r="AX518" s="30" t="inlineStr">
        <is>
          <t>MID-MARKET</t>
        </is>
      </c>
      <c r="AY518" s="30" t="inlineStr">
        <is>
          <t>11198594</t>
        </is>
      </c>
      <c r="AZ518" s="30" t="n">
        <v>2</v>
      </c>
      <c r="BA518" s="30" t="inlineStr">
        <is>
          <t>ROWS:p19r30,p19r31 UNRECONCILED_SOURCE CASE_NUMBER_CORRECTED</t>
        </is>
      </c>
    </row>
    <row r="519">
      <c r="A519" s="16" t="inlineStr">
        <is>
          <t>H J MALHAS LTDA</t>
        </is>
      </c>
      <c r="B519" s="17" t="n">
        <v>240337.28</v>
      </c>
      <c r="C519" s="18" t="inlineStr">
        <is>
          <t>CONFECÇÕES ANDRIMALHAS LTDA</t>
        </is>
      </c>
      <c r="D519" s="19" t="inlineStr">
        <is>
          <t>NEW</t>
        </is>
      </c>
      <c r="E519" s="20" t="inlineStr"/>
      <c r="F519" s="19" t="inlineStr"/>
      <c r="G519" s="20" t="inlineStr"/>
      <c r="H519" s="19" t="inlineStr"/>
      <c r="I519" s="21" t="inlineStr">
        <is>
          <t>HENNING JONK FILHO</t>
        </is>
      </c>
      <c r="J519" s="21" t="inlineStr">
        <is>
          <t>Sócio-Administrador (RFB partner)</t>
        </is>
      </c>
      <c r="K519" s="21" t="inlineStr">
        <is>
          <t>(47) 3251-0000</t>
        </is>
      </c>
      <c r="L519" s="21" t="inlineStr"/>
      <c r="M519" s="21" t="inlineStr"/>
      <c r="N519" s="21" t="inlineStr"/>
      <c r="O519" s="21" t="inlineStr"/>
      <c r="P519" s="21" t="inlineStr">
        <is>
          <t>LEONARDO HEINIG JONK</t>
        </is>
      </c>
      <c r="Q519" s="21" t="inlineStr">
        <is>
          <t>Sócio-Administrador (RFB partner)</t>
        </is>
      </c>
      <c r="R519" s="21" t="inlineStr"/>
      <c r="S519" s="21" t="inlineStr"/>
      <c r="T519" s="21" t="inlineStr">
        <is>
          <t>RFB partner (QSA); no Apollo match</t>
        </is>
      </c>
      <c r="U519" s="22" t="n">
        <v>240337.28</v>
      </c>
      <c r="V519" s="38" t="inlineStr">
        <is>
          <t>C</t>
        </is>
      </c>
      <c r="W519" s="24">
        <f>IFERROR(VLOOKUP(V519,Assumptions!$A$7:$F$11,2,FALSE),0)</f>
        <v/>
      </c>
      <c r="X519" s="25">
        <f>IF(V519="A",MAX(1,IFERROR(VLOOKUP(V519,Assumptions!$A$7:$F$11,3,FALSE),3)+IFERROR(VLOOKUP(V519,Assumptions!$A$7:$F$11,4,FALSE),8)/2-MAX(0,IF(AO519="",0,YEAR(TODAY())-AO519)-IFERROR(VLOOKUP(V519,Assumptions!$A$7:$F$11,5,FALSE),1.5))),IFERROR(VLOOKUP(V519,Assumptions!$A$7:$F$11,5,FALSE),2.5)+IFERROR(VLOOKUP(V519,Assumptions!$A$7:$F$11,3,FALSE),3)+IFERROR(VLOOKUP(V519,Assumptions!$A$7:$F$11,4,FALSE),8)/2)</f>
        <v/>
      </c>
      <c r="Y519" s="22">
        <f>U519*W519/(1+Assumptions!$B$3)^X519</f>
        <v/>
      </c>
      <c r="Z519" s="26">
        <f>IF(U519=0,"",ROUND(Y519/U519*100,1))</f>
        <v/>
      </c>
      <c r="AA519" s="27">
        <f>Y519*Assumptions!$B$4</f>
        <v/>
      </c>
      <c r="AB519" s="26">
        <f>IF(U519=0,"",ROUND(AA519/U519*100,1))</f>
        <v/>
      </c>
      <c r="AC519" s="27">
        <f>Y519-AA519</f>
        <v/>
      </c>
      <c r="AD519" s="26">
        <f>IF(U519=0,"",ROUND((Y519-AA519)/U519*100,1))</f>
        <v/>
      </c>
      <c r="AE519" s="34" t="inlineStr">
        <is>
          <t>PARTIAL — class III reconciled, other classes not</t>
        </is>
      </c>
      <c r="AF519" s="29" t="inlineStr">
        <is>
          <t>https://administradorajudicialgs.com.br/wp-content/uploads/2023/08/doc-06-relacao-credores-do-administrador-judicial-10-02-2015.pdf</t>
        </is>
      </c>
      <c r="AG519" s="28" t="inlineStr">
        <is>
          <t>p2 r13</t>
        </is>
      </c>
      <c r="AH519" s="28" t="inlineStr">
        <is>
          <t>p2: R$ 240.337,28</t>
        </is>
      </c>
      <c r="AI519" s="28" t="inlineStr">
        <is>
          <t>AJ list (art. 7 §2)</t>
        </is>
      </c>
      <c r="AJ519" s="28" t="inlineStr"/>
      <c r="AK519" s="28" t="inlineStr">
        <is>
          <t>NONE FOUND</t>
        </is>
      </c>
      <c r="AL519" s="30" t="inlineStr">
        <is>
          <t>0302174-63.2015.8.24.0025</t>
        </is>
      </c>
      <c r="AM519" s="30" t="inlineStr">
        <is>
          <t>TJSC</t>
        </is>
      </c>
      <c r="AN519" s="30" t="inlineStr"/>
      <c r="AO519" s="30" t="n">
        <v>2015</v>
      </c>
      <c r="AP519" s="30" t="inlineStr">
        <is>
          <t>11y since filing, no plan document</t>
        </is>
      </c>
      <c r="AQ519" s="30" t="inlineStr"/>
      <c r="AR519" s="30" t="inlineStr">
        <is>
          <t>printed on the list (read twice)</t>
        </is>
      </c>
      <c r="AS519" s="30" t="inlineStr">
        <is>
          <t>BRUSQUE</t>
        </is>
      </c>
      <c r="AT519" s="30" t="inlineStr">
        <is>
          <t>SC</t>
        </is>
      </c>
      <c r="AU519" s="30" t="inlineStr">
        <is>
          <t>Alvejamento, tingimento e torção em fios, tecidos, artefatos têxteis e peças do vestuário</t>
        </is>
      </c>
      <c r="AV519" s="30" t="inlineStr">
        <is>
          <t>DEMAIS</t>
        </is>
      </c>
      <c r="AW519" s="31" t="n">
        <v>90000000</v>
      </c>
      <c r="AX519" s="30" t="inlineStr">
        <is>
          <t>MID-MARKET</t>
        </is>
      </c>
      <c r="AY519" s="30" t="inlineStr">
        <is>
          <t>85335487</t>
        </is>
      </c>
      <c r="AZ519" s="30" t="n">
        <v>1</v>
      </c>
      <c r="BA519" s="30" t="inlineStr">
        <is>
          <t>PARTIAL_DOC_CLASS_III_RECONCILED ROWS:p2r13</t>
        </is>
      </c>
    </row>
    <row r="520">
      <c r="A520" s="16" t="inlineStr">
        <is>
          <t>ALTENBURG TEXTIL S.A.</t>
        </is>
      </c>
      <c r="B520" s="17" t="n">
        <v>439839.22</v>
      </c>
      <c r="C520" s="18" t="inlineStr">
        <is>
          <t>Mannes</t>
        </is>
      </c>
      <c r="D520" s="19" t="inlineStr">
        <is>
          <t>NEW</t>
        </is>
      </c>
      <c r="E520" s="20" t="inlineStr"/>
      <c r="F520" s="19" t="inlineStr"/>
      <c r="G520" s="20" t="inlineStr"/>
      <c r="H520" s="19" t="inlineStr"/>
      <c r="I520" s="21" t="inlineStr">
        <is>
          <t>Adriano Dore</t>
        </is>
      </c>
      <c r="J520" s="21" t="inlineStr">
        <is>
          <t>Administrative and Financial Director</t>
        </is>
      </c>
      <c r="K520" s="21" t="inlineStr">
        <is>
          <t>(47) 3331-1500</t>
        </is>
      </c>
      <c r="L520" s="21" t="inlineStr"/>
      <c r="M520" s="21" t="inlineStr"/>
      <c r="N520" s="21" t="inlineStr">
        <is>
          <t>adriano.dore@altenburg.com.br</t>
        </is>
      </c>
      <c r="O520" s="21" t="inlineStr">
        <is>
          <t>elieser.fontanela@altenburg.com.br</t>
        </is>
      </c>
      <c r="P520" s="21" t="inlineStr">
        <is>
          <t>Elieser Fontanela</t>
        </is>
      </c>
      <c r="Q520" s="21" t="inlineStr">
        <is>
          <t>Controller Sr</t>
        </is>
      </c>
      <c r="R520" s="21" t="inlineStr"/>
      <c r="S520" s="21" t="inlineStr">
        <is>
          <t>elieser.fontanela@altenburg.com.br</t>
        </is>
      </c>
      <c r="T520" s="21" t="inlineStr">
        <is>
          <t>email verified by Apollo</t>
        </is>
      </c>
      <c r="U520" s="22" t="n">
        <v>439839.22</v>
      </c>
      <c r="V520" s="39" t="inlineStr">
        <is>
          <t>D</t>
        </is>
      </c>
      <c r="W520" s="24">
        <f>IFERROR(VLOOKUP(V520,Assumptions!$A$7:$F$11,2,FALSE),0)</f>
        <v/>
      </c>
      <c r="X520" s="25">
        <f>IF(V520="A",MAX(1,IFERROR(VLOOKUP(V520,Assumptions!$A$7:$F$11,3,FALSE),3)+IFERROR(VLOOKUP(V520,Assumptions!$A$7:$F$11,4,FALSE),8)/2-MAX(0,IF(AO520="",0,YEAR(TODAY())-AO520)-IFERROR(VLOOKUP(V520,Assumptions!$A$7:$F$11,5,FALSE),1.5))),IFERROR(VLOOKUP(V520,Assumptions!$A$7:$F$11,5,FALSE),2.5)+IFERROR(VLOOKUP(V520,Assumptions!$A$7:$F$11,3,FALSE),3)+IFERROR(VLOOKUP(V520,Assumptions!$A$7:$F$11,4,FALSE),8)/2)</f>
        <v/>
      </c>
      <c r="Y520" s="22">
        <f>U520*W520/(1+Assumptions!$B$3)^X520</f>
        <v/>
      </c>
      <c r="Z520" s="26">
        <f>IF(U520=0,"",ROUND(Y520/U520*100,1))</f>
        <v/>
      </c>
      <c r="AA520" s="27">
        <f>Y520*Assumptions!$B$4</f>
        <v/>
      </c>
      <c r="AB520" s="26">
        <f>IF(U520=0,"",ROUND(AA520/U520*100,1))</f>
        <v/>
      </c>
      <c r="AC520" s="27">
        <f>Y520-AA520</f>
        <v/>
      </c>
      <c r="AD520" s="26">
        <f>IF(U520=0,"",ROUND((Y520-AA520)/U520*100,1))</f>
        <v/>
      </c>
      <c r="AE520" s="36" t="inlineStr">
        <is>
          <t>CHECK — source is not a statutory creditor list</t>
        </is>
      </c>
      <c r="AF520" s="29" t="inlineStr">
        <is>
          <t>https://administradorajudicialgs.com.br/wp-content/uploads/2024/12/relacao-de-credores-da-falida.pdf</t>
        </is>
      </c>
      <c r="AG520" s="28" t="inlineStr">
        <is>
          <t>p12 r43</t>
        </is>
      </c>
      <c r="AH520" s="28" t="inlineStr">
        <is>
          <t>p12: R$ 439.839,22</t>
        </is>
      </c>
      <c r="AI520" s="28" t="inlineStr">
        <is>
          <t>Other filing — NOT an art. 7/51 list</t>
        </is>
      </c>
      <c r="AJ520" s="28" t="inlineStr">
        <is>
          <t>2025-03-25</t>
        </is>
      </c>
      <c r="AK520" s="28" t="inlineStr">
        <is>
          <t>NONE FOUND</t>
        </is>
      </c>
      <c r="AL520" s="30" t="inlineStr">
        <is>
          <t>0005010-50.2013.8.24.0026</t>
        </is>
      </c>
      <c r="AM520" s="30" t="inlineStr">
        <is>
          <t>TJSC</t>
        </is>
      </c>
      <c r="AN520" s="30" t="inlineStr"/>
      <c r="AO520" s="30" t="n">
        <v>2013</v>
      </c>
      <c r="AP520" s="30" t="inlineStr">
        <is>
          <t>document is a falência (bankruptcy) list</t>
        </is>
      </c>
      <c r="AQ520" s="30" t="inlineStr"/>
      <c r="AR520" s="30" t="inlineStr">
        <is>
          <t>printed on the list (read twice)</t>
        </is>
      </c>
      <c r="AS520" s="30" t="inlineStr">
        <is>
          <t>BLUMENAU</t>
        </is>
      </c>
      <c r="AT520" s="30" t="inlineStr">
        <is>
          <t>SC</t>
        </is>
      </c>
      <c r="AU520" s="30" t="inlineStr">
        <is>
          <t>Fabricação de artefatos têxteis para uso doméstico</t>
        </is>
      </c>
      <c r="AV520" s="30" t="inlineStr">
        <is>
          <t>DEMAIS</t>
        </is>
      </c>
      <c r="AW520" s="31" t="n">
        <v>48119320</v>
      </c>
      <c r="AX520" s="30" t="inlineStr">
        <is>
          <t>MID-MARKET</t>
        </is>
      </c>
      <c r="AY520" s="30" t="inlineStr">
        <is>
          <t>75293662</t>
        </is>
      </c>
      <c r="AZ520" s="30" t="n">
        <v>1</v>
      </c>
      <c r="BA520" s="30" t="inlineStr">
        <is>
          <t>ROWS:p12r43 UNRECONCILED_SOURCE CASE_NUMBER_CORRECTED</t>
        </is>
      </c>
    </row>
    <row r="521">
      <c r="A521" s="16" t="inlineStr">
        <is>
          <t>FCC CIENCIA DOS MATERIAIS LTDA.</t>
        </is>
      </c>
      <c r="B521" s="17" t="n">
        <v>439222.79</v>
      </c>
      <c r="C521" s="18" t="inlineStr">
        <is>
          <t>Mannes</t>
        </is>
      </c>
      <c r="D521" s="19" t="inlineStr">
        <is>
          <t>NEW</t>
        </is>
      </c>
      <c r="E521" s="20" t="inlineStr"/>
      <c r="F521" s="19" t="inlineStr"/>
      <c r="G521" s="20" t="inlineStr"/>
      <c r="H521" s="19" t="inlineStr"/>
      <c r="I521" s="21" t="inlineStr">
        <is>
          <t>MARCELO ANDRE REICHERT</t>
        </is>
      </c>
      <c r="J521" s="21" t="inlineStr">
        <is>
          <t>Sócio-Administrador (RFB partner)</t>
        </is>
      </c>
      <c r="K521" s="21" t="inlineStr">
        <is>
          <t>(51) 2129-2200</t>
        </is>
      </c>
      <c r="L521" s="21" t="inlineStr"/>
      <c r="M521" s="21" t="inlineStr"/>
      <c r="N521" s="21" t="inlineStr"/>
      <c r="O521" s="21" t="inlineStr"/>
      <c r="P521" s="21" t="inlineStr">
        <is>
          <t>CRISTIANO RODRIGO ECKERT</t>
        </is>
      </c>
      <c r="Q521" s="21" t="inlineStr">
        <is>
          <t>Administrador (RFB partner)</t>
        </is>
      </c>
      <c r="R521" s="21" t="inlineStr"/>
      <c r="S521" s="21" t="inlineStr"/>
      <c r="T521" s="21" t="inlineStr">
        <is>
          <t>RFB partner (QSA); no Apollo match</t>
        </is>
      </c>
      <c r="U521" s="22" t="n">
        <v>439222.79</v>
      </c>
      <c r="V521" s="39" t="inlineStr">
        <is>
          <t>D</t>
        </is>
      </c>
      <c r="W521" s="24">
        <f>IFERROR(VLOOKUP(V521,Assumptions!$A$7:$F$11,2,FALSE),0)</f>
        <v/>
      </c>
      <c r="X521" s="25">
        <f>IF(V521="A",MAX(1,IFERROR(VLOOKUP(V521,Assumptions!$A$7:$F$11,3,FALSE),3)+IFERROR(VLOOKUP(V521,Assumptions!$A$7:$F$11,4,FALSE),8)/2-MAX(0,IF(AO521="",0,YEAR(TODAY())-AO521)-IFERROR(VLOOKUP(V521,Assumptions!$A$7:$F$11,5,FALSE),1.5))),IFERROR(VLOOKUP(V521,Assumptions!$A$7:$F$11,5,FALSE),2.5)+IFERROR(VLOOKUP(V521,Assumptions!$A$7:$F$11,3,FALSE),3)+IFERROR(VLOOKUP(V521,Assumptions!$A$7:$F$11,4,FALSE),8)/2)</f>
        <v/>
      </c>
      <c r="Y521" s="22">
        <f>U521*W521/(1+Assumptions!$B$3)^X521</f>
        <v/>
      </c>
      <c r="Z521" s="26">
        <f>IF(U521=0,"",ROUND(Y521/U521*100,1))</f>
        <v/>
      </c>
      <c r="AA521" s="27">
        <f>Y521*Assumptions!$B$4</f>
        <v/>
      </c>
      <c r="AB521" s="26">
        <f>IF(U521=0,"",ROUND(AA521/U521*100,1))</f>
        <v/>
      </c>
      <c r="AC521" s="27">
        <f>Y521-AA521</f>
        <v/>
      </c>
      <c r="AD521" s="26">
        <f>IF(U521=0,"",ROUND((Y521-AA521)/U521*100,1))</f>
        <v/>
      </c>
      <c r="AE521" s="36" t="inlineStr">
        <is>
          <t>CHECK — source is not a statutory creditor list</t>
        </is>
      </c>
      <c r="AF521" s="29" t="inlineStr">
        <is>
          <t>https://administradorajudicialgs.com.br/wp-content/uploads/2024/12/relacao-de-credores-da-falida.pdf</t>
        </is>
      </c>
      <c r="AG521" s="28" t="inlineStr">
        <is>
          <t>p14 r38</t>
        </is>
      </c>
      <c r="AH521" s="28" t="inlineStr">
        <is>
          <t>p14: R$ 439.222,79</t>
        </is>
      </c>
      <c r="AI521" s="28" t="inlineStr">
        <is>
          <t>Other filing — NOT an art. 7/51 list</t>
        </is>
      </c>
      <c r="AJ521" s="28" t="inlineStr">
        <is>
          <t>2025-03-25</t>
        </is>
      </c>
      <c r="AK521" s="28" t="inlineStr">
        <is>
          <t>NONE FOUND</t>
        </is>
      </c>
      <c r="AL521" s="30" t="inlineStr">
        <is>
          <t>0005010-50.2013.8.24.0026</t>
        </is>
      </c>
      <c r="AM521" s="30" t="inlineStr">
        <is>
          <t>TJSC</t>
        </is>
      </c>
      <c r="AN521" s="30" t="inlineStr"/>
      <c r="AO521" s="30" t="n">
        <v>2013</v>
      </c>
      <c r="AP521" s="30" t="inlineStr">
        <is>
          <t>document is a falência (bankruptcy) list</t>
        </is>
      </c>
      <c r="AQ521" s="30" t="inlineStr"/>
      <c r="AR521" s="30" t="inlineStr">
        <is>
          <t>printed on the list (read twice)</t>
        </is>
      </c>
      <c r="AS521" s="30" t="inlineStr">
        <is>
          <t>CAMPO BOM</t>
        </is>
      </c>
      <c r="AT521" s="30" t="inlineStr">
        <is>
          <t>RS</t>
        </is>
      </c>
      <c r="AU521" s="30" t="inlineStr">
        <is>
          <t>Fabricação de resinas termoplásticas</t>
        </is>
      </c>
      <c r="AV521" s="30" t="inlineStr">
        <is>
          <t>DEMAIS</t>
        </is>
      </c>
      <c r="AW521" s="31" t="n">
        <v>50000000</v>
      </c>
      <c r="AX521" s="30" t="inlineStr">
        <is>
          <t>MID-MARKET</t>
        </is>
      </c>
      <c r="AY521" s="30" t="inlineStr">
        <is>
          <t>88065321</t>
        </is>
      </c>
      <c r="AZ521" s="30" t="n">
        <v>1</v>
      </c>
      <c r="BA521" s="30" t="inlineStr">
        <is>
          <t>ROWS:p14r38 UNRECONCILED_SOURCE CASE_NUMBER_CORRECTED</t>
        </is>
      </c>
    </row>
    <row r="522">
      <c r="A522" s="16" t="inlineStr">
        <is>
          <t>EMPREENDIMENTO IMOBILIARIO IB GATTO SPE LTDA - EM RECUPERACAO JUDICIAL</t>
        </is>
      </c>
      <c r="B522" s="17" t="n">
        <v>239311.13</v>
      </c>
      <c r="C522" s="18" t="inlineStr">
        <is>
          <t>GRUPO ARNON DE MELLO</t>
        </is>
      </c>
      <c r="D522" s="19" t="inlineStr">
        <is>
          <t>NEW</t>
        </is>
      </c>
      <c r="E522" s="20" t="inlineStr"/>
      <c r="F522" s="19" t="inlineStr"/>
      <c r="G522" s="20" t="inlineStr"/>
      <c r="H522" s="19" t="inlineStr"/>
      <c r="I522" s="21" t="inlineStr">
        <is>
          <t>GELSON LUIZ CERUTTI</t>
        </is>
      </c>
      <c r="J522" s="21" t="inlineStr">
        <is>
          <t>Sócio-Administrador (RFB partner)</t>
        </is>
      </c>
      <c r="K522" s="21" t="inlineStr">
        <is>
          <t>(82) 1111-1111</t>
        </is>
      </c>
      <c r="L522" s="21" t="inlineStr">
        <is>
          <t>(82) 1111-1111</t>
        </is>
      </c>
      <c r="M522" s="21" t="inlineStr"/>
      <c r="N522" s="21" t="inlineStr"/>
      <c r="O522" s="21" t="inlineStr"/>
      <c r="P522" s="21" t="inlineStr"/>
      <c r="Q522" s="21" t="inlineStr"/>
      <c r="R522" s="21" t="inlineStr"/>
      <c r="S522" s="21" t="inlineStr"/>
      <c r="T522" s="21" t="inlineStr">
        <is>
          <t>RFB partner (QSA); no Apollo match</t>
        </is>
      </c>
      <c r="U522" s="22" t="n">
        <v>239311.13</v>
      </c>
      <c r="V522" s="38" t="inlineStr">
        <is>
          <t>C</t>
        </is>
      </c>
      <c r="W522" s="24">
        <f>IFERROR(VLOOKUP(V522,Assumptions!$A$7:$F$11,2,FALSE),0)</f>
        <v/>
      </c>
      <c r="X522" s="25">
        <f>IF(V522="A",MAX(1,IFERROR(VLOOKUP(V522,Assumptions!$A$7:$F$11,3,FALSE),3)+IFERROR(VLOOKUP(V522,Assumptions!$A$7:$F$11,4,FALSE),8)/2-MAX(0,IF(AO522="",0,YEAR(TODAY())-AO522)-IFERROR(VLOOKUP(V522,Assumptions!$A$7:$F$11,5,FALSE),1.5))),IFERROR(VLOOKUP(V522,Assumptions!$A$7:$F$11,5,FALSE),2.5)+IFERROR(VLOOKUP(V522,Assumptions!$A$7:$F$11,3,FALSE),3)+IFERROR(VLOOKUP(V522,Assumptions!$A$7:$F$11,4,FALSE),8)/2)</f>
        <v/>
      </c>
      <c r="Y522" s="22">
        <f>U522*W522/(1+Assumptions!$B$3)^X522</f>
        <v/>
      </c>
      <c r="Z522" s="26">
        <f>IF(U522=0,"",ROUND(Y522/U522*100,1))</f>
        <v/>
      </c>
      <c r="AA522" s="27">
        <f>Y522*Assumptions!$B$4</f>
        <v/>
      </c>
      <c r="AB522" s="26">
        <f>IF(U522=0,"",ROUND(AA522/U522*100,1))</f>
        <v/>
      </c>
      <c r="AC522" s="27">
        <f>Y522-AA522</f>
        <v/>
      </c>
      <c r="AD522" s="26">
        <f>IF(U522=0,"",ROUND((Y522-AA522)/U522*100,1))</f>
        <v/>
      </c>
      <c r="AE522" s="33" t="inlineStr">
        <is>
          <t>NO TOTALS — list prints none; check page</t>
        </is>
      </c>
      <c r="AF522" s="29" t="inlineStr">
        <is>
          <t>https://recuperacaojudicial.squarespace.com/s/RJ-Grupo-Arnon-de-Melo-Lista-de-Credores-Consolidada-abril-2022.pdf</t>
        </is>
      </c>
      <c r="AG522" s="28" t="inlineStr">
        <is>
          <t>p7 r68</t>
        </is>
      </c>
      <c r="AH522" s="28" t="inlineStr">
        <is>
          <t>p7: R$ 239.311,13</t>
        </is>
      </c>
      <c r="AI522" s="28" t="inlineStr">
        <is>
          <t>AJ list (art. 7 §2)</t>
        </is>
      </c>
      <c r="AJ522" s="28" t="inlineStr"/>
      <c r="AK522" s="28" t="inlineStr">
        <is>
          <t>NONE FOUND</t>
        </is>
      </c>
      <c r="AL522" s="30" t="inlineStr">
        <is>
          <t>0700256-03.2019.8.02.0066</t>
        </is>
      </c>
      <c r="AM522" s="30" t="inlineStr">
        <is>
          <t>TJAL</t>
        </is>
      </c>
      <c r="AN522" s="30" t="inlineStr"/>
      <c r="AO522" s="30" t="n">
        <v>2019</v>
      </c>
      <c r="AP522" s="30" t="inlineStr">
        <is>
          <t>7y since filing, no plan document</t>
        </is>
      </c>
      <c r="AQ522" s="30" t="inlineStr">
        <is>
          <t>12.503.801/0001-59</t>
        </is>
      </c>
      <c r="AR522" s="30" t="inlineStr">
        <is>
          <t>printed on the list (read twice)</t>
        </is>
      </c>
      <c r="AS522" s="30" t="inlineStr">
        <is>
          <t>MACEIO</t>
        </is>
      </c>
      <c r="AT522" s="30" t="inlineStr">
        <is>
          <t>AL</t>
        </is>
      </c>
      <c r="AU522" s="30" t="inlineStr">
        <is>
          <t>Construção de edifícios</t>
        </is>
      </c>
      <c r="AV522" s="30" t="inlineStr">
        <is>
          <t>DEMAIS</t>
        </is>
      </c>
      <c r="AW522" s="31" t="n">
        <v>100000</v>
      </c>
      <c r="AX522" s="30" t="inlineStr">
        <is>
          <t>MID-MARKET</t>
        </is>
      </c>
      <c r="AY522" s="30" t="inlineStr">
        <is>
          <t>15640226</t>
        </is>
      </c>
      <c r="AZ522" s="30" t="n">
        <v>1</v>
      </c>
      <c r="BA522" s="30" t="inlineStr">
        <is>
          <t>ROWS:p7r68 UNRECONCILED_SOURCE</t>
        </is>
      </c>
    </row>
    <row r="523">
      <c r="A523" s="16" t="inlineStr">
        <is>
          <t>GUARARAPES PAINEIS S/A</t>
        </is>
      </c>
      <c r="B523" s="17" t="n">
        <v>238085.39</v>
      </c>
      <c r="C523" s="18" t="inlineStr">
        <is>
          <t>DICARLO Móveis e Acessórios para Casa e Lojas Ltda</t>
        </is>
      </c>
      <c r="D523" s="19" t="inlineStr">
        <is>
          <t>NEW</t>
        </is>
      </c>
      <c r="E523" s="20" t="inlineStr"/>
      <c r="F523" s="19" t="inlineStr"/>
      <c r="G523" s="20" t="inlineStr"/>
      <c r="H523" s="19" t="inlineStr"/>
      <c r="I523" s="21" t="inlineStr">
        <is>
          <t>RICARDO PEDROSO</t>
        </is>
      </c>
      <c r="J523" s="21" t="inlineStr">
        <is>
          <t>Presidente (RFB partner)</t>
        </is>
      </c>
      <c r="K523" s="21" t="inlineStr">
        <is>
          <t>(41) 3099-1414</t>
        </is>
      </c>
      <c r="L523" s="21" t="inlineStr">
        <is>
          <t>(49) 3244-6813</t>
        </is>
      </c>
      <c r="M523" s="21" t="inlineStr"/>
      <c r="N523" s="21" t="inlineStr"/>
      <c r="O523" s="21" t="inlineStr"/>
      <c r="P523" s="21" t="inlineStr">
        <is>
          <t>DIORGENES BERTOLIN</t>
        </is>
      </c>
      <c r="Q523" s="21" t="inlineStr">
        <is>
          <t>Diretor (RFB partner)</t>
        </is>
      </c>
      <c r="R523" s="21" t="inlineStr"/>
      <c r="S523" s="21" t="inlineStr"/>
      <c r="T523" s="21" t="inlineStr">
        <is>
          <t>RFB partner (QSA); no Apollo match</t>
        </is>
      </c>
      <c r="U523" s="22" t="n">
        <v>238085.39</v>
      </c>
      <c r="V523" s="38" t="inlineStr">
        <is>
          <t>C</t>
        </is>
      </c>
      <c r="W523" s="24">
        <f>IFERROR(VLOOKUP(V523,Assumptions!$A$7:$F$11,2,FALSE),0)</f>
        <v/>
      </c>
      <c r="X523" s="25">
        <f>IF(V523="A",MAX(1,IFERROR(VLOOKUP(V523,Assumptions!$A$7:$F$11,3,FALSE),3)+IFERROR(VLOOKUP(V523,Assumptions!$A$7:$F$11,4,FALSE),8)/2-MAX(0,IF(AO523="",0,YEAR(TODAY())-AO523)-IFERROR(VLOOKUP(V523,Assumptions!$A$7:$F$11,5,FALSE),1.5))),IFERROR(VLOOKUP(V523,Assumptions!$A$7:$F$11,5,FALSE),2.5)+IFERROR(VLOOKUP(V523,Assumptions!$A$7:$F$11,3,FALSE),3)+IFERROR(VLOOKUP(V523,Assumptions!$A$7:$F$11,4,FALSE),8)/2)</f>
        <v/>
      </c>
      <c r="Y523" s="22">
        <f>U523*W523/(1+Assumptions!$B$3)^X523</f>
        <v/>
      </c>
      <c r="Z523" s="26">
        <f>IF(U523=0,"",ROUND(Y523/U523*100,1))</f>
        <v/>
      </c>
      <c r="AA523" s="27">
        <f>Y523*Assumptions!$B$4</f>
        <v/>
      </c>
      <c r="AB523" s="26">
        <f>IF(U523=0,"",ROUND(AA523/U523*100,1))</f>
        <v/>
      </c>
      <c r="AC523" s="27">
        <f>Y523-AA523</f>
        <v/>
      </c>
      <c r="AD523" s="26">
        <f>IF(U523=0,"",ROUND((Y523-AA523)/U523*100,1))</f>
        <v/>
      </c>
      <c r="AE523" s="33" t="inlineStr">
        <is>
          <t>NO TOTALS — list prints none; check page</t>
        </is>
      </c>
      <c r="AF523" s="29" t="inlineStr">
        <is>
          <t>https://administradorajudicialgs.com.br/wp-content/uploads/2023/08/edital-quadro-geral-de-credores.pdf</t>
        </is>
      </c>
      <c r="AG523" s="28" t="inlineStr">
        <is>
          <t>p2 r68</t>
        </is>
      </c>
      <c r="AH523" s="28" t="inlineStr">
        <is>
          <t>p2: R$ 238.085,39</t>
        </is>
      </c>
      <c r="AI523" s="28" t="inlineStr">
        <is>
          <t>QGC (art. 18)</t>
        </is>
      </c>
      <c r="AJ523" s="28" t="inlineStr">
        <is>
          <t>2024-07-05</t>
        </is>
      </c>
      <c r="AK523" s="28" t="inlineStr">
        <is>
          <t>NONE FOUND</t>
        </is>
      </c>
      <c r="AL523" s="30" t="inlineStr">
        <is>
          <t>0301015-33.2016.8.24.0031</t>
        </is>
      </c>
      <c r="AM523" s="30" t="inlineStr">
        <is>
          <t>TJSC</t>
        </is>
      </c>
      <c r="AN523" s="30" t="inlineStr"/>
      <c r="AO523" s="30" t="n">
        <v>2016</v>
      </c>
      <c r="AP523" s="30" t="inlineStr">
        <is>
          <t>10y since filing, no plan document</t>
        </is>
      </c>
      <c r="AQ523" s="30" t="inlineStr">
        <is>
          <t>01.314.776/0001-49</t>
        </is>
      </c>
      <c r="AR523" s="30" t="inlineStr">
        <is>
          <t>printed on the list (read twice)</t>
        </is>
      </c>
      <c r="AS523" s="30" t="inlineStr">
        <is>
          <t>CACADOR</t>
        </is>
      </c>
      <c r="AT523" s="30" t="inlineStr">
        <is>
          <t>SC</t>
        </is>
      </c>
      <c r="AU523" s="30" t="inlineStr">
        <is>
          <t>Fabricação de madeira laminada e de chapas de madeira compensada, prensada e aglomerada</t>
        </is>
      </c>
      <c r="AV523" s="30" t="inlineStr">
        <is>
          <t>DEMAIS</t>
        </is>
      </c>
      <c r="AW523" s="31" t="n">
        <v>241239490</v>
      </c>
      <c r="AX523" s="30" t="inlineStr">
        <is>
          <t>MID-MARKET</t>
        </is>
      </c>
      <c r="AY523" s="30" t="inlineStr">
        <is>
          <t>08810422</t>
        </is>
      </c>
      <c r="AZ523" s="30" t="n">
        <v>1</v>
      </c>
      <c r="BA523" s="30" t="inlineStr">
        <is>
          <t>ROWS:p2r68 UNRECONCILED_SOURCE</t>
        </is>
      </c>
    </row>
    <row r="524">
      <c r="A524" s="16" t="inlineStr">
        <is>
          <t>CALOI NORTE SA</t>
        </is>
      </c>
      <c r="B524" s="17" t="n">
        <v>237701.23</v>
      </c>
      <c r="C524" s="18" t="inlineStr">
        <is>
          <t>CREDIMÓVEIS NOVOLAR LTDA.</t>
        </is>
      </c>
      <c r="D524" s="19" t="inlineStr">
        <is>
          <t>NEW</t>
        </is>
      </c>
      <c r="E524" s="20" t="inlineStr"/>
      <c r="F524" s="19" t="inlineStr"/>
      <c r="G524" s="20" t="inlineStr"/>
      <c r="H524" s="19" t="inlineStr"/>
      <c r="I524" s="21" t="inlineStr">
        <is>
          <t>Felipe Proenca</t>
        </is>
      </c>
      <c r="J524" s="21" t="inlineStr">
        <is>
          <t>CFO</t>
        </is>
      </c>
      <c r="K524" s="21" t="inlineStr">
        <is>
          <t>(92) 3617-0100</t>
        </is>
      </c>
      <c r="L524" s="21" t="inlineStr">
        <is>
          <t>(92) 9103-4470</t>
        </is>
      </c>
      <c r="M524" s="21" t="inlineStr"/>
      <c r="N524" s="21" t="inlineStr">
        <is>
          <t>fproenca@caloi.com</t>
        </is>
      </c>
      <c r="O524" s="21" t="inlineStr">
        <is>
          <t>anogueira@caloi.com</t>
        </is>
      </c>
      <c r="P524" s="21" t="inlineStr">
        <is>
          <t>Andre Silva</t>
        </is>
      </c>
      <c r="Q524" s="21" t="inlineStr">
        <is>
          <t>Financial Administrative Manager</t>
        </is>
      </c>
      <c r="R524" s="21" t="inlineStr"/>
      <c r="S524" s="21" t="inlineStr">
        <is>
          <t>anogueira@caloi.com</t>
        </is>
      </c>
      <c r="T524" s="21" t="inlineStr">
        <is>
          <t>email verified by Apollo</t>
        </is>
      </c>
      <c r="U524" s="22" t="n">
        <v>237701.23</v>
      </c>
      <c r="V524" s="38" t="inlineStr">
        <is>
          <t>C</t>
        </is>
      </c>
      <c r="W524" s="24">
        <f>IFERROR(VLOOKUP(V524,Assumptions!$A$7:$F$11,2,FALSE),0)</f>
        <v/>
      </c>
      <c r="X524" s="25">
        <f>IF(V524="A",MAX(1,IFERROR(VLOOKUP(V524,Assumptions!$A$7:$F$11,3,FALSE),3)+IFERROR(VLOOKUP(V524,Assumptions!$A$7:$F$11,4,FALSE),8)/2-MAX(0,IF(AO524="",0,YEAR(TODAY())-AO524)-IFERROR(VLOOKUP(V524,Assumptions!$A$7:$F$11,5,FALSE),1.5))),IFERROR(VLOOKUP(V524,Assumptions!$A$7:$F$11,5,FALSE),2.5)+IFERROR(VLOOKUP(V524,Assumptions!$A$7:$F$11,3,FALSE),3)+IFERROR(VLOOKUP(V524,Assumptions!$A$7:$F$11,4,FALSE),8)/2)</f>
        <v/>
      </c>
      <c r="Y524" s="22">
        <f>U524*W524/(1+Assumptions!$B$3)^X524</f>
        <v/>
      </c>
      <c r="Z524" s="26">
        <f>IF(U524=0,"",ROUND(Y524/U524*100,1))</f>
        <v/>
      </c>
      <c r="AA524" s="27">
        <f>Y524*Assumptions!$B$4</f>
        <v/>
      </c>
      <c r="AB524" s="26">
        <f>IF(U524=0,"",ROUND(AA524/U524*100,1))</f>
        <v/>
      </c>
      <c r="AC524" s="27">
        <f>Y524-AA524</f>
        <v/>
      </c>
      <c r="AD524" s="26">
        <f>IF(U524=0,"",ROUND((Y524-AA524)/U524*100,1))</f>
        <v/>
      </c>
      <c r="AE524" s="28" t="inlineStr">
        <is>
          <t>OK — totals reconciled</t>
        </is>
      </c>
      <c r="AF524" s="29" t="inlineStr">
        <is>
          <t>https://recuperacaojudicial.squarespace.com/s/RJ-Credimoveis-QGC-01082025.pdf</t>
        </is>
      </c>
      <c r="AG524" s="28" t="inlineStr">
        <is>
          <t>p15 r28</t>
        </is>
      </c>
      <c r="AH524" s="28" t="inlineStr">
        <is>
          <t>p15: R$ 237.701,23</t>
        </is>
      </c>
      <c r="AI524" s="28" t="inlineStr">
        <is>
          <t>QGC (art. 18)</t>
        </is>
      </c>
      <c r="AJ524" s="28" t="inlineStr">
        <is>
          <t>2026-01-28</t>
        </is>
      </c>
      <c r="AK524" s="28" t="inlineStr">
        <is>
          <t>NONE FOUND</t>
        </is>
      </c>
      <c r="AL524" s="30" t="inlineStr">
        <is>
          <t>0007565-40.2020.8.17.2370</t>
        </is>
      </c>
      <c r="AM524" s="30" t="inlineStr">
        <is>
          <t>TJPE</t>
        </is>
      </c>
      <c r="AN524" s="30" t="inlineStr">
        <is>
          <t>ACTIVE</t>
        </is>
      </c>
      <c r="AO524" s="30" t="n">
        <v>2020</v>
      </c>
      <c r="AP524" s="30" t="inlineStr">
        <is>
          <t>6y since filing, no plan document</t>
        </is>
      </c>
      <c r="AQ524" s="30" t="inlineStr">
        <is>
          <t>09.930.165/0001-37</t>
        </is>
      </c>
      <c r="AR524" s="30" t="inlineStr">
        <is>
          <t>printed on the list (read twice)</t>
        </is>
      </c>
      <c r="AS524" s="30" t="inlineStr">
        <is>
          <t>MANAUS</t>
        </is>
      </c>
      <c r="AT524" s="30" t="inlineStr">
        <is>
          <t>AM</t>
        </is>
      </c>
      <c r="AU524" s="30" t="inlineStr">
        <is>
          <t>Fabricação de bicicletas e triciclos não-motorizados, peças e acessórios</t>
        </is>
      </c>
      <c r="AV524" s="30" t="inlineStr">
        <is>
          <t>DEMAIS</t>
        </is>
      </c>
      <c r="AW524" s="31" t="n">
        <v>679429060</v>
      </c>
      <c r="AX524" s="30" t="inlineStr">
        <is>
          <t>LARGE CORP</t>
        </is>
      </c>
      <c r="AY524" s="30" t="inlineStr">
        <is>
          <t>04301024</t>
        </is>
      </c>
      <c r="AZ524" s="30" t="n">
        <v>1</v>
      </c>
      <c r="BA524" s="30" t="inlineStr">
        <is>
          <t>ROWS:p15r28</t>
        </is>
      </c>
    </row>
    <row r="525">
      <c r="A525" s="16" t="inlineStr">
        <is>
          <t>INDUSTRIA DE MOVEIS NESHER LTDA</t>
        </is>
      </c>
      <c r="B525" s="17" t="n">
        <v>236423</v>
      </c>
      <c r="C525" s="18" t="inlineStr">
        <is>
          <t>CREDIMÓVEIS NOVOLAR LTDA.</t>
        </is>
      </c>
      <c r="D525" s="19" t="inlineStr">
        <is>
          <t>NEW</t>
        </is>
      </c>
      <c r="E525" s="20" t="inlineStr"/>
      <c r="F525" s="19" t="inlineStr"/>
      <c r="G525" s="20" t="inlineStr"/>
      <c r="H525" s="19" t="inlineStr"/>
      <c r="I525" s="21" t="inlineStr">
        <is>
          <t>Paulo Sabino</t>
        </is>
      </c>
      <c r="J525" s="21" t="inlineStr">
        <is>
          <t>Administrative Manager</t>
        </is>
      </c>
      <c r="K525" s="21" t="inlineStr">
        <is>
          <t>(27) 3047-0040</t>
        </is>
      </c>
      <c r="L525" s="21" t="inlineStr"/>
      <c r="M525" s="21" t="inlineStr"/>
      <c r="N525" s="21" t="inlineStr">
        <is>
          <t>paulo.sabino@moveisnesher.com.br</t>
        </is>
      </c>
      <c r="O525" s="21" t="inlineStr">
        <is>
          <t>jocinei.ribeiro@moveisnesher.com.br</t>
        </is>
      </c>
      <c r="P525" s="21" t="inlineStr">
        <is>
          <t>Jocinei Ribeiro</t>
        </is>
      </c>
      <c r="Q525" s="21" t="inlineStr">
        <is>
          <t>National Sales Manager</t>
        </is>
      </c>
      <c r="R525" s="21" t="inlineStr"/>
      <c r="S525" s="21" t="inlineStr">
        <is>
          <t>jocinei.ribeiro@moveisnesher.com.br</t>
        </is>
      </c>
      <c r="T525" s="21" t="inlineStr">
        <is>
          <t>email verified by Apollo</t>
        </is>
      </c>
      <c r="U525" s="22" t="n">
        <v>236423</v>
      </c>
      <c r="V525" s="38" t="inlineStr">
        <is>
          <t>C</t>
        </is>
      </c>
      <c r="W525" s="24">
        <f>IFERROR(VLOOKUP(V525,Assumptions!$A$7:$F$11,2,FALSE),0)</f>
        <v/>
      </c>
      <c r="X525" s="25">
        <f>IF(V525="A",MAX(1,IFERROR(VLOOKUP(V525,Assumptions!$A$7:$F$11,3,FALSE),3)+IFERROR(VLOOKUP(V525,Assumptions!$A$7:$F$11,4,FALSE),8)/2-MAX(0,IF(AO525="",0,YEAR(TODAY())-AO525)-IFERROR(VLOOKUP(V525,Assumptions!$A$7:$F$11,5,FALSE),1.5))),IFERROR(VLOOKUP(V525,Assumptions!$A$7:$F$11,5,FALSE),2.5)+IFERROR(VLOOKUP(V525,Assumptions!$A$7:$F$11,3,FALSE),3)+IFERROR(VLOOKUP(V525,Assumptions!$A$7:$F$11,4,FALSE),8)/2)</f>
        <v/>
      </c>
      <c r="Y525" s="22">
        <f>U525*W525/(1+Assumptions!$B$3)^X525</f>
        <v/>
      </c>
      <c r="Z525" s="26">
        <f>IF(U525=0,"",ROUND(Y525/U525*100,1))</f>
        <v/>
      </c>
      <c r="AA525" s="27">
        <f>Y525*Assumptions!$B$4</f>
        <v/>
      </c>
      <c r="AB525" s="26">
        <f>IF(U525=0,"",ROUND(AA525/U525*100,1))</f>
        <v/>
      </c>
      <c r="AC525" s="27">
        <f>Y525-AA525</f>
        <v/>
      </c>
      <c r="AD525" s="26">
        <f>IF(U525=0,"",ROUND((Y525-AA525)/U525*100,1))</f>
        <v/>
      </c>
      <c r="AE525" s="28" t="inlineStr">
        <is>
          <t>OK — totals reconciled</t>
        </is>
      </c>
      <c r="AF525" s="29" t="inlineStr">
        <is>
          <t>https://recuperacaojudicial.squarespace.com/s/RJ-Credimoveis-QGC-01082025.pdf</t>
        </is>
      </c>
      <c r="AG525" s="28" t="inlineStr">
        <is>
          <t>p15 r54</t>
        </is>
      </c>
      <c r="AH525" s="28" t="inlineStr">
        <is>
          <t>p15: R$ 236.423,00</t>
        </is>
      </c>
      <c r="AI525" s="28" t="inlineStr">
        <is>
          <t>QGC (art. 18)</t>
        </is>
      </c>
      <c r="AJ525" s="28" t="inlineStr">
        <is>
          <t>2026-01-28</t>
        </is>
      </c>
      <c r="AK525" s="28" t="inlineStr">
        <is>
          <t>NONE FOUND</t>
        </is>
      </c>
      <c r="AL525" s="30" t="inlineStr">
        <is>
          <t>0007565-40.2020.8.17.2370</t>
        </is>
      </c>
      <c r="AM525" s="30" t="inlineStr">
        <is>
          <t>TJPE</t>
        </is>
      </c>
      <c r="AN525" s="30" t="inlineStr">
        <is>
          <t>ACTIVE</t>
        </is>
      </c>
      <c r="AO525" s="30" t="n">
        <v>2020</v>
      </c>
      <c r="AP525" s="30" t="inlineStr">
        <is>
          <t>6y since filing, no plan document</t>
        </is>
      </c>
      <c r="AQ525" s="30" t="inlineStr">
        <is>
          <t>09.930.165/0001-37</t>
        </is>
      </c>
      <c r="AR525" s="30" t="inlineStr">
        <is>
          <t>printed on the list (read twice)</t>
        </is>
      </c>
      <c r="AS525" s="30" t="inlineStr">
        <is>
          <t>LINHARES</t>
        </is>
      </c>
      <c r="AT525" s="30" t="inlineStr">
        <is>
          <t>ES</t>
        </is>
      </c>
      <c r="AU525" s="30" t="inlineStr">
        <is>
          <t>Fabricação de móveis com predominância de madeira</t>
        </is>
      </c>
      <c r="AV525" s="30" t="inlineStr">
        <is>
          <t>DEMAIS</t>
        </is>
      </c>
      <c r="AW525" s="31" t="n">
        <v>4734112</v>
      </c>
      <c r="AX525" s="30" t="inlineStr">
        <is>
          <t>MID-MARKET</t>
        </is>
      </c>
      <c r="AY525" s="30" t="inlineStr">
        <is>
          <t>18304707</t>
        </is>
      </c>
      <c r="AZ525" s="30" t="n">
        <v>1</v>
      </c>
      <c r="BA525" s="30" t="inlineStr">
        <is>
          <t>ROWS:p15r54</t>
        </is>
      </c>
    </row>
    <row r="526">
      <c r="A526" s="16" t="inlineStr">
        <is>
          <t>MADETEC MOVEIS LTDA</t>
        </is>
      </c>
      <c r="B526" s="17" t="n">
        <v>228237</v>
      </c>
      <c r="C526" s="18" t="inlineStr">
        <is>
          <t>CREDIMÓVEIS NOVOLAR LTDA.</t>
        </is>
      </c>
      <c r="D526" s="19" t="inlineStr">
        <is>
          <t>NEW</t>
        </is>
      </c>
      <c r="E526" s="20" t="inlineStr"/>
      <c r="F526" s="19" t="inlineStr"/>
      <c r="G526" s="20" t="inlineStr"/>
      <c r="H526" s="19" t="inlineStr"/>
      <c r="I526" s="21" t="inlineStr">
        <is>
          <t>Eduardo Balduino</t>
        </is>
      </c>
      <c r="J526" s="21" t="inlineStr">
        <is>
          <t>Encarregado de Escritório</t>
        </is>
      </c>
      <c r="K526" s="21" t="inlineStr">
        <is>
          <t>(43) 3303-1800</t>
        </is>
      </c>
      <c r="L526" s="21" t="inlineStr"/>
      <c r="M526" s="21" t="inlineStr"/>
      <c r="N526" s="21" t="inlineStr"/>
      <c r="O526" s="21" t="inlineStr"/>
      <c r="P526" s="21" t="inlineStr">
        <is>
          <t>Ricardo Freitas</t>
        </is>
      </c>
      <c r="Q526" s="21" t="inlineStr">
        <is>
          <t>Transport Manager</t>
        </is>
      </c>
      <c r="R526" s="21" t="inlineStr"/>
      <c r="S526" s="21" t="inlineStr"/>
      <c r="T526" s="21" t="inlineStr">
        <is>
          <t>no work email found in Apollo</t>
        </is>
      </c>
      <c r="U526" s="22" t="n">
        <v>228237</v>
      </c>
      <c r="V526" s="38" t="inlineStr">
        <is>
          <t>C</t>
        </is>
      </c>
      <c r="W526" s="24">
        <f>IFERROR(VLOOKUP(V526,Assumptions!$A$7:$F$11,2,FALSE),0)</f>
        <v/>
      </c>
      <c r="X526" s="25">
        <f>IF(V526="A",MAX(1,IFERROR(VLOOKUP(V526,Assumptions!$A$7:$F$11,3,FALSE),3)+IFERROR(VLOOKUP(V526,Assumptions!$A$7:$F$11,4,FALSE),8)/2-MAX(0,IF(AO526="",0,YEAR(TODAY())-AO526)-IFERROR(VLOOKUP(V526,Assumptions!$A$7:$F$11,5,FALSE),1.5))),IFERROR(VLOOKUP(V526,Assumptions!$A$7:$F$11,5,FALSE),2.5)+IFERROR(VLOOKUP(V526,Assumptions!$A$7:$F$11,3,FALSE),3)+IFERROR(VLOOKUP(V526,Assumptions!$A$7:$F$11,4,FALSE),8)/2)</f>
        <v/>
      </c>
      <c r="Y526" s="22">
        <f>U526*W526/(1+Assumptions!$B$3)^X526</f>
        <v/>
      </c>
      <c r="Z526" s="26">
        <f>IF(U526=0,"",ROUND(Y526/U526*100,1))</f>
        <v/>
      </c>
      <c r="AA526" s="27">
        <f>Y526*Assumptions!$B$4</f>
        <v/>
      </c>
      <c r="AB526" s="26">
        <f>IF(U526=0,"",ROUND(AA526/U526*100,1))</f>
        <v/>
      </c>
      <c r="AC526" s="27">
        <f>Y526-AA526</f>
        <v/>
      </c>
      <c r="AD526" s="26">
        <f>IF(U526=0,"",ROUND((Y526-AA526)/U526*100,1))</f>
        <v/>
      </c>
      <c r="AE526" s="28" t="inlineStr">
        <is>
          <t>OK — totals reconciled</t>
        </is>
      </c>
      <c r="AF526" s="29" t="inlineStr">
        <is>
          <t>https://recuperacaojudicial.squarespace.com/s/RJ-Credimoveis-QGC-01082025.pdf</t>
        </is>
      </c>
      <c r="AG526" s="28" t="inlineStr">
        <is>
          <t>p16 r12</t>
        </is>
      </c>
      <c r="AH526" s="28" t="inlineStr">
        <is>
          <t>p16: R$ 228.237,00</t>
        </is>
      </c>
      <c r="AI526" s="28" t="inlineStr">
        <is>
          <t>QGC (art. 18)</t>
        </is>
      </c>
      <c r="AJ526" s="28" t="inlineStr">
        <is>
          <t>2026-01-28</t>
        </is>
      </c>
      <c r="AK526" s="28" t="inlineStr">
        <is>
          <t>NONE FOUND</t>
        </is>
      </c>
      <c r="AL526" s="30" t="inlineStr">
        <is>
          <t>0007565-40.2020.8.17.2370</t>
        </is>
      </c>
      <c r="AM526" s="30" t="inlineStr">
        <is>
          <t>TJPE</t>
        </is>
      </c>
      <c r="AN526" s="30" t="inlineStr">
        <is>
          <t>ACTIVE</t>
        </is>
      </c>
      <c r="AO526" s="30" t="n">
        <v>2020</v>
      </c>
      <c r="AP526" s="30" t="inlineStr">
        <is>
          <t>6y since filing, no plan document</t>
        </is>
      </c>
      <c r="AQ526" s="30" t="inlineStr">
        <is>
          <t>09.930.165/0001-37</t>
        </is>
      </c>
      <c r="AR526" s="30" t="inlineStr">
        <is>
          <t>printed on the list (read twice)</t>
        </is>
      </c>
      <c r="AS526" s="30" t="inlineStr">
        <is>
          <t>ARAPONGAS</t>
        </is>
      </c>
      <c r="AT526" s="30" t="inlineStr">
        <is>
          <t>PR</t>
        </is>
      </c>
      <c r="AU526" s="30" t="inlineStr">
        <is>
          <t>Fabricação de móveis com predominância de madeira</t>
        </is>
      </c>
      <c r="AV526" s="30" t="inlineStr">
        <is>
          <t>DEMAIS</t>
        </is>
      </c>
      <c r="AW526" s="31" t="n">
        <v>10000000</v>
      </c>
      <c r="AX526" s="30" t="inlineStr">
        <is>
          <t>MID-MARKET</t>
        </is>
      </c>
      <c r="AY526" s="30" t="inlineStr">
        <is>
          <t>02624729</t>
        </is>
      </c>
      <c r="AZ526" s="30" t="n">
        <v>1</v>
      </c>
      <c r="BA526" s="30" t="inlineStr">
        <is>
          <t>ROWS:p16r12</t>
        </is>
      </c>
    </row>
    <row r="527">
      <c r="A527" s="16" t="inlineStr">
        <is>
          <t>IMACA LTDA</t>
        </is>
      </c>
      <c r="B527" s="17" t="n">
        <v>417212.12</v>
      </c>
      <c r="C527" s="18" t="inlineStr">
        <is>
          <t>Mannes</t>
        </is>
      </c>
      <c r="D527" s="19" t="inlineStr">
        <is>
          <t>NEW</t>
        </is>
      </c>
      <c r="E527" s="20" t="inlineStr"/>
      <c r="F527" s="19" t="inlineStr"/>
      <c r="G527" s="20" t="inlineStr"/>
      <c r="H527" s="19" t="inlineStr"/>
      <c r="I527" s="21" t="inlineStr">
        <is>
          <t>VITORIA GOOSEN SINGER</t>
        </is>
      </c>
      <c r="J527" s="21" t="inlineStr">
        <is>
          <t>Administrador (RFB partner)</t>
        </is>
      </c>
      <c r="K527" s="21" t="inlineStr"/>
      <c r="L527" s="21" t="inlineStr"/>
      <c r="M527" s="21" t="inlineStr"/>
      <c r="N527" s="21" t="inlineStr"/>
      <c r="O527" s="21" t="inlineStr"/>
      <c r="P527" s="21" t="inlineStr"/>
      <c r="Q527" s="21" t="inlineStr"/>
      <c r="R527" s="21" t="inlineStr"/>
      <c r="S527" s="21" t="inlineStr"/>
      <c r="T527" s="21" t="inlineStr">
        <is>
          <t>RFB partner (QSA); no Apollo match</t>
        </is>
      </c>
      <c r="U527" s="22" t="n">
        <v>417212.12</v>
      </c>
      <c r="V527" s="39" t="inlineStr">
        <is>
          <t>D</t>
        </is>
      </c>
      <c r="W527" s="24">
        <f>IFERROR(VLOOKUP(V527,Assumptions!$A$7:$F$11,2,FALSE),0)</f>
        <v/>
      </c>
      <c r="X527" s="25">
        <f>IF(V527="A",MAX(1,IFERROR(VLOOKUP(V527,Assumptions!$A$7:$F$11,3,FALSE),3)+IFERROR(VLOOKUP(V527,Assumptions!$A$7:$F$11,4,FALSE),8)/2-MAX(0,IF(AO527="",0,YEAR(TODAY())-AO527)-IFERROR(VLOOKUP(V527,Assumptions!$A$7:$F$11,5,FALSE),1.5))),IFERROR(VLOOKUP(V527,Assumptions!$A$7:$F$11,5,FALSE),2.5)+IFERROR(VLOOKUP(V527,Assumptions!$A$7:$F$11,3,FALSE),3)+IFERROR(VLOOKUP(V527,Assumptions!$A$7:$F$11,4,FALSE),8)/2)</f>
        <v/>
      </c>
      <c r="Y527" s="22">
        <f>U527*W527/(1+Assumptions!$B$3)^X527</f>
        <v/>
      </c>
      <c r="Z527" s="26">
        <f>IF(U527=0,"",ROUND(Y527/U527*100,1))</f>
        <v/>
      </c>
      <c r="AA527" s="27">
        <f>Y527*Assumptions!$B$4</f>
        <v/>
      </c>
      <c r="AB527" s="26">
        <f>IF(U527=0,"",ROUND(AA527/U527*100,1))</f>
        <v/>
      </c>
      <c r="AC527" s="27">
        <f>Y527-AA527</f>
        <v/>
      </c>
      <c r="AD527" s="26">
        <f>IF(U527=0,"",ROUND((Y527-AA527)/U527*100,1))</f>
        <v/>
      </c>
      <c r="AE527" s="36" t="inlineStr">
        <is>
          <t>CHECK — source is not a statutory creditor list</t>
        </is>
      </c>
      <c r="AF527" s="29" t="inlineStr">
        <is>
          <t>https://administradorajudicialgs.com.br/wp-content/uploads/2024/12/relacao-de-credores-da-falida.pdf</t>
        </is>
      </c>
      <c r="AG527" s="28" t="inlineStr">
        <is>
          <t>p15 r22</t>
        </is>
      </c>
      <c r="AH527" s="28" t="inlineStr">
        <is>
          <t>p15: R$ 417.212,12</t>
        </is>
      </c>
      <c r="AI527" s="28" t="inlineStr">
        <is>
          <t>Other filing — NOT an art. 7/51 list</t>
        </is>
      </c>
      <c r="AJ527" s="28" t="inlineStr">
        <is>
          <t>2025-03-25</t>
        </is>
      </c>
      <c r="AK527" s="28" t="inlineStr">
        <is>
          <t>NONE FOUND</t>
        </is>
      </c>
      <c r="AL527" s="30" t="inlineStr">
        <is>
          <t>0005010-50.2013.8.24.0026</t>
        </is>
      </c>
      <c r="AM527" s="30" t="inlineStr">
        <is>
          <t>TJSC</t>
        </is>
      </c>
      <c r="AN527" s="30" t="inlineStr"/>
      <c r="AO527" s="30" t="n">
        <v>2013</v>
      </c>
      <c r="AP527" s="30" t="inlineStr">
        <is>
          <t>document is a falência (bankruptcy) list</t>
        </is>
      </c>
      <c r="AQ527" s="30" t="inlineStr"/>
      <c r="AR527" s="30" t="inlineStr">
        <is>
          <t>printed on the list (read twice)</t>
        </is>
      </c>
      <c r="AS527" s="30" t="inlineStr">
        <is>
          <t>CURITIBA</t>
        </is>
      </c>
      <c r="AT527" s="30" t="inlineStr">
        <is>
          <t>PR</t>
        </is>
      </c>
      <c r="AU527" s="30" t="inlineStr">
        <is>
          <t>Fabricação de artefatos diversos de madeira, exceto móveis</t>
        </is>
      </c>
      <c r="AV527" s="30" t="inlineStr">
        <is>
          <t>DEMAIS</t>
        </is>
      </c>
      <c r="AW527" s="31" t="n">
        <v>6000000</v>
      </c>
      <c r="AX527" s="30" t="inlineStr">
        <is>
          <t>MID-MARKET</t>
        </is>
      </c>
      <c r="AY527" s="30" t="inlineStr">
        <is>
          <t>76495209</t>
        </is>
      </c>
      <c r="AZ527" s="30" t="n">
        <v>1</v>
      </c>
      <c r="BA527" s="30" t="inlineStr">
        <is>
          <t>ROWS:p15r22 UNRECONCILED_SOURCE CASE_NUMBER_CORRECTED</t>
        </is>
      </c>
    </row>
    <row r="528">
      <c r="A528" s="16" t="inlineStr">
        <is>
          <t>COMPANHIA DE DESENVOLVIMENTO DOS VALES DO SAO FRANCISCO E DO PARNAIBA</t>
        </is>
      </c>
      <c r="B528" s="17" t="n">
        <v>410504.45</v>
      </c>
      <c r="C528" s="18" t="inlineStr">
        <is>
          <t>COPA FRUIT IMPORTAÇÃO E EXPORTAÇÃO S.A</t>
        </is>
      </c>
      <c r="D528" s="19" t="inlineStr">
        <is>
          <t>NEW</t>
        </is>
      </c>
      <c r="E528" s="20" t="inlineStr"/>
      <c r="F528" s="19" t="inlineStr"/>
      <c r="G528" s="20" t="inlineStr"/>
      <c r="H528" s="19" t="inlineStr"/>
      <c r="I528" s="21" t="inlineStr">
        <is>
          <t>LUCAS FELIPE DE OLIVEIRA</t>
        </is>
      </c>
      <c r="J528" s="21" t="inlineStr">
        <is>
          <t>Presidente (RFB partner)</t>
        </is>
      </c>
      <c r="K528" s="21" t="inlineStr"/>
      <c r="L528" s="21" t="inlineStr"/>
      <c r="M528" s="21" t="inlineStr"/>
      <c r="N528" s="21" t="inlineStr"/>
      <c r="O528" s="21" t="inlineStr"/>
      <c r="P528" s="21" t="inlineStr">
        <is>
          <t>ALESSANDRA CRISTINA ROSSIN</t>
        </is>
      </c>
      <c r="Q528" s="21" t="inlineStr">
        <is>
          <t>Diretor (RFB partner)</t>
        </is>
      </c>
      <c r="R528" s="21" t="inlineStr"/>
      <c r="S528" s="21" t="inlineStr"/>
      <c r="T528" s="21" t="inlineStr">
        <is>
          <t>RFB partner (QSA); no Apollo match</t>
        </is>
      </c>
      <c r="U528" s="22" t="n">
        <v>410504.45</v>
      </c>
      <c r="V528" s="39" t="inlineStr">
        <is>
          <t>D</t>
        </is>
      </c>
      <c r="W528" s="24">
        <f>IFERROR(VLOOKUP(V528,Assumptions!$A$7:$F$11,2,FALSE),0)</f>
        <v/>
      </c>
      <c r="X528" s="25">
        <f>IF(V528="A",MAX(1,IFERROR(VLOOKUP(V528,Assumptions!$A$7:$F$11,3,FALSE),3)+IFERROR(VLOOKUP(V528,Assumptions!$A$7:$F$11,4,FALSE),8)/2-MAX(0,IF(AO528="",0,YEAR(TODAY())-AO528)-IFERROR(VLOOKUP(V528,Assumptions!$A$7:$F$11,5,FALSE),1.5))),IFERROR(VLOOKUP(V528,Assumptions!$A$7:$F$11,5,FALSE),2.5)+IFERROR(VLOOKUP(V528,Assumptions!$A$7:$F$11,3,FALSE),3)+IFERROR(VLOOKUP(V528,Assumptions!$A$7:$F$11,4,FALSE),8)/2)</f>
        <v/>
      </c>
      <c r="Y528" s="22">
        <f>U528*W528/(1+Assumptions!$B$3)^X528</f>
        <v/>
      </c>
      <c r="Z528" s="26">
        <f>IF(U528=0,"",ROUND(Y528/U528*100,1))</f>
        <v/>
      </c>
      <c r="AA528" s="27">
        <f>Y528*Assumptions!$B$4</f>
        <v/>
      </c>
      <c r="AB528" s="26">
        <f>IF(U528=0,"",ROUND(AA528/U528*100,1))</f>
        <v/>
      </c>
      <c r="AC528" s="27">
        <f>Y528-AA528</f>
        <v/>
      </c>
      <c r="AD528" s="26">
        <f>IF(U528=0,"",ROUND((Y528-AA528)/U528*100,1))</f>
        <v/>
      </c>
      <c r="AE528" s="33" t="inlineStr">
        <is>
          <t>NO TOTALS — list prints none; check page</t>
        </is>
      </c>
      <c r="AF528" s="29" t="inlineStr">
        <is>
          <t>https://diligence.adm.br/wp-content/plugins/download-attachments/includes/download.php?id=4579</t>
        </is>
      </c>
      <c r="AG528" s="28" t="inlineStr">
        <is>
          <t>p8 r4</t>
        </is>
      </c>
      <c r="AH528" s="28" t="inlineStr">
        <is>
          <t>p8: R$ 410.504,45</t>
        </is>
      </c>
      <c r="AI528" s="28" t="inlineStr">
        <is>
          <t>AJ list (art. 7 §2)</t>
        </is>
      </c>
      <c r="AJ528" s="28" t="inlineStr">
        <is>
          <t>2024-06-11</t>
        </is>
      </c>
      <c r="AK528" s="28" t="inlineStr">
        <is>
          <t>NONE FOUND</t>
        </is>
      </c>
      <c r="AL528" s="30" t="inlineStr">
        <is>
          <t>0032731-52.2010.8.17.0001</t>
        </is>
      </c>
      <c r="AM528" s="30" t="inlineStr">
        <is>
          <t>TJPE</t>
        </is>
      </c>
      <c r="AN528" s="30" t="inlineStr"/>
      <c r="AO528" s="30" t="n">
        <v>2010</v>
      </c>
      <c r="AP528" s="30" t="inlineStr">
        <is>
          <t>document is a falência (bankruptcy) list</t>
        </is>
      </c>
      <c r="AQ528" s="30" t="inlineStr">
        <is>
          <t>01.356.809/0001-13</t>
        </is>
      </c>
      <c r="AR528" s="30" t="inlineStr">
        <is>
          <t>printed on the list (read twice)</t>
        </is>
      </c>
      <c r="AS528" s="30" t="inlineStr">
        <is>
          <t>BRASILIA</t>
        </is>
      </c>
      <c r="AT528" s="30" t="inlineStr">
        <is>
          <t>DF</t>
        </is>
      </c>
      <c r="AU528" s="30" t="inlineStr">
        <is>
          <t>Administração pública em geral</t>
        </is>
      </c>
      <c r="AV528" s="30" t="inlineStr">
        <is>
          <t>DEMAIS</t>
        </is>
      </c>
      <c r="AW528" s="31" t="n">
        <v>8802280000</v>
      </c>
      <c r="AX528" s="30" t="inlineStr">
        <is>
          <t>LARGE CORP</t>
        </is>
      </c>
      <c r="AY528" s="30" t="inlineStr">
        <is>
          <t>00399857</t>
        </is>
      </c>
      <c r="AZ528" s="30" t="n">
        <v>1</v>
      </c>
      <c r="BA528" s="30" t="inlineStr">
        <is>
          <t>ROWS:p8r4 UNRECONCILED_SOURCE VALUE_COL:Crédito_1ª_Lista</t>
        </is>
      </c>
    </row>
    <row r="529">
      <c r="A529" s="16" t="inlineStr">
        <is>
          <t>LINEA BRASIL IND E COM DE MOVEIS LTDA</t>
        </is>
      </c>
      <c r="B529" s="17" t="n">
        <v>224015.98</v>
      </c>
      <c r="C529" s="18" t="inlineStr">
        <is>
          <t>CREDIMÓVEIS NOVOLAR LTDA.</t>
        </is>
      </c>
      <c r="D529" s="19" t="inlineStr">
        <is>
          <t>NEW</t>
        </is>
      </c>
      <c r="E529" s="20" t="inlineStr"/>
      <c r="F529" s="19" t="inlineStr"/>
      <c r="G529" s="20" t="inlineStr"/>
      <c r="H529" s="19" t="inlineStr"/>
      <c r="I529" s="21" t="inlineStr">
        <is>
          <t>Claudio Fernandes</t>
        </is>
      </c>
      <c r="J529" s="21" t="inlineStr">
        <is>
          <t>Financial Coordinator</t>
        </is>
      </c>
      <c r="K529" s="21" t="inlineStr">
        <is>
          <t>(43) 3056-3780</t>
        </is>
      </c>
      <c r="L529" s="21" t="inlineStr"/>
      <c r="M529" s="21" t="inlineStr"/>
      <c r="N529" s="21" t="inlineStr">
        <is>
          <t>claudio.junior@lineabrasil.com.br</t>
        </is>
      </c>
      <c r="O529" s="21" t="inlineStr">
        <is>
          <t>cristiano.costa@lineabrasil.com.br</t>
        </is>
      </c>
      <c r="P529" s="21" t="inlineStr">
        <is>
          <t>Cristiano Costa</t>
        </is>
      </c>
      <c r="Q529" s="21" t="inlineStr">
        <is>
          <t>Gerente de Planejamento &amp; Controle</t>
        </is>
      </c>
      <c r="R529" s="21" t="inlineStr"/>
      <c r="S529" s="21" t="inlineStr">
        <is>
          <t>cristiano.costa@lineabrasil.com.br</t>
        </is>
      </c>
      <c r="T529" s="21" t="inlineStr">
        <is>
          <t>email verified by Apollo</t>
        </is>
      </c>
      <c r="U529" s="22" t="n">
        <v>224015.98</v>
      </c>
      <c r="V529" s="38" t="inlineStr">
        <is>
          <t>C</t>
        </is>
      </c>
      <c r="W529" s="24">
        <f>IFERROR(VLOOKUP(V529,Assumptions!$A$7:$F$11,2,FALSE),0)</f>
        <v/>
      </c>
      <c r="X529" s="25">
        <f>IF(V529="A",MAX(1,IFERROR(VLOOKUP(V529,Assumptions!$A$7:$F$11,3,FALSE),3)+IFERROR(VLOOKUP(V529,Assumptions!$A$7:$F$11,4,FALSE),8)/2-MAX(0,IF(AO529="",0,YEAR(TODAY())-AO529)-IFERROR(VLOOKUP(V529,Assumptions!$A$7:$F$11,5,FALSE),1.5))),IFERROR(VLOOKUP(V529,Assumptions!$A$7:$F$11,5,FALSE),2.5)+IFERROR(VLOOKUP(V529,Assumptions!$A$7:$F$11,3,FALSE),3)+IFERROR(VLOOKUP(V529,Assumptions!$A$7:$F$11,4,FALSE),8)/2)</f>
        <v/>
      </c>
      <c r="Y529" s="22">
        <f>U529*W529/(1+Assumptions!$B$3)^X529</f>
        <v/>
      </c>
      <c r="Z529" s="26">
        <f>IF(U529=0,"",ROUND(Y529/U529*100,1))</f>
        <v/>
      </c>
      <c r="AA529" s="27">
        <f>Y529*Assumptions!$B$4</f>
        <v/>
      </c>
      <c r="AB529" s="26">
        <f>IF(U529=0,"",ROUND(AA529/U529*100,1))</f>
        <v/>
      </c>
      <c r="AC529" s="27">
        <f>Y529-AA529</f>
        <v/>
      </c>
      <c r="AD529" s="26">
        <f>IF(U529=0,"",ROUND((Y529-AA529)/U529*100,1))</f>
        <v/>
      </c>
      <c r="AE529" s="28" t="inlineStr">
        <is>
          <t>OK — totals reconciled</t>
        </is>
      </c>
      <c r="AF529" s="29" t="inlineStr">
        <is>
          <t>https://recuperacaojudicial.squarespace.com/s/RJ-Credimoveis-QGC-01082025.pdf</t>
        </is>
      </c>
      <c r="AG529" s="28" t="inlineStr">
        <is>
          <t>p16 r8</t>
        </is>
      </c>
      <c r="AH529" s="28" t="inlineStr">
        <is>
          <t>p16: R$ 224.015,98</t>
        </is>
      </c>
      <c r="AI529" s="28" t="inlineStr">
        <is>
          <t>QGC (art. 18)</t>
        </is>
      </c>
      <c r="AJ529" s="28" t="inlineStr">
        <is>
          <t>2026-01-28</t>
        </is>
      </c>
      <c r="AK529" s="28" t="inlineStr">
        <is>
          <t>NONE FOUND</t>
        </is>
      </c>
      <c r="AL529" s="30" t="inlineStr">
        <is>
          <t>0007565-40.2020.8.17.2370</t>
        </is>
      </c>
      <c r="AM529" s="30" t="inlineStr">
        <is>
          <t>TJPE</t>
        </is>
      </c>
      <c r="AN529" s="30" t="inlineStr">
        <is>
          <t>ACTIVE</t>
        </is>
      </c>
      <c r="AO529" s="30" t="n">
        <v>2020</v>
      </c>
      <c r="AP529" s="30" t="inlineStr">
        <is>
          <t>6y since filing, no plan document</t>
        </is>
      </c>
      <c r="AQ529" s="30" t="inlineStr">
        <is>
          <t>09.930.165/0001-37</t>
        </is>
      </c>
      <c r="AR529" s="30" t="inlineStr">
        <is>
          <t>printed on the list (read twice)</t>
        </is>
      </c>
      <c r="AS529" s="30" t="inlineStr">
        <is>
          <t>ARAPONGAS</t>
        </is>
      </c>
      <c r="AT529" s="30" t="inlineStr">
        <is>
          <t>PR</t>
        </is>
      </c>
      <c r="AU529" s="30" t="inlineStr">
        <is>
          <t>Fabricação de móveis com predominância de madeira</t>
        </is>
      </c>
      <c r="AV529" s="30" t="inlineStr">
        <is>
          <t>DEMAIS</t>
        </is>
      </c>
      <c r="AW529" s="31" t="n">
        <v>13930000</v>
      </c>
      <c r="AX529" s="30" t="inlineStr">
        <is>
          <t>MID-MARKET</t>
        </is>
      </c>
      <c r="AY529" s="30" t="inlineStr">
        <is>
          <t>95387569</t>
        </is>
      </c>
      <c r="AZ529" s="30" t="n">
        <v>1</v>
      </c>
      <c r="BA529" s="30" t="inlineStr">
        <is>
          <t>ROWS:p16r8</t>
        </is>
      </c>
    </row>
    <row r="530">
      <c r="A530" s="16" t="inlineStr">
        <is>
          <t>USINA DE VENDAS SOLUCOES COMERCIAIS EM DISTRIBUICAO LTDA EM RECUPERACAO JUDICIAL</t>
        </is>
      </c>
      <c r="B530" s="17" t="n">
        <v>223400</v>
      </c>
      <c r="C530" s="18" t="inlineStr">
        <is>
          <t>CREDIMÓVEIS NOVOLAR LTDA.</t>
        </is>
      </c>
      <c r="D530" s="19" t="inlineStr">
        <is>
          <t>NEW</t>
        </is>
      </c>
      <c r="E530" s="20" t="inlineStr"/>
      <c r="F530" s="19" t="inlineStr"/>
      <c r="G530" s="20" t="inlineStr"/>
      <c r="H530" s="19" t="inlineStr"/>
      <c r="I530" s="21" t="inlineStr">
        <is>
          <t>Nelson Dias</t>
        </is>
      </c>
      <c r="J530" s="21" t="inlineStr">
        <is>
          <t>Financial Analyst</t>
        </is>
      </c>
      <c r="K530" s="21" t="inlineStr">
        <is>
          <t>(11) 4179-0001</t>
        </is>
      </c>
      <c r="L530" s="21" t="inlineStr"/>
      <c r="M530" s="21" t="inlineStr"/>
      <c r="N530" s="21" t="inlineStr">
        <is>
          <t>nelson.dias@usinadevendas.com.br</t>
        </is>
      </c>
      <c r="O530" s="21" t="inlineStr">
        <is>
          <t>clodoaldo.ferreira@usinadevendas.com.br</t>
        </is>
      </c>
      <c r="P530" s="21" t="inlineStr">
        <is>
          <t>Clodoaldo Ferreira</t>
        </is>
      </c>
      <c r="Q530" s="21" t="inlineStr">
        <is>
          <t>Sales</t>
        </is>
      </c>
      <c r="R530" s="21" t="inlineStr"/>
      <c r="S530" s="21" t="inlineStr">
        <is>
          <t>clodoaldo.ferreira@usinadevendas.com.br</t>
        </is>
      </c>
      <c r="T530" s="21" t="inlineStr">
        <is>
          <t>email verified by Apollo</t>
        </is>
      </c>
      <c r="U530" s="22" t="n">
        <v>223400</v>
      </c>
      <c r="V530" s="38" t="inlineStr">
        <is>
          <t>C</t>
        </is>
      </c>
      <c r="W530" s="24">
        <f>IFERROR(VLOOKUP(V530,Assumptions!$A$7:$F$11,2,FALSE),0)</f>
        <v/>
      </c>
      <c r="X530" s="25">
        <f>IF(V530="A",MAX(1,IFERROR(VLOOKUP(V530,Assumptions!$A$7:$F$11,3,FALSE),3)+IFERROR(VLOOKUP(V530,Assumptions!$A$7:$F$11,4,FALSE),8)/2-MAX(0,IF(AO530="",0,YEAR(TODAY())-AO530)-IFERROR(VLOOKUP(V530,Assumptions!$A$7:$F$11,5,FALSE),1.5))),IFERROR(VLOOKUP(V530,Assumptions!$A$7:$F$11,5,FALSE),2.5)+IFERROR(VLOOKUP(V530,Assumptions!$A$7:$F$11,3,FALSE),3)+IFERROR(VLOOKUP(V530,Assumptions!$A$7:$F$11,4,FALSE),8)/2)</f>
        <v/>
      </c>
      <c r="Y530" s="22">
        <f>U530*W530/(1+Assumptions!$B$3)^X530</f>
        <v/>
      </c>
      <c r="Z530" s="26">
        <f>IF(U530=0,"",ROUND(Y530/U530*100,1))</f>
        <v/>
      </c>
      <c r="AA530" s="27">
        <f>Y530*Assumptions!$B$4</f>
        <v/>
      </c>
      <c r="AB530" s="26">
        <f>IF(U530=0,"",ROUND(AA530/U530*100,1))</f>
        <v/>
      </c>
      <c r="AC530" s="27">
        <f>Y530-AA530</f>
        <v/>
      </c>
      <c r="AD530" s="26">
        <f>IF(U530=0,"",ROUND((Y530-AA530)/U530*100,1))</f>
        <v/>
      </c>
      <c r="AE530" s="28" t="inlineStr">
        <is>
          <t>OK — totals reconciled</t>
        </is>
      </c>
      <c r="AF530" s="29" t="inlineStr">
        <is>
          <t>https://recuperacaojudicial.squarespace.com/s/RJ-Credimoveis-QGC-01082025.pdf</t>
        </is>
      </c>
      <c r="AG530" s="28" t="inlineStr">
        <is>
          <t>p17 r8</t>
        </is>
      </c>
      <c r="AH530" s="28" t="inlineStr">
        <is>
          <t>p17: R$ 223.400,00</t>
        </is>
      </c>
      <c r="AI530" s="28" t="inlineStr">
        <is>
          <t>QGC (art. 18)</t>
        </is>
      </c>
      <c r="AJ530" s="28" t="inlineStr">
        <is>
          <t>2026-01-28</t>
        </is>
      </c>
      <c r="AK530" s="28" t="inlineStr">
        <is>
          <t>NONE FOUND</t>
        </is>
      </c>
      <c r="AL530" s="30" t="inlineStr">
        <is>
          <t>0007565-40.2020.8.17.2370</t>
        </is>
      </c>
      <c r="AM530" s="30" t="inlineStr">
        <is>
          <t>TJPE</t>
        </is>
      </c>
      <c r="AN530" s="30" t="inlineStr">
        <is>
          <t>ACTIVE</t>
        </is>
      </c>
      <c r="AO530" s="30" t="n">
        <v>2020</v>
      </c>
      <c r="AP530" s="30" t="inlineStr">
        <is>
          <t>6y since filing, no plan document</t>
        </is>
      </c>
      <c r="AQ530" s="30" t="inlineStr">
        <is>
          <t>09.930.165/0001-37</t>
        </is>
      </c>
      <c r="AR530" s="30" t="inlineStr">
        <is>
          <t>printed on the list (read twice)</t>
        </is>
      </c>
      <c r="AS530" s="30" t="inlineStr">
        <is>
          <t>SAO PAULO</t>
        </is>
      </c>
      <c r="AT530" s="30" t="inlineStr">
        <is>
          <t>SP</t>
        </is>
      </c>
      <c r="AU530" s="30" t="inlineStr">
        <is>
          <t>Comércio atacadista de componentes eletrônicos e equipamentos de telefonia e comunicação</t>
        </is>
      </c>
      <c r="AV530" s="30" t="inlineStr">
        <is>
          <t>DEMAIS</t>
        </is>
      </c>
      <c r="AW530" s="31" t="n">
        <v>5531744</v>
      </c>
      <c r="AX530" s="30" t="inlineStr">
        <is>
          <t>MID-MARKET</t>
        </is>
      </c>
      <c r="AY530" s="30" t="inlineStr">
        <is>
          <t>09373468</t>
        </is>
      </c>
      <c r="AZ530" s="30" t="n">
        <v>1</v>
      </c>
      <c r="BA530" s="30" t="inlineStr">
        <is>
          <t>ROWS:p17r8</t>
        </is>
      </c>
    </row>
    <row r="531">
      <c r="A531" s="16" t="inlineStr">
        <is>
          <t>ARCELORMITTAL BRASIL S.A.</t>
        </is>
      </c>
      <c r="B531" s="17" t="n">
        <v>222839.19</v>
      </c>
      <c r="C531" s="18" t="inlineStr">
        <is>
          <t>Roque Materiais para Construção</t>
        </is>
      </c>
      <c r="D531" s="19" t="inlineStr">
        <is>
          <t>NEW</t>
        </is>
      </c>
      <c r="E531" s="20" t="inlineStr"/>
      <c r="F531" s="19" t="inlineStr"/>
      <c r="G531" s="20" t="inlineStr"/>
      <c r="H531" s="19" t="inlineStr"/>
      <c r="I531" s="21" t="inlineStr">
        <is>
          <t>Fabiano Quintao</t>
        </is>
      </c>
      <c r="J531" s="21" t="inlineStr">
        <is>
          <t>Operations Manager</t>
        </is>
      </c>
      <c r="K531" s="21" t="inlineStr">
        <is>
          <t>(31) 3219-1485</t>
        </is>
      </c>
      <c r="L531" s="21" t="inlineStr"/>
      <c r="M531" s="21" t="inlineStr"/>
      <c r="N531" s="21" t="inlineStr">
        <is>
          <t>fabiano.quintao@arcelormittal.com</t>
        </is>
      </c>
      <c r="O531" s="21" t="inlineStr">
        <is>
          <t>julio.barbosa@arcelormittal.com</t>
        </is>
      </c>
      <c r="P531" s="21" t="inlineStr">
        <is>
          <t>Julio Barbosa</t>
        </is>
      </c>
      <c r="Q531" s="21" t="inlineStr">
        <is>
          <t>Controller</t>
        </is>
      </c>
      <c r="R531" s="21" t="inlineStr"/>
      <c r="S531" s="21" t="inlineStr">
        <is>
          <t>julio.barbosa@arcelormittal.com</t>
        </is>
      </c>
      <c r="T531" s="21" t="inlineStr">
        <is>
          <t>email verified by Apollo</t>
        </is>
      </c>
      <c r="U531" s="22" t="n">
        <v>222839.19</v>
      </c>
      <c r="V531" s="38" t="inlineStr">
        <is>
          <t>C</t>
        </is>
      </c>
      <c r="W531" s="24">
        <f>IFERROR(VLOOKUP(V531,Assumptions!$A$7:$F$11,2,FALSE),0)</f>
        <v/>
      </c>
      <c r="X531" s="25">
        <f>IF(V531="A",MAX(1,IFERROR(VLOOKUP(V531,Assumptions!$A$7:$F$11,3,FALSE),3)+IFERROR(VLOOKUP(V531,Assumptions!$A$7:$F$11,4,FALSE),8)/2-MAX(0,IF(AO531="",0,YEAR(TODAY())-AO531)-IFERROR(VLOOKUP(V531,Assumptions!$A$7:$F$11,5,FALSE),1.5))),IFERROR(VLOOKUP(V531,Assumptions!$A$7:$F$11,5,FALSE),2.5)+IFERROR(VLOOKUP(V531,Assumptions!$A$7:$F$11,3,FALSE),3)+IFERROR(VLOOKUP(V531,Assumptions!$A$7:$F$11,4,FALSE),8)/2)</f>
        <v/>
      </c>
      <c r="Y531" s="22">
        <f>U531*W531/(1+Assumptions!$B$3)^X531</f>
        <v/>
      </c>
      <c r="Z531" s="26">
        <f>IF(U531=0,"",ROUND(Y531/U531*100,1))</f>
        <v/>
      </c>
      <c r="AA531" s="27">
        <f>Y531*Assumptions!$B$4</f>
        <v/>
      </c>
      <c r="AB531" s="26">
        <f>IF(U531=0,"",ROUND(AA531/U531*100,1))</f>
        <v/>
      </c>
      <c r="AC531" s="27">
        <f>Y531-AA531</f>
        <v/>
      </c>
      <c r="AD531" s="26">
        <f>IF(U531=0,"",ROUND((Y531-AA531)/U531*100,1))</f>
        <v/>
      </c>
      <c r="AE531" s="28" t="inlineStr">
        <is>
          <t>OK — totals reconciled</t>
        </is>
      </c>
      <c r="AF531" s="29" t="inlineStr">
        <is>
          <t>https://realbrasil.com.br/wp-content/uploads/2018/06/2_LISTA-DE-CREDORES-DA-RECUPERANDA_ROQUE.pdf</t>
        </is>
      </c>
      <c r="AG531" s="28" t="inlineStr">
        <is>
          <t>p2 r9</t>
        </is>
      </c>
      <c r="AH531" s="28" t="inlineStr">
        <is>
          <t>p2: R$ 222.839,19</t>
        </is>
      </c>
      <c r="AI531" s="28" t="inlineStr">
        <is>
          <t>Unclassified list</t>
        </is>
      </c>
      <c r="AJ531" s="28" t="inlineStr"/>
      <c r="AK531" s="28" t="inlineStr">
        <is>
          <t>NONE FOUND</t>
        </is>
      </c>
      <c r="AL531" s="30" t="inlineStr">
        <is>
          <t>0802426-35.2019.8.10.0000</t>
        </is>
      </c>
      <c r="AM531" s="30" t="inlineStr">
        <is>
          <t>TJMA</t>
        </is>
      </c>
      <c r="AN531" s="30" t="inlineStr"/>
      <c r="AO531" s="30" t="n">
        <v>2019</v>
      </c>
      <c r="AP531" s="30" t="inlineStr">
        <is>
          <t>7y since filing, no plan document</t>
        </is>
      </c>
      <c r="AQ531" s="30" t="inlineStr"/>
      <c r="AR531" s="30" t="inlineStr">
        <is>
          <t>portal page title / URL — not printed on the list</t>
        </is>
      </c>
      <c r="AS531" s="30" t="inlineStr">
        <is>
          <t>BELO HORIZONTE</t>
        </is>
      </c>
      <c r="AT531" s="30" t="inlineStr">
        <is>
          <t>MG</t>
        </is>
      </c>
      <c r="AU531" s="30" t="inlineStr">
        <is>
          <t>Produção de laminados longos de aço, exceto tubos</t>
        </is>
      </c>
      <c r="AV531" s="30" t="inlineStr">
        <is>
          <t>DEMAIS</t>
        </is>
      </c>
      <c r="AW531" s="31" t="n">
        <v>34465880000</v>
      </c>
      <c r="AX531" s="30" t="inlineStr">
        <is>
          <t>LARGE CORP</t>
        </is>
      </c>
      <c r="AY531" s="30" t="inlineStr">
        <is>
          <t>17469701</t>
        </is>
      </c>
      <c r="AZ531" s="30" t="n">
        <v>1</v>
      </c>
      <c r="BA531" s="30" t="inlineStr">
        <is>
          <t>ROWS:p2r9 VALUE_COL:Saldo_Total</t>
        </is>
      </c>
    </row>
    <row r="532">
      <c r="A532" s="16" t="inlineStr">
        <is>
          <t>RECORD PARTICIPACOES LTDA</t>
        </is>
      </c>
      <c r="B532" s="17" t="n">
        <v>222369.09</v>
      </c>
      <c r="C532" s="18" t="inlineStr">
        <is>
          <t>GRUPO ARNON DE MELLO</t>
        </is>
      </c>
      <c r="D532" s="19" t="inlineStr">
        <is>
          <t>NEW</t>
        </is>
      </c>
      <c r="E532" s="20" t="inlineStr"/>
      <c r="F532" s="19" t="inlineStr"/>
      <c r="G532" s="20" t="inlineStr"/>
      <c r="H532" s="19" t="inlineStr"/>
      <c r="I532" s="21" t="inlineStr">
        <is>
          <t>CAETANO XIMENES DE ARAGAO FILHO</t>
        </is>
      </c>
      <c r="J532" s="21" t="inlineStr">
        <is>
          <t>Administrador (RFB partner)</t>
        </is>
      </c>
      <c r="K532" s="21" t="inlineStr">
        <is>
          <t>(82) 3177-6500</t>
        </is>
      </c>
      <c r="L532" s="21" t="inlineStr"/>
      <c r="M532" s="21" t="inlineStr"/>
      <c r="N532" s="21" t="inlineStr"/>
      <c r="O532" s="21" t="inlineStr"/>
      <c r="P532" s="21" t="inlineStr">
        <is>
          <t>HELIO RIBEIRO DE ABREU</t>
        </is>
      </c>
      <c r="Q532" s="21" t="inlineStr">
        <is>
          <t>Administrador (RFB partner)</t>
        </is>
      </c>
      <c r="R532" s="21" t="inlineStr"/>
      <c r="S532" s="21" t="inlineStr"/>
      <c r="T532" s="21" t="inlineStr">
        <is>
          <t>RFB partner (QSA); no Apollo match</t>
        </is>
      </c>
      <c r="U532" s="22" t="n">
        <v>222369.09</v>
      </c>
      <c r="V532" s="38" t="inlineStr">
        <is>
          <t>C</t>
        </is>
      </c>
      <c r="W532" s="24">
        <f>IFERROR(VLOOKUP(V532,Assumptions!$A$7:$F$11,2,FALSE),0)</f>
        <v/>
      </c>
      <c r="X532" s="25">
        <f>IF(V532="A",MAX(1,IFERROR(VLOOKUP(V532,Assumptions!$A$7:$F$11,3,FALSE),3)+IFERROR(VLOOKUP(V532,Assumptions!$A$7:$F$11,4,FALSE),8)/2-MAX(0,IF(AO532="",0,YEAR(TODAY())-AO532)-IFERROR(VLOOKUP(V532,Assumptions!$A$7:$F$11,5,FALSE),1.5))),IFERROR(VLOOKUP(V532,Assumptions!$A$7:$F$11,5,FALSE),2.5)+IFERROR(VLOOKUP(V532,Assumptions!$A$7:$F$11,3,FALSE),3)+IFERROR(VLOOKUP(V532,Assumptions!$A$7:$F$11,4,FALSE),8)/2)</f>
        <v/>
      </c>
      <c r="Y532" s="22">
        <f>U532*W532/(1+Assumptions!$B$3)^X532</f>
        <v/>
      </c>
      <c r="Z532" s="26">
        <f>IF(U532=0,"",ROUND(Y532/U532*100,1))</f>
        <v/>
      </c>
      <c r="AA532" s="27">
        <f>Y532*Assumptions!$B$4</f>
        <v/>
      </c>
      <c r="AB532" s="26">
        <f>IF(U532=0,"",ROUND(AA532/U532*100,1))</f>
        <v/>
      </c>
      <c r="AC532" s="27">
        <f>Y532-AA532</f>
        <v/>
      </c>
      <c r="AD532" s="26">
        <f>IF(U532=0,"",ROUND((Y532-AA532)/U532*100,1))</f>
        <v/>
      </c>
      <c r="AE532" s="33" t="inlineStr">
        <is>
          <t>NO TOTALS — list prints none; check page</t>
        </is>
      </c>
      <c r="AF532" s="29" t="inlineStr">
        <is>
          <t>https://recuperacaojudicial.squarespace.com/s/RJ-Grupo-Arnon-de-Melo-Lista-de-Credores-Consolidada-abril-2022.pdf</t>
        </is>
      </c>
      <c r="AG532" s="28" t="inlineStr">
        <is>
          <t>p9 r10</t>
        </is>
      </c>
      <c r="AH532" s="28" t="inlineStr">
        <is>
          <t>p9: R$ 222.369,09</t>
        </is>
      </c>
      <c r="AI532" s="28" t="inlineStr">
        <is>
          <t>AJ list (art. 7 §2)</t>
        </is>
      </c>
      <c r="AJ532" s="28" t="inlineStr"/>
      <c r="AK532" s="28" t="inlineStr">
        <is>
          <t>NONE FOUND</t>
        </is>
      </c>
      <c r="AL532" s="30" t="inlineStr">
        <is>
          <t>0700256-03.2019.8.02.0066</t>
        </is>
      </c>
      <c r="AM532" s="30" t="inlineStr">
        <is>
          <t>TJAL</t>
        </is>
      </c>
      <c r="AN532" s="30" t="inlineStr"/>
      <c r="AO532" s="30" t="n">
        <v>2019</v>
      </c>
      <c r="AP532" s="30" t="inlineStr">
        <is>
          <t>7y since filing, no plan document</t>
        </is>
      </c>
      <c r="AQ532" s="30" t="inlineStr">
        <is>
          <t>12.503.801/0001-59</t>
        </is>
      </c>
      <c r="AR532" s="30" t="inlineStr">
        <is>
          <t>printed on the list (read twice)</t>
        </is>
      </c>
      <c r="AS532" s="30" t="inlineStr">
        <is>
          <t>MACEIO</t>
        </is>
      </c>
      <c r="AT532" s="30" t="inlineStr">
        <is>
          <t>AL</t>
        </is>
      </c>
      <c r="AU532" s="30" t="inlineStr">
        <is>
          <t>Incorporação de empreendimentos imobiliários</t>
        </is>
      </c>
      <c r="AV532" s="30" t="inlineStr">
        <is>
          <t>DEMAIS</t>
        </is>
      </c>
      <c r="AW532" s="31" t="n">
        <v>3597336</v>
      </c>
      <c r="AX532" s="30" t="inlineStr">
        <is>
          <t>MID-MARKET</t>
        </is>
      </c>
      <c r="AY532" s="30" t="inlineStr">
        <is>
          <t>09260643</t>
        </is>
      </c>
      <c r="AZ532" s="30" t="n">
        <v>1</v>
      </c>
      <c r="BA532" s="30" t="inlineStr">
        <is>
          <t>ROWS:p9r10 UNRECONCILED_SOURCE</t>
        </is>
      </c>
    </row>
    <row r="533">
      <c r="A533" s="16" t="inlineStr">
        <is>
          <t>MOVEIS RODIAL LTDA</t>
        </is>
      </c>
      <c r="B533" s="17" t="n">
        <v>219780</v>
      </c>
      <c r="C533" s="18" t="inlineStr">
        <is>
          <t>CREDIMÓVEIS NOVOLAR LTDA.</t>
        </is>
      </c>
      <c r="D533" s="19" t="inlineStr">
        <is>
          <t>NEW</t>
        </is>
      </c>
      <c r="E533" s="20" t="inlineStr"/>
      <c r="F533" s="19" t="inlineStr"/>
      <c r="G533" s="20" t="inlineStr"/>
      <c r="H533" s="19" t="inlineStr"/>
      <c r="I533" s="21" t="inlineStr">
        <is>
          <t>Maria Matias</t>
        </is>
      </c>
      <c r="J533" s="21" t="inlineStr">
        <is>
          <t>Analista de Crédito e Contas a Receber</t>
        </is>
      </c>
      <c r="K533" s="21" t="inlineStr"/>
      <c r="L533" s="21" t="inlineStr"/>
      <c r="M533" s="21" t="inlineStr"/>
      <c r="N533" s="21" t="inlineStr">
        <is>
          <t>maria@rodial.com.br</t>
        </is>
      </c>
      <c r="O533" s="21" t="inlineStr">
        <is>
          <t>pivotto@rodial.com.br</t>
        </is>
      </c>
      <c r="P533" s="21" t="inlineStr">
        <is>
          <t>Lp Pivotto</t>
        </is>
      </c>
      <c r="Q533" s="21" t="inlineStr">
        <is>
          <t>Manager</t>
        </is>
      </c>
      <c r="R533" s="21" t="inlineStr"/>
      <c r="S533" s="21" t="inlineStr">
        <is>
          <t>pivotto@rodial.com.br</t>
        </is>
      </c>
      <c r="T533" s="21" t="inlineStr">
        <is>
          <t>email is pattern-guessed, not verified</t>
        </is>
      </c>
      <c r="U533" s="22" t="n">
        <v>219780</v>
      </c>
      <c r="V533" s="38" t="inlineStr">
        <is>
          <t>C</t>
        </is>
      </c>
      <c r="W533" s="24">
        <f>IFERROR(VLOOKUP(V533,Assumptions!$A$7:$F$11,2,FALSE),0)</f>
        <v/>
      </c>
      <c r="X533" s="25">
        <f>IF(V533="A",MAX(1,IFERROR(VLOOKUP(V533,Assumptions!$A$7:$F$11,3,FALSE),3)+IFERROR(VLOOKUP(V533,Assumptions!$A$7:$F$11,4,FALSE),8)/2-MAX(0,IF(AO533="",0,YEAR(TODAY())-AO533)-IFERROR(VLOOKUP(V533,Assumptions!$A$7:$F$11,5,FALSE),1.5))),IFERROR(VLOOKUP(V533,Assumptions!$A$7:$F$11,5,FALSE),2.5)+IFERROR(VLOOKUP(V533,Assumptions!$A$7:$F$11,3,FALSE),3)+IFERROR(VLOOKUP(V533,Assumptions!$A$7:$F$11,4,FALSE),8)/2)</f>
        <v/>
      </c>
      <c r="Y533" s="22">
        <f>U533*W533/(1+Assumptions!$B$3)^X533</f>
        <v/>
      </c>
      <c r="Z533" s="26">
        <f>IF(U533=0,"",ROUND(Y533/U533*100,1))</f>
        <v/>
      </c>
      <c r="AA533" s="27">
        <f>Y533*Assumptions!$B$4</f>
        <v/>
      </c>
      <c r="AB533" s="26">
        <f>IF(U533=0,"",ROUND(AA533/U533*100,1))</f>
        <v/>
      </c>
      <c r="AC533" s="27">
        <f>Y533-AA533</f>
        <v/>
      </c>
      <c r="AD533" s="26">
        <f>IF(U533=0,"",ROUND((Y533-AA533)/U533*100,1))</f>
        <v/>
      </c>
      <c r="AE533" s="28" t="inlineStr">
        <is>
          <t>OK — totals reconciled</t>
        </is>
      </c>
      <c r="AF533" s="29" t="inlineStr">
        <is>
          <t>https://recuperacaojudicial.squarespace.com/s/RJ-Credimoveis-QGC-01082025.pdf</t>
        </is>
      </c>
      <c r="AG533" s="28" t="inlineStr">
        <is>
          <t>p16 r24</t>
        </is>
      </c>
      <c r="AH533" s="28" t="inlineStr">
        <is>
          <t>p16: R$ 219.780,00</t>
        </is>
      </c>
      <c r="AI533" s="28" t="inlineStr">
        <is>
          <t>QGC (art. 18)</t>
        </is>
      </c>
      <c r="AJ533" s="28" t="inlineStr">
        <is>
          <t>2026-01-28</t>
        </is>
      </c>
      <c r="AK533" s="28" t="inlineStr">
        <is>
          <t>NONE FOUND</t>
        </is>
      </c>
      <c r="AL533" s="30" t="inlineStr">
        <is>
          <t>0007565-40.2020.8.17.2370</t>
        </is>
      </c>
      <c r="AM533" s="30" t="inlineStr">
        <is>
          <t>TJPE</t>
        </is>
      </c>
      <c r="AN533" s="30" t="inlineStr">
        <is>
          <t>ACTIVE</t>
        </is>
      </c>
      <c r="AO533" s="30" t="n">
        <v>2020</v>
      </c>
      <c r="AP533" s="30" t="inlineStr">
        <is>
          <t>6y since filing, no plan document</t>
        </is>
      </c>
      <c r="AQ533" s="30" t="inlineStr">
        <is>
          <t>09.930.165/0001-37</t>
        </is>
      </c>
      <c r="AR533" s="30" t="inlineStr">
        <is>
          <t>printed on the list (read twice)</t>
        </is>
      </c>
      <c r="AS533" s="30" t="inlineStr">
        <is>
          <t>LAGOA VERMELHA</t>
        </is>
      </c>
      <c r="AT533" s="30" t="inlineStr">
        <is>
          <t>RS</t>
        </is>
      </c>
      <c r="AU533" s="30" t="inlineStr">
        <is>
          <t>Fabricação de móveis com predominância de madeira</t>
        </is>
      </c>
      <c r="AV533" s="30" t="inlineStr">
        <is>
          <t>DEMAIS</t>
        </is>
      </c>
      <c r="AW533" s="31" t="inlineStr"/>
      <c r="AX533" s="30" t="inlineStr">
        <is>
          <t>MID-MARKET</t>
        </is>
      </c>
      <c r="AY533" s="30" t="inlineStr">
        <is>
          <t>91062497</t>
        </is>
      </c>
      <c r="AZ533" s="30" t="n">
        <v>1</v>
      </c>
      <c r="BA533" s="30" t="inlineStr">
        <is>
          <t>ROWS:p16r24</t>
        </is>
      </c>
    </row>
    <row r="534">
      <c r="A534" s="16" t="inlineStr">
        <is>
          <t>DXS GESTAO E CONSULTORIA EMPRESARIAL LTDA</t>
        </is>
      </c>
      <c r="B534" s="17" t="n">
        <v>219405.51</v>
      </c>
      <c r="C534" s="18" t="inlineStr">
        <is>
          <t>VECTOR INDÚSTRIA DE PRODUTOS METALÚRGICOS LTDA.</t>
        </is>
      </c>
      <c r="D534" s="19" t="inlineStr">
        <is>
          <t>NEW</t>
        </is>
      </c>
      <c r="E534" s="20" t="inlineStr"/>
      <c r="F534" s="19" t="inlineStr"/>
      <c r="G534" s="20" t="inlineStr"/>
      <c r="H534" s="19" t="inlineStr"/>
      <c r="I534" s="21" t="inlineStr">
        <is>
          <t>ROSANA FERNANDES PACHECO</t>
        </is>
      </c>
      <c r="J534" s="21" t="inlineStr">
        <is>
          <t>Administrador (RFB partner)</t>
        </is>
      </c>
      <c r="K534" s="21" t="inlineStr">
        <is>
          <t>(11) 4114-8566</t>
        </is>
      </c>
      <c r="L534" s="21" t="inlineStr"/>
      <c r="M534" s="21" t="inlineStr"/>
      <c r="N534" s="21" t="inlineStr"/>
      <c r="O534" s="21" t="inlineStr"/>
      <c r="P534" s="21" t="inlineStr"/>
      <c r="Q534" s="21" t="inlineStr"/>
      <c r="R534" s="21" t="inlineStr"/>
      <c r="S534" s="21" t="inlineStr"/>
      <c r="T534" s="21" t="inlineStr">
        <is>
          <t>RFB partner (QSA); no Apollo match</t>
        </is>
      </c>
      <c r="U534" s="22" t="n">
        <v>219405.51</v>
      </c>
      <c r="V534" s="38" t="inlineStr">
        <is>
          <t>C</t>
        </is>
      </c>
      <c r="W534" s="24">
        <f>IFERROR(VLOOKUP(V534,Assumptions!$A$7:$F$11,2,FALSE),0)</f>
        <v/>
      </c>
      <c r="X534" s="25">
        <f>IF(V534="A",MAX(1,IFERROR(VLOOKUP(V534,Assumptions!$A$7:$F$11,3,FALSE),3)+IFERROR(VLOOKUP(V534,Assumptions!$A$7:$F$11,4,FALSE),8)/2-MAX(0,IF(AO534="",0,YEAR(TODAY())-AO534)-IFERROR(VLOOKUP(V534,Assumptions!$A$7:$F$11,5,FALSE),1.5))),IFERROR(VLOOKUP(V534,Assumptions!$A$7:$F$11,5,FALSE),2.5)+IFERROR(VLOOKUP(V534,Assumptions!$A$7:$F$11,3,FALSE),3)+IFERROR(VLOOKUP(V534,Assumptions!$A$7:$F$11,4,FALSE),8)/2)</f>
        <v/>
      </c>
      <c r="Y534" s="22">
        <f>U534*W534/(1+Assumptions!$B$3)^X534</f>
        <v/>
      </c>
      <c r="Z534" s="26">
        <f>IF(U534=0,"",ROUND(Y534/U534*100,1))</f>
        <v/>
      </c>
      <c r="AA534" s="27">
        <f>Y534*Assumptions!$B$4</f>
        <v/>
      </c>
      <c r="AB534" s="26">
        <f>IF(U534=0,"",ROUND(AA534/U534*100,1))</f>
        <v/>
      </c>
      <c r="AC534" s="27">
        <f>Y534-AA534</f>
        <v/>
      </c>
      <c r="AD534" s="26">
        <f>IF(U534=0,"",ROUND((Y534-AA534)/U534*100,1))</f>
        <v/>
      </c>
      <c r="AE534" s="33" t="inlineStr">
        <is>
          <t>NO TOTALS — list prints none; check page</t>
        </is>
      </c>
      <c r="AF534" s="29" t="inlineStr">
        <is>
          <t>https://scalzilliaj.com.br/sgc/download.php?file=files/processo_documento/processo_documento15513401112022_1_.pdf&amp;nome=15 - Edital do art. 7º, §2º (segunda lista de credores) e do art. 53 da Lei 11.101/2005 (recebimento do plano)</t>
        </is>
      </c>
      <c r="AG534" s="28" t="inlineStr">
        <is>
          <t>p6 r36</t>
        </is>
      </c>
      <c r="AH534" s="28" t="inlineStr">
        <is>
          <t>p6: R$ 219.405,51</t>
        </is>
      </c>
      <c r="AI534" s="28" t="inlineStr">
        <is>
          <t>AJ list (art. 7 §2)</t>
        </is>
      </c>
      <c r="AJ534" s="28" t="inlineStr">
        <is>
          <t>2022-11-01</t>
        </is>
      </c>
      <c r="AK534" s="28" t="inlineStr">
        <is>
          <t>NONE FOUND</t>
        </is>
      </c>
      <c r="AL534" s="30" t="inlineStr">
        <is>
          <t>5014104-85.2021.8.21.0010</t>
        </is>
      </c>
      <c r="AM534" s="30" t="inlineStr">
        <is>
          <t>TJRS</t>
        </is>
      </c>
      <c r="AN534" s="30" t="inlineStr">
        <is>
          <t>ACTIVE</t>
        </is>
      </c>
      <c r="AO534" s="30" t="n">
        <v>2021</v>
      </c>
      <c r="AP534" s="30" t="inlineStr">
        <is>
          <t>5y since filing, no plan document</t>
        </is>
      </c>
      <c r="AQ534" s="30" t="inlineStr">
        <is>
          <t>03.018.339/0001-03</t>
        </is>
      </c>
      <c r="AR534" s="30" t="inlineStr">
        <is>
          <t>printed on the list (read twice)</t>
        </is>
      </c>
      <c r="AS534" s="30" t="inlineStr">
        <is>
          <t>SAO PAULO</t>
        </is>
      </c>
      <c r="AT534" s="30" t="inlineStr">
        <is>
          <t>SP</t>
        </is>
      </c>
      <c r="AU534" s="30" t="inlineStr">
        <is>
          <t>Consultoria em tecnologia da informação</t>
        </is>
      </c>
      <c r="AV534" s="30" t="inlineStr">
        <is>
          <t>DEMAIS</t>
        </is>
      </c>
      <c r="AW534" s="31" t="n">
        <v>95400</v>
      </c>
      <c r="AX534" s="30" t="inlineStr">
        <is>
          <t>MID-MARKET</t>
        </is>
      </c>
      <c r="AY534" s="30" t="inlineStr">
        <is>
          <t>30177427</t>
        </is>
      </c>
      <c r="AZ534" s="30" t="n">
        <v>1</v>
      </c>
      <c r="BA534" s="30" t="inlineStr">
        <is>
          <t>ROWS:p6r36 UNRECONCILED_SOURCE</t>
        </is>
      </c>
    </row>
    <row r="535">
      <c r="A535" s="16" t="inlineStr">
        <is>
          <t>TETO PLANEJAMENTO E INCORPORACOES LTDA</t>
        </is>
      </c>
      <c r="B535" s="17" t="n">
        <v>217484.26</v>
      </c>
      <c r="C535" s="18" t="inlineStr">
        <is>
          <t>GRUPO ARNON DE MELLO</t>
        </is>
      </c>
      <c r="D535" s="19" t="inlineStr">
        <is>
          <t>NEW</t>
        </is>
      </c>
      <c r="E535" s="20" t="inlineStr"/>
      <c r="F535" s="19" t="inlineStr"/>
      <c r="G535" s="20" t="inlineStr"/>
      <c r="H535" s="19" t="inlineStr"/>
      <c r="I535" s="21" t="inlineStr">
        <is>
          <t>Suellen Lima</t>
        </is>
      </c>
      <c r="J535" s="21" t="inlineStr">
        <is>
          <t>Office Assistant</t>
        </is>
      </c>
      <c r="K535" s="21" t="inlineStr">
        <is>
          <t>(82) 3313-7983</t>
        </is>
      </c>
      <c r="L535" s="21" t="inlineStr"/>
      <c r="M535" s="21" t="inlineStr"/>
      <c r="N535" s="21" t="inlineStr">
        <is>
          <t>suellen@tetoplanejamento.com.br</t>
        </is>
      </c>
      <c r="O535" s="21" t="inlineStr">
        <is>
          <t>leonardo@tetoplanejamento.com.br</t>
        </is>
      </c>
      <c r="P535" s="21" t="inlineStr">
        <is>
          <t>Leonardo Santana</t>
        </is>
      </c>
      <c r="Q535" s="21" t="inlineStr">
        <is>
          <t>Engineering Intern</t>
        </is>
      </c>
      <c r="R535" s="21" t="inlineStr"/>
      <c r="S535" s="21" t="inlineStr">
        <is>
          <t>leonardo@tetoplanejamento.com.br</t>
        </is>
      </c>
      <c r="T535" s="21" t="inlineStr">
        <is>
          <t>email is pattern-guessed, not verified</t>
        </is>
      </c>
      <c r="U535" s="22" t="n">
        <v>217484.26</v>
      </c>
      <c r="V535" s="38" t="inlineStr">
        <is>
          <t>C</t>
        </is>
      </c>
      <c r="W535" s="24">
        <f>IFERROR(VLOOKUP(V535,Assumptions!$A$7:$F$11,2,FALSE),0)</f>
        <v/>
      </c>
      <c r="X535" s="25">
        <f>IF(V535="A",MAX(1,IFERROR(VLOOKUP(V535,Assumptions!$A$7:$F$11,3,FALSE),3)+IFERROR(VLOOKUP(V535,Assumptions!$A$7:$F$11,4,FALSE),8)/2-MAX(0,IF(AO535="",0,YEAR(TODAY())-AO535)-IFERROR(VLOOKUP(V535,Assumptions!$A$7:$F$11,5,FALSE),1.5))),IFERROR(VLOOKUP(V535,Assumptions!$A$7:$F$11,5,FALSE),2.5)+IFERROR(VLOOKUP(V535,Assumptions!$A$7:$F$11,3,FALSE),3)+IFERROR(VLOOKUP(V535,Assumptions!$A$7:$F$11,4,FALSE),8)/2)</f>
        <v/>
      </c>
      <c r="Y535" s="22">
        <f>U535*W535/(1+Assumptions!$B$3)^X535</f>
        <v/>
      </c>
      <c r="Z535" s="26">
        <f>IF(U535=0,"",ROUND(Y535/U535*100,1))</f>
        <v/>
      </c>
      <c r="AA535" s="27">
        <f>Y535*Assumptions!$B$4</f>
        <v/>
      </c>
      <c r="AB535" s="26">
        <f>IF(U535=0,"",ROUND(AA535/U535*100,1))</f>
        <v/>
      </c>
      <c r="AC535" s="27">
        <f>Y535-AA535</f>
        <v/>
      </c>
      <c r="AD535" s="26">
        <f>IF(U535=0,"",ROUND((Y535-AA535)/U535*100,1))</f>
        <v/>
      </c>
      <c r="AE535" s="33" t="inlineStr">
        <is>
          <t>NO TOTALS — list prints none; check page</t>
        </is>
      </c>
      <c r="AF535" s="29" t="inlineStr">
        <is>
          <t>https://recuperacaojudicial.squarespace.com/s/RJ-Grupo-Arnon-de-Melo-Lista-de-Credores-Consolidada-abril-2022.pdf</t>
        </is>
      </c>
      <c r="AG535" s="28" t="inlineStr">
        <is>
          <t>p9 r36</t>
        </is>
      </c>
      <c r="AH535" s="28" t="inlineStr">
        <is>
          <t>p9: R$ 217.484,26</t>
        </is>
      </c>
      <c r="AI535" s="28" t="inlineStr">
        <is>
          <t>AJ list (art. 7 §2)</t>
        </is>
      </c>
      <c r="AJ535" s="28" t="inlineStr"/>
      <c r="AK535" s="28" t="inlineStr">
        <is>
          <t>NONE FOUND</t>
        </is>
      </c>
      <c r="AL535" s="30" t="inlineStr">
        <is>
          <t>0700256-03.2019.8.02.0066</t>
        </is>
      </c>
      <c r="AM535" s="30" t="inlineStr">
        <is>
          <t>TJAL</t>
        </is>
      </c>
      <c r="AN535" s="30" t="inlineStr"/>
      <c r="AO535" s="30" t="n">
        <v>2019</v>
      </c>
      <c r="AP535" s="30" t="inlineStr">
        <is>
          <t>7y since filing, no plan document</t>
        </is>
      </c>
      <c r="AQ535" s="30" t="inlineStr">
        <is>
          <t>12.503.801/0001-59</t>
        </is>
      </c>
      <c r="AR535" s="30" t="inlineStr">
        <is>
          <t>printed on the list (read twice)</t>
        </is>
      </c>
      <c r="AS535" s="30" t="inlineStr">
        <is>
          <t>MACEIO</t>
        </is>
      </c>
      <c r="AT535" s="30" t="inlineStr">
        <is>
          <t>AL</t>
        </is>
      </c>
      <c r="AU535" s="30" t="inlineStr">
        <is>
          <t>Construção de edifícios</t>
        </is>
      </c>
      <c r="AV535" s="30" t="inlineStr">
        <is>
          <t>DEMAIS</t>
        </is>
      </c>
      <c r="AW535" s="31" t="n">
        <v>1110000</v>
      </c>
      <c r="AX535" s="30" t="inlineStr">
        <is>
          <t>MID-MARKET</t>
        </is>
      </c>
      <c r="AY535" s="30" t="inlineStr">
        <is>
          <t>10811586</t>
        </is>
      </c>
      <c r="AZ535" s="30" t="n">
        <v>1</v>
      </c>
      <c r="BA535" s="30" t="inlineStr">
        <is>
          <t>ROWS:p9r36 UNRECONCILED_SOURCE</t>
        </is>
      </c>
    </row>
    <row r="536">
      <c r="A536" s="16" t="inlineStr">
        <is>
          <t>ARAPLAC INDUSTRIA E COMERCIO DE MOVEIS LTDA</t>
        </is>
      </c>
      <c r="B536" s="17" t="n">
        <v>216381.53</v>
      </c>
      <c r="C536" s="18" t="inlineStr">
        <is>
          <t>CREDIMÓVEIS NOVOLAR LTDA.</t>
        </is>
      </c>
      <c r="D536" s="19" t="inlineStr">
        <is>
          <t>NEW</t>
        </is>
      </c>
      <c r="E536" s="20" t="inlineStr"/>
      <c r="F536" s="19" t="inlineStr"/>
      <c r="G536" s="20" t="inlineStr"/>
      <c r="H536" s="19" t="inlineStr"/>
      <c r="I536" s="21" t="inlineStr">
        <is>
          <t>Solange Nunes</t>
        </is>
      </c>
      <c r="J536" s="21" t="inlineStr">
        <is>
          <t>Auxiliar de Moveis</t>
        </is>
      </c>
      <c r="K536" s="21" t="inlineStr">
        <is>
          <t>(43) 3172-2355</t>
        </is>
      </c>
      <c r="L536" s="21" t="inlineStr"/>
      <c r="M536" s="21" t="inlineStr"/>
      <c r="N536" s="21" t="inlineStr">
        <is>
          <t>solange@araplac.com.br</t>
        </is>
      </c>
      <c r="O536" s="21" t="inlineStr"/>
      <c r="P536" s="21" t="inlineStr">
        <is>
          <t>RENATO DE CASTRO LAZARO</t>
        </is>
      </c>
      <c r="Q536" s="21" t="inlineStr">
        <is>
          <t>Administrador (RFB partner)</t>
        </is>
      </c>
      <c r="R536" s="21" t="inlineStr"/>
      <c r="S536" s="21" t="inlineStr"/>
      <c r="T536" s="21" t="inlineStr">
        <is>
          <t>email is pattern-guessed, not verified</t>
        </is>
      </c>
      <c r="U536" s="22" t="n">
        <v>216381.53</v>
      </c>
      <c r="V536" s="38" t="inlineStr">
        <is>
          <t>C</t>
        </is>
      </c>
      <c r="W536" s="24">
        <f>IFERROR(VLOOKUP(V536,Assumptions!$A$7:$F$11,2,FALSE),0)</f>
        <v/>
      </c>
      <c r="X536" s="25">
        <f>IF(V536="A",MAX(1,IFERROR(VLOOKUP(V536,Assumptions!$A$7:$F$11,3,FALSE),3)+IFERROR(VLOOKUP(V536,Assumptions!$A$7:$F$11,4,FALSE),8)/2-MAX(0,IF(AO536="",0,YEAR(TODAY())-AO536)-IFERROR(VLOOKUP(V536,Assumptions!$A$7:$F$11,5,FALSE),1.5))),IFERROR(VLOOKUP(V536,Assumptions!$A$7:$F$11,5,FALSE),2.5)+IFERROR(VLOOKUP(V536,Assumptions!$A$7:$F$11,3,FALSE),3)+IFERROR(VLOOKUP(V536,Assumptions!$A$7:$F$11,4,FALSE),8)/2)</f>
        <v/>
      </c>
      <c r="Y536" s="22">
        <f>U536*W536/(1+Assumptions!$B$3)^X536</f>
        <v/>
      </c>
      <c r="Z536" s="26">
        <f>IF(U536=0,"",ROUND(Y536/U536*100,1))</f>
        <v/>
      </c>
      <c r="AA536" s="27">
        <f>Y536*Assumptions!$B$4</f>
        <v/>
      </c>
      <c r="AB536" s="26">
        <f>IF(U536=0,"",ROUND(AA536/U536*100,1))</f>
        <v/>
      </c>
      <c r="AC536" s="27">
        <f>Y536-AA536</f>
        <v/>
      </c>
      <c r="AD536" s="26">
        <f>IF(U536=0,"",ROUND((Y536-AA536)/U536*100,1))</f>
        <v/>
      </c>
      <c r="AE536" s="28" t="inlineStr">
        <is>
          <t>OK — totals reconciled</t>
        </is>
      </c>
      <c r="AF536" s="29" t="inlineStr">
        <is>
          <t>https://recuperacaojudicial.squarespace.com/s/RJ-Credimoveis-QGC-01082025.pdf</t>
        </is>
      </c>
      <c r="AG536" s="28" t="inlineStr">
        <is>
          <t>p15 r8</t>
        </is>
      </c>
      <c r="AH536" s="28" t="inlineStr">
        <is>
          <t>p15: R$ 216.381,53</t>
        </is>
      </c>
      <c r="AI536" s="28" t="inlineStr">
        <is>
          <t>QGC (art. 18)</t>
        </is>
      </c>
      <c r="AJ536" s="28" t="inlineStr">
        <is>
          <t>2026-01-28</t>
        </is>
      </c>
      <c r="AK536" s="28" t="inlineStr">
        <is>
          <t>NONE FOUND</t>
        </is>
      </c>
      <c r="AL536" s="30" t="inlineStr">
        <is>
          <t>0007565-40.2020.8.17.2370</t>
        </is>
      </c>
      <c r="AM536" s="30" t="inlineStr">
        <is>
          <t>TJPE</t>
        </is>
      </c>
      <c r="AN536" s="30" t="inlineStr">
        <is>
          <t>ACTIVE</t>
        </is>
      </c>
      <c r="AO536" s="30" t="n">
        <v>2020</v>
      </c>
      <c r="AP536" s="30" t="inlineStr">
        <is>
          <t>6y since filing, no plan document</t>
        </is>
      </c>
      <c r="AQ536" s="30" t="inlineStr">
        <is>
          <t>09.930.165/0001-37</t>
        </is>
      </c>
      <c r="AR536" s="30" t="inlineStr">
        <is>
          <t>printed on the list (read twice)</t>
        </is>
      </c>
      <c r="AS536" s="30" t="inlineStr">
        <is>
          <t>ARAPONGAS</t>
        </is>
      </c>
      <c r="AT536" s="30" t="inlineStr">
        <is>
          <t>PR</t>
        </is>
      </c>
      <c r="AU536" s="30" t="inlineStr">
        <is>
          <t>Fabricação de móveis com predominância de madeira</t>
        </is>
      </c>
      <c r="AV536" s="30" t="inlineStr">
        <is>
          <t>DEMAIS</t>
        </is>
      </c>
      <c r="AW536" s="31" t="n">
        <v>3000000</v>
      </c>
      <c r="AX536" s="30" t="inlineStr">
        <is>
          <t>MID-MARKET</t>
        </is>
      </c>
      <c r="AY536" s="30" t="inlineStr">
        <is>
          <t>77215606</t>
        </is>
      </c>
      <c r="AZ536" s="30" t="n">
        <v>1</v>
      </c>
      <c r="BA536" s="30" t="inlineStr">
        <is>
          <t>ROWS:p15r8</t>
        </is>
      </c>
    </row>
    <row r="537">
      <c r="A537" s="16" t="inlineStr">
        <is>
          <t>TOTVS S.A.</t>
        </is>
      </c>
      <c r="B537" s="17" t="n">
        <v>391959.35</v>
      </c>
      <c r="C537" s="18" t="inlineStr">
        <is>
          <t>COPA FRUIT IMPORTAÇÃO E EXPORTAÇÃO S.A</t>
        </is>
      </c>
      <c r="D537" s="19" t="inlineStr">
        <is>
          <t>NEW</t>
        </is>
      </c>
      <c r="E537" s="20" t="inlineStr"/>
      <c r="F537" s="19" t="inlineStr"/>
      <c r="G537" s="20" t="inlineStr"/>
      <c r="H537" s="19" t="inlineStr"/>
      <c r="I537" s="21" t="inlineStr">
        <is>
          <t>Maiara Parisotto</t>
        </is>
      </c>
      <c r="J537" s="21" t="inlineStr">
        <is>
          <t>Gerente de Contas a Receber, Crédito e Cobrança</t>
        </is>
      </c>
      <c r="K537" s="21" t="inlineStr">
        <is>
          <t>(11) 4004-0015</t>
        </is>
      </c>
      <c r="L537" s="21" t="inlineStr"/>
      <c r="M537" s="21" t="inlineStr"/>
      <c r="N537" s="21" t="inlineStr">
        <is>
          <t>maiara.parisotto@totvs.com.br</t>
        </is>
      </c>
      <c r="O537" s="21" t="inlineStr"/>
      <c r="P537" s="21" t="inlineStr">
        <is>
          <t>ALEXANDRE HADDAD APENDINO</t>
        </is>
      </c>
      <c r="Q537" s="21" t="inlineStr">
        <is>
          <t>Diretor (RFB partner)</t>
        </is>
      </c>
      <c r="R537" s="21" t="inlineStr"/>
      <c r="S537" s="21" t="inlineStr"/>
      <c r="T537" s="21" t="inlineStr">
        <is>
          <t>email verified by Apollo</t>
        </is>
      </c>
      <c r="U537" s="22" t="n">
        <v>391959.35</v>
      </c>
      <c r="V537" s="39" t="inlineStr">
        <is>
          <t>D</t>
        </is>
      </c>
      <c r="W537" s="24">
        <f>IFERROR(VLOOKUP(V537,Assumptions!$A$7:$F$11,2,FALSE),0)</f>
        <v/>
      </c>
      <c r="X537" s="25">
        <f>IF(V537="A",MAX(1,IFERROR(VLOOKUP(V537,Assumptions!$A$7:$F$11,3,FALSE),3)+IFERROR(VLOOKUP(V537,Assumptions!$A$7:$F$11,4,FALSE),8)/2-MAX(0,IF(AO537="",0,YEAR(TODAY())-AO537)-IFERROR(VLOOKUP(V537,Assumptions!$A$7:$F$11,5,FALSE),1.5))),IFERROR(VLOOKUP(V537,Assumptions!$A$7:$F$11,5,FALSE),2.5)+IFERROR(VLOOKUP(V537,Assumptions!$A$7:$F$11,3,FALSE),3)+IFERROR(VLOOKUP(V537,Assumptions!$A$7:$F$11,4,FALSE),8)/2)</f>
        <v/>
      </c>
      <c r="Y537" s="22">
        <f>U537*W537/(1+Assumptions!$B$3)^X537</f>
        <v/>
      </c>
      <c r="Z537" s="26">
        <f>IF(U537=0,"",ROUND(Y537/U537*100,1))</f>
        <v/>
      </c>
      <c r="AA537" s="27">
        <f>Y537*Assumptions!$B$4</f>
        <v/>
      </c>
      <c r="AB537" s="26">
        <f>IF(U537=0,"",ROUND(AA537/U537*100,1))</f>
        <v/>
      </c>
      <c r="AC537" s="27">
        <f>Y537-AA537</f>
        <v/>
      </c>
      <c r="AD537" s="26">
        <f>IF(U537=0,"",ROUND((Y537-AA537)/U537*100,1))</f>
        <v/>
      </c>
      <c r="AE537" s="33" t="inlineStr">
        <is>
          <t>NO TOTALS — list prints none; check page</t>
        </is>
      </c>
      <c r="AF537" s="29" t="inlineStr">
        <is>
          <t>https://diligence.adm.br/wp-content/plugins/download-attachments/includes/download.php?id=4579</t>
        </is>
      </c>
      <c r="AG537" s="28" t="inlineStr">
        <is>
          <t>p8 r12</t>
        </is>
      </c>
      <c r="AH537" s="28" t="inlineStr">
        <is>
          <t>p8: R$ 391.959,35</t>
        </is>
      </c>
      <c r="AI537" s="28" t="inlineStr">
        <is>
          <t>AJ list (art. 7 §2)</t>
        </is>
      </c>
      <c r="AJ537" s="28" t="inlineStr">
        <is>
          <t>2024-06-11</t>
        </is>
      </c>
      <c r="AK537" s="28" t="inlineStr">
        <is>
          <t>NONE FOUND</t>
        </is>
      </c>
      <c r="AL537" s="30" t="inlineStr">
        <is>
          <t>0032731-52.2010.8.17.0001</t>
        </is>
      </c>
      <c r="AM537" s="30" t="inlineStr">
        <is>
          <t>TJPE</t>
        </is>
      </c>
      <c r="AN537" s="30" t="inlineStr"/>
      <c r="AO537" s="30" t="n">
        <v>2010</v>
      </c>
      <c r="AP537" s="30" t="inlineStr">
        <is>
          <t>document is a falência (bankruptcy) list</t>
        </is>
      </c>
      <c r="AQ537" s="30" t="inlineStr">
        <is>
          <t>01.356.809/0001-13</t>
        </is>
      </c>
      <c r="AR537" s="30" t="inlineStr">
        <is>
          <t>printed on the list (read twice)</t>
        </is>
      </c>
      <c r="AS537" s="30" t="inlineStr">
        <is>
          <t>SAO PAULO</t>
        </is>
      </c>
      <c r="AT537" s="30" t="inlineStr">
        <is>
          <t>SP</t>
        </is>
      </c>
      <c r="AU537" s="30" t="inlineStr">
        <is>
          <t>Desenvolvimento de programas de computador sob encomenda</t>
        </is>
      </c>
      <c r="AV537" s="30" t="inlineStr">
        <is>
          <t>DEMAIS</t>
        </is>
      </c>
      <c r="AW537" s="31" t="n">
        <v>2962584600</v>
      </c>
      <c r="AX537" s="30" t="inlineStr">
        <is>
          <t>LARGE CORP</t>
        </is>
      </c>
      <c r="AY537" s="30" t="inlineStr">
        <is>
          <t>53113791</t>
        </is>
      </c>
      <c r="AZ537" s="30" t="n">
        <v>1</v>
      </c>
      <c r="BA537" s="30" t="inlineStr">
        <is>
          <t>ROWS:p8r12 UNRECONCILED_SOURCE VALUE_COL:Crédito_1ª_Lista</t>
        </is>
      </c>
    </row>
    <row r="538">
      <c r="A538" s="16" t="inlineStr">
        <is>
          <t>REISTAR INDUSTRIA E COMERCIO DE ELETRONICOS LTDA EM RECUPERACAO JUDICIAL</t>
        </is>
      </c>
      <c r="B538" s="17" t="n">
        <v>210200.14</v>
      </c>
      <c r="C538" s="18" t="inlineStr">
        <is>
          <t>CREDIMÓVEIS NOVOLAR LTDA.</t>
        </is>
      </c>
      <c r="D538" s="19" t="inlineStr">
        <is>
          <t>NEW</t>
        </is>
      </c>
      <c r="E538" s="20" t="inlineStr"/>
      <c r="F538" s="19" t="inlineStr"/>
      <c r="G538" s="20" t="inlineStr"/>
      <c r="H538" s="19" t="inlineStr"/>
      <c r="I538" s="21" t="inlineStr">
        <is>
          <t>Rodrigo Ribeiro</t>
        </is>
      </c>
      <c r="J538" s="21" t="inlineStr">
        <is>
          <t>Chief Financial Officer</t>
        </is>
      </c>
      <c r="K538" s="21" t="inlineStr">
        <is>
          <t>(71) 9249-0015</t>
        </is>
      </c>
      <c r="L538" s="21" t="inlineStr"/>
      <c r="M538" s="21" t="inlineStr"/>
      <c r="N538" s="21" t="inlineStr">
        <is>
          <t>rodrigo@amvox.com.br</t>
        </is>
      </c>
      <c r="O538" s="21" t="inlineStr">
        <is>
          <t>elienei.reis@amvox.com.br</t>
        </is>
      </c>
      <c r="P538" s="21" t="inlineStr">
        <is>
          <t>Elienei Reis</t>
        </is>
      </c>
      <c r="Q538" s="21" t="inlineStr">
        <is>
          <t>Financial Manager</t>
        </is>
      </c>
      <c r="R538" s="21" t="inlineStr"/>
      <c r="S538" s="21" t="inlineStr">
        <is>
          <t>elienei.reis@amvox.com.br</t>
        </is>
      </c>
      <c r="T538" s="21" t="inlineStr">
        <is>
          <t>email verified by Apollo</t>
        </is>
      </c>
      <c r="U538" s="22" t="n">
        <v>210200.14</v>
      </c>
      <c r="V538" s="38" t="inlineStr">
        <is>
          <t>C</t>
        </is>
      </c>
      <c r="W538" s="24">
        <f>IFERROR(VLOOKUP(V538,Assumptions!$A$7:$F$11,2,FALSE),0)</f>
        <v/>
      </c>
      <c r="X538" s="25">
        <f>IF(V538="A",MAX(1,IFERROR(VLOOKUP(V538,Assumptions!$A$7:$F$11,3,FALSE),3)+IFERROR(VLOOKUP(V538,Assumptions!$A$7:$F$11,4,FALSE),8)/2-MAX(0,IF(AO538="",0,YEAR(TODAY())-AO538)-IFERROR(VLOOKUP(V538,Assumptions!$A$7:$F$11,5,FALSE),1.5))),IFERROR(VLOOKUP(V538,Assumptions!$A$7:$F$11,5,FALSE),2.5)+IFERROR(VLOOKUP(V538,Assumptions!$A$7:$F$11,3,FALSE),3)+IFERROR(VLOOKUP(V538,Assumptions!$A$7:$F$11,4,FALSE),8)/2)</f>
        <v/>
      </c>
      <c r="Y538" s="22">
        <f>U538*W538/(1+Assumptions!$B$3)^X538</f>
        <v/>
      </c>
      <c r="Z538" s="26">
        <f>IF(U538=0,"",ROUND(Y538/U538*100,1))</f>
        <v/>
      </c>
      <c r="AA538" s="27">
        <f>Y538*Assumptions!$B$4</f>
        <v/>
      </c>
      <c r="AB538" s="26">
        <f>IF(U538=0,"",ROUND(AA538/U538*100,1))</f>
        <v/>
      </c>
      <c r="AC538" s="27">
        <f>Y538-AA538</f>
        <v/>
      </c>
      <c r="AD538" s="26">
        <f>IF(U538=0,"",ROUND((Y538-AA538)/U538*100,1))</f>
        <v/>
      </c>
      <c r="AE538" s="28" t="inlineStr">
        <is>
          <t>OK — totals reconciled</t>
        </is>
      </c>
      <c r="AF538" s="29" t="inlineStr">
        <is>
          <t>https://recuperacaojudicial.squarespace.com/s/RJ-Credimoveis-QGC-01082025.pdf</t>
        </is>
      </c>
      <c r="AG538" s="28" t="inlineStr">
        <is>
          <t>p16 r51</t>
        </is>
      </c>
      <c r="AH538" s="28" t="inlineStr">
        <is>
          <t>p16: R$ 210.200,14</t>
        </is>
      </c>
      <c r="AI538" s="28" t="inlineStr">
        <is>
          <t>QGC (art. 18)</t>
        </is>
      </c>
      <c r="AJ538" s="28" t="inlineStr">
        <is>
          <t>2026-01-28</t>
        </is>
      </c>
      <c r="AK538" s="28" t="inlineStr">
        <is>
          <t>NONE FOUND</t>
        </is>
      </c>
      <c r="AL538" s="30" t="inlineStr">
        <is>
          <t>0007565-40.2020.8.17.2370</t>
        </is>
      </c>
      <c r="AM538" s="30" t="inlineStr">
        <is>
          <t>TJPE</t>
        </is>
      </c>
      <c r="AN538" s="30" t="inlineStr">
        <is>
          <t>ACTIVE</t>
        </is>
      </c>
      <c r="AO538" s="30" t="n">
        <v>2020</v>
      </c>
      <c r="AP538" s="30" t="inlineStr">
        <is>
          <t>6y since filing, no plan document</t>
        </is>
      </c>
      <c r="AQ538" s="30" t="inlineStr">
        <is>
          <t>09.930.165/0001-37</t>
        </is>
      </c>
      <c r="AR538" s="30" t="inlineStr">
        <is>
          <t>printed on the list (read twice)</t>
        </is>
      </c>
      <c r="AS538" s="30" t="inlineStr">
        <is>
          <t>CAMACARI</t>
        </is>
      </c>
      <c r="AT538" s="30" t="inlineStr">
        <is>
          <t>BA</t>
        </is>
      </c>
      <c r="AU538" s="30" t="inlineStr">
        <is>
          <t>Fabricação de aparelhos de recepção, reprodução, gravação e amplificação de áudio e vídeo</t>
        </is>
      </c>
      <c r="AV538" s="30" t="inlineStr">
        <is>
          <t>DEMAIS</t>
        </is>
      </c>
      <c r="AW538" s="31" t="n">
        <v>155000000</v>
      </c>
      <c r="AX538" s="30" t="inlineStr">
        <is>
          <t>MID-MARKET</t>
        </is>
      </c>
      <c r="AY538" s="30" t="inlineStr">
        <is>
          <t>05949989</t>
        </is>
      </c>
      <c r="AZ538" s="30" t="n">
        <v>1</v>
      </c>
      <c r="BA538" s="30" t="inlineStr">
        <is>
          <t>ROWS:p16r51</t>
        </is>
      </c>
    </row>
    <row r="539">
      <c r="A539" s="16" t="inlineStr">
        <is>
          <t>L. J. MOVEIS LTDA</t>
        </is>
      </c>
      <c r="B539" s="17" t="n">
        <v>209470.24</v>
      </c>
      <c r="C539" s="18" t="inlineStr">
        <is>
          <t>CREDIMÓVEIS NOVOLAR LTDA.</t>
        </is>
      </c>
      <c r="D539" s="19" t="inlineStr">
        <is>
          <t>NEW</t>
        </is>
      </c>
      <c r="E539" s="20" t="inlineStr"/>
      <c r="F539" s="19" t="inlineStr"/>
      <c r="G539" s="20" t="inlineStr"/>
      <c r="H539" s="19" t="inlineStr"/>
      <c r="I539" s="21" t="inlineStr">
        <is>
          <t>Jadson Gabriel</t>
        </is>
      </c>
      <c r="J539" s="21" t="inlineStr">
        <is>
          <t>Chefe de Depósito</t>
        </is>
      </c>
      <c r="K539" s="21" t="inlineStr">
        <is>
          <t>(32) 3406-0153</t>
        </is>
      </c>
      <c r="L539" s="21" t="inlineStr">
        <is>
          <t>(32) 3406-0154</t>
        </is>
      </c>
      <c r="M539" s="21" t="inlineStr"/>
      <c r="N539" s="21" t="inlineStr"/>
      <c r="O539" s="21" t="inlineStr"/>
      <c r="P539" s="21" t="inlineStr"/>
      <c r="Q539" s="21" t="inlineStr"/>
      <c r="R539" s="21" t="inlineStr"/>
      <c r="S539" s="21" t="inlineStr"/>
      <c r="T539" s="21" t="inlineStr">
        <is>
          <t>no work email found in Apollo</t>
        </is>
      </c>
      <c r="U539" s="22" t="n">
        <v>209470.24</v>
      </c>
      <c r="V539" s="38" t="inlineStr">
        <is>
          <t>C</t>
        </is>
      </c>
      <c r="W539" s="24">
        <f>IFERROR(VLOOKUP(V539,Assumptions!$A$7:$F$11,2,FALSE),0)</f>
        <v/>
      </c>
      <c r="X539" s="25">
        <f>IF(V539="A",MAX(1,IFERROR(VLOOKUP(V539,Assumptions!$A$7:$F$11,3,FALSE),3)+IFERROR(VLOOKUP(V539,Assumptions!$A$7:$F$11,4,FALSE),8)/2-MAX(0,IF(AO539="",0,YEAR(TODAY())-AO539)-IFERROR(VLOOKUP(V539,Assumptions!$A$7:$F$11,5,FALSE),1.5))),IFERROR(VLOOKUP(V539,Assumptions!$A$7:$F$11,5,FALSE),2.5)+IFERROR(VLOOKUP(V539,Assumptions!$A$7:$F$11,3,FALSE),3)+IFERROR(VLOOKUP(V539,Assumptions!$A$7:$F$11,4,FALSE),8)/2)</f>
        <v/>
      </c>
      <c r="Y539" s="22">
        <f>U539*W539/(1+Assumptions!$B$3)^X539</f>
        <v/>
      </c>
      <c r="Z539" s="26">
        <f>IF(U539=0,"",ROUND(Y539/U539*100,1))</f>
        <v/>
      </c>
      <c r="AA539" s="27">
        <f>Y539*Assumptions!$B$4</f>
        <v/>
      </c>
      <c r="AB539" s="26">
        <f>IF(U539=0,"",ROUND(AA539/U539*100,1))</f>
        <v/>
      </c>
      <c r="AC539" s="27">
        <f>Y539-AA539</f>
        <v/>
      </c>
      <c r="AD539" s="26">
        <f>IF(U539=0,"",ROUND((Y539-AA539)/U539*100,1))</f>
        <v/>
      </c>
      <c r="AE539" s="28" t="inlineStr">
        <is>
          <t>OK — totals reconciled</t>
        </is>
      </c>
      <c r="AF539" s="29" t="inlineStr">
        <is>
          <t>https://recuperacaojudicial.squarespace.com/s/RJ-Credimoveis-QGC-01082025.pdf</t>
        </is>
      </c>
      <c r="AG539" s="28" t="inlineStr">
        <is>
          <t>p16 r6</t>
        </is>
      </c>
      <c r="AH539" s="28" t="inlineStr">
        <is>
          <t>p16: R$ 209.470,24</t>
        </is>
      </c>
      <c r="AI539" s="28" t="inlineStr">
        <is>
          <t>QGC (art. 18)</t>
        </is>
      </c>
      <c r="AJ539" s="28" t="inlineStr">
        <is>
          <t>2026-01-28</t>
        </is>
      </c>
      <c r="AK539" s="28" t="inlineStr">
        <is>
          <t>NONE FOUND</t>
        </is>
      </c>
      <c r="AL539" s="30" t="inlineStr">
        <is>
          <t>0007565-40.2020.8.17.2370</t>
        </is>
      </c>
      <c r="AM539" s="30" t="inlineStr">
        <is>
          <t>TJPE</t>
        </is>
      </c>
      <c r="AN539" s="30" t="inlineStr">
        <is>
          <t>ACTIVE</t>
        </is>
      </c>
      <c r="AO539" s="30" t="n">
        <v>2020</v>
      </c>
      <c r="AP539" s="30" t="inlineStr">
        <is>
          <t>6y since filing, no plan document</t>
        </is>
      </c>
      <c r="AQ539" s="30" t="inlineStr">
        <is>
          <t>09.930.165/0001-37</t>
        </is>
      </c>
      <c r="AR539" s="30" t="inlineStr">
        <is>
          <t>printed on the list (read twice)</t>
        </is>
      </c>
      <c r="AS539" s="30" t="inlineStr">
        <is>
          <t>SAO GERALDO</t>
        </is>
      </c>
      <c r="AT539" s="30" t="inlineStr">
        <is>
          <t>MG</t>
        </is>
      </c>
      <c r="AU539" s="30" t="inlineStr">
        <is>
          <t>Fabricação de móveis com predominância de madeira</t>
        </is>
      </c>
      <c r="AV539" s="30" t="inlineStr">
        <is>
          <t>DEMAIS</t>
        </is>
      </c>
      <c r="AW539" s="31" t="n">
        <v>100000</v>
      </c>
      <c r="AX539" s="30" t="inlineStr">
        <is>
          <t>MID-MARKET</t>
        </is>
      </c>
      <c r="AY539" s="30" t="inlineStr">
        <is>
          <t>01792254</t>
        </is>
      </c>
      <c r="AZ539" s="30" t="n">
        <v>1</v>
      </c>
      <c r="BA539" s="30" t="inlineStr">
        <is>
          <t>ROWS:p16r6</t>
        </is>
      </c>
    </row>
    <row r="540">
      <c r="A540" s="16" t="inlineStr">
        <is>
          <t>CONSULTAR ASSIST TEC EM DOCUMENTACAO E INFORMACAO LTDA</t>
        </is>
      </c>
      <c r="B540" s="17" t="n">
        <v>207006.28</v>
      </c>
      <c r="C540" s="18" t="inlineStr">
        <is>
          <t>GRUPO ARNON DE MELLO</t>
        </is>
      </c>
      <c r="D540" s="19" t="inlineStr">
        <is>
          <t>NEW</t>
        </is>
      </c>
      <c r="E540" s="20" t="inlineStr"/>
      <c r="F540" s="19" t="inlineStr"/>
      <c r="G540" s="20" t="inlineStr"/>
      <c r="H540" s="19" t="inlineStr"/>
      <c r="I540" s="21" t="inlineStr">
        <is>
          <t>ANDRE LUIZ SILVA DOS SANTOS</t>
        </is>
      </c>
      <c r="J540" s="21" t="inlineStr">
        <is>
          <t>Sócio-Administrador (RFB partner)</t>
        </is>
      </c>
      <c r="K540" s="21" t="inlineStr">
        <is>
          <t>(82) 9941-0392</t>
        </is>
      </c>
      <c r="L540" s="21" t="inlineStr"/>
      <c r="M540" s="21" t="inlineStr"/>
      <c r="N540" s="21" t="inlineStr"/>
      <c r="O540" s="21" t="inlineStr"/>
      <c r="P540" s="21" t="inlineStr"/>
      <c r="Q540" s="21" t="inlineStr"/>
      <c r="R540" s="21" t="inlineStr"/>
      <c r="S540" s="21" t="inlineStr"/>
      <c r="T540" s="21" t="inlineStr">
        <is>
          <t>RFB partner (QSA); no Apollo match</t>
        </is>
      </c>
      <c r="U540" s="22" t="n">
        <v>207006.28</v>
      </c>
      <c r="V540" s="38" t="inlineStr">
        <is>
          <t>C</t>
        </is>
      </c>
      <c r="W540" s="24">
        <f>IFERROR(VLOOKUP(V540,Assumptions!$A$7:$F$11,2,FALSE),0)</f>
        <v/>
      </c>
      <c r="X540" s="25">
        <f>IF(V540="A",MAX(1,IFERROR(VLOOKUP(V540,Assumptions!$A$7:$F$11,3,FALSE),3)+IFERROR(VLOOKUP(V540,Assumptions!$A$7:$F$11,4,FALSE),8)/2-MAX(0,IF(AO540="",0,YEAR(TODAY())-AO540)-IFERROR(VLOOKUP(V540,Assumptions!$A$7:$F$11,5,FALSE),1.5))),IFERROR(VLOOKUP(V540,Assumptions!$A$7:$F$11,5,FALSE),2.5)+IFERROR(VLOOKUP(V540,Assumptions!$A$7:$F$11,3,FALSE),3)+IFERROR(VLOOKUP(V540,Assumptions!$A$7:$F$11,4,FALSE),8)/2)</f>
        <v/>
      </c>
      <c r="Y540" s="22">
        <f>U540*W540/(1+Assumptions!$B$3)^X540</f>
        <v/>
      </c>
      <c r="Z540" s="26">
        <f>IF(U540=0,"",ROUND(Y540/U540*100,1))</f>
        <v/>
      </c>
      <c r="AA540" s="27">
        <f>Y540*Assumptions!$B$4</f>
        <v/>
      </c>
      <c r="AB540" s="26">
        <f>IF(U540=0,"",ROUND(AA540/U540*100,1))</f>
        <v/>
      </c>
      <c r="AC540" s="27">
        <f>Y540-AA540</f>
        <v/>
      </c>
      <c r="AD540" s="26">
        <f>IF(U540=0,"",ROUND((Y540-AA540)/U540*100,1))</f>
        <v/>
      </c>
      <c r="AE540" s="33" t="inlineStr">
        <is>
          <t>NO TOTALS — list prints none; check page</t>
        </is>
      </c>
      <c r="AF540" s="29" t="inlineStr">
        <is>
          <t>https://recuperacaojudicial.squarespace.com/s/RJ-Grupo-Arnon-de-Melo-Lista-de-Credores-Consolidada-abril-2022.pdf</t>
        </is>
      </c>
      <c r="AG540" s="28" t="inlineStr">
        <is>
          <t>p7 r53</t>
        </is>
      </c>
      <c r="AH540" s="28" t="inlineStr">
        <is>
          <t>p7: R$ 207.006,28</t>
        </is>
      </c>
      <c r="AI540" s="28" t="inlineStr">
        <is>
          <t>AJ list (art. 7 §2)</t>
        </is>
      </c>
      <c r="AJ540" s="28" t="inlineStr"/>
      <c r="AK540" s="28" t="inlineStr">
        <is>
          <t>NONE FOUND</t>
        </is>
      </c>
      <c r="AL540" s="30" t="inlineStr">
        <is>
          <t>0700256-03.2019.8.02.0066</t>
        </is>
      </c>
      <c r="AM540" s="30" t="inlineStr">
        <is>
          <t>TJAL</t>
        </is>
      </c>
      <c r="AN540" s="30" t="inlineStr"/>
      <c r="AO540" s="30" t="n">
        <v>2019</v>
      </c>
      <c r="AP540" s="30" t="inlineStr">
        <is>
          <t>7y since filing, no plan document</t>
        </is>
      </c>
      <c r="AQ540" s="30" t="inlineStr">
        <is>
          <t>12.503.801/0001-59</t>
        </is>
      </c>
      <c r="AR540" s="30" t="inlineStr">
        <is>
          <t>printed on the list (read twice)</t>
        </is>
      </c>
      <c r="AS540" s="30" t="inlineStr">
        <is>
          <t>MACEIO</t>
        </is>
      </c>
      <c r="AT540" s="30" t="inlineStr">
        <is>
          <t>AL</t>
        </is>
      </c>
      <c r="AU540" s="30" t="inlineStr">
        <is>
          <t>Preparação de documentos e serviços especializados de apoio administrativo não especificados anteriormente</t>
        </is>
      </c>
      <c r="AV540" s="30" t="inlineStr">
        <is>
          <t>MICRO EMPRESA</t>
        </is>
      </c>
      <c r="AW540" s="31" t="n">
        <v>150000</v>
      </c>
      <c r="AX540" s="30" t="inlineStr">
        <is>
          <t>SMALL</t>
        </is>
      </c>
      <c r="AY540" s="30" t="inlineStr">
        <is>
          <t>69975530</t>
        </is>
      </c>
      <c r="AZ540" s="30" t="n">
        <v>1</v>
      </c>
      <c r="BA540" s="30" t="inlineStr">
        <is>
          <t>ROWS:p7r53 UNRECONCILED_SOURCE</t>
        </is>
      </c>
    </row>
    <row r="541">
      <c r="A541" s="16" t="inlineStr">
        <is>
          <t>POLIMAN INDUSTRIA E COMERCIO DE MOVEIS LTDA</t>
        </is>
      </c>
      <c r="B541" s="17" t="n">
        <v>205935.56</v>
      </c>
      <c r="C541" s="18" t="inlineStr">
        <is>
          <t>CREDIMÓVEIS NOVOLAR LTDA.</t>
        </is>
      </c>
      <c r="D541" s="19" t="inlineStr">
        <is>
          <t>NEW</t>
        </is>
      </c>
      <c r="E541" s="20" t="inlineStr"/>
      <c r="F541" s="19" t="inlineStr"/>
      <c r="G541" s="20" t="inlineStr"/>
      <c r="H541" s="19" t="inlineStr"/>
      <c r="I541" s="21" t="inlineStr">
        <is>
          <t>Helia Martin</t>
        </is>
      </c>
      <c r="J541" s="21" t="inlineStr">
        <is>
          <t>Financial</t>
        </is>
      </c>
      <c r="K541" s="21" t="inlineStr">
        <is>
          <t>(43) 3276-8600</t>
        </is>
      </c>
      <c r="L541" s="21" t="inlineStr">
        <is>
          <t>(43) 3274-6316</t>
        </is>
      </c>
      <c r="M541" s="21" t="inlineStr"/>
      <c r="N541" s="21" t="inlineStr"/>
      <c r="O541" s="21" t="inlineStr"/>
      <c r="P541" s="21" t="inlineStr">
        <is>
          <t>Aline Vicente</t>
        </is>
      </c>
      <c r="Q541" s="21" t="inlineStr">
        <is>
          <t>Financial</t>
        </is>
      </c>
      <c r="R541" s="21" t="inlineStr"/>
      <c r="S541" s="21" t="inlineStr"/>
      <c r="T541" s="21" t="inlineStr">
        <is>
          <t>no work email found in Apollo</t>
        </is>
      </c>
      <c r="U541" s="22" t="n">
        <v>205935.56</v>
      </c>
      <c r="V541" s="38" t="inlineStr">
        <is>
          <t>C</t>
        </is>
      </c>
      <c r="W541" s="24">
        <f>IFERROR(VLOOKUP(V541,Assumptions!$A$7:$F$11,2,FALSE),0)</f>
        <v/>
      </c>
      <c r="X541" s="25">
        <f>IF(V541="A",MAX(1,IFERROR(VLOOKUP(V541,Assumptions!$A$7:$F$11,3,FALSE),3)+IFERROR(VLOOKUP(V541,Assumptions!$A$7:$F$11,4,FALSE),8)/2-MAX(0,IF(AO541="",0,YEAR(TODAY())-AO541)-IFERROR(VLOOKUP(V541,Assumptions!$A$7:$F$11,5,FALSE),1.5))),IFERROR(VLOOKUP(V541,Assumptions!$A$7:$F$11,5,FALSE),2.5)+IFERROR(VLOOKUP(V541,Assumptions!$A$7:$F$11,3,FALSE),3)+IFERROR(VLOOKUP(V541,Assumptions!$A$7:$F$11,4,FALSE),8)/2)</f>
        <v/>
      </c>
      <c r="Y541" s="22">
        <f>U541*W541/(1+Assumptions!$B$3)^X541</f>
        <v/>
      </c>
      <c r="Z541" s="26">
        <f>IF(U541=0,"",ROUND(Y541/U541*100,1))</f>
        <v/>
      </c>
      <c r="AA541" s="27">
        <f>Y541*Assumptions!$B$4</f>
        <v/>
      </c>
      <c r="AB541" s="26">
        <f>IF(U541=0,"",ROUND(AA541/U541*100,1))</f>
        <v/>
      </c>
      <c r="AC541" s="27">
        <f>Y541-AA541</f>
        <v/>
      </c>
      <c r="AD541" s="26">
        <f>IF(U541=0,"",ROUND((Y541-AA541)/U541*100,1))</f>
        <v/>
      </c>
      <c r="AE541" s="28" t="inlineStr">
        <is>
          <t>OK — totals reconciled</t>
        </is>
      </c>
      <c r="AF541" s="29" t="inlineStr">
        <is>
          <t>https://recuperacaojudicial.squarespace.com/s/RJ-Credimoveis-QGC-01082025.pdf</t>
        </is>
      </c>
      <c r="AG541" s="28" t="inlineStr">
        <is>
          <t>p16 r42</t>
        </is>
      </c>
      <c r="AH541" s="28" t="inlineStr">
        <is>
          <t>p16: R$ 205.935,56</t>
        </is>
      </c>
      <c r="AI541" s="28" t="inlineStr">
        <is>
          <t>QGC (art. 18)</t>
        </is>
      </c>
      <c r="AJ541" s="28" t="inlineStr">
        <is>
          <t>2026-01-28</t>
        </is>
      </c>
      <c r="AK541" s="28" t="inlineStr">
        <is>
          <t>NONE FOUND</t>
        </is>
      </c>
      <c r="AL541" s="30" t="inlineStr">
        <is>
          <t>0007565-40.2020.8.17.2370</t>
        </is>
      </c>
      <c r="AM541" s="30" t="inlineStr">
        <is>
          <t>TJPE</t>
        </is>
      </c>
      <c r="AN541" s="30" t="inlineStr">
        <is>
          <t>ACTIVE</t>
        </is>
      </c>
      <c r="AO541" s="30" t="n">
        <v>2020</v>
      </c>
      <c r="AP541" s="30" t="inlineStr">
        <is>
          <t>6y since filing, no plan document</t>
        </is>
      </c>
      <c r="AQ541" s="30" t="inlineStr">
        <is>
          <t>09.930.165/0001-37</t>
        </is>
      </c>
      <c r="AR541" s="30" t="inlineStr">
        <is>
          <t>printed on the list (read twice)</t>
        </is>
      </c>
      <c r="AS541" s="30" t="inlineStr">
        <is>
          <t>ARAPONGAS</t>
        </is>
      </c>
      <c r="AT541" s="30" t="inlineStr">
        <is>
          <t>PR</t>
        </is>
      </c>
      <c r="AU541" s="30" t="inlineStr">
        <is>
          <t>Fabricação de móveis com predominância de madeira</t>
        </is>
      </c>
      <c r="AV541" s="30" t="inlineStr">
        <is>
          <t>DEMAIS</t>
        </is>
      </c>
      <c r="AW541" s="31" t="n">
        <v>1000000</v>
      </c>
      <c r="AX541" s="30" t="inlineStr">
        <is>
          <t>MID-MARKET</t>
        </is>
      </c>
      <c r="AY541" s="30" t="inlineStr">
        <is>
          <t>02721927</t>
        </is>
      </c>
      <c r="AZ541" s="30" t="n">
        <v>1</v>
      </c>
      <c r="BA541" s="30" t="inlineStr">
        <is>
          <t>ROWS:p16r42</t>
        </is>
      </c>
    </row>
    <row r="542">
      <c r="A542" s="16" t="inlineStr">
        <is>
          <t>SAFEGOLD GERENCIAMENTO DE CAPITAL LTDA</t>
        </is>
      </c>
      <c r="B542" s="17" t="n">
        <v>203501.15</v>
      </c>
      <c r="C542" s="18" t="inlineStr">
        <is>
          <t>VECTOR INDÚSTRIA DE PRODUTOS METALÚRGICOS LTDA.</t>
        </is>
      </c>
      <c r="D542" s="19" t="inlineStr">
        <is>
          <t>NEW</t>
        </is>
      </c>
      <c r="E542" s="20" t="inlineStr"/>
      <c r="F542" s="19" t="inlineStr"/>
      <c r="G542" s="20" t="inlineStr"/>
      <c r="H542" s="19" t="inlineStr"/>
      <c r="I542" s="21" t="inlineStr">
        <is>
          <t>Matheus Doro</t>
        </is>
      </c>
      <c r="J542" s="21" t="inlineStr">
        <is>
          <t>Financial Manager</t>
        </is>
      </c>
      <c r="K542" s="21" t="inlineStr">
        <is>
          <t>(41) 3500-8044</t>
        </is>
      </c>
      <c r="L542" s="21" t="inlineStr"/>
      <c r="M542" s="21" t="inlineStr"/>
      <c r="N542" s="21" t="inlineStr">
        <is>
          <t>matheus.doro@safegold.com.br</t>
        </is>
      </c>
      <c r="O542" s="21" t="inlineStr">
        <is>
          <t>jony@safegold.com.br</t>
        </is>
      </c>
      <c r="P542" s="21" t="inlineStr">
        <is>
          <t>Jony Silva</t>
        </is>
      </c>
      <c r="Q542" s="21" t="inlineStr">
        <is>
          <t>COO e Sócio</t>
        </is>
      </c>
      <c r="R542" s="21" t="inlineStr"/>
      <c r="S542" s="21" t="inlineStr">
        <is>
          <t>jony@safegold.com.br</t>
        </is>
      </c>
      <c r="T542" s="21" t="inlineStr">
        <is>
          <t>email verified by Apollo</t>
        </is>
      </c>
      <c r="U542" s="22" t="n">
        <v>203501.15</v>
      </c>
      <c r="V542" s="38" t="inlineStr">
        <is>
          <t>C</t>
        </is>
      </c>
      <c r="W542" s="24">
        <f>IFERROR(VLOOKUP(V542,Assumptions!$A$7:$F$11,2,FALSE),0)</f>
        <v/>
      </c>
      <c r="X542" s="25">
        <f>IF(V542="A",MAX(1,IFERROR(VLOOKUP(V542,Assumptions!$A$7:$F$11,3,FALSE),3)+IFERROR(VLOOKUP(V542,Assumptions!$A$7:$F$11,4,FALSE),8)/2-MAX(0,IF(AO542="",0,YEAR(TODAY())-AO542)-IFERROR(VLOOKUP(V542,Assumptions!$A$7:$F$11,5,FALSE),1.5))),IFERROR(VLOOKUP(V542,Assumptions!$A$7:$F$11,5,FALSE),2.5)+IFERROR(VLOOKUP(V542,Assumptions!$A$7:$F$11,3,FALSE),3)+IFERROR(VLOOKUP(V542,Assumptions!$A$7:$F$11,4,FALSE),8)/2)</f>
        <v/>
      </c>
      <c r="Y542" s="22">
        <f>U542*W542/(1+Assumptions!$B$3)^X542</f>
        <v/>
      </c>
      <c r="Z542" s="26">
        <f>IF(U542=0,"",ROUND(Y542/U542*100,1))</f>
        <v/>
      </c>
      <c r="AA542" s="27">
        <f>Y542*Assumptions!$B$4</f>
        <v/>
      </c>
      <c r="AB542" s="26">
        <f>IF(U542=0,"",ROUND(AA542/U542*100,1))</f>
        <v/>
      </c>
      <c r="AC542" s="27">
        <f>Y542-AA542</f>
        <v/>
      </c>
      <c r="AD542" s="26">
        <f>IF(U542=0,"",ROUND((Y542-AA542)/U542*100,1))</f>
        <v/>
      </c>
      <c r="AE542" s="33" t="inlineStr">
        <is>
          <t>NO TOTALS — list prints none; check page</t>
        </is>
      </c>
      <c r="AF542" s="29" t="inlineStr">
        <is>
          <t>https://scalzilliaj.com.br/sgc/download.php?file=files/processo_documento/processo_documento15513401112022_1_.pdf&amp;nome=15 - Edital do art. 7º, §2º (segunda lista de credores) e do art. 53 da Lei 11.101/2005 (recebimento do plano)</t>
        </is>
      </c>
      <c r="AG542" s="28" t="inlineStr">
        <is>
          <t>p9 r25</t>
        </is>
      </c>
      <c r="AH542" s="28" t="inlineStr">
        <is>
          <t>p9: R$ 203.501,15</t>
        </is>
      </c>
      <c r="AI542" s="28" t="inlineStr">
        <is>
          <t>AJ list (art. 7 §2)</t>
        </is>
      </c>
      <c r="AJ542" s="28" t="inlineStr">
        <is>
          <t>2022-11-01</t>
        </is>
      </c>
      <c r="AK542" s="28" t="inlineStr">
        <is>
          <t>NONE FOUND</t>
        </is>
      </c>
      <c r="AL542" s="30" t="inlineStr">
        <is>
          <t>5014104-85.2021.8.21.0010</t>
        </is>
      </c>
      <c r="AM542" s="30" t="inlineStr">
        <is>
          <t>TJRS</t>
        </is>
      </c>
      <c r="AN542" s="30" t="inlineStr">
        <is>
          <t>ACTIVE</t>
        </is>
      </c>
      <c r="AO542" s="30" t="n">
        <v>2021</v>
      </c>
      <c r="AP542" s="30" t="inlineStr">
        <is>
          <t>5y since filing, no plan document</t>
        </is>
      </c>
      <c r="AQ542" s="30" t="inlineStr">
        <is>
          <t>03.018.339/0001-03</t>
        </is>
      </c>
      <c r="AR542" s="30" t="inlineStr">
        <is>
          <t>printed on the list (read twice)</t>
        </is>
      </c>
      <c r="AS542" s="30" t="inlineStr">
        <is>
          <t>CURITIBA</t>
        </is>
      </c>
      <c r="AT542" s="30" t="inlineStr">
        <is>
          <t>PR</t>
        </is>
      </c>
      <c r="AU542" s="30" t="inlineStr">
        <is>
          <t>Atividades de consultoria em gestão empresarial, exceto consultoria técnica específica</t>
        </is>
      </c>
      <c r="AV542" s="30" t="inlineStr">
        <is>
          <t>DEMAIS</t>
        </is>
      </c>
      <c r="AW542" s="31" t="n">
        <v>100000</v>
      </c>
      <c r="AX542" s="30" t="inlineStr">
        <is>
          <t>MID-MARKET</t>
        </is>
      </c>
      <c r="AY542" s="30" t="inlineStr">
        <is>
          <t>13177802</t>
        </is>
      </c>
      <c r="AZ542" s="30" t="n">
        <v>1</v>
      </c>
      <c r="BA542" s="30" t="inlineStr">
        <is>
          <t>ROWS:p9r25 UNRECONCILED_SOURCE</t>
        </is>
      </c>
    </row>
    <row r="543">
      <c r="A543" s="16" t="inlineStr">
        <is>
          <t>CONSENCO EDIFICACOES E INCORPORACOES TUCCI CAVALCANTE LTDA</t>
        </is>
      </c>
      <c r="B543" s="17" t="n">
        <v>203452.29</v>
      </c>
      <c r="C543" s="18" t="inlineStr">
        <is>
          <t>GRUPO ARNON DE MELLO</t>
        </is>
      </c>
      <c r="D543" s="19" t="inlineStr">
        <is>
          <t>NEW</t>
        </is>
      </c>
      <c r="E543" s="20" t="inlineStr"/>
      <c r="F543" s="19" t="inlineStr"/>
      <c r="G543" s="20" t="inlineStr"/>
      <c r="H543" s="19" t="inlineStr"/>
      <c r="I543" s="21" t="inlineStr">
        <is>
          <t>Eva Ramos</t>
        </is>
      </c>
      <c r="J543" s="21" t="inlineStr">
        <is>
          <t>Supervisora de Contas a Pagar</t>
        </is>
      </c>
      <c r="K543" s="21" t="inlineStr">
        <is>
          <t>(82) 3355-8557</t>
        </is>
      </c>
      <c r="L543" s="21" t="inlineStr"/>
      <c r="M543" s="21" t="inlineStr"/>
      <c r="N543" s="21" t="inlineStr"/>
      <c r="O543" s="21" t="inlineStr">
        <is>
          <t>leiry@consencoedificacoes.com.br</t>
        </is>
      </c>
      <c r="P543" s="21" t="inlineStr">
        <is>
          <t>Leiry Lima</t>
        </is>
      </c>
      <c r="Q543" s="21" t="inlineStr">
        <is>
          <t>Assistente Financeira/contabil</t>
        </is>
      </c>
      <c r="R543" s="21" t="inlineStr"/>
      <c r="S543" s="21" t="inlineStr">
        <is>
          <t>leiry@consencoedificacoes.com.br</t>
        </is>
      </c>
      <c r="T543" s="21" t="inlineStr">
        <is>
          <t>no work email found in Apollo</t>
        </is>
      </c>
      <c r="U543" s="22" t="n">
        <v>203452.29</v>
      </c>
      <c r="V543" s="38" t="inlineStr">
        <is>
          <t>C</t>
        </is>
      </c>
      <c r="W543" s="24">
        <f>IFERROR(VLOOKUP(V543,Assumptions!$A$7:$F$11,2,FALSE),0)</f>
        <v/>
      </c>
      <c r="X543" s="25">
        <f>IF(V543="A",MAX(1,IFERROR(VLOOKUP(V543,Assumptions!$A$7:$F$11,3,FALSE),3)+IFERROR(VLOOKUP(V543,Assumptions!$A$7:$F$11,4,FALSE),8)/2-MAX(0,IF(AO543="",0,YEAR(TODAY())-AO543)-IFERROR(VLOOKUP(V543,Assumptions!$A$7:$F$11,5,FALSE),1.5))),IFERROR(VLOOKUP(V543,Assumptions!$A$7:$F$11,5,FALSE),2.5)+IFERROR(VLOOKUP(V543,Assumptions!$A$7:$F$11,3,FALSE),3)+IFERROR(VLOOKUP(V543,Assumptions!$A$7:$F$11,4,FALSE),8)/2)</f>
        <v/>
      </c>
      <c r="Y543" s="22">
        <f>U543*W543/(1+Assumptions!$B$3)^X543</f>
        <v/>
      </c>
      <c r="Z543" s="26">
        <f>IF(U543=0,"",ROUND(Y543/U543*100,1))</f>
        <v/>
      </c>
      <c r="AA543" s="27">
        <f>Y543*Assumptions!$B$4</f>
        <v/>
      </c>
      <c r="AB543" s="26">
        <f>IF(U543=0,"",ROUND(AA543/U543*100,1))</f>
        <v/>
      </c>
      <c r="AC543" s="27">
        <f>Y543-AA543</f>
        <v/>
      </c>
      <c r="AD543" s="26">
        <f>IF(U543=0,"",ROUND((Y543-AA543)/U543*100,1))</f>
        <v/>
      </c>
      <c r="AE543" s="33" t="inlineStr">
        <is>
          <t>NO TOTALS — list prints none; check page</t>
        </is>
      </c>
      <c r="AF543" s="29" t="inlineStr">
        <is>
          <t>https://recuperacaojudicial.squarespace.com/s/RJ-Grupo-Arnon-de-Melo-Lista-de-Credores-Consolidada-abril-2022.pdf</t>
        </is>
      </c>
      <c r="AG543" s="28" t="inlineStr">
        <is>
          <t>p7 r51</t>
        </is>
      </c>
      <c r="AH543" s="28" t="inlineStr">
        <is>
          <t>p7: R$ 203.452,29</t>
        </is>
      </c>
      <c r="AI543" s="28" t="inlineStr">
        <is>
          <t>AJ list (art. 7 §2)</t>
        </is>
      </c>
      <c r="AJ543" s="28" t="inlineStr"/>
      <c r="AK543" s="28" t="inlineStr">
        <is>
          <t>NONE FOUND</t>
        </is>
      </c>
      <c r="AL543" s="30" t="inlineStr">
        <is>
          <t>0700256-03.2019.8.02.0066</t>
        </is>
      </c>
      <c r="AM543" s="30" t="inlineStr">
        <is>
          <t>TJAL</t>
        </is>
      </c>
      <c r="AN543" s="30" t="inlineStr"/>
      <c r="AO543" s="30" t="n">
        <v>2019</v>
      </c>
      <c r="AP543" s="30" t="inlineStr">
        <is>
          <t>7y since filing, no plan document</t>
        </is>
      </c>
      <c r="AQ543" s="30" t="inlineStr">
        <is>
          <t>12.503.801/0001-59</t>
        </is>
      </c>
      <c r="AR543" s="30" t="inlineStr">
        <is>
          <t>printed on the list (read twice)</t>
        </is>
      </c>
      <c r="AS543" s="30" t="inlineStr">
        <is>
          <t>MACEIO</t>
        </is>
      </c>
      <c r="AT543" s="30" t="inlineStr">
        <is>
          <t>AL</t>
        </is>
      </c>
      <c r="AU543" s="30" t="inlineStr">
        <is>
          <t>Construção de edifícios</t>
        </is>
      </c>
      <c r="AV543" s="30" t="inlineStr">
        <is>
          <t>DEMAIS</t>
        </is>
      </c>
      <c r="AW543" s="31" t="n">
        <v>5200000</v>
      </c>
      <c r="AX543" s="30" t="inlineStr">
        <is>
          <t>MID-MARKET</t>
        </is>
      </c>
      <c r="AY543" s="30" t="inlineStr">
        <is>
          <t>14898243</t>
        </is>
      </c>
      <c r="AZ543" s="30" t="n">
        <v>1</v>
      </c>
      <c r="BA543" s="30" t="inlineStr">
        <is>
          <t>ROWS:p7r51 UNRECONCILED_SOURCE</t>
        </is>
      </c>
    </row>
    <row r="544">
      <c r="A544" s="16" t="inlineStr">
        <is>
          <t>NUTRANE NUTRICAO ANIMAL LTDA</t>
        </is>
      </c>
      <c r="B544" s="17" t="n">
        <v>201080.88</v>
      </c>
      <c r="C544" s="18" t="inlineStr">
        <is>
          <t>AGROPECUÁRIA SERROTE REDONDO</t>
        </is>
      </c>
      <c r="D544" s="19" t="inlineStr">
        <is>
          <t>NEW</t>
        </is>
      </c>
      <c r="E544" s="20" t="inlineStr"/>
      <c r="F544" s="19" t="inlineStr"/>
      <c r="G544" s="20" t="inlineStr"/>
      <c r="H544" s="19" t="inlineStr"/>
      <c r="I544" s="21" t="inlineStr">
        <is>
          <t>Rafael Gomes</t>
        </is>
      </c>
      <c r="J544" s="21" t="inlineStr">
        <is>
          <t>Gerente Adminstrativo</t>
        </is>
      </c>
      <c r="K544" s="21" t="inlineStr">
        <is>
          <t>(87) 3835-3486</t>
        </is>
      </c>
      <c r="L544" s="21" t="inlineStr"/>
      <c r="M544" s="21" t="inlineStr"/>
      <c r="N544" s="21" t="inlineStr">
        <is>
          <t>rafael.gomes@nutrane.com.br</t>
        </is>
      </c>
      <c r="O544" s="21" t="inlineStr">
        <is>
          <t>cataryna.ferreira@nutrane.com.br</t>
        </is>
      </c>
      <c r="P544" s="21" t="inlineStr">
        <is>
          <t>Cataryna Ferreira</t>
        </is>
      </c>
      <c r="Q544" s="21" t="inlineStr">
        <is>
          <t>Controller Analyst</t>
        </is>
      </c>
      <c r="R544" s="21" t="inlineStr"/>
      <c r="S544" s="21" t="inlineStr">
        <is>
          <t>cataryna.ferreira@nutrane.com.br</t>
        </is>
      </c>
      <c r="T544" s="21" t="inlineStr">
        <is>
          <t>email is pattern-guessed, not verified</t>
        </is>
      </c>
      <c r="U544" s="22" t="n">
        <v>201080.88</v>
      </c>
      <c r="V544" s="38" t="inlineStr">
        <is>
          <t>C</t>
        </is>
      </c>
      <c r="W544" s="24">
        <f>IFERROR(VLOOKUP(V544,Assumptions!$A$7:$F$11,2,FALSE),0)</f>
        <v/>
      </c>
      <c r="X544" s="25">
        <f>IF(V544="A",MAX(1,IFERROR(VLOOKUP(V544,Assumptions!$A$7:$F$11,3,FALSE),3)+IFERROR(VLOOKUP(V544,Assumptions!$A$7:$F$11,4,FALSE),8)/2-MAX(0,IF(AO544="",0,YEAR(TODAY())-AO544)-IFERROR(VLOOKUP(V544,Assumptions!$A$7:$F$11,5,FALSE),1.5))),IFERROR(VLOOKUP(V544,Assumptions!$A$7:$F$11,5,FALSE),2.5)+IFERROR(VLOOKUP(V544,Assumptions!$A$7:$F$11,3,FALSE),3)+IFERROR(VLOOKUP(V544,Assumptions!$A$7:$F$11,4,FALSE),8)/2)</f>
        <v/>
      </c>
      <c r="Y544" s="22">
        <f>U544*W544/(1+Assumptions!$B$3)^X544</f>
        <v/>
      </c>
      <c r="Z544" s="26">
        <f>IF(U544=0,"",ROUND(Y544/U544*100,1))</f>
        <v/>
      </c>
      <c r="AA544" s="27">
        <f>Y544*Assumptions!$B$4</f>
        <v/>
      </c>
      <c r="AB544" s="26">
        <f>IF(U544=0,"",ROUND(AA544/U544*100,1))</f>
        <v/>
      </c>
      <c r="AC544" s="27">
        <f>Y544-AA544</f>
        <v/>
      </c>
      <c r="AD544" s="26">
        <f>IF(U544=0,"",ROUND((Y544-AA544)/U544*100,1))</f>
        <v/>
      </c>
      <c r="AE544" s="28" t="inlineStr">
        <is>
          <t>OK — totals reconciled</t>
        </is>
      </c>
      <c r="AF544" s="29" t="inlineStr">
        <is>
          <t>https://lrflideres.com.br/wp-content/plugins/download-attachments/includes/download.php?id=5001</t>
        </is>
      </c>
      <c r="AG544" s="28" t="inlineStr">
        <is>
          <t>p2 r1</t>
        </is>
      </c>
      <c r="AH544" s="28" t="inlineStr">
        <is>
          <t>p2: R$ 201.080,88</t>
        </is>
      </c>
      <c r="AI544" s="28" t="inlineStr">
        <is>
          <t>Unclassified list</t>
        </is>
      </c>
      <c r="AJ544" s="28" t="inlineStr"/>
      <c r="AK544" s="28" t="inlineStr">
        <is>
          <t>NONE FOUND</t>
        </is>
      </c>
      <c r="AL544" s="30" t="inlineStr">
        <is>
          <t>0000206-69.2013.8.17.1340</t>
        </is>
      </c>
      <c r="AM544" s="30" t="inlineStr">
        <is>
          <t>TJPE</t>
        </is>
      </c>
      <c r="AN544" s="30" t="inlineStr"/>
      <c r="AO544" s="30" t="n">
        <v>2013</v>
      </c>
      <c r="AP544" s="30" t="inlineStr">
        <is>
          <t>13y since filing, no plan document</t>
        </is>
      </c>
      <c r="AQ544" s="30" t="inlineStr"/>
      <c r="AR544" s="30" t="inlineStr">
        <is>
          <t>portal page title / URL — not printed on the list</t>
        </is>
      </c>
      <c r="AS544" s="30" t="inlineStr">
        <is>
          <t>PESQUEIRA</t>
        </is>
      </c>
      <c r="AT544" s="30" t="inlineStr">
        <is>
          <t>PE</t>
        </is>
      </c>
      <c r="AU544" s="30" t="inlineStr">
        <is>
          <t>Fabricação de alimentos para animais</t>
        </is>
      </c>
      <c r="AV544" s="30" t="inlineStr">
        <is>
          <t>DEMAIS</t>
        </is>
      </c>
      <c r="AW544" s="31" t="n">
        <v>152224030</v>
      </c>
      <c r="AX544" s="30" t="inlineStr">
        <is>
          <t>MID-MARKET</t>
        </is>
      </c>
      <c r="AY544" s="30" t="inlineStr">
        <is>
          <t>04591114</t>
        </is>
      </c>
      <c r="AZ544" s="30" t="n">
        <v>1</v>
      </c>
      <c r="BA544" s="30" t="inlineStr">
        <is>
          <t>ALT_VALUE:49.140,00 ROWS:p2r1</t>
        </is>
      </c>
    </row>
    <row r="545">
      <c r="A545" s="16" t="inlineStr">
        <is>
          <t>WEG LINHARES EQUIPAMENTOS ELETRICOS S/A</t>
        </is>
      </c>
      <c r="B545" s="17" t="n">
        <v>200577.9</v>
      </c>
      <c r="C545" s="18" t="inlineStr">
        <is>
          <t>VECTOR INDÚSTRIA DE PRODUTOS METALÚRGICOS LTDA.</t>
        </is>
      </c>
      <c r="D545" s="19" t="inlineStr">
        <is>
          <t>NEW</t>
        </is>
      </c>
      <c r="E545" s="20" t="inlineStr"/>
      <c r="F545" s="19" t="inlineStr"/>
      <c r="G545" s="20" t="inlineStr"/>
      <c r="H545" s="19" t="inlineStr"/>
      <c r="I545" s="21" t="inlineStr">
        <is>
          <t>Sandro Souza</t>
        </is>
      </c>
      <c r="J545" s="21" t="inlineStr">
        <is>
          <t>Financial Analyst</t>
        </is>
      </c>
      <c r="K545" s="21" t="inlineStr">
        <is>
          <t>(27) 3048-1714</t>
        </is>
      </c>
      <c r="L545" s="21" t="inlineStr"/>
      <c r="M545" s="21" t="inlineStr"/>
      <c r="N545" s="21" t="inlineStr"/>
      <c r="O545" s="21" t="inlineStr"/>
      <c r="P545" s="21" t="inlineStr">
        <is>
          <t>JULIANO SALDANHA VARGAS</t>
        </is>
      </c>
      <c r="Q545" s="21" t="inlineStr">
        <is>
          <t>Diretor (RFB partner)</t>
        </is>
      </c>
      <c r="R545" s="21" t="inlineStr"/>
      <c r="S545" s="21" t="inlineStr"/>
      <c r="T545" s="21" t="inlineStr">
        <is>
          <t>no work email found in Apollo</t>
        </is>
      </c>
      <c r="U545" s="22" t="n">
        <v>200577.9</v>
      </c>
      <c r="V545" s="38" t="inlineStr">
        <is>
          <t>C</t>
        </is>
      </c>
      <c r="W545" s="24">
        <f>IFERROR(VLOOKUP(V545,Assumptions!$A$7:$F$11,2,FALSE),0)</f>
        <v/>
      </c>
      <c r="X545" s="25">
        <f>IF(V545="A",MAX(1,IFERROR(VLOOKUP(V545,Assumptions!$A$7:$F$11,3,FALSE),3)+IFERROR(VLOOKUP(V545,Assumptions!$A$7:$F$11,4,FALSE),8)/2-MAX(0,IF(AO545="",0,YEAR(TODAY())-AO545)-IFERROR(VLOOKUP(V545,Assumptions!$A$7:$F$11,5,FALSE),1.5))),IFERROR(VLOOKUP(V545,Assumptions!$A$7:$F$11,5,FALSE),2.5)+IFERROR(VLOOKUP(V545,Assumptions!$A$7:$F$11,3,FALSE),3)+IFERROR(VLOOKUP(V545,Assumptions!$A$7:$F$11,4,FALSE),8)/2)</f>
        <v/>
      </c>
      <c r="Y545" s="22">
        <f>U545*W545/(1+Assumptions!$B$3)^X545</f>
        <v/>
      </c>
      <c r="Z545" s="26">
        <f>IF(U545=0,"",ROUND(Y545/U545*100,1))</f>
        <v/>
      </c>
      <c r="AA545" s="27">
        <f>Y545*Assumptions!$B$4</f>
        <v/>
      </c>
      <c r="AB545" s="26">
        <f>IF(U545=0,"",ROUND(AA545/U545*100,1))</f>
        <v/>
      </c>
      <c r="AC545" s="27">
        <f>Y545-AA545</f>
        <v/>
      </c>
      <c r="AD545" s="26">
        <f>IF(U545=0,"",ROUND((Y545-AA545)/U545*100,1))</f>
        <v/>
      </c>
      <c r="AE545" s="33" t="inlineStr">
        <is>
          <t>NO TOTALS — list prints none; check page</t>
        </is>
      </c>
      <c r="AF545" s="29" t="inlineStr">
        <is>
          <t>https://scalzilliaj.com.br/sgc/download.php?file=files/processo_documento/processo_documento15513401112022_1_.pdf&amp;nome=15 - Edital do art. 7º, §2º (segunda lista de credores) e do art. 53 da Lei 11.101/2005 (recebimento do plano)</t>
        </is>
      </c>
      <c r="AG545" s="28" t="inlineStr">
        <is>
          <t>p10 r35</t>
        </is>
      </c>
      <c r="AH545" s="28" t="inlineStr">
        <is>
          <t>p10: R$ 200.577,90</t>
        </is>
      </c>
      <c r="AI545" s="28" t="inlineStr">
        <is>
          <t>AJ list (art. 7 §2)</t>
        </is>
      </c>
      <c r="AJ545" s="28" t="inlineStr">
        <is>
          <t>2022-11-01</t>
        </is>
      </c>
      <c r="AK545" s="28" t="inlineStr">
        <is>
          <t>NONE FOUND</t>
        </is>
      </c>
      <c r="AL545" s="30" t="inlineStr">
        <is>
          <t>5014104-85.2021.8.21.0010</t>
        </is>
      </c>
      <c r="AM545" s="30" t="inlineStr">
        <is>
          <t>TJRS</t>
        </is>
      </c>
      <c r="AN545" s="30" t="inlineStr">
        <is>
          <t>ACTIVE</t>
        </is>
      </c>
      <c r="AO545" s="30" t="n">
        <v>2021</v>
      </c>
      <c r="AP545" s="30" t="inlineStr">
        <is>
          <t>5y since filing, no plan document</t>
        </is>
      </c>
      <c r="AQ545" s="30" t="inlineStr">
        <is>
          <t>03.018.339/0001-03</t>
        </is>
      </c>
      <c r="AR545" s="30" t="inlineStr">
        <is>
          <t>printed on the list (read twice)</t>
        </is>
      </c>
      <c r="AS545" s="30" t="inlineStr">
        <is>
          <t>LINHARES</t>
        </is>
      </c>
      <c r="AT545" s="30" t="inlineStr">
        <is>
          <t>ES</t>
        </is>
      </c>
      <c r="AU545" s="30" t="inlineStr">
        <is>
          <t>Fabricação de motores elétricos, peças e acessórios</t>
        </is>
      </c>
      <c r="AV545" s="30" t="inlineStr">
        <is>
          <t>DEMAIS</t>
        </is>
      </c>
      <c r="AW545" s="31" t="n">
        <v>425000000</v>
      </c>
      <c r="AX545" s="30" t="inlineStr">
        <is>
          <t>LARGE CORP</t>
        </is>
      </c>
      <c r="AY545" s="30" t="inlineStr">
        <is>
          <t>10885321</t>
        </is>
      </c>
      <c r="AZ545" s="30" t="n">
        <v>1</v>
      </c>
      <c r="BA545" s="30" t="inlineStr">
        <is>
          <t>ROWS:p10r35 UNRECONCILED_SOURCE</t>
        </is>
      </c>
    </row>
    <row r="546">
      <c r="A546" s="16" t="inlineStr">
        <is>
          <t>TEXTIL J SERRANO LTDA</t>
        </is>
      </c>
      <c r="B546" s="17" t="n">
        <v>288472.7</v>
      </c>
      <c r="C546" s="18" t="inlineStr">
        <is>
          <t>Mannes</t>
        </is>
      </c>
      <c r="D546" s="19" t="inlineStr">
        <is>
          <t>NEW</t>
        </is>
      </c>
      <c r="E546" s="20" t="inlineStr"/>
      <c r="F546" s="19" t="inlineStr"/>
      <c r="G546" s="20" t="inlineStr"/>
      <c r="H546" s="19" t="inlineStr"/>
      <c r="I546" s="21" t="inlineStr">
        <is>
          <t>MIGUEL NAFFAH PEREZ</t>
        </is>
      </c>
      <c r="J546" s="21" t="inlineStr">
        <is>
          <t>Administrador (RFB partner)</t>
        </is>
      </c>
      <c r="K546" s="21" t="inlineStr">
        <is>
          <t>(11) 3811-4300</t>
        </is>
      </c>
      <c r="L546" s="21" t="inlineStr"/>
      <c r="M546" s="21" t="inlineStr"/>
      <c r="N546" s="21" t="inlineStr"/>
      <c r="O546" s="21" t="inlineStr"/>
      <c r="P546" s="21" t="inlineStr"/>
      <c r="Q546" s="21" t="inlineStr"/>
      <c r="R546" s="21" t="inlineStr"/>
      <c r="S546" s="21" t="inlineStr"/>
      <c r="T546" s="21" t="inlineStr">
        <is>
          <t>RFB partner (QSA); no Apollo match</t>
        </is>
      </c>
      <c r="U546" s="22" t="n">
        <v>288472.7</v>
      </c>
      <c r="V546" s="39" t="inlineStr">
        <is>
          <t>D</t>
        </is>
      </c>
      <c r="W546" s="24">
        <f>IFERROR(VLOOKUP(V546,Assumptions!$A$7:$F$11,2,FALSE),0)</f>
        <v/>
      </c>
      <c r="X546" s="25">
        <f>IF(V546="A",MAX(1,IFERROR(VLOOKUP(V546,Assumptions!$A$7:$F$11,3,FALSE),3)+IFERROR(VLOOKUP(V546,Assumptions!$A$7:$F$11,4,FALSE),8)/2-MAX(0,IF(AO546="",0,YEAR(TODAY())-AO546)-IFERROR(VLOOKUP(V546,Assumptions!$A$7:$F$11,5,FALSE),1.5))),IFERROR(VLOOKUP(V546,Assumptions!$A$7:$F$11,5,FALSE),2.5)+IFERROR(VLOOKUP(V546,Assumptions!$A$7:$F$11,3,FALSE),3)+IFERROR(VLOOKUP(V546,Assumptions!$A$7:$F$11,4,FALSE),8)/2)</f>
        <v/>
      </c>
      <c r="Y546" s="22">
        <f>U546*W546/(1+Assumptions!$B$3)^X546</f>
        <v/>
      </c>
      <c r="Z546" s="26">
        <f>IF(U546=0,"",ROUND(Y546/U546*100,1))</f>
        <v/>
      </c>
      <c r="AA546" s="27">
        <f>Y546*Assumptions!$B$4</f>
        <v/>
      </c>
      <c r="AB546" s="26">
        <f>IF(U546=0,"",ROUND(AA546/U546*100,1))</f>
        <v/>
      </c>
      <c r="AC546" s="27">
        <f>Y546-AA546</f>
        <v/>
      </c>
      <c r="AD546" s="26">
        <f>IF(U546=0,"",ROUND((Y546-AA546)/U546*100,1))</f>
        <v/>
      </c>
      <c r="AE546" s="36" t="inlineStr">
        <is>
          <t>CHECK — source is not a statutory creditor list</t>
        </is>
      </c>
      <c r="AF546" s="29" t="inlineStr">
        <is>
          <t>https://administradorajudicialgs.com.br/wp-content/uploads/2024/12/relacao-de-credores-da-falida.pdf</t>
        </is>
      </c>
      <c r="AG546" s="28" t="inlineStr">
        <is>
          <t>p18 r63</t>
        </is>
      </c>
      <c r="AH546" s="28" t="inlineStr">
        <is>
          <t>p18: R$ 288.472,70</t>
        </is>
      </c>
      <c r="AI546" s="28" t="inlineStr">
        <is>
          <t>Other filing — NOT an art. 7/51 list</t>
        </is>
      </c>
      <c r="AJ546" s="28" t="inlineStr">
        <is>
          <t>2025-03-25</t>
        </is>
      </c>
      <c r="AK546" s="28" t="inlineStr">
        <is>
          <t>NONE FOUND</t>
        </is>
      </c>
      <c r="AL546" s="30" t="inlineStr">
        <is>
          <t>0005010-50.2013.8.24.0026</t>
        </is>
      </c>
      <c r="AM546" s="30" t="inlineStr">
        <is>
          <t>TJSC</t>
        </is>
      </c>
      <c r="AN546" s="30" t="inlineStr"/>
      <c r="AO546" s="30" t="n">
        <v>2013</v>
      </c>
      <c r="AP546" s="30" t="inlineStr">
        <is>
          <t>document is a falência (bankruptcy) list</t>
        </is>
      </c>
      <c r="AQ546" s="30" t="inlineStr"/>
      <c r="AR546" s="30" t="inlineStr">
        <is>
          <t>printed on the list (read twice)</t>
        </is>
      </c>
      <c r="AS546" s="30" t="inlineStr">
        <is>
          <t>SAO PAULO</t>
        </is>
      </c>
      <c r="AT546" s="30" t="inlineStr">
        <is>
          <t>SP</t>
        </is>
      </c>
      <c r="AU546" s="30" t="inlineStr">
        <is>
          <t>Serviços combinados de escritório e apoio administrativo</t>
        </is>
      </c>
      <c r="AV546" s="30" t="inlineStr">
        <is>
          <t>DEMAIS</t>
        </is>
      </c>
      <c r="AW546" s="31" t="n">
        <v>242910140</v>
      </c>
      <c r="AX546" s="30" t="inlineStr">
        <is>
          <t>MID-MARKET</t>
        </is>
      </c>
      <c r="AY546" s="30" t="inlineStr">
        <is>
          <t>49870173</t>
        </is>
      </c>
      <c r="AZ546" s="30" t="n">
        <v>1</v>
      </c>
      <c r="BA546" s="30" t="inlineStr">
        <is>
          <t>ROWS:p18r63 UNRECONCILED_SOURCE CASE_NUMBER_CORRECTED</t>
        </is>
      </c>
    </row>
    <row r="547">
      <c r="A547" s="16" t="inlineStr">
        <is>
          <t>QUINTAL TEXTIL AMERICANA LTDA</t>
        </is>
      </c>
      <c r="B547" s="17" t="n">
        <v>285719.32</v>
      </c>
      <c r="C547" s="18" t="inlineStr">
        <is>
          <t>Mannes</t>
        </is>
      </c>
      <c r="D547" s="19" t="inlineStr">
        <is>
          <t>NEW</t>
        </is>
      </c>
      <c r="E547" s="20" t="inlineStr"/>
      <c r="F547" s="19" t="inlineStr"/>
      <c r="G547" s="20" t="inlineStr"/>
      <c r="H547" s="19" t="inlineStr"/>
      <c r="I547" s="21" t="inlineStr">
        <is>
          <t>BIANCA CAROLINA QUINTAL CHEGATTI</t>
        </is>
      </c>
      <c r="J547" s="21" t="inlineStr">
        <is>
          <t>Sócio-Administrador (RFB partner)</t>
        </is>
      </c>
      <c r="K547" s="21" t="inlineStr">
        <is>
          <t>(19) 3012-3083</t>
        </is>
      </c>
      <c r="L547" s="21" t="inlineStr"/>
      <c r="M547" s="21" t="inlineStr"/>
      <c r="N547" s="21" t="inlineStr"/>
      <c r="O547" s="21" t="inlineStr"/>
      <c r="P547" s="21" t="inlineStr">
        <is>
          <t>IVAN FERNANDO QUINTAL</t>
        </is>
      </c>
      <c r="Q547" s="21" t="inlineStr">
        <is>
          <t>Sócio-Administrador (RFB partner)</t>
        </is>
      </c>
      <c r="R547" s="21" t="inlineStr"/>
      <c r="S547" s="21" t="inlineStr"/>
      <c r="T547" s="21" t="inlineStr">
        <is>
          <t>RFB partner (QSA); no Apollo match</t>
        </is>
      </c>
      <c r="U547" s="22" t="n">
        <v>285719.32</v>
      </c>
      <c r="V547" s="39" t="inlineStr">
        <is>
          <t>D</t>
        </is>
      </c>
      <c r="W547" s="24">
        <f>IFERROR(VLOOKUP(V547,Assumptions!$A$7:$F$11,2,FALSE),0)</f>
        <v/>
      </c>
      <c r="X547" s="25">
        <f>IF(V547="A",MAX(1,IFERROR(VLOOKUP(V547,Assumptions!$A$7:$F$11,3,FALSE),3)+IFERROR(VLOOKUP(V547,Assumptions!$A$7:$F$11,4,FALSE),8)/2-MAX(0,IF(AO547="",0,YEAR(TODAY())-AO547)-IFERROR(VLOOKUP(V547,Assumptions!$A$7:$F$11,5,FALSE),1.5))),IFERROR(VLOOKUP(V547,Assumptions!$A$7:$F$11,5,FALSE),2.5)+IFERROR(VLOOKUP(V547,Assumptions!$A$7:$F$11,3,FALSE),3)+IFERROR(VLOOKUP(V547,Assumptions!$A$7:$F$11,4,FALSE),8)/2)</f>
        <v/>
      </c>
      <c r="Y547" s="22">
        <f>U547*W547/(1+Assumptions!$B$3)^X547</f>
        <v/>
      </c>
      <c r="Z547" s="26">
        <f>IF(U547=0,"",ROUND(Y547/U547*100,1))</f>
        <v/>
      </c>
      <c r="AA547" s="27">
        <f>Y547*Assumptions!$B$4</f>
        <v/>
      </c>
      <c r="AB547" s="26">
        <f>IF(U547=0,"",ROUND(AA547/U547*100,1))</f>
        <v/>
      </c>
      <c r="AC547" s="27">
        <f>Y547-AA547</f>
        <v/>
      </c>
      <c r="AD547" s="26">
        <f>IF(U547=0,"",ROUND((Y547-AA547)/U547*100,1))</f>
        <v/>
      </c>
      <c r="AE547" s="36" t="inlineStr">
        <is>
          <t>CHECK — source is not a statutory creditor list</t>
        </is>
      </c>
      <c r="AF547" s="29" t="inlineStr">
        <is>
          <t>https://administradorajudicialgs.com.br/wp-content/uploads/2024/12/relacao-de-credores-da-falida.pdf</t>
        </is>
      </c>
      <c r="AG547" s="28" t="inlineStr">
        <is>
          <t>p17 r53</t>
        </is>
      </c>
      <c r="AH547" s="28" t="inlineStr">
        <is>
          <t>p17: R$ 285.719,32</t>
        </is>
      </c>
      <c r="AI547" s="28" t="inlineStr">
        <is>
          <t>Other filing — NOT an art. 7/51 list</t>
        </is>
      </c>
      <c r="AJ547" s="28" t="inlineStr">
        <is>
          <t>2025-03-25</t>
        </is>
      </c>
      <c r="AK547" s="28" t="inlineStr">
        <is>
          <t>NONE FOUND</t>
        </is>
      </c>
      <c r="AL547" s="30" t="inlineStr">
        <is>
          <t>0005010-50.2013.8.24.0026</t>
        </is>
      </c>
      <c r="AM547" s="30" t="inlineStr">
        <is>
          <t>TJSC</t>
        </is>
      </c>
      <c r="AN547" s="30" t="inlineStr"/>
      <c r="AO547" s="30" t="n">
        <v>2013</v>
      </c>
      <c r="AP547" s="30" t="inlineStr">
        <is>
          <t>document is a falência (bankruptcy) list</t>
        </is>
      </c>
      <c r="AQ547" s="30" t="inlineStr"/>
      <c r="AR547" s="30" t="inlineStr">
        <is>
          <t>printed on the list (read twice)</t>
        </is>
      </c>
      <c r="AS547" s="30" t="inlineStr">
        <is>
          <t>AMERICANA</t>
        </is>
      </c>
      <c r="AT547" s="30" t="inlineStr">
        <is>
          <t>SP</t>
        </is>
      </c>
      <c r="AU547" s="30" t="inlineStr">
        <is>
          <t>Fabricação de artefatos têxteis para uso doméstico</t>
        </is>
      </c>
      <c r="AV547" s="30" t="inlineStr">
        <is>
          <t>EMPRESA DE PEQUENO PORTE</t>
        </is>
      </c>
      <c r="AW547" s="31" t="n">
        <v>21000</v>
      </c>
      <c r="AX547" s="30" t="inlineStr">
        <is>
          <t>SMALL</t>
        </is>
      </c>
      <c r="AY547" s="30" t="inlineStr">
        <is>
          <t>03413865</t>
        </is>
      </c>
      <c r="AZ547" s="30" t="n">
        <v>1</v>
      </c>
      <c r="BA547" s="30" t="inlineStr">
        <is>
          <t>ROWS:p17r53 UNRECONCILED_SOURCE CASE_NUMBER_CORRECTED</t>
        </is>
      </c>
    </row>
    <row r="548">
      <c r="A548" s="16" t="inlineStr">
        <is>
          <t>STARSPRINGS DO BRASIL LTDA.</t>
        </is>
      </c>
      <c r="B548" s="17" t="n">
        <v>279092.97</v>
      </c>
      <c r="C548" s="18" t="inlineStr">
        <is>
          <t>Mannes</t>
        </is>
      </c>
      <c r="D548" s="19" t="inlineStr">
        <is>
          <t>NEW</t>
        </is>
      </c>
      <c r="E548" s="20" t="inlineStr"/>
      <c r="F548" s="19" t="inlineStr"/>
      <c r="G548" s="20" t="inlineStr"/>
      <c r="H548" s="19" t="inlineStr"/>
      <c r="I548" s="21" t="inlineStr">
        <is>
          <t>Vanessa Wagner</t>
        </is>
      </c>
      <c r="J548" s="21" t="inlineStr">
        <is>
          <t>Financial</t>
        </is>
      </c>
      <c r="K548" s="21" t="inlineStr">
        <is>
          <t>(41) 3204-7000</t>
        </is>
      </c>
      <c r="L548" s="21" t="inlineStr"/>
      <c r="M548" s="21" t="inlineStr"/>
      <c r="N548" s="21" t="inlineStr"/>
      <c r="O548" s="21" t="inlineStr">
        <is>
          <t>heidi@starsprings.com.br</t>
        </is>
      </c>
      <c r="P548" s="21" t="inlineStr">
        <is>
          <t>Heidi Modesto</t>
        </is>
      </c>
      <c r="Q548" s="21" t="inlineStr">
        <is>
          <t>Assistente Financeiro / Financial Assistant</t>
        </is>
      </c>
      <c r="R548" s="21" t="inlineStr"/>
      <c r="S548" s="21" t="inlineStr">
        <is>
          <t>heidi@starsprings.com.br</t>
        </is>
      </c>
      <c r="T548" s="21" t="inlineStr">
        <is>
          <t>no work email found in Apollo</t>
        </is>
      </c>
      <c r="U548" s="22" t="n">
        <v>279092.97</v>
      </c>
      <c r="V548" s="39" t="inlineStr">
        <is>
          <t>D</t>
        </is>
      </c>
      <c r="W548" s="24">
        <f>IFERROR(VLOOKUP(V548,Assumptions!$A$7:$F$11,2,FALSE),0)</f>
        <v/>
      </c>
      <c r="X548" s="25">
        <f>IF(V548="A",MAX(1,IFERROR(VLOOKUP(V548,Assumptions!$A$7:$F$11,3,FALSE),3)+IFERROR(VLOOKUP(V548,Assumptions!$A$7:$F$11,4,FALSE),8)/2-MAX(0,IF(AO548="",0,YEAR(TODAY())-AO548)-IFERROR(VLOOKUP(V548,Assumptions!$A$7:$F$11,5,FALSE),1.5))),IFERROR(VLOOKUP(V548,Assumptions!$A$7:$F$11,5,FALSE),2.5)+IFERROR(VLOOKUP(V548,Assumptions!$A$7:$F$11,3,FALSE),3)+IFERROR(VLOOKUP(V548,Assumptions!$A$7:$F$11,4,FALSE),8)/2)</f>
        <v/>
      </c>
      <c r="Y548" s="22">
        <f>U548*W548/(1+Assumptions!$B$3)^X548</f>
        <v/>
      </c>
      <c r="Z548" s="26">
        <f>IF(U548=0,"",ROUND(Y548/U548*100,1))</f>
        <v/>
      </c>
      <c r="AA548" s="27">
        <f>Y548*Assumptions!$B$4</f>
        <v/>
      </c>
      <c r="AB548" s="26">
        <f>IF(U548=0,"",ROUND(AA548/U548*100,1))</f>
        <v/>
      </c>
      <c r="AC548" s="27">
        <f>Y548-AA548</f>
        <v/>
      </c>
      <c r="AD548" s="26">
        <f>IF(U548=0,"",ROUND((Y548-AA548)/U548*100,1))</f>
        <v/>
      </c>
      <c r="AE548" s="36" t="inlineStr">
        <is>
          <t>CHECK — source is not a statutory creditor list</t>
        </is>
      </c>
      <c r="AF548" s="29" t="inlineStr">
        <is>
          <t>https://administradorajudicialgs.com.br/wp-content/uploads/2024/12/relacao-de-credores-da-falida.pdf</t>
        </is>
      </c>
      <c r="AG548" s="28" t="inlineStr">
        <is>
          <t>p18 r45</t>
        </is>
      </c>
      <c r="AH548" s="28" t="inlineStr">
        <is>
          <t>p18: R$ 279.092,97</t>
        </is>
      </c>
      <c r="AI548" s="28" t="inlineStr">
        <is>
          <t>Other filing — NOT an art. 7/51 list</t>
        </is>
      </c>
      <c r="AJ548" s="28" t="inlineStr">
        <is>
          <t>2025-03-25</t>
        </is>
      </c>
      <c r="AK548" s="28" t="inlineStr">
        <is>
          <t>NONE FOUND</t>
        </is>
      </c>
      <c r="AL548" s="30" t="inlineStr">
        <is>
          <t>0005010-50.2013.8.24.0026</t>
        </is>
      </c>
      <c r="AM548" s="30" t="inlineStr">
        <is>
          <t>TJSC</t>
        </is>
      </c>
      <c r="AN548" s="30" t="inlineStr"/>
      <c r="AO548" s="30" t="n">
        <v>2013</v>
      </c>
      <c r="AP548" s="30" t="inlineStr">
        <is>
          <t>document is a falência (bankruptcy) list</t>
        </is>
      </c>
      <c r="AQ548" s="30" t="inlineStr"/>
      <c r="AR548" s="30" t="inlineStr">
        <is>
          <t>printed on the list (read twice)</t>
        </is>
      </c>
      <c r="AS548" s="30" t="inlineStr">
        <is>
          <t>ARAUCARIA</t>
        </is>
      </c>
      <c r="AT548" s="30" t="inlineStr">
        <is>
          <t>PR</t>
        </is>
      </c>
      <c r="AU548" s="30" t="inlineStr">
        <is>
          <t>Fabricação de produtos de trefilados de metal padronizados</t>
        </is>
      </c>
      <c r="AV548" s="30" t="inlineStr">
        <is>
          <t>DEMAIS</t>
        </is>
      </c>
      <c r="AW548" s="31" t="inlineStr"/>
      <c r="AX548" s="30" t="inlineStr">
        <is>
          <t>MID-MARKET</t>
        </is>
      </c>
      <c r="AY548" s="30" t="inlineStr">
        <is>
          <t>04230984</t>
        </is>
      </c>
      <c r="AZ548" s="30" t="n">
        <v>1</v>
      </c>
      <c r="BA548" s="30" t="inlineStr">
        <is>
          <t>ROWS:p18r45 UNRECONCILED_SOURCE CASE_NUMBER_CORRECTED</t>
        </is>
      </c>
    </row>
    <row r="549">
      <c r="A549" s="16" t="inlineStr">
        <is>
          <t>DOHLER S.A.</t>
        </is>
      </c>
      <c r="B549" s="17" t="n">
        <v>268521.81</v>
      </c>
      <c r="C549" s="18" t="inlineStr">
        <is>
          <t>Mannes</t>
        </is>
      </c>
      <c r="D549" s="19" t="inlineStr">
        <is>
          <t>NEW</t>
        </is>
      </c>
      <c r="E549" s="20" t="inlineStr"/>
      <c r="F549" s="19" t="inlineStr"/>
      <c r="G549" s="20" t="inlineStr"/>
      <c r="H549" s="19" t="inlineStr"/>
      <c r="I549" s="21" t="inlineStr">
        <is>
          <t>Rudinei Hass</t>
        </is>
      </c>
      <c r="J549" s="21" t="inlineStr">
        <is>
          <t>Financial Manager</t>
        </is>
      </c>
      <c r="K549" s="21" t="inlineStr">
        <is>
          <t>(47) 3441-1666</t>
        </is>
      </c>
      <c r="L549" s="21" t="inlineStr">
        <is>
          <t>(47) 3441-1777</t>
        </is>
      </c>
      <c r="M549" s="21" t="inlineStr"/>
      <c r="N549" s="21" t="inlineStr"/>
      <c r="O549" s="21" t="inlineStr"/>
      <c r="P549" s="21" t="inlineStr">
        <is>
          <t>Jaqueline Arndt</t>
        </is>
      </c>
      <c r="Q549" s="21" t="inlineStr">
        <is>
          <t>Senior Financial Analyst</t>
        </is>
      </c>
      <c r="R549" s="21" t="inlineStr"/>
      <c r="S549" s="21" t="inlineStr"/>
      <c r="T549" s="21" t="inlineStr">
        <is>
          <t>no work email found in Apollo</t>
        </is>
      </c>
      <c r="U549" s="22" t="n">
        <v>268521.81</v>
      </c>
      <c r="V549" s="39" t="inlineStr">
        <is>
          <t>D</t>
        </is>
      </c>
      <c r="W549" s="24">
        <f>IFERROR(VLOOKUP(V549,Assumptions!$A$7:$F$11,2,FALSE),0)</f>
        <v/>
      </c>
      <c r="X549" s="25">
        <f>IF(V549="A",MAX(1,IFERROR(VLOOKUP(V549,Assumptions!$A$7:$F$11,3,FALSE),3)+IFERROR(VLOOKUP(V549,Assumptions!$A$7:$F$11,4,FALSE),8)/2-MAX(0,IF(AO549="",0,YEAR(TODAY())-AO549)-IFERROR(VLOOKUP(V549,Assumptions!$A$7:$F$11,5,FALSE),1.5))),IFERROR(VLOOKUP(V549,Assumptions!$A$7:$F$11,5,FALSE),2.5)+IFERROR(VLOOKUP(V549,Assumptions!$A$7:$F$11,3,FALSE),3)+IFERROR(VLOOKUP(V549,Assumptions!$A$7:$F$11,4,FALSE),8)/2)</f>
        <v/>
      </c>
      <c r="Y549" s="22">
        <f>U549*W549/(1+Assumptions!$B$3)^X549</f>
        <v/>
      </c>
      <c r="Z549" s="26">
        <f>IF(U549=0,"",ROUND(Y549/U549*100,1))</f>
        <v/>
      </c>
      <c r="AA549" s="27">
        <f>Y549*Assumptions!$B$4</f>
        <v/>
      </c>
      <c r="AB549" s="26">
        <f>IF(U549=0,"",ROUND(AA549/U549*100,1))</f>
        <v/>
      </c>
      <c r="AC549" s="27">
        <f>Y549-AA549</f>
        <v/>
      </c>
      <c r="AD549" s="26">
        <f>IF(U549=0,"",ROUND((Y549-AA549)/U549*100,1))</f>
        <v/>
      </c>
      <c r="AE549" s="36" t="inlineStr">
        <is>
          <t>CHECK — source is not a statutory creditor list</t>
        </is>
      </c>
      <c r="AF549" s="29" t="inlineStr">
        <is>
          <t>https://administradorajudicialgs.com.br/wp-content/uploads/2024/12/relacao-de-credores-da-falida.pdf</t>
        </is>
      </c>
      <c r="AG549" s="28" t="inlineStr">
        <is>
          <t>p14 r8</t>
        </is>
      </c>
      <c r="AH549" s="28" t="inlineStr">
        <is>
          <t>p14: R$ 268.521,81</t>
        </is>
      </c>
      <c r="AI549" s="28" t="inlineStr">
        <is>
          <t>Other filing — NOT an art. 7/51 list</t>
        </is>
      </c>
      <c r="AJ549" s="28" t="inlineStr">
        <is>
          <t>2025-03-25</t>
        </is>
      </c>
      <c r="AK549" s="28" t="inlineStr">
        <is>
          <t>NONE FOUND</t>
        </is>
      </c>
      <c r="AL549" s="30" t="inlineStr">
        <is>
          <t>0005010-50.2013.8.24.0026</t>
        </is>
      </c>
      <c r="AM549" s="30" t="inlineStr">
        <is>
          <t>TJSC</t>
        </is>
      </c>
      <c r="AN549" s="30" t="inlineStr"/>
      <c r="AO549" s="30" t="n">
        <v>2013</v>
      </c>
      <c r="AP549" s="30" t="inlineStr">
        <is>
          <t>document is a falência (bankruptcy) list</t>
        </is>
      </c>
      <c r="AQ549" s="30" t="inlineStr"/>
      <c r="AR549" s="30" t="inlineStr">
        <is>
          <t>printed on the list (read twice)</t>
        </is>
      </c>
      <c r="AS549" s="30" t="inlineStr">
        <is>
          <t>JOINVILLE</t>
        </is>
      </c>
      <c r="AT549" s="30" t="inlineStr">
        <is>
          <t>SC</t>
        </is>
      </c>
      <c r="AU549" s="30" t="inlineStr">
        <is>
          <t>Tecelagem de fios de algodão</t>
        </is>
      </c>
      <c r="AV549" s="30" t="inlineStr">
        <is>
          <t>DEMAIS</t>
        </is>
      </c>
      <c r="AW549" s="31" t="n">
        <v>320000000</v>
      </c>
      <c r="AX549" s="30" t="inlineStr">
        <is>
          <t>LARGE CORP</t>
        </is>
      </c>
      <c r="AY549" s="30" t="inlineStr">
        <is>
          <t>84683408</t>
        </is>
      </c>
      <c r="AZ549" s="30" t="n">
        <v>1</v>
      </c>
      <c r="BA549" s="30" t="inlineStr">
        <is>
          <t>ROWS:p14r8 UNRECONCILED_SOURCE CASE_NUMBER_CORRECTED</t>
        </is>
      </c>
    </row>
    <row r="550">
      <c r="A550" s="16" t="inlineStr">
        <is>
          <t>DISTRITO DE IRRIGACAO DO PERIMETRO SENADOR NILO COELHO</t>
        </is>
      </c>
      <c r="B550" s="17" t="n">
        <v>264882.79</v>
      </c>
      <c r="C550" s="18" t="inlineStr">
        <is>
          <t>COPA FRUIT IMPORTAÇÃO E EXPORTAÇÃO S.A</t>
        </is>
      </c>
      <c r="D550" s="19" t="inlineStr">
        <is>
          <t>NEW</t>
        </is>
      </c>
      <c r="E550" s="20" t="inlineStr"/>
      <c r="F550" s="19" t="inlineStr"/>
      <c r="G550" s="20" t="inlineStr"/>
      <c r="H550" s="19" t="inlineStr"/>
      <c r="I550" s="21" t="inlineStr">
        <is>
          <t>Marcos Vinnycius</t>
        </is>
      </c>
      <c r="J550" s="21" t="inlineStr">
        <is>
          <t>Analista de Planejamento e Orçamento</t>
        </is>
      </c>
      <c r="K550" s="21" t="inlineStr">
        <is>
          <t>(87) 3986-3565</t>
        </is>
      </c>
      <c r="L550" s="21" t="inlineStr"/>
      <c r="M550" s="21" t="inlineStr"/>
      <c r="N550" s="21" t="inlineStr"/>
      <c r="O550" s="21" t="inlineStr"/>
      <c r="P550" s="21" t="inlineStr">
        <is>
          <t>Ayrton Sena</t>
        </is>
      </c>
      <c r="Q550" s="21" t="inlineStr">
        <is>
          <t>Accounting Assistant</t>
        </is>
      </c>
      <c r="R550" s="21" t="inlineStr"/>
      <c r="S550" s="21" t="inlineStr"/>
      <c r="T550" s="21" t="inlineStr">
        <is>
          <t>no work email found in Apollo</t>
        </is>
      </c>
      <c r="U550" s="22" t="n">
        <v>264882.79</v>
      </c>
      <c r="V550" s="39" t="inlineStr">
        <is>
          <t>D</t>
        </is>
      </c>
      <c r="W550" s="24">
        <f>IFERROR(VLOOKUP(V550,Assumptions!$A$7:$F$11,2,FALSE),0)</f>
        <v/>
      </c>
      <c r="X550" s="25">
        <f>IF(V550="A",MAX(1,IFERROR(VLOOKUP(V550,Assumptions!$A$7:$F$11,3,FALSE),3)+IFERROR(VLOOKUP(V550,Assumptions!$A$7:$F$11,4,FALSE),8)/2-MAX(0,IF(AO550="",0,YEAR(TODAY())-AO550)-IFERROR(VLOOKUP(V550,Assumptions!$A$7:$F$11,5,FALSE),1.5))),IFERROR(VLOOKUP(V550,Assumptions!$A$7:$F$11,5,FALSE),2.5)+IFERROR(VLOOKUP(V550,Assumptions!$A$7:$F$11,3,FALSE),3)+IFERROR(VLOOKUP(V550,Assumptions!$A$7:$F$11,4,FALSE),8)/2)</f>
        <v/>
      </c>
      <c r="Y550" s="22">
        <f>U550*W550/(1+Assumptions!$B$3)^X550</f>
        <v/>
      </c>
      <c r="Z550" s="26">
        <f>IF(U550=0,"",ROUND(Y550/U550*100,1))</f>
        <v/>
      </c>
      <c r="AA550" s="27">
        <f>Y550*Assumptions!$B$4</f>
        <v/>
      </c>
      <c r="AB550" s="26">
        <f>IF(U550=0,"",ROUND(AA550/U550*100,1))</f>
        <v/>
      </c>
      <c r="AC550" s="27">
        <f>Y550-AA550</f>
        <v/>
      </c>
      <c r="AD550" s="26">
        <f>IF(U550=0,"",ROUND((Y550-AA550)/U550*100,1))</f>
        <v/>
      </c>
      <c r="AE550" s="33" t="inlineStr">
        <is>
          <t>NO TOTALS — list prints none; check page</t>
        </is>
      </c>
      <c r="AF550" s="29" t="inlineStr">
        <is>
          <t>https://diligence.adm.br/wp-content/plugins/download-attachments/includes/download.php?id=4579</t>
        </is>
      </c>
      <c r="AG550" s="28" t="inlineStr">
        <is>
          <t>p8 r5</t>
        </is>
      </c>
      <c r="AH550" s="28" t="inlineStr">
        <is>
          <t>p8: R$ 264.882,79</t>
        </is>
      </c>
      <c r="AI550" s="28" t="inlineStr">
        <is>
          <t>AJ list (art. 7 §2)</t>
        </is>
      </c>
      <c r="AJ550" s="28" t="inlineStr">
        <is>
          <t>2024-06-11</t>
        </is>
      </c>
      <c r="AK550" s="28" t="inlineStr">
        <is>
          <t>NONE FOUND</t>
        </is>
      </c>
      <c r="AL550" s="30" t="inlineStr">
        <is>
          <t>0032731-52.2010.8.17.0001</t>
        </is>
      </c>
      <c r="AM550" s="30" t="inlineStr">
        <is>
          <t>TJPE</t>
        </is>
      </c>
      <c r="AN550" s="30" t="inlineStr"/>
      <c r="AO550" s="30" t="n">
        <v>2010</v>
      </c>
      <c r="AP550" s="30" t="inlineStr">
        <is>
          <t>document is a falência (bankruptcy) list</t>
        </is>
      </c>
      <c r="AQ550" s="30" t="inlineStr">
        <is>
          <t>01.356.809/0001-13</t>
        </is>
      </c>
      <c r="AR550" s="30" t="inlineStr">
        <is>
          <t>printed on the list (read twice)</t>
        </is>
      </c>
      <c r="AS550" s="30" t="inlineStr">
        <is>
          <t>PETROLINA</t>
        </is>
      </c>
      <c r="AT550" s="30" t="inlineStr">
        <is>
          <t>PE</t>
        </is>
      </c>
      <c r="AU550" s="30" t="inlineStr">
        <is>
          <t>Atividades de associações de defesa de direitos sociais</t>
        </is>
      </c>
      <c r="AV550" s="30" t="inlineStr">
        <is>
          <t>DEMAIS</t>
        </is>
      </c>
      <c r="AW550" s="31" t="inlineStr"/>
      <c r="AX550" s="30" t="inlineStr">
        <is>
          <t>MID-MARKET</t>
        </is>
      </c>
      <c r="AY550" s="30" t="inlineStr">
        <is>
          <t>12656690</t>
        </is>
      </c>
      <c r="AZ550" s="30" t="n">
        <v>1</v>
      </c>
      <c r="BA550" s="30" t="inlineStr">
        <is>
          <t>ROWS:p8r5 UNRECONCILED_SOURCE VALUE_COL:Crédito_1ª_Lista</t>
        </is>
      </c>
    </row>
    <row r="551">
      <c r="A551" s="16" t="inlineStr">
        <is>
          <t>MOMENTIVE PERFORMANCE MATERIALS INDUSTRIA DE SILICONES LTDA</t>
        </is>
      </c>
      <c r="B551" s="17" t="n">
        <v>262038.21</v>
      </c>
      <c r="C551" s="18" t="inlineStr">
        <is>
          <t>Mannes</t>
        </is>
      </c>
      <c r="D551" s="19" t="inlineStr">
        <is>
          <t>NEW</t>
        </is>
      </c>
      <c r="E551" s="20" t="inlineStr"/>
      <c r="F551" s="19" t="inlineStr"/>
      <c r="G551" s="20" t="inlineStr"/>
      <c r="H551" s="19" t="inlineStr"/>
      <c r="I551" s="21" t="inlineStr">
        <is>
          <t>Tania Trigo</t>
        </is>
      </c>
      <c r="J551" s="21" t="inlineStr">
        <is>
          <t>Finance Director</t>
        </is>
      </c>
      <c r="K551" s="21" t="inlineStr">
        <is>
          <t>(11) 5128-4222</t>
        </is>
      </c>
      <c r="L551" s="21" t="inlineStr"/>
      <c r="M551" s="21" t="inlineStr"/>
      <c r="N551" s="21" t="inlineStr"/>
      <c r="O551" s="21" t="inlineStr">
        <is>
          <t>leandro.souza@momentive.com</t>
        </is>
      </c>
      <c r="P551" s="21" t="inlineStr">
        <is>
          <t>Leandro Souza</t>
        </is>
      </c>
      <c r="Q551" s="21" t="inlineStr">
        <is>
          <t>Americas Controller</t>
        </is>
      </c>
      <c r="R551" s="21" t="inlineStr"/>
      <c r="S551" s="21" t="inlineStr">
        <is>
          <t>leandro.souza@momentive.com</t>
        </is>
      </c>
      <c r="T551" s="21" t="inlineStr">
        <is>
          <t>no work email found in Apollo</t>
        </is>
      </c>
      <c r="U551" s="22" t="n">
        <v>262038.21</v>
      </c>
      <c r="V551" s="39" t="inlineStr">
        <is>
          <t>D</t>
        </is>
      </c>
      <c r="W551" s="24">
        <f>IFERROR(VLOOKUP(V551,Assumptions!$A$7:$F$11,2,FALSE),0)</f>
        <v/>
      </c>
      <c r="X551" s="25">
        <f>IF(V551="A",MAX(1,IFERROR(VLOOKUP(V551,Assumptions!$A$7:$F$11,3,FALSE),3)+IFERROR(VLOOKUP(V551,Assumptions!$A$7:$F$11,4,FALSE),8)/2-MAX(0,IF(AO551="",0,YEAR(TODAY())-AO551)-IFERROR(VLOOKUP(V551,Assumptions!$A$7:$F$11,5,FALSE),1.5))),IFERROR(VLOOKUP(V551,Assumptions!$A$7:$F$11,5,FALSE),2.5)+IFERROR(VLOOKUP(V551,Assumptions!$A$7:$F$11,3,FALSE),3)+IFERROR(VLOOKUP(V551,Assumptions!$A$7:$F$11,4,FALSE),8)/2)</f>
        <v/>
      </c>
      <c r="Y551" s="22">
        <f>U551*W551/(1+Assumptions!$B$3)^X551</f>
        <v/>
      </c>
      <c r="Z551" s="26">
        <f>IF(U551=0,"",ROUND(Y551/U551*100,1))</f>
        <v/>
      </c>
      <c r="AA551" s="27">
        <f>Y551*Assumptions!$B$4</f>
        <v/>
      </c>
      <c r="AB551" s="26">
        <f>IF(U551=0,"",ROUND(AA551/U551*100,1))</f>
        <v/>
      </c>
      <c r="AC551" s="27">
        <f>Y551-AA551</f>
        <v/>
      </c>
      <c r="AD551" s="26">
        <f>IF(U551=0,"",ROUND((Y551-AA551)/U551*100,1))</f>
        <v/>
      </c>
      <c r="AE551" s="36" t="inlineStr">
        <is>
          <t>CHECK — source is not a statutory creditor list</t>
        </is>
      </c>
      <c r="AF551" s="29" t="inlineStr">
        <is>
          <t>https://administradorajudicialgs.com.br/wp-content/uploads/2024/12/relacao-de-credores-da-falida.pdf</t>
        </is>
      </c>
      <c r="AG551" s="28" t="inlineStr">
        <is>
          <t>p17 r2</t>
        </is>
      </c>
      <c r="AH551" s="28" t="inlineStr">
        <is>
          <t>p17: R$ 262.038,21</t>
        </is>
      </c>
      <c r="AI551" s="28" t="inlineStr">
        <is>
          <t>Other filing — NOT an art. 7/51 list</t>
        </is>
      </c>
      <c r="AJ551" s="28" t="inlineStr">
        <is>
          <t>2025-03-25</t>
        </is>
      </c>
      <c r="AK551" s="28" t="inlineStr">
        <is>
          <t>NONE FOUND</t>
        </is>
      </c>
      <c r="AL551" s="30" t="inlineStr">
        <is>
          <t>0005010-50.2013.8.24.0026</t>
        </is>
      </c>
      <c r="AM551" s="30" t="inlineStr">
        <is>
          <t>TJSC</t>
        </is>
      </c>
      <c r="AN551" s="30" t="inlineStr"/>
      <c r="AO551" s="30" t="n">
        <v>2013</v>
      </c>
      <c r="AP551" s="30" t="inlineStr">
        <is>
          <t>document is a falência (bankruptcy) list</t>
        </is>
      </c>
      <c r="AQ551" s="30" t="inlineStr"/>
      <c r="AR551" s="30" t="inlineStr">
        <is>
          <t>printed on the list (read twice)</t>
        </is>
      </c>
      <c r="AS551" s="30" t="inlineStr">
        <is>
          <t>ITATIBA</t>
        </is>
      </c>
      <c r="AT551" s="30" t="inlineStr">
        <is>
          <t>SP</t>
        </is>
      </c>
      <c r="AU551" s="30" t="inlineStr">
        <is>
          <t>Fabricação de aditivos de uso industrial</t>
        </is>
      </c>
      <c r="AV551" s="30" t="inlineStr">
        <is>
          <t>DEMAIS</t>
        </is>
      </c>
      <c r="AW551" s="31" t="n">
        <v>38387584</v>
      </c>
      <c r="AX551" s="30" t="inlineStr">
        <is>
          <t>MID-MARKET</t>
        </is>
      </c>
      <c r="AY551" s="30" t="inlineStr">
        <is>
          <t>05701847</t>
        </is>
      </c>
      <c r="AZ551" s="30" t="n">
        <v>1</v>
      </c>
      <c r="BA551" s="30" t="inlineStr">
        <is>
          <t>ROWS:p17r2 UNRECONCILED_SOURCE CASE_NUMBER_CORRECTED</t>
        </is>
      </c>
    </row>
    <row r="552">
      <c r="A552" s="16" t="inlineStr">
        <is>
          <t>PACKDUQUE INDUSTRIA DE PLASTICOS LTDA</t>
        </is>
      </c>
      <c r="B552" s="17" t="n">
        <v>258953.37</v>
      </c>
      <c r="C552" s="18" t="inlineStr">
        <is>
          <t>Mannes</t>
        </is>
      </c>
      <c r="D552" s="19" t="inlineStr">
        <is>
          <t>NEW</t>
        </is>
      </c>
      <c r="E552" s="20" t="inlineStr"/>
      <c r="F552" s="19" t="inlineStr"/>
      <c r="G552" s="20" t="inlineStr"/>
      <c r="H552" s="19" t="inlineStr"/>
      <c r="I552" s="21" t="inlineStr">
        <is>
          <t>PAUL ANDRE REITER</t>
        </is>
      </c>
      <c r="J552" s="21" t="inlineStr">
        <is>
          <t>Administrador (RFB partner)</t>
        </is>
      </c>
      <c r="K552" s="21" t="inlineStr">
        <is>
          <t>(11) 3881-7400</t>
        </is>
      </c>
      <c r="L552" s="21" t="inlineStr"/>
      <c r="M552" s="21" t="inlineStr"/>
      <c r="N552" s="21" t="inlineStr"/>
      <c r="O552" s="21" t="inlineStr"/>
      <c r="P552" s="21" t="inlineStr">
        <is>
          <t>THEO REITER</t>
        </is>
      </c>
      <c r="Q552" s="21" t="inlineStr">
        <is>
          <t>Administrador (RFB partner)</t>
        </is>
      </c>
      <c r="R552" s="21" t="inlineStr"/>
      <c r="S552" s="21" t="inlineStr"/>
      <c r="T552" s="21" t="inlineStr">
        <is>
          <t>RFB partner (QSA); no Apollo match</t>
        </is>
      </c>
      <c r="U552" s="22" t="n">
        <v>258953.37</v>
      </c>
      <c r="V552" s="39" t="inlineStr">
        <is>
          <t>D</t>
        </is>
      </c>
      <c r="W552" s="24">
        <f>IFERROR(VLOOKUP(V552,Assumptions!$A$7:$F$11,2,FALSE),0)</f>
        <v/>
      </c>
      <c r="X552" s="25">
        <f>IF(V552="A",MAX(1,IFERROR(VLOOKUP(V552,Assumptions!$A$7:$F$11,3,FALSE),3)+IFERROR(VLOOKUP(V552,Assumptions!$A$7:$F$11,4,FALSE),8)/2-MAX(0,IF(AO552="",0,YEAR(TODAY())-AO552)-IFERROR(VLOOKUP(V552,Assumptions!$A$7:$F$11,5,FALSE),1.5))),IFERROR(VLOOKUP(V552,Assumptions!$A$7:$F$11,5,FALSE),2.5)+IFERROR(VLOOKUP(V552,Assumptions!$A$7:$F$11,3,FALSE),3)+IFERROR(VLOOKUP(V552,Assumptions!$A$7:$F$11,4,FALSE),8)/2)</f>
        <v/>
      </c>
      <c r="Y552" s="22">
        <f>U552*W552/(1+Assumptions!$B$3)^X552</f>
        <v/>
      </c>
      <c r="Z552" s="26">
        <f>IF(U552=0,"",ROUND(Y552/U552*100,1))</f>
        <v/>
      </c>
      <c r="AA552" s="27">
        <f>Y552*Assumptions!$B$4</f>
        <v/>
      </c>
      <c r="AB552" s="26">
        <f>IF(U552=0,"",ROUND(AA552/U552*100,1))</f>
        <v/>
      </c>
      <c r="AC552" s="27">
        <f>Y552-AA552</f>
        <v/>
      </c>
      <c r="AD552" s="26">
        <f>IF(U552=0,"",ROUND((Y552-AA552)/U552*100,1))</f>
        <v/>
      </c>
      <c r="AE552" s="36" t="inlineStr">
        <is>
          <t>CHECK — source is not a statutory creditor list</t>
        </is>
      </c>
      <c r="AF552" s="29" t="inlineStr">
        <is>
          <t>https://administradorajudicialgs.com.br/wp-content/uploads/2024/12/relacao-de-credores-da-falida.pdf</t>
        </is>
      </c>
      <c r="AG552" s="28" t="inlineStr">
        <is>
          <t>p17 r30</t>
        </is>
      </c>
      <c r="AH552" s="28" t="inlineStr">
        <is>
          <t>p17: R$ 258.953,37</t>
        </is>
      </c>
      <c r="AI552" s="28" t="inlineStr">
        <is>
          <t>Other filing — NOT an art. 7/51 list</t>
        </is>
      </c>
      <c r="AJ552" s="28" t="inlineStr">
        <is>
          <t>2025-03-25</t>
        </is>
      </c>
      <c r="AK552" s="28" t="inlineStr">
        <is>
          <t>NONE FOUND</t>
        </is>
      </c>
      <c r="AL552" s="30" t="inlineStr">
        <is>
          <t>0005010-50.2013.8.24.0026</t>
        </is>
      </c>
      <c r="AM552" s="30" t="inlineStr">
        <is>
          <t>TJSC</t>
        </is>
      </c>
      <c r="AN552" s="30" t="inlineStr"/>
      <c r="AO552" s="30" t="n">
        <v>2013</v>
      </c>
      <c r="AP552" s="30" t="inlineStr">
        <is>
          <t>document is a falência (bankruptcy) list</t>
        </is>
      </c>
      <c r="AQ552" s="30" t="inlineStr"/>
      <c r="AR552" s="30" t="inlineStr">
        <is>
          <t>printed on the list (read twice)</t>
        </is>
      </c>
      <c r="AS552" s="30" t="inlineStr">
        <is>
          <t>VALINHOS</t>
        </is>
      </c>
      <c r="AT552" s="30" t="inlineStr">
        <is>
          <t>SP</t>
        </is>
      </c>
      <c r="AU552" s="30" t="inlineStr">
        <is>
          <t>Preparação de documentos e serviços especializados de apoio administrativo não especificados anteriormente</t>
        </is>
      </c>
      <c r="AV552" s="30" t="inlineStr">
        <is>
          <t>DEMAIS</t>
        </is>
      </c>
      <c r="AW552" s="31" t="n">
        <v>99000</v>
      </c>
      <c r="AX552" s="30" t="inlineStr">
        <is>
          <t>MID-MARKET</t>
        </is>
      </c>
      <c r="AY552" s="30" t="inlineStr">
        <is>
          <t>04214651</t>
        </is>
      </c>
      <c r="AZ552" s="30" t="n">
        <v>1</v>
      </c>
      <c r="BA552" s="30" t="inlineStr">
        <is>
          <t>ROWS:p17r30 UNRECONCILED_SOURCE CASE_NUMBER_CORRECTED</t>
        </is>
      </c>
    </row>
    <row r="553">
      <c r="A553" s="16" t="inlineStr">
        <is>
          <t>SOMAR INDUSTRIAL DE EMBALAGENS LTDA -</t>
        </is>
      </c>
      <c r="B553" s="17" t="n">
        <v>246969.59</v>
      </c>
      <c r="C553" s="18" t="inlineStr">
        <is>
          <t>Mannes</t>
        </is>
      </c>
      <c r="D553" s="19" t="inlineStr">
        <is>
          <t>NEW</t>
        </is>
      </c>
      <c r="E553" s="20" t="inlineStr"/>
      <c r="F553" s="19" t="inlineStr"/>
      <c r="G553" s="20" t="inlineStr"/>
      <c r="H553" s="19" t="inlineStr"/>
      <c r="I553" s="21" t="inlineStr">
        <is>
          <t>Soliane Pegoraro</t>
        </is>
      </c>
      <c r="J553" s="21" t="inlineStr">
        <is>
          <t>Financial Assistant</t>
        </is>
      </c>
      <c r="K553" s="21" t="inlineStr"/>
      <c r="L553" s="21" t="inlineStr"/>
      <c r="M553" s="21" t="inlineStr"/>
      <c r="N553" s="21" t="inlineStr"/>
      <c r="O553" s="21" t="inlineStr"/>
      <c r="P553" s="21" t="inlineStr">
        <is>
          <t>Maycon Drun</t>
        </is>
      </c>
      <c r="Q553" s="21" t="inlineStr">
        <is>
          <t>Administrador de Faturamento</t>
        </is>
      </c>
      <c r="R553" s="21" t="inlineStr"/>
      <c r="S553" s="21" t="inlineStr"/>
      <c r="T553" s="21" t="inlineStr">
        <is>
          <t>no work email found in Apollo</t>
        </is>
      </c>
      <c r="U553" s="22" t="n">
        <v>246969.59</v>
      </c>
      <c r="V553" s="39" t="inlineStr">
        <is>
          <t>D</t>
        </is>
      </c>
      <c r="W553" s="24">
        <f>IFERROR(VLOOKUP(V553,Assumptions!$A$7:$F$11,2,FALSE),0)</f>
        <v/>
      </c>
      <c r="X553" s="25">
        <f>IF(V553="A",MAX(1,IFERROR(VLOOKUP(V553,Assumptions!$A$7:$F$11,3,FALSE),3)+IFERROR(VLOOKUP(V553,Assumptions!$A$7:$F$11,4,FALSE),8)/2-MAX(0,IF(AO553="",0,YEAR(TODAY())-AO553)-IFERROR(VLOOKUP(V553,Assumptions!$A$7:$F$11,5,FALSE),1.5))),IFERROR(VLOOKUP(V553,Assumptions!$A$7:$F$11,5,FALSE),2.5)+IFERROR(VLOOKUP(V553,Assumptions!$A$7:$F$11,3,FALSE),3)+IFERROR(VLOOKUP(V553,Assumptions!$A$7:$F$11,4,FALSE),8)/2)</f>
        <v/>
      </c>
      <c r="Y553" s="22">
        <f>U553*W553/(1+Assumptions!$B$3)^X553</f>
        <v/>
      </c>
      <c r="Z553" s="26">
        <f>IF(U553=0,"",ROUND(Y553/U553*100,1))</f>
        <v/>
      </c>
      <c r="AA553" s="27">
        <f>Y553*Assumptions!$B$4</f>
        <v/>
      </c>
      <c r="AB553" s="26">
        <f>IF(U553=0,"",ROUND(AA553/U553*100,1))</f>
        <v/>
      </c>
      <c r="AC553" s="27">
        <f>Y553-AA553</f>
        <v/>
      </c>
      <c r="AD553" s="26">
        <f>IF(U553=0,"",ROUND((Y553-AA553)/U553*100,1))</f>
        <v/>
      </c>
      <c r="AE553" s="36" t="inlineStr">
        <is>
          <t>CHECK — source is not a statutory creditor list</t>
        </is>
      </c>
      <c r="AF553" s="29" t="inlineStr">
        <is>
          <t>https://administradorajudicialgs.com.br/wp-content/uploads/2024/12/relacao-de-credores-da-falida.pdf</t>
        </is>
      </c>
      <c r="AG553" s="28" t="inlineStr">
        <is>
          <t>p18 r39</t>
        </is>
      </c>
      <c r="AH553" s="28" t="inlineStr">
        <is>
          <t>p18: R$ 246.969,59</t>
        </is>
      </c>
      <c r="AI553" s="28" t="inlineStr">
        <is>
          <t>Other filing — NOT an art. 7/51 list</t>
        </is>
      </c>
      <c r="AJ553" s="28" t="inlineStr">
        <is>
          <t>2025-03-25</t>
        </is>
      </c>
      <c r="AK553" s="28" t="inlineStr">
        <is>
          <t>NONE FOUND</t>
        </is>
      </c>
      <c r="AL553" s="30" t="inlineStr">
        <is>
          <t>0005010-50.2013.8.24.0026</t>
        </is>
      </c>
      <c r="AM553" s="30" t="inlineStr">
        <is>
          <t>TJSC</t>
        </is>
      </c>
      <c r="AN553" s="30" t="inlineStr"/>
      <c r="AO553" s="30" t="n">
        <v>2013</v>
      </c>
      <c r="AP553" s="30" t="inlineStr">
        <is>
          <t>document is a falência (bankruptcy) list</t>
        </is>
      </c>
      <c r="AQ553" s="30" t="inlineStr"/>
      <c r="AR553" s="30" t="inlineStr">
        <is>
          <t>printed on the list (read twice)</t>
        </is>
      </c>
      <c r="AS553" s="30" t="inlineStr">
        <is>
          <t>CACADOR</t>
        </is>
      </c>
      <c r="AT553" s="30" t="inlineStr">
        <is>
          <t>SC</t>
        </is>
      </c>
      <c r="AU553" s="30" t="inlineStr">
        <is>
          <t>Fabricação de embalagens de material plástico</t>
        </is>
      </c>
      <c r="AV553" s="30" t="inlineStr">
        <is>
          <t>DEMAIS</t>
        </is>
      </c>
      <c r="AW553" s="31" t="n">
        <v>664007</v>
      </c>
      <c r="AX553" s="30" t="inlineStr">
        <is>
          <t>MID-MARKET</t>
        </is>
      </c>
      <c r="AY553" s="30" t="inlineStr">
        <is>
          <t>95758330</t>
        </is>
      </c>
      <c r="AZ553" s="30" t="n">
        <v>1</v>
      </c>
      <c r="BA553" s="30" t="inlineStr">
        <is>
          <t>ROWS:p18r39 UNRECONCILED_SOURCE CASE_NUMBER_CORRECTED</t>
        </is>
      </c>
    </row>
    <row r="554">
      <c r="A554" s="16" t="inlineStr">
        <is>
          <t>LINHASITA INDUSTRIA DE LINHAS PARA COSER LTDA</t>
        </is>
      </c>
      <c r="B554" s="17" t="n">
        <v>218971.2</v>
      </c>
      <c r="C554" s="18" t="inlineStr">
        <is>
          <t>Mannes</t>
        </is>
      </c>
      <c r="D554" s="19" t="inlineStr">
        <is>
          <t>NEW</t>
        </is>
      </c>
      <c r="E554" s="20" t="inlineStr"/>
      <c r="F554" s="19" t="inlineStr"/>
      <c r="G554" s="20" t="inlineStr"/>
      <c r="H554" s="19" t="inlineStr"/>
      <c r="I554" s="21" t="inlineStr">
        <is>
          <t>Jessica Prezotto</t>
        </is>
      </c>
      <c r="J554" s="21" t="inlineStr">
        <is>
          <t>Financial Manager</t>
        </is>
      </c>
      <c r="K554" s="21" t="inlineStr">
        <is>
          <t>(11) 4487-6600</t>
        </is>
      </c>
      <c r="L554" s="21" t="inlineStr"/>
      <c r="M554" s="21" t="inlineStr"/>
      <c r="N554" s="21" t="inlineStr">
        <is>
          <t>jessica@linhasita.com.br</t>
        </is>
      </c>
      <c r="O554" s="21" t="inlineStr">
        <is>
          <t>jaqueline@linhasita.com.br</t>
        </is>
      </c>
      <c r="P554" s="21" t="inlineStr">
        <is>
          <t>Jaqueline Marreira</t>
        </is>
      </c>
      <c r="Q554" s="21" t="inlineStr">
        <is>
          <t>Financial Assistant</t>
        </is>
      </c>
      <c r="R554" s="21" t="inlineStr"/>
      <c r="S554" s="21" t="inlineStr">
        <is>
          <t>jaqueline@linhasita.com.br</t>
        </is>
      </c>
      <c r="T554" s="21" t="inlineStr">
        <is>
          <t>email verified by Apollo</t>
        </is>
      </c>
      <c r="U554" s="22" t="n">
        <v>218971.2</v>
      </c>
      <c r="V554" s="39" t="inlineStr">
        <is>
          <t>D</t>
        </is>
      </c>
      <c r="W554" s="24">
        <f>IFERROR(VLOOKUP(V554,Assumptions!$A$7:$F$11,2,FALSE),0)</f>
        <v/>
      </c>
      <c r="X554" s="25">
        <f>IF(V554="A",MAX(1,IFERROR(VLOOKUP(V554,Assumptions!$A$7:$F$11,3,FALSE),3)+IFERROR(VLOOKUP(V554,Assumptions!$A$7:$F$11,4,FALSE),8)/2-MAX(0,IF(AO554="",0,YEAR(TODAY())-AO554)-IFERROR(VLOOKUP(V554,Assumptions!$A$7:$F$11,5,FALSE),1.5))),IFERROR(VLOOKUP(V554,Assumptions!$A$7:$F$11,5,FALSE),2.5)+IFERROR(VLOOKUP(V554,Assumptions!$A$7:$F$11,3,FALSE),3)+IFERROR(VLOOKUP(V554,Assumptions!$A$7:$F$11,4,FALSE),8)/2)</f>
        <v/>
      </c>
      <c r="Y554" s="22">
        <f>U554*W554/(1+Assumptions!$B$3)^X554</f>
        <v/>
      </c>
      <c r="Z554" s="26">
        <f>IF(U554=0,"",ROUND(Y554/U554*100,1))</f>
        <v/>
      </c>
      <c r="AA554" s="27">
        <f>Y554*Assumptions!$B$4</f>
        <v/>
      </c>
      <c r="AB554" s="26">
        <f>IF(U554=0,"",ROUND(AA554/U554*100,1))</f>
        <v/>
      </c>
      <c r="AC554" s="27">
        <f>Y554-AA554</f>
        <v/>
      </c>
      <c r="AD554" s="26">
        <f>IF(U554=0,"",ROUND((Y554-AA554)/U554*100,1))</f>
        <v/>
      </c>
      <c r="AE554" s="36" t="inlineStr">
        <is>
          <t>CHECK — source is not a statutory creditor list</t>
        </is>
      </c>
      <c r="AF554" s="29" t="inlineStr">
        <is>
          <t>https://administradorajudicialgs.com.br/wp-content/uploads/2024/12/relacao-de-credores-da-falida.pdf</t>
        </is>
      </c>
      <c r="AG554" s="28" t="inlineStr">
        <is>
          <t>p16 r15</t>
        </is>
      </c>
      <c r="AH554" s="28" t="inlineStr">
        <is>
          <t>p16: R$ 218.971,20</t>
        </is>
      </c>
      <c r="AI554" s="28" t="inlineStr">
        <is>
          <t>Other filing — NOT an art. 7/51 list</t>
        </is>
      </c>
      <c r="AJ554" s="28" t="inlineStr">
        <is>
          <t>2025-03-25</t>
        </is>
      </c>
      <c r="AK554" s="28" t="inlineStr">
        <is>
          <t>NONE FOUND</t>
        </is>
      </c>
      <c r="AL554" s="30" t="inlineStr">
        <is>
          <t>0005010-50.2013.8.24.0026</t>
        </is>
      </c>
      <c r="AM554" s="30" t="inlineStr">
        <is>
          <t>TJSC</t>
        </is>
      </c>
      <c r="AN554" s="30" t="inlineStr"/>
      <c r="AO554" s="30" t="n">
        <v>2013</v>
      </c>
      <c r="AP554" s="30" t="inlineStr">
        <is>
          <t>document is a falência (bankruptcy) list</t>
        </is>
      </c>
      <c r="AQ554" s="30" t="inlineStr"/>
      <c r="AR554" s="30" t="inlineStr">
        <is>
          <t>printed on the list (read twice)</t>
        </is>
      </c>
      <c r="AS554" s="30" t="inlineStr">
        <is>
          <t>ITATIBA</t>
        </is>
      </c>
      <c r="AT554" s="30" t="inlineStr">
        <is>
          <t>SP</t>
        </is>
      </c>
      <c r="AU554" s="30" t="inlineStr">
        <is>
          <t>Fabricação de linhas para costurar e bordar</t>
        </is>
      </c>
      <c r="AV554" s="30" t="inlineStr">
        <is>
          <t>DEMAIS</t>
        </is>
      </c>
      <c r="AW554" s="31" t="n">
        <v>3718622</v>
      </c>
      <c r="AX554" s="30" t="inlineStr">
        <is>
          <t>MID-MARKET</t>
        </is>
      </c>
      <c r="AY554" s="30" t="inlineStr">
        <is>
          <t>46645768</t>
        </is>
      </c>
      <c r="AZ554" s="30" t="n">
        <v>1</v>
      </c>
      <c r="BA554" s="30" t="inlineStr">
        <is>
          <t>ROWS:p16r15 UNRECONCILED_SOURCE CASE_NUMBER_CORRECTED</t>
        </is>
      </c>
    </row>
    <row r="555">
      <c r="A555" s="16" t="inlineStr">
        <is>
          <t>LAMINADOS PROGRESSO LTDA</t>
        </is>
      </c>
      <c r="B555" s="17" t="n">
        <v>203412.12</v>
      </c>
      <c r="C555" s="18" t="inlineStr">
        <is>
          <t>Mannes</t>
        </is>
      </c>
      <c r="D555" s="19" t="inlineStr">
        <is>
          <t>NEW</t>
        </is>
      </c>
      <c r="E555" s="20" t="inlineStr"/>
      <c r="F555" s="19" t="inlineStr"/>
      <c r="G555" s="20" t="inlineStr"/>
      <c r="H555" s="19" t="inlineStr"/>
      <c r="I555" s="21" t="inlineStr">
        <is>
          <t>JOAO CESAR BOBATO</t>
        </is>
      </c>
      <c r="J555" s="21" t="inlineStr">
        <is>
          <t>Sócio-Administrador (RFB partner)</t>
        </is>
      </c>
      <c r="K555" s="21" t="inlineStr">
        <is>
          <t>000000000000</t>
        </is>
      </c>
      <c r="L555" s="21" t="inlineStr"/>
      <c r="M555" s="21" t="inlineStr"/>
      <c r="N555" s="21" t="inlineStr"/>
      <c r="O555" s="21" t="inlineStr"/>
      <c r="P555" s="21" t="inlineStr"/>
      <c r="Q555" s="21" t="inlineStr"/>
      <c r="R555" s="21" t="inlineStr"/>
      <c r="S555" s="21" t="inlineStr"/>
      <c r="T555" s="21" t="inlineStr">
        <is>
          <t>RFB partner (QSA); no Apollo match</t>
        </is>
      </c>
      <c r="U555" s="22" t="n">
        <v>203412.12</v>
      </c>
      <c r="V555" s="39" t="inlineStr">
        <is>
          <t>D</t>
        </is>
      </c>
      <c r="W555" s="24">
        <f>IFERROR(VLOOKUP(V555,Assumptions!$A$7:$F$11,2,FALSE),0)</f>
        <v/>
      </c>
      <c r="X555" s="25">
        <f>IF(V555="A",MAX(1,IFERROR(VLOOKUP(V555,Assumptions!$A$7:$F$11,3,FALSE),3)+IFERROR(VLOOKUP(V555,Assumptions!$A$7:$F$11,4,FALSE),8)/2-MAX(0,IF(AO555="",0,YEAR(TODAY())-AO555)-IFERROR(VLOOKUP(V555,Assumptions!$A$7:$F$11,5,FALSE),1.5))),IFERROR(VLOOKUP(V555,Assumptions!$A$7:$F$11,5,FALSE),2.5)+IFERROR(VLOOKUP(V555,Assumptions!$A$7:$F$11,3,FALSE),3)+IFERROR(VLOOKUP(V555,Assumptions!$A$7:$F$11,4,FALSE),8)/2)</f>
        <v/>
      </c>
      <c r="Y555" s="22">
        <f>U555*W555/(1+Assumptions!$B$3)^X555</f>
        <v/>
      </c>
      <c r="Z555" s="26">
        <f>IF(U555=0,"",ROUND(Y555/U555*100,1))</f>
        <v/>
      </c>
      <c r="AA555" s="27">
        <f>Y555*Assumptions!$B$4</f>
        <v/>
      </c>
      <c r="AB555" s="26">
        <f>IF(U555=0,"",ROUND(AA555/U555*100,1))</f>
        <v/>
      </c>
      <c r="AC555" s="27">
        <f>Y555-AA555</f>
        <v/>
      </c>
      <c r="AD555" s="26">
        <f>IF(U555=0,"",ROUND((Y555-AA555)/U555*100,1))</f>
        <v/>
      </c>
      <c r="AE555" s="36" t="inlineStr">
        <is>
          <t>CHECK — source is not a statutory creditor list</t>
        </is>
      </c>
      <c r="AF555" s="29" t="inlineStr">
        <is>
          <t>https://administradorajudicialgs.com.br/wp-content/uploads/2024/12/relacao-de-credores-da-falida.pdf</t>
        </is>
      </c>
      <c r="AG555" s="28" t="inlineStr">
        <is>
          <t>p16 r5</t>
        </is>
      </c>
      <c r="AH555" s="28" t="inlineStr">
        <is>
          <t>p16: R$ 203.412,12</t>
        </is>
      </c>
      <c r="AI555" s="28" t="inlineStr">
        <is>
          <t>Other filing — NOT an art. 7/51 list</t>
        </is>
      </c>
      <c r="AJ555" s="28" t="inlineStr">
        <is>
          <t>2025-03-25</t>
        </is>
      </c>
      <c r="AK555" s="28" t="inlineStr">
        <is>
          <t>NONE FOUND</t>
        </is>
      </c>
      <c r="AL555" s="30" t="inlineStr">
        <is>
          <t>0005010-50.2013.8.24.0026</t>
        </is>
      </c>
      <c r="AM555" s="30" t="inlineStr">
        <is>
          <t>TJSC</t>
        </is>
      </c>
      <c r="AN555" s="30" t="inlineStr"/>
      <c r="AO555" s="30" t="n">
        <v>2013</v>
      </c>
      <c r="AP555" s="30" t="inlineStr">
        <is>
          <t>document is a falência (bankruptcy) list</t>
        </is>
      </c>
      <c r="AQ555" s="30" t="inlineStr"/>
      <c r="AR555" s="30" t="inlineStr">
        <is>
          <t>printed on the list (read twice)</t>
        </is>
      </c>
      <c r="AS555" s="30" t="inlineStr">
        <is>
          <t>IMBITUVA</t>
        </is>
      </c>
      <c r="AT555" s="30" t="inlineStr">
        <is>
          <t>PR</t>
        </is>
      </c>
      <c r="AU555" s="30" t="inlineStr">
        <is>
          <t>Fabricação de madeira laminada e de chapas de madeira compensada, prensada e aglomerada</t>
        </is>
      </c>
      <c r="AV555" s="30" t="inlineStr">
        <is>
          <t>EMPRESA DE PEQUENO PORTE</t>
        </is>
      </c>
      <c r="AW555" s="31" t="n">
        <v>100000</v>
      </c>
      <c r="AX555" s="30" t="inlineStr">
        <is>
          <t>SMALL</t>
        </is>
      </c>
      <c r="AY555" s="30" t="inlineStr">
        <is>
          <t>86765971</t>
        </is>
      </c>
      <c r="AZ555" s="30" t="n">
        <v>1</v>
      </c>
      <c r="BA555" s="30" t="inlineStr">
        <is>
          <t>ROWS:p16r5 UNRECONCILED_SOURCE CASE_NUMBER_CORRECTED</t>
        </is>
      </c>
    </row>
  </sheetData>
  <autoFilter ref="A1:BA555"/>
  <conditionalFormatting sqref="D2:D555">
    <cfRule type="cellIs" priority="1" operator="equal" dxfId="0">
      <formula>"DEAL"</formula>
    </cfRule>
    <cfRule type="cellIs" priority="2" operator="equal" dxfId="0">
      <formula>"INTERESTED"</formula>
    </cfRule>
    <cfRule type="cellIs" priority="3" operator="equal" dxfId="1">
      <formula>"DEAD"</formula>
    </cfRule>
    <cfRule type="cellIs" priority="4" operator="equal" dxfId="1">
      <formula>"NOT INTERESTED"</formula>
    </cfRule>
  </conditionalFormatting>
  <conditionalFormatting sqref="G2:G555">
    <cfRule type="expression" priority="5" dxfId="1">
      <formula>AND(G2&lt;&gt;"",G2&lt;TODAY(),D2&lt;&gt;"DEAD",D2&lt;&gt;"DEAL")</formula>
    </cfRule>
    <cfRule type="expression" priority="6" dxfId="2">
      <formula>G2=TODAY()</formula>
    </cfRule>
  </conditionalFormatting>
  <dataValidations count="2">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D467 D468 D469 D470 D471 D472 D473 D474 D475 D476 D477 D478 D479 D480 D481 D482 D483 D484 D485 D486 D487 D488 D489 D490 D491 D492 D493 D494 D495 D496 D497 D498 D499 D500 D501 D502 D503 D504 D505 D506 D507 D508 D509 D510 D511 D512 D513 D514 D515 D516 D517 D518 D519 D520 D521 D522 D523 D524 D525 D526 D527 D528 D529 D530 D531 D532 D533 D534 D535 D536 D537 D538 D539 D540 D541 D542 D543 D544 D545 D546 D547 D548 D549 D550 D551 D552 D553 D554 D555" showDropDown="0" showInputMessage="0" showErrorMessage="0" allowBlank="1" type="list">
      <formula1>"NEW,QUEUED,EMAILED,CALLED,VOICEMAIL,CONNECTED,INTERESTED,NOT INTERESTED,CALL BACK,DEAD,DEAL"</formula1>
    </dataValidation>
    <dataValidation sqref="V2 V3 V4 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V105 V106 V107 V108 V109 V110 V111 V112 V113 V114 V115 V116 V117 V118 V119 V120 V121 V122 V123 V124 V125 V126 V127 V128 V129 V130 V131 V132 V133 V134 V135 V136 V137 V138 V139 V140 V141 V142 V143 V144 V145 V146 V147 V148 V149 V150 V151 V152 V153 V154 V155 V156 V157 V158 V159 V160 V161 V162 V163 V164 V165 V166 V167 V168 V169 V170 V171 V172 V173 V174 V175 V176 V177 V178 V179 V180 V181 V182 V183 V184 V185 V186 V187 V188 V189 V190 V191 V192 V193 V194 V195 V196 V197 V198 V199 V200 V201 V202 V203 V204 V205 V206 V207 V208 V209 V210 V211 V212 V213 V214 V215 V216 V217 V218 V219 V220 V221 V222 V223 V224 V225 V226 V227 V228 V229 V230 V231 V232 V233 V234 V235 V236 V237 V238 V239 V240 V241 V242 V243 V244 V245 V246 V247 V248 V249 V250 V251 V252 V253 V254 V255 V256 V257 V258 V259 V260 V261 V262 V263 V264 V265 V266 V267 V268 V269 V270 V271 V272 V273 V274 V275 V276 V277 V278 V279 V280 V281 V282 V283 V284 V285 V286 V287 V288 V289 V290 V291 V292 V293 V294 V295 V296 V297 V298 V299 V300 V301 V302 V303 V304 V305 V306 V307 V308 V309 V310 V311 V312 V313 V314 V315 V316 V317 V318 V319 V320 V321 V322 V323 V324 V325 V326 V327 V328 V329 V330 V331 V332 V333 V334 V335 V336 V337 V338 V339 V340 V341 V342 V343 V344 V345 V346 V347 V348 V349 V350 V351 V352 V353 V354 V355 V356 V357 V358 V359 V360 V361 V362 V363 V364 V365 V366 V367 V368 V369 V370 V371 V372 V373 V374 V375 V376 V377 V378 V379 V380 V381 V382 V383 V384 V385 V386 V387 V388 V389 V390 V391 V392 V393 V394 V395 V396 V397 V398 V399 V400 V401 V402 V403 V404 V405 V406 V407 V408 V409 V410 V411 V412 V413 V414 V415 V416 V417 V418 V419 V420 V421 V422 V423 V424 V425 V426 V427 V428 V429 V430 V431 V432 V433 V434 V435 V436 V437 V438 V439 V440 V441 V442 V443 V444 V445 V446 V447 V448 V449 V450 V451 V452 V453 V454 V455 V456 V457 V458 V459 V460 V461 V462 V463 V464 V465 V466 V467 V468 V469 V470 V471 V472 V473 V474 V475 V476 V477 V478 V479 V480 V481 V482 V483 V484 V485 V486 V487 V488 V489 V490 V491 V492 V493 V494 V495 V496 V497 V498 V499 V500 V501 V502 V503 V504 V505 V506 V507 V508 V509 V510 V511 V512 V513 V514 V515 V516 V517 V518 V519 V520 V521 V522 V523 V524 V525 V526 V527 V528 V529 V530 V531 V532 V533 V534 V535 V536 V537 V538 V539 V540 V541 V542 V543 V544 V545 V546 V547 V548 V549 V550 V551 V552 V553 V554 V555" showDropDown="0" showInputMessage="0" showErrorMessage="0" allowBlank="1" type="list">
      <formula1>"A,B,C,D,U"</formula1>
    </dataValidation>
  </dataValidations>
  <hyperlinks>
    <hyperlink xmlns:r="http://schemas.openxmlformats.org/officeDocument/2006/relationships" ref="AF2" r:id="rId1"/>
    <hyperlink xmlns:r="http://schemas.openxmlformats.org/officeDocument/2006/relationships" ref="AF3" r:id="rId2"/>
    <hyperlink xmlns:r="http://schemas.openxmlformats.org/officeDocument/2006/relationships" ref="AF4" r:id="rId3"/>
    <hyperlink xmlns:r="http://schemas.openxmlformats.org/officeDocument/2006/relationships" ref="AF5" r:id="rId4"/>
    <hyperlink xmlns:r="http://schemas.openxmlformats.org/officeDocument/2006/relationships" ref="AF6" r:id="rId5"/>
    <hyperlink xmlns:r="http://schemas.openxmlformats.org/officeDocument/2006/relationships" ref="AF7" r:id="rId6"/>
    <hyperlink xmlns:r="http://schemas.openxmlformats.org/officeDocument/2006/relationships" ref="AF8" r:id="rId7"/>
    <hyperlink xmlns:r="http://schemas.openxmlformats.org/officeDocument/2006/relationships" ref="AF9" r:id="rId8"/>
    <hyperlink xmlns:r="http://schemas.openxmlformats.org/officeDocument/2006/relationships" ref="AF10" r:id="rId9"/>
    <hyperlink xmlns:r="http://schemas.openxmlformats.org/officeDocument/2006/relationships" ref="AF11" r:id="rId10"/>
    <hyperlink xmlns:r="http://schemas.openxmlformats.org/officeDocument/2006/relationships" ref="AF12" r:id="rId11"/>
    <hyperlink xmlns:r="http://schemas.openxmlformats.org/officeDocument/2006/relationships" ref="AF13" r:id="rId12"/>
    <hyperlink xmlns:r="http://schemas.openxmlformats.org/officeDocument/2006/relationships" ref="AF14" r:id="rId13"/>
    <hyperlink xmlns:r="http://schemas.openxmlformats.org/officeDocument/2006/relationships" ref="AF15" r:id="rId14"/>
    <hyperlink xmlns:r="http://schemas.openxmlformats.org/officeDocument/2006/relationships" ref="AF16" r:id="rId15"/>
    <hyperlink xmlns:r="http://schemas.openxmlformats.org/officeDocument/2006/relationships" ref="AF17" r:id="rId16"/>
    <hyperlink xmlns:r="http://schemas.openxmlformats.org/officeDocument/2006/relationships" ref="AF18" r:id="rId17"/>
    <hyperlink xmlns:r="http://schemas.openxmlformats.org/officeDocument/2006/relationships" ref="AF19" r:id="rId18"/>
    <hyperlink xmlns:r="http://schemas.openxmlformats.org/officeDocument/2006/relationships" ref="AF20" r:id="rId19"/>
    <hyperlink xmlns:r="http://schemas.openxmlformats.org/officeDocument/2006/relationships" ref="AF21" r:id="rId20"/>
    <hyperlink xmlns:r="http://schemas.openxmlformats.org/officeDocument/2006/relationships" ref="AF22" r:id="rId21"/>
    <hyperlink xmlns:r="http://schemas.openxmlformats.org/officeDocument/2006/relationships" ref="AF23" r:id="rId22"/>
    <hyperlink xmlns:r="http://schemas.openxmlformats.org/officeDocument/2006/relationships" ref="AF24" r:id="rId23"/>
    <hyperlink xmlns:r="http://schemas.openxmlformats.org/officeDocument/2006/relationships" ref="AF25" r:id="rId24"/>
    <hyperlink xmlns:r="http://schemas.openxmlformats.org/officeDocument/2006/relationships" ref="AF26" r:id="rId25"/>
    <hyperlink xmlns:r="http://schemas.openxmlformats.org/officeDocument/2006/relationships" ref="AF27" r:id="rId26"/>
    <hyperlink xmlns:r="http://schemas.openxmlformats.org/officeDocument/2006/relationships" ref="AF28" r:id="rId27"/>
    <hyperlink xmlns:r="http://schemas.openxmlformats.org/officeDocument/2006/relationships" ref="AF29" r:id="rId28"/>
    <hyperlink xmlns:r="http://schemas.openxmlformats.org/officeDocument/2006/relationships" ref="AF30" r:id="rId29"/>
    <hyperlink xmlns:r="http://schemas.openxmlformats.org/officeDocument/2006/relationships" ref="AF31" r:id="rId30"/>
    <hyperlink xmlns:r="http://schemas.openxmlformats.org/officeDocument/2006/relationships" ref="AF32" r:id="rId31"/>
    <hyperlink xmlns:r="http://schemas.openxmlformats.org/officeDocument/2006/relationships" ref="AF33" r:id="rId32"/>
    <hyperlink xmlns:r="http://schemas.openxmlformats.org/officeDocument/2006/relationships" ref="AF34" r:id="rId33"/>
    <hyperlink xmlns:r="http://schemas.openxmlformats.org/officeDocument/2006/relationships" ref="AF35" r:id="rId34"/>
    <hyperlink xmlns:r="http://schemas.openxmlformats.org/officeDocument/2006/relationships" ref="AF36" r:id="rId35"/>
    <hyperlink xmlns:r="http://schemas.openxmlformats.org/officeDocument/2006/relationships" ref="AF37" r:id="rId36"/>
    <hyperlink xmlns:r="http://schemas.openxmlformats.org/officeDocument/2006/relationships" ref="AF38" r:id="rId37"/>
    <hyperlink xmlns:r="http://schemas.openxmlformats.org/officeDocument/2006/relationships" ref="AF39" r:id="rId38"/>
    <hyperlink xmlns:r="http://schemas.openxmlformats.org/officeDocument/2006/relationships" ref="AF40" r:id="rId39"/>
    <hyperlink xmlns:r="http://schemas.openxmlformats.org/officeDocument/2006/relationships" ref="AF41" r:id="rId40"/>
    <hyperlink xmlns:r="http://schemas.openxmlformats.org/officeDocument/2006/relationships" ref="AF42" r:id="rId41"/>
    <hyperlink xmlns:r="http://schemas.openxmlformats.org/officeDocument/2006/relationships" ref="AF43" r:id="rId42"/>
    <hyperlink xmlns:r="http://schemas.openxmlformats.org/officeDocument/2006/relationships" ref="AF44" r:id="rId43"/>
    <hyperlink xmlns:r="http://schemas.openxmlformats.org/officeDocument/2006/relationships" ref="AF45" r:id="rId44"/>
    <hyperlink xmlns:r="http://schemas.openxmlformats.org/officeDocument/2006/relationships" ref="AF46" r:id="rId45"/>
    <hyperlink xmlns:r="http://schemas.openxmlformats.org/officeDocument/2006/relationships" ref="AF47" r:id="rId46"/>
    <hyperlink xmlns:r="http://schemas.openxmlformats.org/officeDocument/2006/relationships" ref="AF48" r:id="rId47"/>
    <hyperlink xmlns:r="http://schemas.openxmlformats.org/officeDocument/2006/relationships" ref="AF49" r:id="rId48"/>
    <hyperlink xmlns:r="http://schemas.openxmlformats.org/officeDocument/2006/relationships" ref="AF50" r:id="rId49"/>
    <hyperlink xmlns:r="http://schemas.openxmlformats.org/officeDocument/2006/relationships" ref="AF51" r:id="rId50"/>
    <hyperlink xmlns:r="http://schemas.openxmlformats.org/officeDocument/2006/relationships" ref="AF52" r:id="rId51"/>
    <hyperlink xmlns:r="http://schemas.openxmlformats.org/officeDocument/2006/relationships" ref="AF53" r:id="rId52"/>
    <hyperlink xmlns:r="http://schemas.openxmlformats.org/officeDocument/2006/relationships" ref="AF54" r:id="rId53"/>
    <hyperlink xmlns:r="http://schemas.openxmlformats.org/officeDocument/2006/relationships" ref="AF55" r:id="rId54"/>
    <hyperlink xmlns:r="http://schemas.openxmlformats.org/officeDocument/2006/relationships" ref="AF56" r:id="rId55"/>
    <hyperlink xmlns:r="http://schemas.openxmlformats.org/officeDocument/2006/relationships" ref="AF57" r:id="rId56"/>
    <hyperlink xmlns:r="http://schemas.openxmlformats.org/officeDocument/2006/relationships" ref="AF58" r:id="rId57"/>
    <hyperlink xmlns:r="http://schemas.openxmlformats.org/officeDocument/2006/relationships" ref="AF59" r:id="rId58"/>
    <hyperlink xmlns:r="http://schemas.openxmlformats.org/officeDocument/2006/relationships" ref="AF60" r:id="rId59"/>
    <hyperlink xmlns:r="http://schemas.openxmlformats.org/officeDocument/2006/relationships" ref="AF61" r:id="rId60"/>
    <hyperlink xmlns:r="http://schemas.openxmlformats.org/officeDocument/2006/relationships" ref="AF62" r:id="rId61"/>
    <hyperlink xmlns:r="http://schemas.openxmlformats.org/officeDocument/2006/relationships" ref="AF63" r:id="rId62"/>
    <hyperlink xmlns:r="http://schemas.openxmlformats.org/officeDocument/2006/relationships" ref="AF64" r:id="rId63"/>
    <hyperlink xmlns:r="http://schemas.openxmlformats.org/officeDocument/2006/relationships" ref="AF65" r:id="rId64"/>
    <hyperlink xmlns:r="http://schemas.openxmlformats.org/officeDocument/2006/relationships" ref="AF66" r:id="rId65"/>
    <hyperlink xmlns:r="http://schemas.openxmlformats.org/officeDocument/2006/relationships" ref="AF67" r:id="rId66"/>
    <hyperlink xmlns:r="http://schemas.openxmlformats.org/officeDocument/2006/relationships" ref="AF68" r:id="rId67"/>
    <hyperlink xmlns:r="http://schemas.openxmlformats.org/officeDocument/2006/relationships" ref="AF69" r:id="rId68"/>
    <hyperlink xmlns:r="http://schemas.openxmlformats.org/officeDocument/2006/relationships" ref="AF70" r:id="rId69"/>
    <hyperlink xmlns:r="http://schemas.openxmlformats.org/officeDocument/2006/relationships" ref="AF71" r:id="rId70"/>
    <hyperlink xmlns:r="http://schemas.openxmlformats.org/officeDocument/2006/relationships" ref="AF72" r:id="rId71"/>
    <hyperlink xmlns:r="http://schemas.openxmlformats.org/officeDocument/2006/relationships" ref="AF73" r:id="rId72"/>
    <hyperlink xmlns:r="http://schemas.openxmlformats.org/officeDocument/2006/relationships" ref="AF74" r:id="rId73"/>
    <hyperlink xmlns:r="http://schemas.openxmlformats.org/officeDocument/2006/relationships" ref="AF75" r:id="rId74"/>
    <hyperlink xmlns:r="http://schemas.openxmlformats.org/officeDocument/2006/relationships" ref="AF76" r:id="rId75"/>
    <hyperlink xmlns:r="http://schemas.openxmlformats.org/officeDocument/2006/relationships" ref="AF77" r:id="rId76"/>
    <hyperlink xmlns:r="http://schemas.openxmlformats.org/officeDocument/2006/relationships" ref="AF78" r:id="rId77"/>
    <hyperlink xmlns:r="http://schemas.openxmlformats.org/officeDocument/2006/relationships" ref="AF79" r:id="rId78"/>
    <hyperlink xmlns:r="http://schemas.openxmlformats.org/officeDocument/2006/relationships" ref="AF80" r:id="rId79"/>
    <hyperlink xmlns:r="http://schemas.openxmlformats.org/officeDocument/2006/relationships" ref="AF81" r:id="rId80"/>
    <hyperlink xmlns:r="http://schemas.openxmlformats.org/officeDocument/2006/relationships" ref="AF82" r:id="rId81"/>
    <hyperlink xmlns:r="http://schemas.openxmlformats.org/officeDocument/2006/relationships" ref="AF83" r:id="rId82"/>
    <hyperlink xmlns:r="http://schemas.openxmlformats.org/officeDocument/2006/relationships" ref="AF84" r:id="rId83"/>
    <hyperlink xmlns:r="http://schemas.openxmlformats.org/officeDocument/2006/relationships" ref="AF85" r:id="rId84"/>
    <hyperlink xmlns:r="http://schemas.openxmlformats.org/officeDocument/2006/relationships" ref="AF86" r:id="rId85"/>
    <hyperlink xmlns:r="http://schemas.openxmlformats.org/officeDocument/2006/relationships" ref="AF87" r:id="rId86"/>
    <hyperlink xmlns:r="http://schemas.openxmlformats.org/officeDocument/2006/relationships" ref="AF88" r:id="rId87"/>
    <hyperlink xmlns:r="http://schemas.openxmlformats.org/officeDocument/2006/relationships" ref="AF89" r:id="rId88"/>
    <hyperlink xmlns:r="http://schemas.openxmlformats.org/officeDocument/2006/relationships" ref="AF90" r:id="rId89"/>
    <hyperlink xmlns:r="http://schemas.openxmlformats.org/officeDocument/2006/relationships" ref="AF91" r:id="rId90"/>
    <hyperlink xmlns:r="http://schemas.openxmlformats.org/officeDocument/2006/relationships" ref="AF92" r:id="rId91"/>
    <hyperlink xmlns:r="http://schemas.openxmlformats.org/officeDocument/2006/relationships" ref="AF93" r:id="rId92"/>
    <hyperlink xmlns:r="http://schemas.openxmlformats.org/officeDocument/2006/relationships" ref="AF94" r:id="rId93"/>
    <hyperlink xmlns:r="http://schemas.openxmlformats.org/officeDocument/2006/relationships" ref="AF95" r:id="rId94"/>
    <hyperlink xmlns:r="http://schemas.openxmlformats.org/officeDocument/2006/relationships" ref="AF96" r:id="rId95"/>
    <hyperlink xmlns:r="http://schemas.openxmlformats.org/officeDocument/2006/relationships" ref="AF97" r:id="rId96"/>
    <hyperlink xmlns:r="http://schemas.openxmlformats.org/officeDocument/2006/relationships" ref="AF98" r:id="rId97"/>
    <hyperlink xmlns:r="http://schemas.openxmlformats.org/officeDocument/2006/relationships" ref="AF99" r:id="rId98"/>
    <hyperlink xmlns:r="http://schemas.openxmlformats.org/officeDocument/2006/relationships" ref="AF100" r:id="rId99"/>
    <hyperlink xmlns:r="http://schemas.openxmlformats.org/officeDocument/2006/relationships" ref="AF101" r:id="rId100"/>
    <hyperlink xmlns:r="http://schemas.openxmlformats.org/officeDocument/2006/relationships" ref="AF102" r:id="rId101"/>
    <hyperlink xmlns:r="http://schemas.openxmlformats.org/officeDocument/2006/relationships" ref="AF103" r:id="rId102"/>
    <hyperlink xmlns:r="http://schemas.openxmlformats.org/officeDocument/2006/relationships" ref="AF104" r:id="rId103"/>
    <hyperlink xmlns:r="http://schemas.openxmlformats.org/officeDocument/2006/relationships" ref="AF105" r:id="rId104"/>
    <hyperlink xmlns:r="http://schemas.openxmlformats.org/officeDocument/2006/relationships" ref="AF106" r:id="rId105"/>
    <hyperlink xmlns:r="http://schemas.openxmlformats.org/officeDocument/2006/relationships" ref="AF107" r:id="rId106"/>
    <hyperlink xmlns:r="http://schemas.openxmlformats.org/officeDocument/2006/relationships" ref="AF108" r:id="rId107"/>
    <hyperlink xmlns:r="http://schemas.openxmlformats.org/officeDocument/2006/relationships" ref="AF109" r:id="rId108"/>
    <hyperlink xmlns:r="http://schemas.openxmlformats.org/officeDocument/2006/relationships" ref="AF110" r:id="rId109"/>
    <hyperlink xmlns:r="http://schemas.openxmlformats.org/officeDocument/2006/relationships" ref="AF111" r:id="rId110"/>
    <hyperlink xmlns:r="http://schemas.openxmlformats.org/officeDocument/2006/relationships" ref="AF112" r:id="rId111"/>
    <hyperlink xmlns:r="http://schemas.openxmlformats.org/officeDocument/2006/relationships" ref="AF113" r:id="rId112"/>
    <hyperlink xmlns:r="http://schemas.openxmlformats.org/officeDocument/2006/relationships" ref="AF114" r:id="rId113"/>
    <hyperlink xmlns:r="http://schemas.openxmlformats.org/officeDocument/2006/relationships" ref="AF115" r:id="rId114"/>
    <hyperlink xmlns:r="http://schemas.openxmlformats.org/officeDocument/2006/relationships" ref="AF116" r:id="rId115"/>
    <hyperlink xmlns:r="http://schemas.openxmlformats.org/officeDocument/2006/relationships" ref="AF117" r:id="rId116"/>
    <hyperlink xmlns:r="http://schemas.openxmlformats.org/officeDocument/2006/relationships" ref="AF118" r:id="rId117"/>
    <hyperlink xmlns:r="http://schemas.openxmlformats.org/officeDocument/2006/relationships" ref="AF119" r:id="rId118"/>
    <hyperlink xmlns:r="http://schemas.openxmlformats.org/officeDocument/2006/relationships" ref="AF120" r:id="rId119"/>
    <hyperlink xmlns:r="http://schemas.openxmlformats.org/officeDocument/2006/relationships" ref="AF121" r:id="rId120"/>
    <hyperlink xmlns:r="http://schemas.openxmlformats.org/officeDocument/2006/relationships" ref="AF122" r:id="rId121"/>
    <hyperlink xmlns:r="http://schemas.openxmlformats.org/officeDocument/2006/relationships" ref="AF123" r:id="rId122"/>
    <hyperlink xmlns:r="http://schemas.openxmlformats.org/officeDocument/2006/relationships" ref="AF124" r:id="rId123"/>
    <hyperlink xmlns:r="http://schemas.openxmlformats.org/officeDocument/2006/relationships" ref="AF125" r:id="rId124"/>
    <hyperlink xmlns:r="http://schemas.openxmlformats.org/officeDocument/2006/relationships" ref="AF126" r:id="rId125"/>
    <hyperlink xmlns:r="http://schemas.openxmlformats.org/officeDocument/2006/relationships" ref="AF127" r:id="rId126"/>
    <hyperlink xmlns:r="http://schemas.openxmlformats.org/officeDocument/2006/relationships" ref="AF128" r:id="rId127"/>
    <hyperlink xmlns:r="http://schemas.openxmlformats.org/officeDocument/2006/relationships" ref="AF129" r:id="rId128"/>
    <hyperlink xmlns:r="http://schemas.openxmlformats.org/officeDocument/2006/relationships" ref="AF130" r:id="rId129"/>
    <hyperlink xmlns:r="http://schemas.openxmlformats.org/officeDocument/2006/relationships" ref="AF131" r:id="rId130"/>
    <hyperlink xmlns:r="http://schemas.openxmlformats.org/officeDocument/2006/relationships" ref="AF132" r:id="rId131"/>
    <hyperlink xmlns:r="http://schemas.openxmlformats.org/officeDocument/2006/relationships" ref="AF133" r:id="rId132"/>
    <hyperlink xmlns:r="http://schemas.openxmlformats.org/officeDocument/2006/relationships" ref="AF134" r:id="rId133"/>
    <hyperlink xmlns:r="http://schemas.openxmlformats.org/officeDocument/2006/relationships" ref="AF135" r:id="rId134"/>
    <hyperlink xmlns:r="http://schemas.openxmlformats.org/officeDocument/2006/relationships" ref="AF136" r:id="rId135"/>
    <hyperlink xmlns:r="http://schemas.openxmlformats.org/officeDocument/2006/relationships" ref="AF137" r:id="rId136"/>
    <hyperlink xmlns:r="http://schemas.openxmlformats.org/officeDocument/2006/relationships" ref="AF138" r:id="rId137"/>
    <hyperlink xmlns:r="http://schemas.openxmlformats.org/officeDocument/2006/relationships" ref="AF139" r:id="rId138"/>
    <hyperlink xmlns:r="http://schemas.openxmlformats.org/officeDocument/2006/relationships" ref="AF140" r:id="rId139"/>
    <hyperlink xmlns:r="http://schemas.openxmlformats.org/officeDocument/2006/relationships" ref="AF141" r:id="rId140"/>
    <hyperlink xmlns:r="http://schemas.openxmlformats.org/officeDocument/2006/relationships" ref="AF142" r:id="rId141"/>
    <hyperlink xmlns:r="http://schemas.openxmlformats.org/officeDocument/2006/relationships" ref="AF143" r:id="rId142"/>
    <hyperlink xmlns:r="http://schemas.openxmlformats.org/officeDocument/2006/relationships" ref="AF144" r:id="rId143"/>
    <hyperlink xmlns:r="http://schemas.openxmlformats.org/officeDocument/2006/relationships" ref="AF145" r:id="rId144"/>
    <hyperlink xmlns:r="http://schemas.openxmlformats.org/officeDocument/2006/relationships" ref="AF146" r:id="rId145"/>
    <hyperlink xmlns:r="http://schemas.openxmlformats.org/officeDocument/2006/relationships" ref="AF147" r:id="rId146"/>
    <hyperlink xmlns:r="http://schemas.openxmlformats.org/officeDocument/2006/relationships" ref="AF148" r:id="rId147"/>
    <hyperlink xmlns:r="http://schemas.openxmlformats.org/officeDocument/2006/relationships" ref="AF149" r:id="rId148"/>
    <hyperlink xmlns:r="http://schemas.openxmlformats.org/officeDocument/2006/relationships" ref="AF150" r:id="rId149"/>
    <hyperlink xmlns:r="http://schemas.openxmlformats.org/officeDocument/2006/relationships" ref="AF151" r:id="rId150"/>
    <hyperlink xmlns:r="http://schemas.openxmlformats.org/officeDocument/2006/relationships" ref="AF152" r:id="rId151"/>
    <hyperlink xmlns:r="http://schemas.openxmlformats.org/officeDocument/2006/relationships" ref="AF153" r:id="rId152"/>
    <hyperlink xmlns:r="http://schemas.openxmlformats.org/officeDocument/2006/relationships" ref="AF154" r:id="rId153"/>
    <hyperlink xmlns:r="http://schemas.openxmlformats.org/officeDocument/2006/relationships" ref="AF155" r:id="rId154"/>
    <hyperlink xmlns:r="http://schemas.openxmlformats.org/officeDocument/2006/relationships" ref="AF156" r:id="rId155"/>
    <hyperlink xmlns:r="http://schemas.openxmlformats.org/officeDocument/2006/relationships" ref="AF157" r:id="rId156"/>
    <hyperlink xmlns:r="http://schemas.openxmlformats.org/officeDocument/2006/relationships" ref="AF158" r:id="rId157"/>
    <hyperlink xmlns:r="http://schemas.openxmlformats.org/officeDocument/2006/relationships" ref="AF159" r:id="rId158"/>
    <hyperlink xmlns:r="http://schemas.openxmlformats.org/officeDocument/2006/relationships" ref="AF160" r:id="rId159"/>
    <hyperlink xmlns:r="http://schemas.openxmlformats.org/officeDocument/2006/relationships" ref="AF161" r:id="rId160"/>
    <hyperlink xmlns:r="http://schemas.openxmlformats.org/officeDocument/2006/relationships" ref="AF162" r:id="rId161"/>
    <hyperlink xmlns:r="http://schemas.openxmlformats.org/officeDocument/2006/relationships" ref="AF163" r:id="rId162"/>
    <hyperlink xmlns:r="http://schemas.openxmlformats.org/officeDocument/2006/relationships" ref="AF164" r:id="rId163"/>
    <hyperlink xmlns:r="http://schemas.openxmlformats.org/officeDocument/2006/relationships" ref="AF165" r:id="rId164"/>
    <hyperlink xmlns:r="http://schemas.openxmlformats.org/officeDocument/2006/relationships" ref="AF166" r:id="rId165"/>
    <hyperlink xmlns:r="http://schemas.openxmlformats.org/officeDocument/2006/relationships" ref="AF167" r:id="rId166"/>
    <hyperlink xmlns:r="http://schemas.openxmlformats.org/officeDocument/2006/relationships" ref="AF168" r:id="rId167"/>
    <hyperlink xmlns:r="http://schemas.openxmlformats.org/officeDocument/2006/relationships" ref="AF169" r:id="rId168"/>
    <hyperlink xmlns:r="http://schemas.openxmlformats.org/officeDocument/2006/relationships" ref="AF170" r:id="rId169"/>
    <hyperlink xmlns:r="http://schemas.openxmlformats.org/officeDocument/2006/relationships" ref="AF171" r:id="rId170"/>
    <hyperlink xmlns:r="http://schemas.openxmlformats.org/officeDocument/2006/relationships" ref="AF172" r:id="rId171"/>
    <hyperlink xmlns:r="http://schemas.openxmlformats.org/officeDocument/2006/relationships" ref="AF173" r:id="rId172"/>
    <hyperlink xmlns:r="http://schemas.openxmlformats.org/officeDocument/2006/relationships" ref="AF174" r:id="rId173"/>
    <hyperlink xmlns:r="http://schemas.openxmlformats.org/officeDocument/2006/relationships" ref="AF175" r:id="rId174"/>
    <hyperlink xmlns:r="http://schemas.openxmlformats.org/officeDocument/2006/relationships" ref="AF176" r:id="rId175"/>
    <hyperlink xmlns:r="http://schemas.openxmlformats.org/officeDocument/2006/relationships" ref="AF177" r:id="rId176"/>
    <hyperlink xmlns:r="http://schemas.openxmlformats.org/officeDocument/2006/relationships" ref="AF178" r:id="rId177"/>
    <hyperlink xmlns:r="http://schemas.openxmlformats.org/officeDocument/2006/relationships" ref="AF179" r:id="rId178"/>
    <hyperlink xmlns:r="http://schemas.openxmlformats.org/officeDocument/2006/relationships" ref="AF180" r:id="rId179"/>
    <hyperlink xmlns:r="http://schemas.openxmlformats.org/officeDocument/2006/relationships" ref="AF181" r:id="rId180"/>
    <hyperlink xmlns:r="http://schemas.openxmlformats.org/officeDocument/2006/relationships" ref="AF182" r:id="rId181"/>
    <hyperlink xmlns:r="http://schemas.openxmlformats.org/officeDocument/2006/relationships" ref="AF183" r:id="rId182"/>
    <hyperlink xmlns:r="http://schemas.openxmlformats.org/officeDocument/2006/relationships" ref="AF184" r:id="rId183"/>
    <hyperlink xmlns:r="http://schemas.openxmlformats.org/officeDocument/2006/relationships" ref="AF185" r:id="rId184"/>
    <hyperlink xmlns:r="http://schemas.openxmlformats.org/officeDocument/2006/relationships" ref="AF186" r:id="rId185"/>
    <hyperlink xmlns:r="http://schemas.openxmlformats.org/officeDocument/2006/relationships" ref="AF187" r:id="rId186"/>
    <hyperlink xmlns:r="http://schemas.openxmlformats.org/officeDocument/2006/relationships" ref="AF188" r:id="rId187"/>
    <hyperlink xmlns:r="http://schemas.openxmlformats.org/officeDocument/2006/relationships" ref="AF189" r:id="rId188"/>
    <hyperlink xmlns:r="http://schemas.openxmlformats.org/officeDocument/2006/relationships" ref="AF190" r:id="rId189"/>
    <hyperlink xmlns:r="http://schemas.openxmlformats.org/officeDocument/2006/relationships" ref="AF191" r:id="rId190"/>
    <hyperlink xmlns:r="http://schemas.openxmlformats.org/officeDocument/2006/relationships" ref="AF192" r:id="rId191"/>
    <hyperlink xmlns:r="http://schemas.openxmlformats.org/officeDocument/2006/relationships" ref="AF193" r:id="rId192"/>
    <hyperlink xmlns:r="http://schemas.openxmlformats.org/officeDocument/2006/relationships" ref="AF194" r:id="rId193"/>
    <hyperlink xmlns:r="http://schemas.openxmlformats.org/officeDocument/2006/relationships" ref="AF195" r:id="rId194"/>
    <hyperlink xmlns:r="http://schemas.openxmlformats.org/officeDocument/2006/relationships" ref="AF196" r:id="rId195"/>
    <hyperlink xmlns:r="http://schemas.openxmlformats.org/officeDocument/2006/relationships" ref="AF197" r:id="rId196"/>
    <hyperlink xmlns:r="http://schemas.openxmlformats.org/officeDocument/2006/relationships" ref="AF198" r:id="rId197"/>
    <hyperlink xmlns:r="http://schemas.openxmlformats.org/officeDocument/2006/relationships" ref="AF199" r:id="rId198"/>
    <hyperlink xmlns:r="http://schemas.openxmlformats.org/officeDocument/2006/relationships" ref="AF200" r:id="rId199"/>
    <hyperlink xmlns:r="http://schemas.openxmlformats.org/officeDocument/2006/relationships" ref="AF201" r:id="rId200"/>
    <hyperlink xmlns:r="http://schemas.openxmlformats.org/officeDocument/2006/relationships" ref="AF202" r:id="rId201"/>
    <hyperlink xmlns:r="http://schemas.openxmlformats.org/officeDocument/2006/relationships" ref="AF203" r:id="rId202"/>
    <hyperlink xmlns:r="http://schemas.openxmlformats.org/officeDocument/2006/relationships" ref="AF204" r:id="rId203"/>
    <hyperlink xmlns:r="http://schemas.openxmlformats.org/officeDocument/2006/relationships" ref="AF205" r:id="rId204"/>
    <hyperlink xmlns:r="http://schemas.openxmlformats.org/officeDocument/2006/relationships" ref="AF206" r:id="rId205"/>
    <hyperlink xmlns:r="http://schemas.openxmlformats.org/officeDocument/2006/relationships" ref="AF207" r:id="rId206"/>
    <hyperlink xmlns:r="http://schemas.openxmlformats.org/officeDocument/2006/relationships" ref="AF208" r:id="rId207"/>
    <hyperlink xmlns:r="http://schemas.openxmlformats.org/officeDocument/2006/relationships" ref="AF209" r:id="rId208"/>
    <hyperlink xmlns:r="http://schemas.openxmlformats.org/officeDocument/2006/relationships" ref="AF210" r:id="rId209"/>
    <hyperlink xmlns:r="http://schemas.openxmlformats.org/officeDocument/2006/relationships" ref="AF211" r:id="rId210"/>
    <hyperlink xmlns:r="http://schemas.openxmlformats.org/officeDocument/2006/relationships" ref="AF212" r:id="rId211"/>
    <hyperlink xmlns:r="http://schemas.openxmlformats.org/officeDocument/2006/relationships" ref="AF213" r:id="rId212"/>
    <hyperlink xmlns:r="http://schemas.openxmlformats.org/officeDocument/2006/relationships" ref="AF214" r:id="rId213"/>
    <hyperlink xmlns:r="http://schemas.openxmlformats.org/officeDocument/2006/relationships" ref="AF215" r:id="rId214"/>
    <hyperlink xmlns:r="http://schemas.openxmlformats.org/officeDocument/2006/relationships" ref="AF216" r:id="rId215"/>
    <hyperlink xmlns:r="http://schemas.openxmlformats.org/officeDocument/2006/relationships" ref="AF217" r:id="rId216"/>
    <hyperlink xmlns:r="http://schemas.openxmlformats.org/officeDocument/2006/relationships" ref="AF218" r:id="rId217"/>
    <hyperlink xmlns:r="http://schemas.openxmlformats.org/officeDocument/2006/relationships" ref="AF219" r:id="rId218"/>
    <hyperlink xmlns:r="http://schemas.openxmlformats.org/officeDocument/2006/relationships" ref="AF220" r:id="rId219"/>
    <hyperlink xmlns:r="http://schemas.openxmlformats.org/officeDocument/2006/relationships" ref="AF221" r:id="rId220"/>
    <hyperlink xmlns:r="http://schemas.openxmlformats.org/officeDocument/2006/relationships" ref="AF222" r:id="rId221"/>
    <hyperlink xmlns:r="http://schemas.openxmlformats.org/officeDocument/2006/relationships" ref="AF223" r:id="rId222"/>
    <hyperlink xmlns:r="http://schemas.openxmlformats.org/officeDocument/2006/relationships" ref="AF224" r:id="rId223"/>
    <hyperlink xmlns:r="http://schemas.openxmlformats.org/officeDocument/2006/relationships" ref="AF225" r:id="rId224"/>
    <hyperlink xmlns:r="http://schemas.openxmlformats.org/officeDocument/2006/relationships" ref="AF226" r:id="rId225"/>
    <hyperlink xmlns:r="http://schemas.openxmlformats.org/officeDocument/2006/relationships" ref="AF227" r:id="rId226"/>
    <hyperlink xmlns:r="http://schemas.openxmlformats.org/officeDocument/2006/relationships" ref="AF228" r:id="rId227"/>
    <hyperlink xmlns:r="http://schemas.openxmlformats.org/officeDocument/2006/relationships" ref="AF229" r:id="rId228"/>
    <hyperlink xmlns:r="http://schemas.openxmlformats.org/officeDocument/2006/relationships" ref="AF230" r:id="rId229"/>
    <hyperlink xmlns:r="http://schemas.openxmlformats.org/officeDocument/2006/relationships" ref="AF231" r:id="rId230"/>
    <hyperlink xmlns:r="http://schemas.openxmlformats.org/officeDocument/2006/relationships" ref="AF232" r:id="rId231"/>
    <hyperlink xmlns:r="http://schemas.openxmlformats.org/officeDocument/2006/relationships" ref="AF233" r:id="rId232"/>
    <hyperlink xmlns:r="http://schemas.openxmlformats.org/officeDocument/2006/relationships" ref="AF234" r:id="rId233"/>
    <hyperlink xmlns:r="http://schemas.openxmlformats.org/officeDocument/2006/relationships" ref="AF235" r:id="rId234"/>
    <hyperlink xmlns:r="http://schemas.openxmlformats.org/officeDocument/2006/relationships" ref="AF236" r:id="rId235"/>
    <hyperlink xmlns:r="http://schemas.openxmlformats.org/officeDocument/2006/relationships" ref="AF237" r:id="rId236"/>
    <hyperlink xmlns:r="http://schemas.openxmlformats.org/officeDocument/2006/relationships" ref="AF238" r:id="rId237"/>
    <hyperlink xmlns:r="http://schemas.openxmlformats.org/officeDocument/2006/relationships" ref="AF239" r:id="rId238"/>
    <hyperlink xmlns:r="http://schemas.openxmlformats.org/officeDocument/2006/relationships" ref="AF240" r:id="rId239"/>
    <hyperlink xmlns:r="http://schemas.openxmlformats.org/officeDocument/2006/relationships" ref="AF241" r:id="rId240"/>
    <hyperlink xmlns:r="http://schemas.openxmlformats.org/officeDocument/2006/relationships" ref="AF242" r:id="rId241"/>
    <hyperlink xmlns:r="http://schemas.openxmlformats.org/officeDocument/2006/relationships" ref="AF243" r:id="rId242"/>
    <hyperlink xmlns:r="http://schemas.openxmlformats.org/officeDocument/2006/relationships" ref="AF244" r:id="rId243"/>
    <hyperlink xmlns:r="http://schemas.openxmlformats.org/officeDocument/2006/relationships" ref="AF245" r:id="rId244"/>
    <hyperlink xmlns:r="http://schemas.openxmlformats.org/officeDocument/2006/relationships" ref="AF246" r:id="rId245"/>
    <hyperlink xmlns:r="http://schemas.openxmlformats.org/officeDocument/2006/relationships" ref="AF247" r:id="rId246"/>
    <hyperlink xmlns:r="http://schemas.openxmlformats.org/officeDocument/2006/relationships" ref="AF248" r:id="rId247"/>
    <hyperlink xmlns:r="http://schemas.openxmlformats.org/officeDocument/2006/relationships" ref="AF249" r:id="rId248"/>
    <hyperlink xmlns:r="http://schemas.openxmlformats.org/officeDocument/2006/relationships" ref="AF250" r:id="rId249"/>
    <hyperlink xmlns:r="http://schemas.openxmlformats.org/officeDocument/2006/relationships" ref="AF251" r:id="rId250"/>
    <hyperlink xmlns:r="http://schemas.openxmlformats.org/officeDocument/2006/relationships" ref="AF252" r:id="rId251"/>
    <hyperlink xmlns:r="http://schemas.openxmlformats.org/officeDocument/2006/relationships" ref="AF253" r:id="rId252"/>
    <hyperlink xmlns:r="http://schemas.openxmlformats.org/officeDocument/2006/relationships" ref="AF254" r:id="rId253"/>
    <hyperlink xmlns:r="http://schemas.openxmlformats.org/officeDocument/2006/relationships" ref="AF255" r:id="rId254"/>
    <hyperlink xmlns:r="http://schemas.openxmlformats.org/officeDocument/2006/relationships" ref="AF256" r:id="rId255"/>
    <hyperlink xmlns:r="http://schemas.openxmlformats.org/officeDocument/2006/relationships" ref="AF257" r:id="rId256"/>
    <hyperlink xmlns:r="http://schemas.openxmlformats.org/officeDocument/2006/relationships" ref="AF258" r:id="rId257"/>
    <hyperlink xmlns:r="http://schemas.openxmlformats.org/officeDocument/2006/relationships" ref="AF259" r:id="rId258"/>
    <hyperlink xmlns:r="http://schemas.openxmlformats.org/officeDocument/2006/relationships" ref="AF260" r:id="rId259"/>
    <hyperlink xmlns:r="http://schemas.openxmlformats.org/officeDocument/2006/relationships" ref="AF261" r:id="rId260"/>
    <hyperlink xmlns:r="http://schemas.openxmlformats.org/officeDocument/2006/relationships" ref="AF262" r:id="rId261"/>
    <hyperlink xmlns:r="http://schemas.openxmlformats.org/officeDocument/2006/relationships" ref="AF263" r:id="rId262"/>
    <hyperlink xmlns:r="http://schemas.openxmlformats.org/officeDocument/2006/relationships" ref="AF264" r:id="rId263"/>
    <hyperlink xmlns:r="http://schemas.openxmlformats.org/officeDocument/2006/relationships" ref="AF265" r:id="rId264"/>
    <hyperlink xmlns:r="http://schemas.openxmlformats.org/officeDocument/2006/relationships" ref="AF266" r:id="rId265"/>
    <hyperlink xmlns:r="http://schemas.openxmlformats.org/officeDocument/2006/relationships" ref="AF267" r:id="rId266"/>
    <hyperlink xmlns:r="http://schemas.openxmlformats.org/officeDocument/2006/relationships" ref="AF268" r:id="rId267"/>
    <hyperlink xmlns:r="http://schemas.openxmlformats.org/officeDocument/2006/relationships" ref="AF269" r:id="rId268"/>
    <hyperlink xmlns:r="http://schemas.openxmlformats.org/officeDocument/2006/relationships" ref="AF270" r:id="rId269"/>
    <hyperlink xmlns:r="http://schemas.openxmlformats.org/officeDocument/2006/relationships" ref="AF271" r:id="rId270"/>
    <hyperlink xmlns:r="http://schemas.openxmlformats.org/officeDocument/2006/relationships" ref="AF272" r:id="rId271"/>
    <hyperlink xmlns:r="http://schemas.openxmlformats.org/officeDocument/2006/relationships" ref="AF273" r:id="rId272"/>
    <hyperlink xmlns:r="http://schemas.openxmlformats.org/officeDocument/2006/relationships" ref="AF274" r:id="rId273"/>
    <hyperlink xmlns:r="http://schemas.openxmlformats.org/officeDocument/2006/relationships" ref="AF275" r:id="rId274"/>
    <hyperlink xmlns:r="http://schemas.openxmlformats.org/officeDocument/2006/relationships" ref="AF276" r:id="rId275"/>
    <hyperlink xmlns:r="http://schemas.openxmlformats.org/officeDocument/2006/relationships" ref="AF277" r:id="rId276"/>
    <hyperlink xmlns:r="http://schemas.openxmlformats.org/officeDocument/2006/relationships" ref="AF278" r:id="rId277"/>
    <hyperlink xmlns:r="http://schemas.openxmlformats.org/officeDocument/2006/relationships" ref="AF279" r:id="rId278"/>
    <hyperlink xmlns:r="http://schemas.openxmlformats.org/officeDocument/2006/relationships" ref="AF280" r:id="rId279"/>
    <hyperlink xmlns:r="http://schemas.openxmlformats.org/officeDocument/2006/relationships" ref="AF281" r:id="rId280"/>
    <hyperlink xmlns:r="http://schemas.openxmlformats.org/officeDocument/2006/relationships" ref="AF282" r:id="rId281"/>
    <hyperlink xmlns:r="http://schemas.openxmlformats.org/officeDocument/2006/relationships" ref="AF283" r:id="rId282"/>
    <hyperlink xmlns:r="http://schemas.openxmlformats.org/officeDocument/2006/relationships" ref="AF284" r:id="rId283"/>
    <hyperlink xmlns:r="http://schemas.openxmlformats.org/officeDocument/2006/relationships" ref="AF285" r:id="rId284"/>
    <hyperlink xmlns:r="http://schemas.openxmlformats.org/officeDocument/2006/relationships" ref="AF286" r:id="rId285"/>
    <hyperlink xmlns:r="http://schemas.openxmlformats.org/officeDocument/2006/relationships" ref="AF287" r:id="rId286"/>
    <hyperlink xmlns:r="http://schemas.openxmlformats.org/officeDocument/2006/relationships" ref="AF288" r:id="rId287"/>
    <hyperlink xmlns:r="http://schemas.openxmlformats.org/officeDocument/2006/relationships" ref="AF289" r:id="rId288"/>
    <hyperlink xmlns:r="http://schemas.openxmlformats.org/officeDocument/2006/relationships" ref="AF290" r:id="rId289"/>
    <hyperlink xmlns:r="http://schemas.openxmlformats.org/officeDocument/2006/relationships" ref="AF291" r:id="rId290"/>
    <hyperlink xmlns:r="http://schemas.openxmlformats.org/officeDocument/2006/relationships" ref="AF292" r:id="rId291"/>
    <hyperlink xmlns:r="http://schemas.openxmlformats.org/officeDocument/2006/relationships" ref="AF293" r:id="rId292"/>
    <hyperlink xmlns:r="http://schemas.openxmlformats.org/officeDocument/2006/relationships" ref="AF294" r:id="rId293"/>
    <hyperlink xmlns:r="http://schemas.openxmlformats.org/officeDocument/2006/relationships" ref="AF295" r:id="rId294"/>
    <hyperlink xmlns:r="http://schemas.openxmlformats.org/officeDocument/2006/relationships" ref="AF296" r:id="rId295"/>
    <hyperlink xmlns:r="http://schemas.openxmlformats.org/officeDocument/2006/relationships" ref="AF297" r:id="rId296"/>
    <hyperlink xmlns:r="http://schemas.openxmlformats.org/officeDocument/2006/relationships" ref="AF298" r:id="rId297"/>
    <hyperlink xmlns:r="http://schemas.openxmlformats.org/officeDocument/2006/relationships" ref="AF299" r:id="rId298"/>
    <hyperlink xmlns:r="http://schemas.openxmlformats.org/officeDocument/2006/relationships" ref="AF300" r:id="rId299"/>
    <hyperlink xmlns:r="http://schemas.openxmlformats.org/officeDocument/2006/relationships" ref="AF301" r:id="rId300"/>
    <hyperlink xmlns:r="http://schemas.openxmlformats.org/officeDocument/2006/relationships" ref="AF302" r:id="rId301"/>
    <hyperlink xmlns:r="http://schemas.openxmlformats.org/officeDocument/2006/relationships" ref="AF303" r:id="rId302"/>
    <hyperlink xmlns:r="http://schemas.openxmlformats.org/officeDocument/2006/relationships" ref="AF304" r:id="rId303"/>
    <hyperlink xmlns:r="http://schemas.openxmlformats.org/officeDocument/2006/relationships" ref="AF305" r:id="rId304"/>
    <hyperlink xmlns:r="http://schemas.openxmlformats.org/officeDocument/2006/relationships" ref="AF306" r:id="rId305"/>
    <hyperlink xmlns:r="http://schemas.openxmlformats.org/officeDocument/2006/relationships" ref="AF307" r:id="rId306"/>
    <hyperlink xmlns:r="http://schemas.openxmlformats.org/officeDocument/2006/relationships" ref="AF308" r:id="rId307"/>
    <hyperlink xmlns:r="http://schemas.openxmlformats.org/officeDocument/2006/relationships" ref="AF309" r:id="rId308"/>
    <hyperlink xmlns:r="http://schemas.openxmlformats.org/officeDocument/2006/relationships" ref="AF310" r:id="rId309"/>
    <hyperlink xmlns:r="http://schemas.openxmlformats.org/officeDocument/2006/relationships" ref="AF311" r:id="rId310"/>
    <hyperlink xmlns:r="http://schemas.openxmlformats.org/officeDocument/2006/relationships" ref="AF312" r:id="rId311"/>
    <hyperlink xmlns:r="http://schemas.openxmlformats.org/officeDocument/2006/relationships" ref="AF313" r:id="rId312"/>
    <hyperlink xmlns:r="http://schemas.openxmlformats.org/officeDocument/2006/relationships" ref="AF314" r:id="rId313"/>
    <hyperlink xmlns:r="http://schemas.openxmlformats.org/officeDocument/2006/relationships" ref="AF315" r:id="rId314"/>
    <hyperlink xmlns:r="http://schemas.openxmlformats.org/officeDocument/2006/relationships" ref="AF316" r:id="rId315"/>
    <hyperlink xmlns:r="http://schemas.openxmlformats.org/officeDocument/2006/relationships" ref="AF317" r:id="rId316"/>
    <hyperlink xmlns:r="http://schemas.openxmlformats.org/officeDocument/2006/relationships" ref="AF318" r:id="rId317"/>
    <hyperlink xmlns:r="http://schemas.openxmlformats.org/officeDocument/2006/relationships" ref="AF319" r:id="rId318"/>
    <hyperlink xmlns:r="http://schemas.openxmlformats.org/officeDocument/2006/relationships" ref="AF320" r:id="rId319"/>
    <hyperlink xmlns:r="http://schemas.openxmlformats.org/officeDocument/2006/relationships" ref="AF321" r:id="rId320"/>
    <hyperlink xmlns:r="http://schemas.openxmlformats.org/officeDocument/2006/relationships" ref="AF322" r:id="rId321"/>
    <hyperlink xmlns:r="http://schemas.openxmlformats.org/officeDocument/2006/relationships" ref="AF323" r:id="rId322"/>
    <hyperlink xmlns:r="http://schemas.openxmlformats.org/officeDocument/2006/relationships" ref="AF324" r:id="rId323"/>
    <hyperlink xmlns:r="http://schemas.openxmlformats.org/officeDocument/2006/relationships" ref="AF325" r:id="rId324"/>
    <hyperlink xmlns:r="http://schemas.openxmlformats.org/officeDocument/2006/relationships" ref="AF326" r:id="rId325"/>
    <hyperlink xmlns:r="http://schemas.openxmlformats.org/officeDocument/2006/relationships" ref="AF327" r:id="rId326"/>
    <hyperlink xmlns:r="http://schemas.openxmlformats.org/officeDocument/2006/relationships" ref="AF328" r:id="rId327"/>
    <hyperlink xmlns:r="http://schemas.openxmlformats.org/officeDocument/2006/relationships" ref="AF329" r:id="rId328"/>
    <hyperlink xmlns:r="http://schemas.openxmlformats.org/officeDocument/2006/relationships" ref="AF330" r:id="rId329"/>
    <hyperlink xmlns:r="http://schemas.openxmlformats.org/officeDocument/2006/relationships" ref="AF331" r:id="rId330"/>
    <hyperlink xmlns:r="http://schemas.openxmlformats.org/officeDocument/2006/relationships" ref="AF332" r:id="rId331"/>
    <hyperlink xmlns:r="http://schemas.openxmlformats.org/officeDocument/2006/relationships" ref="AF333" r:id="rId332"/>
    <hyperlink xmlns:r="http://schemas.openxmlformats.org/officeDocument/2006/relationships" ref="AF334" r:id="rId333"/>
    <hyperlink xmlns:r="http://schemas.openxmlformats.org/officeDocument/2006/relationships" ref="AF335" r:id="rId334"/>
    <hyperlink xmlns:r="http://schemas.openxmlformats.org/officeDocument/2006/relationships" ref="AF336" r:id="rId335"/>
    <hyperlink xmlns:r="http://schemas.openxmlformats.org/officeDocument/2006/relationships" ref="AF337" r:id="rId336"/>
    <hyperlink xmlns:r="http://schemas.openxmlformats.org/officeDocument/2006/relationships" ref="AF338" r:id="rId337"/>
    <hyperlink xmlns:r="http://schemas.openxmlformats.org/officeDocument/2006/relationships" ref="AF339" r:id="rId338"/>
    <hyperlink xmlns:r="http://schemas.openxmlformats.org/officeDocument/2006/relationships" ref="AF340" r:id="rId339"/>
    <hyperlink xmlns:r="http://schemas.openxmlformats.org/officeDocument/2006/relationships" ref="AF341" r:id="rId340"/>
    <hyperlink xmlns:r="http://schemas.openxmlformats.org/officeDocument/2006/relationships" ref="AF342" r:id="rId341"/>
    <hyperlink xmlns:r="http://schemas.openxmlformats.org/officeDocument/2006/relationships" ref="AF343" r:id="rId342"/>
    <hyperlink xmlns:r="http://schemas.openxmlformats.org/officeDocument/2006/relationships" ref="AF344" r:id="rId343"/>
    <hyperlink xmlns:r="http://schemas.openxmlformats.org/officeDocument/2006/relationships" ref="AF345" r:id="rId344"/>
    <hyperlink xmlns:r="http://schemas.openxmlformats.org/officeDocument/2006/relationships" ref="AF346" r:id="rId345"/>
    <hyperlink xmlns:r="http://schemas.openxmlformats.org/officeDocument/2006/relationships" ref="AF347" r:id="rId346"/>
    <hyperlink xmlns:r="http://schemas.openxmlformats.org/officeDocument/2006/relationships" ref="AF348" r:id="rId347"/>
    <hyperlink xmlns:r="http://schemas.openxmlformats.org/officeDocument/2006/relationships" ref="AF349" r:id="rId348"/>
    <hyperlink xmlns:r="http://schemas.openxmlformats.org/officeDocument/2006/relationships" ref="AF350" r:id="rId349"/>
    <hyperlink xmlns:r="http://schemas.openxmlformats.org/officeDocument/2006/relationships" ref="AF351" r:id="rId350"/>
    <hyperlink xmlns:r="http://schemas.openxmlformats.org/officeDocument/2006/relationships" ref="AF352" r:id="rId351"/>
    <hyperlink xmlns:r="http://schemas.openxmlformats.org/officeDocument/2006/relationships" ref="AF353" r:id="rId352"/>
    <hyperlink xmlns:r="http://schemas.openxmlformats.org/officeDocument/2006/relationships" ref="AF354" r:id="rId353"/>
    <hyperlink xmlns:r="http://schemas.openxmlformats.org/officeDocument/2006/relationships" ref="AF355" r:id="rId354"/>
    <hyperlink xmlns:r="http://schemas.openxmlformats.org/officeDocument/2006/relationships" ref="AF356" r:id="rId355"/>
    <hyperlink xmlns:r="http://schemas.openxmlformats.org/officeDocument/2006/relationships" ref="AF357" r:id="rId356"/>
    <hyperlink xmlns:r="http://schemas.openxmlformats.org/officeDocument/2006/relationships" ref="AF358" r:id="rId357"/>
    <hyperlink xmlns:r="http://schemas.openxmlformats.org/officeDocument/2006/relationships" ref="AF359" r:id="rId358"/>
    <hyperlink xmlns:r="http://schemas.openxmlformats.org/officeDocument/2006/relationships" ref="AF360" r:id="rId359"/>
    <hyperlink xmlns:r="http://schemas.openxmlformats.org/officeDocument/2006/relationships" ref="AF361" r:id="rId360"/>
    <hyperlink xmlns:r="http://schemas.openxmlformats.org/officeDocument/2006/relationships" ref="AF362" r:id="rId361"/>
    <hyperlink xmlns:r="http://schemas.openxmlformats.org/officeDocument/2006/relationships" ref="AF363" r:id="rId362"/>
    <hyperlink xmlns:r="http://schemas.openxmlformats.org/officeDocument/2006/relationships" ref="AF364" r:id="rId363"/>
    <hyperlink xmlns:r="http://schemas.openxmlformats.org/officeDocument/2006/relationships" ref="AF365" r:id="rId364"/>
    <hyperlink xmlns:r="http://schemas.openxmlformats.org/officeDocument/2006/relationships" ref="AF366" r:id="rId365"/>
    <hyperlink xmlns:r="http://schemas.openxmlformats.org/officeDocument/2006/relationships" ref="AF367" r:id="rId366"/>
    <hyperlink xmlns:r="http://schemas.openxmlformats.org/officeDocument/2006/relationships" ref="AF368" r:id="rId367"/>
    <hyperlink xmlns:r="http://schemas.openxmlformats.org/officeDocument/2006/relationships" ref="AF369" r:id="rId368"/>
    <hyperlink xmlns:r="http://schemas.openxmlformats.org/officeDocument/2006/relationships" ref="AF370" r:id="rId369"/>
    <hyperlink xmlns:r="http://schemas.openxmlformats.org/officeDocument/2006/relationships" ref="AF371" r:id="rId370"/>
    <hyperlink xmlns:r="http://schemas.openxmlformats.org/officeDocument/2006/relationships" ref="AF372" r:id="rId371"/>
    <hyperlink xmlns:r="http://schemas.openxmlformats.org/officeDocument/2006/relationships" ref="AF373" r:id="rId372"/>
    <hyperlink xmlns:r="http://schemas.openxmlformats.org/officeDocument/2006/relationships" ref="AF374" r:id="rId373"/>
    <hyperlink xmlns:r="http://schemas.openxmlformats.org/officeDocument/2006/relationships" ref="AF375" r:id="rId374"/>
    <hyperlink xmlns:r="http://schemas.openxmlformats.org/officeDocument/2006/relationships" ref="AF376" r:id="rId375"/>
    <hyperlink xmlns:r="http://schemas.openxmlformats.org/officeDocument/2006/relationships" ref="AF377" r:id="rId376"/>
    <hyperlink xmlns:r="http://schemas.openxmlformats.org/officeDocument/2006/relationships" ref="AF378" r:id="rId377"/>
    <hyperlink xmlns:r="http://schemas.openxmlformats.org/officeDocument/2006/relationships" ref="AF379" r:id="rId378"/>
    <hyperlink xmlns:r="http://schemas.openxmlformats.org/officeDocument/2006/relationships" ref="AF380" r:id="rId379"/>
    <hyperlink xmlns:r="http://schemas.openxmlformats.org/officeDocument/2006/relationships" ref="AF381" r:id="rId380"/>
    <hyperlink xmlns:r="http://schemas.openxmlformats.org/officeDocument/2006/relationships" ref="AF382" r:id="rId381"/>
    <hyperlink xmlns:r="http://schemas.openxmlformats.org/officeDocument/2006/relationships" ref="AF383" r:id="rId382"/>
    <hyperlink xmlns:r="http://schemas.openxmlformats.org/officeDocument/2006/relationships" ref="AF384" r:id="rId383"/>
    <hyperlink xmlns:r="http://schemas.openxmlformats.org/officeDocument/2006/relationships" ref="AF385" r:id="rId384"/>
    <hyperlink xmlns:r="http://schemas.openxmlformats.org/officeDocument/2006/relationships" ref="AF386" r:id="rId385"/>
    <hyperlink xmlns:r="http://schemas.openxmlformats.org/officeDocument/2006/relationships" ref="AF387" r:id="rId386"/>
    <hyperlink xmlns:r="http://schemas.openxmlformats.org/officeDocument/2006/relationships" ref="AF388" r:id="rId387"/>
    <hyperlink xmlns:r="http://schemas.openxmlformats.org/officeDocument/2006/relationships" ref="AF389" r:id="rId388"/>
    <hyperlink xmlns:r="http://schemas.openxmlformats.org/officeDocument/2006/relationships" ref="AF390" r:id="rId389"/>
    <hyperlink xmlns:r="http://schemas.openxmlformats.org/officeDocument/2006/relationships" ref="AF391" r:id="rId390"/>
    <hyperlink xmlns:r="http://schemas.openxmlformats.org/officeDocument/2006/relationships" ref="AF392" r:id="rId391"/>
    <hyperlink xmlns:r="http://schemas.openxmlformats.org/officeDocument/2006/relationships" ref="AF393" r:id="rId392"/>
    <hyperlink xmlns:r="http://schemas.openxmlformats.org/officeDocument/2006/relationships" ref="AF394" r:id="rId393"/>
    <hyperlink xmlns:r="http://schemas.openxmlformats.org/officeDocument/2006/relationships" ref="AF395" r:id="rId394"/>
    <hyperlink xmlns:r="http://schemas.openxmlformats.org/officeDocument/2006/relationships" ref="AF396" r:id="rId395"/>
    <hyperlink xmlns:r="http://schemas.openxmlformats.org/officeDocument/2006/relationships" ref="AF397" r:id="rId396"/>
    <hyperlink xmlns:r="http://schemas.openxmlformats.org/officeDocument/2006/relationships" ref="AF398" r:id="rId397"/>
    <hyperlink xmlns:r="http://schemas.openxmlformats.org/officeDocument/2006/relationships" ref="AF399" r:id="rId398"/>
    <hyperlink xmlns:r="http://schemas.openxmlformats.org/officeDocument/2006/relationships" ref="AF400" r:id="rId399"/>
    <hyperlink xmlns:r="http://schemas.openxmlformats.org/officeDocument/2006/relationships" ref="AF401" r:id="rId400"/>
    <hyperlink xmlns:r="http://schemas.openxmlformats.org/officeDocument/2006/relationships" ref="AF402" r:id="rId401"/>
    <hyperlink xmlns:r="http://schemas.openxmlformats.org/officeDocument/2006/relationships" ref="AF403" r:id="rId402"/>
    <hyperlink xmlns:r="http://schemas.openxmlformats.org/officeDocument/2006/relationships" ref="AF404" r:id="rId403"/>
    <hyperlink xmlns:r="http://schemas.openxmlformats.org/officeDocument/2006/relationships" ref="AF405" r:id="rId404"/>
    <hyperlink xmlns:r="http://schemas.openxmlformats.org/officeDocument/2006/relationships" ref="AF406" r:id="rId405"/>
    <hyperlink xmlns:r="http://schemas.openxmlformats.org/officeDocument/2006/relationships" ref="AF407" r:id="rId406"/>
    <hyperlink xmlns:r="http://schemas.openxmlformats.org/officeDocument/2006/relationships" ref="AF408" r:id="rId407"/>
    <hyperlink xmlns:r="http://schemas.openxmlformats.org/officeDocument/2006/relationships" ref="AF409" r:id="rId408"/>
    <hyperlink xmlns:r="http://schemas.openxmlformats.org/officeDocument/2006/relationships" ref="AF410" r:id="rId409"/>
    <hyperlink xmlns:r="http://schemas.openxmlformats.org/officeDocument/2006/relationships" ref="AF411" r:id="rId410"/>
    <hyperlink xmlns:r="http://schemas.openxmlformats.org/officeDocument/2006/relationships" ref="AF412" r:id="rId411"/>
    <hyperlink xmlns:r="http://schemas.openxmlformats.org/officeDocument/2006/relationships" ref="AF413" r:id="rId412"/>
    <hyperlink xmlns:r="http://schemas.openxmlformats.org/officeDocument/2006/relationships" ref="AF414" r:id="rId413"/>
    <hyperlink xmlns:r="http://schemas.openxmlformats.org/officeDocument/2006/relationships" ref="AF415" r:id="rId414"/>
    <hyperlink xmlns:r="http://schemas.openxmlformats.org/officeDocument/2006/relationships" ref="AF416" r:id="rId415"/>
    <hyperlink xmlns:r="http://schemas.openxmlformats.org/officeDocument/2006/relationships" ref="AF417" r:id="rId416"/>
    <hyperlink xmlns:r="http://schemas.openxmlformats.org/officeDocument/2006/relationships" ref="AF418" r:id="rId417"/>
    <hyperlink xmlns:r="http://schemas.openxmlformats.org/officeDocument/2006/relationships" ref="AF419" r:id="rId418"/>
    <hyperlink xmlns:r="http://schemas.openxmlformats.org/officeDocument/2006/relationships" ref="AF420" r:id="rId419"/>
    <hyperlink xmlns:r="http://schemas.openxmlformats.org/officeDocument/2006/relationships" ref="AF421" r:id="rId420"/>
    <hyperlink xmlns:r="http://schemas.openxmlformats.org/officeDocument/2006/relationships" ref="AF422" r:id="rId421"/>
    <hyperlink xmlns:r="http://schemas.openxmlformats.org/officeDocument/2006/relationships" ref="AF423" r:id="rId422"/>
    <hyperlink xmlns:r="http://schemas.openxmlformats.org/officeDocument/2006/relationships" ref="AF424" r:id="rId423"/>
    <hyperlink xmlns:r="http://schemas.openxmlformats.org/officeDocument/2006/relationships" ref="AF425" r:id="rId424"/>
    <hyperlink xmlns:r="http://schemas.openxmlformats.org/officeDocument/2006/relationships" ref="AF426" r:id="rId425"/>
    <hyperlink xmlns:r="http://schemas.openxmlformats.org/officeDocument/2006/relationships" ref="AF427" r:id="rId426"/>
    <hyperlink xmlns:r="http://schemas.openxmlformats.org/officeDocument/2006/relationships" ref="AF428" r:id="rId427"/>
    <hyperlink xmlns:r="http://schemas.openxmlformats.org/officeDocument/2006/relationships" ref="AF429" r:id="rId428"/>
    <hyperlink xmlns:r="http://schemas.openxmlformats.org/officeDocument/2006/relationships" ref="AF430" r:id="rId429"/>
    <hyperlink xmlns:r="http://schemas.openxmlformats.org/officeDocument/2006/relationships" ref="AF431" r:id="rId430"/>
    <hyperlink xmlns:r="http://schemas.openxmlformats.org/officeDocument/2006/relationships" ref="AF432" r:id="rId431"/>
    <hyperlink xmlns:r="http://schemas.openxmlformats.org/officeDocument/2006/relationships" ref="AF433" r:id="rId432"/>
    <hyperlink xmlns:r="http://schemas.openxmlformats.org/officeDocument/2006/relationships" ref="AF434" r:id="rId433"/>
    <hyperlink xmlns:r="http://schemas.openxmlformats.org/officeDocument/2006/relationships" ref="AF435" r:id="rId434"/>
    <hyperlink xmlns:r="http://schemas.openxmlformats.org/officeDocument/2006/relationships" ref="AF436" r:id="rId435"/>
    <hyperlink xmlns:r="http://schemas.openxmlformats.org/officeDocument/2006/relationships" ref="AF437" r:id="rId436"/>
    <hyperlink xmlns:r="http://schemas.openxmlformats.org/officeDocument/2006/relationships" ref="AF438" r:id="rId437"/>
    <hyperlink xmlns:r="http://schemas.openxmlformats.org/officeDocument/2006/relationships" ref="AF439" r:id="rId438"/>
    <hyperlink xmlns:r="http://schemas.openxmlformats.org/officeDocument/2006/relationships" ref="AF440" r:id="rId439"/>
    <hyperlink xmlns:r="http://schemas.openxmlformats.org/officeDocument/2006/relationships" ref="AF441" r:id="rId440"/>
    <hyperlink xmlns:r="http://schemas.openxmlformats.org/officeDocument/2006/relationships" ref="AF442" r:id="rId441"/>
    <hyperlink xmlns:r="http://schemas.openxmlformats.org/officeDocument/2006/relationships" ref="AF443" r:id="rId442"/>
    <hyperlink xmlns:r="http://schemas.openxmlformats.org/officeDocument/2006/relationships" ref="AF444" r:id="rId443"/>
    <hyperlink xmlns:r="http://schemas.openxmlformats.org/officeDocument/2006/relationships" ref="AF445" r:id="rId444"/>
    <hyperlink xmlns:r="http://schemas.openxmlformats.org/officeDocument/2006/relationships" ref="AF446" r:id="rId445"/>
    <hyperlink xmlns:r="http://schemas.openxmlformats.org/officeDocument/2006/relationships" ref="AF447" r:id="rId446"/>
    <hyperlink xmlns:r="http://schemas.openxmlformats.org/officeDocument/2006/relationships" ref="AF448" r:id="rId447"/>
    <hyperlink xmlns:r="http://schemas.openxmlformats.org/officeDocument/2006/relationships" ref="AF449" r:id="rId448"/>
    <hyperlink xmlns:r="http://schemas.openxmlformats.org/officeDocument/2006/relationships" ref="AF450" r:id="rId449"/>
    <hyperlink xmlns:r="http://schemas.openxmlformats.org/officeDocument/2006/relationships" ref="AF451" r:id="rId450"/>
    <hyperlink xmlns:r="http://schemas.openxmlformats.org/officeDocument/2006/relationships" ref="AF452" r:id="rId451"/>
    <hyperlink xmlns:r="http://schemas.openxmlformats.org/officeDocument/2006/relationships" ref="AF453" r:id="rId452"/>
    <hyperlink xmlns:r="http://schemas.openxmlformats.org/officeDocument/2006/relationships" ref="AF454" r:id="rId453"/>
    <hyperlink xmlns:r="http://schemas.openxmlformats.org/officeDocument/2006/relationships" ref="AF455" r:id="rId454"/>
    <hyperlink xmlns:r="http://schemas.openxmlformats.org/officeDocument/2006/relationships" ref="AF456" r:id="rId455"/>
    <hyperlink xmlns:r="http://schemas.openxmlformats.org/officeDocument/2006/relationships" ref="AF457" r:id="rId456"/>
    <hyperlink xmlns:r="http://schemas.openxmlformats.org/officeDocument/2006/relationships" ref="AF458" r:id="rId457"/>
    <hyperlink xmlns:r="http://schemas.openxmlformats.org/officeDocument/2006/relationships" ref="AF459" r:id="rId458"/>
    <hyperlink xmlns:r="http://schemas.openxmlformats.org/officeDocument/2006/relationships" ref="AF460" r:id="rId459"/>
    <hyperlink xmlns:r="http://schemas.openxmlformats.org/officeDocument/2006/relationships" ref="AF461" r:id="rId460"/>
    <hyperlink xmlns:r="http://schemas.openxmlformats.org/officeDocument/2006/relationships" ref="AF462" r:id="rId461"/>
    <hyperlink xmlns:r="http://schemas.openxmlformats.org/officeDocument/2006/relationships" ref="AF463" r:id="rId462"/>
    <hyperlink xmlns:r="http://schemas.openxmlformats.org/officeDocument/2006/relationships" ref="AF464" r:id="rId463"/>
    <hyperlink xmlns:r="http://schemas.openxmlformats.org/officeDocument/2006/relationships" ref="AF465" r:id="rId464"/>
    <hyperlink xmlns:r="http://schemas.openxmlformats.org/officeDocument/2006/relationships" ref="AF466" r:id="rId465"/>
    <hyperlink xmlns:r="http://schemas.openxmlformats.org/officeDocument/2006/relationships" ref="AF467" r:id="rId466"/>
    <hyperlink xmlns:r="http://schemas.openxmlformats.org/officeDocument/2006/relationships" ref="AF468" r:id="rId467"/>
    <hyperlink xmlns:r="http://schemas.openxmlformats.org/officeDocument/2006/relationships" ref="AF469" r:id="rId468"/>
    <hyperlink xmlns:r="http://schemas.openxmlformats.org/officeDocument/2006/relationships" ref="AF470" r:id="rId469"/>
    <hyperlink xmlns:r="http://schemas.openxmlformats.org/officeDocument/2006/relationships" ref="AF471" r:id="rId470"/>
    <hyperlink xmlns:r="http://schemas.openxmlformats.org/officeDocument/2006/relationships" ref="AF472" r:id="rId471"/>
    <hyperlink xmlns:r="http://schemas.openxmlformats.org/officeDocument/2006/relationships" ref="AF473" r:id="rId472"/>
    <hyperlink xmlns:r="http://schemas.openxmlformats.org/officeDocument/2006/relationships" ref="AF474" r:id="rId473"/>
    <hyperlink xmlns:r="http://schemas.openxmlformats.org/officeDocument/2006/relationships" ref="AF475" r:id="rId474"/>
    <hyperlink xmlns:r="http://schemas.openxmlformats.org/officeDocument/2006/relationships" ref="AF476" r:id="rId475"/>
    <hyperlink xmlns:r="http://schemas.openxmlformats.org/officeDocument/2006/relationships" ref="AF477" r:id="rId476"/>
    <hyperlink xmlns:r="http://schemas.openxmlformats.org/officeDocument/2006/relationships" ref="AF478" r:id="rId477"/>
    <hyperlink xmlns:r="http://schemas.openxmlformats.org/officeDocument/2006/relationships" ref="AF479" r:id="rId478"/>
    <hyperlink xmlns:r="http://schemas.openxmlformats.org/officeDocument/2006/relationships" ref="AF480" r:id="rId479"/>
    <hyperlink xmlns:r="http://schemas.openxmlformats.org/officeDocument/2006/relationships" ref="AF481" r:id="rId480"/>
    <hyperlink xmlns:r="http://schemas.openxmlformats.org/officeDocument/2006/relationships" ref="AF482" r:id="rId481"/>
    <hyperlink xmlns:r="http://schemas.openxmlformats.org/officeDocument/2006/relationships" ref="AF483" r:id="rId482"/>
    <hyperlink xmlns:r="http://schemas.openxmlformats.org/officeDocument/2006/relationships" ref="AF484" r:id="rId483"/>
    <hyperlink xmlns:r="http://schemas.openxmlformats.org/officeDocument/2006/relationships" ref="AF485" r:id="rId484"/>
    <hyperlink xmlns:r="http://schemas.openxmlformats.org/officeDocument/2006/relationships" ref="AF486" r:id="rId485"/>
    <hyperlink xmlns:r="http://schemas.openxmlformats.org/officeDocument/2006/relationships" ref="AF487" r:id="rId486"/>
    <hyperlink xmlns:r="http://schemas.openxmlformats.org/officeDocument/2006/relationships" ref="AF488" r:id="rId487"/>
    <hyperlink xmlns:r="http://schemas.openxmlformats.org/officeDocument/2006/relationships" ref="AF489" r:id="rId488"/>
    <hyperlink xmlns:r="http://schemas.openxmlformats.org/officeDocument/2006/relationships" ref="AF490" r:id="rId489"/>
    <hyperlink xmlns:r="http://schemas.openxmlformats.org/officeDocument/2006/relationships" ref="AF491" r:id="rId490"/>
    <hyperlink xmlns:r="http://schemas.openxmlformats.org/officeDocument/2006/relationships" ref="AF492" r:id="rId491"/>
    <hyperlink xmlns:r="http://schemas.openxmlformats.org/officeDocument/2006/relationships" ref="AF493" r:id="rId492"/>
    <hyperlink xmlns:r="http://schemas.openxmlformats.org/officeDocument/2006/relationships" ref="AF494" r:id="rId493"/>
    <hyperlink xmlns:r="http://schemas.openxmlformats.org/officeDocument/2006/relationships" ref="AF495" r:id="rId494"/>
    <hyperlink xmlns:r="http://schemas.openxmlformats.org/officeDocument/2006/relationships" ref="AF496" r:id="rId495"/>
    <hyperlink xmlns:r="http://schemas.openxmlformats.org/officeDocument/2006/relationships" ref="AF497" r:id="rId496"/>
    <hyperlink xmlns:r="http://schemas.openxmlformats.org/officeDocument/2006/relationships" ref="AF498" r:id="rId497"/>
    <hyperlink xmlns:r="http://schemas.openxmlformats.org/officeDocument/2006/relationships" ref="AF499" r:id="rId498"/>
    <hyperlink xmlns:r="http://schemas.openxmlformats.org/officeDocument/2006/relationships" ref="AF500" r:id="rId499"/>
    <hyperlink xmlns:r="http://schemas.openxmlformats.org/officeDocument/2006/relationships" ref="AF501" r:id="rId500"/>
    <hyperlink xmlns:r="http://schemas.openxmlformats.org/officeDocument/2006/relationships" ref="AF502" r:id="rId501"/>
    <hyperlink xmlns:r="http://schemas.openxmlformats.org/officeDocument/2006/relationships" ref="AF503" r:id="rId502"/>
    <hyperlink xmlns:r="http://schemas.openxmlformats.org/officeDocument/2006/relationships" ref="AF504" r:id="rId503"/>
    <hyperlink xmlns:r="http://schemas.openxmlformats.org/officeDocument/2006/relationships" ref="AF505" r:id="rId504"/>
    <hyperlink xmlns:r="http://schemas.openxmlformats.org/officeDocument/2006/relationships" ref="AF506" r:id="rId505"/>
    <hyperlink xmlns:r="http://schemas.openxmlformats.org/officeDocument/2006/relationships" ref="AF507" r:id="rId506"/>
    <hyperlink xmlns:r="http://schemas.openxmlformats.org/officeDocument/2006/relationships" ref="AF508" r:id="rId507"/>
    <hyperlink xmlns:r="http://schemas.openxmlformats.org/officeDocument/2006/relationships" ref="AF509" r:id="rId508"/>
    <hyperlink xmlns:r="http://schemas.openxmlformats.org/officeDocument/2006/relationships" ref="AF510" r:id="rId509"/>
    <hyperlink xmlns:r="http://schemas.openxmlformats.org/officeDocument/2006/relationships" ref="AF511" r:id="rId510"/>
    <hyperlink xmlns:r="http://schemas.openxmlformats.org/officeDocument/2006/relationships" ref="AF512" r:id="rId511"/>
    <hyperlink xmlns:r="http://schemas.openxmlformats.org/officeDocument/2006/relationships" ref="AF513" r:id="rId512"/>
    <hyperlink xmlns:r="http://schemas.openxmlformats.org/officeDocument/2006/relationships" ref="AF514" r:id="rId513"/>
    <hyperlink xmlns:r="http://schemas.openxmlformats.org/officeDocument/2006/relationships" ref="AF515" r:id="rId514"/>
    <hyperlink xmlns:r="http://schemas.openxmlformats.org/officeDocument/2006/relationships" ref="AF516" r:id="rId515"/>
    <hyperlink xmlns:r="http://schemas.openxmlformats.org/officeDocument/2006/relationships" ref="AF517" r:id="rId516"/>
    <hyperlink xmlns:r="http://schemas.openxmlformats.org/officeDocument/2006/relationships" ref="AF518" r:id="rId517"/>
    <hyperlink xmlns:r="http://schemas.openxmlformats.org/officeDocument/2006/relationships" ref="AF519" r:id="rId518"/>
    <hyperlink xmlns:r="http://schemas.openxmlformats.org/officeDocument/2006/relationships" ref="AF520" r:id="rId519"/>
    <hyperlink xmlns:r="http://schemas.openxmlformats.org/officeDocument/2006/relationships" ref="AF521" r:id="rId520"/>
    <hyperlink xmlns:r="http://schemas.openxmlformats.org/officeDocument/2006/relationships" ref="AF522" r:id="rId521"/>
    <hyperlink xmlns:r="http://schemas.openxmlformats.org/officeDocument/2006/relationships" ref="AF523" r:id="rId522"/>
    <hyperlink xmlns:r="http://schemas.openxmlformats.org/officeDocument/2006/relationships" ref="AF524" r:id="rId523"/>
    <hyperlink xmlns:r="http://schemas.openxmlformats.org/officeDocument/2006/relationships" ref="AF525" r:id="rId524"/>
    <hyperlink xmlns:r="http://schemas.openxmlformats.org/officeDocument/2006/relationships" ref="AF526" r:id="rId525"/>
    <hyperlink xmlns:r="http://schemas.openxmlformats.org/officeDocument/2006/relationships" ref="AF527" r:id="rId526"/>
    <hyperlink xmlns:r="http://schemas.openxmlformats.org/officeDocument/2006/relationships" ref="AF528" r:id="rId527"/>
    <hyperlink xmlns:r="http://schemas.openxmlformats.org/officeDocument/2006/relationships" ref="AF529" r:id="rId528"/>
    <hyperlink xmlns:r="http://schemas.openxmlformats.org/officeDocument/2006/relationships" ref="AF530" r:id="rId529"/>
    <hyperlink xmlns:r="http://schemas.openxmlformats.org/officeDocument/2006/relationships" ref="AF531" r:id="rId530"/>
    <hyperlink xmlns:r="http://schemas.openxmlformats.org/officeDocument/2006/relationships" ref="AF532" r:id="rId531"/>
    <hyperlink xmlns:r="http://schemas.openxmlformats.org/officeDocument/2006/relationships" ref="AF533" r:id="rId532"/>
    <hyperlink xmlns:r="http://schemas.openxmlformats.org/officeDocument/2006/relationships" ref="AF534" r:id="rId533"/>
    <hyperlink xmlns:r="http://schemas.openxmlformats.org/officeDocument/2006/relationships" ref="AF535" r:id="rId534"/>
    <hyperlink xmlns:r="http://schemas.openxmlformats.org/officeDocument/2006/relationships" ref="AF536" r:id="rId535"/>
    <hyperlink xmlns:r="http://schemas.openxmlformats.org/officeDocument/2006/relationships" ref="AF537" r:id="rId536"/>
    <hyperlink xmlns:r="http://schemas.openxmlformats.org/officeDocument/2006/relationships" ref="AF538" r:id="rId537"/>
    <hyperlink xmlns:r="http://schemas.openxmlformats.org/officeDocument/2006/relationships" ref="AF539" r:id="rId538"/>
    <hyperlink xmlns:r="http://schemas.openxmlformats.org/officeDocument/2006/relationships" ref="AF540" r:id="rId539"/>
    <hyperlink xmlns:r="http://schemas.openxmlformats.org/officeDocument/2006/relationships" ref="AF541" r:id="rId540"/>
    <hyperlink xmlns:r="http://schemas.openxmlformats.org/officeDocument/2006/relationships" ref="AF542" r:id="rId541"/>
    <hyperlink xmlns:r="http://schemas.openxmlformats.org/officeDocument/2006/relationships" ref="AF543" r:id="rId542"/>
    <hyperlink xmlns:r="http://schemas.openxmlformats.org/officeDocument/2006/relationships" ref="AF544" r:id="rId543"/>
    <hyperlink xmlns:r="http://schemas.openxmlformats.org/officeDocument/2006/relationships" ref="AF545" r:id="rId544"/>
    <hyperlink xmlns:r="http://schemas.openxmlformats.org/officeDocument/2006/relationships" ref="AF546" r:id="rId545"/>
    <hyperlink xmlns:r="http://schemas.openxmlformats.org/officeDocument/2006/relationships" ref="AF547" r:id="rId546"/>
    <hyperlink xmlns:r="http://schemas.openxmlformats.org/officeDocument/2006/relationships" ref="AF548" r:id="rId547"/>
    <hyperlink xmlns:r="http://schemas.openxmlformats.org/officeDocument/2006/relationships" ref="AF549" r:id="rId548"/>
    <hyperlink xmlns:r="http://schemas.openxmlformats.org/officeDocument/2006/relationships" ref="AF550" r:id="rId549"/>
    <hyperlink xmlns:r="http://schemas.openxmlformats.org/officeDocument/2006/relationships" ref="AF551" r:id="rId550"/>
    <hyperlink xmlns:r="http://schemas.openxmlformats.org/officeDocument/2006/relationships" ref="AF552" r:id="rId551"/>
    <hyperlink xmlns:r="http://schemas.openxmlformats.org/officeDocument/2006/relationships" ref="AF553" r:id="rId552"/>
    <hyperlink xmlns:r="http://schemas.openxmlformats.org/officeDocument/2006/relationships" ref="AF554" r:id="rId553"/>
    <hyperlink xmlns:r="http://schemas.openxmlformats.org/officeDocument/2006/relationships" ref="AF555" r:id="rId55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A4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0" customWidth="1" min="1" max="1"/>
    <col width="17" customWidth="1" min="2" max="2"/>
    <col width="36" customWidth="1" min="3" max="3"/>
    <col width="15" customWidth="1" min="4" max="4"/>
    <col width="11" customWidth="1" min="5" max="5"/>
    <col width="22" customWidth="1" min="6" max="6"/>
    <col width="11" customWidth="1" min="7" max="7"/>
    <col width="38" customWidth="1" min="8" max="8"/>
    <col width="30" customWidth="1" min="9" max="9"/>
    <col width="24" customWidth="1" min="10" max="10"/>
    <col width="16" customWidth="1" min="11" max="11"/>
    <col width="16" customWidth="1" min="12" max="12"/>
    <col width="16" customWidth="1" min="13" max="13"/>
    <col width="30" customWidth="1" min="14" max="14"/>
    <col width="26" customWidth="1" min="15" max="15"/>
    <col width="28" customWidth="1" min="16" max="16"/>
    <col width="22" customWidth="1" min="17" max="17"/>
    <col width="16" customWidth="1" min="18" max="18"/>
    <col width="28" customWidth="1" min="19" max="19"/>
    <col width="34" customWidth="1" min="20" max="20"/>
    <col width="17" customWidth="1" min="21" max="21"/>
    <col width="8" customWidth="1" min="22" max="22"/>
    <col width="9" customWidth="1" min="23" max="23"/>
    <col width="8" customWidth="1" min="24" max="24"/>
    <col width="17" customWidth="1" min="25" max="25"/>
    <col width="7" customWidth="1" min="26" max="26"/>
    <col width="17" customWidth="1" min="27" max="27"/>
    <col width="7" customWidth="1" min="28" max="28"/>
    <col width="16" customWidth="1" min="29" max="29"/>
    <col width="8" customWidth="1" min="30" max="30"/>
    <col width="26" customWidth="1" min="31" max="31"/>
    <col width="50" customWidth="1" min="32" max="32"/>
    <col width="16" customWidth="1" min="33" max="33"/>
    <col width="30" customWidth="1" min="34" max="34"/>
    <col width="20" customWidth="1" min="35" max="35"/>
    <col width="11" customWidth="1" min="36" max="36"/>
    <col width="16" customWidth="1" min="37" max="37"/>
    <col width="26" customWidth="1" min="38" max="38"/>
    <col width="7" customWidth="1" min="39" max="39"/>
    <col width="12" customWidth="1" min="40" max="40"/>
    <col width="7" customWidth="1" min="41" max="41"/>
    <col width="40" customWidth="1" min="42" max="42"/>
    <col width="19" customWidth="1" min="43" max="43"/>
    <col width="30" customWidth="1" min="44" max="44"/>
    <col width="18" customWidth="1" min="45" max="45"/>
    <col width="5" customWidth="1" min="46" max="46"/>
    <col width="34" customWidth="1" min="47" max="47"/>
    <col width="10" customWidth="1" min="48" max="48"/>
    <col width="15" customWidth="1" min="49" max="49"/>
    <col width="13" customWidth="1" min="50" max="50"/>
    <col width="10" customWidth="1" min="51" max="51"/>
    <col width="6" customWidth="1" min="52" max="52"/>
    <col width="30" customWidth="1" min="53" max="53"/>
  </cols>
  <sheetData>
    <row r="1" ht="34" customHeight="1">
      <c r="A1" s="15" t="inlineStr">
        <is>
          <t>CREDITOR — company owed money</t>
        </is>
      </c>
      <c r="B1" s="15" t="inlineStr">
        <is>
          <t>AMOUNT OWED (R$)</t>
        </is>
      </c>
      <c r="C1" s="15" t="inlineStr">
        <is>
          <t>DEBTOR — company in RJ</t>
        </is>
      </c>
      <c r="D1" s="15" t="inlineStr">
        <is>
          <t>STATUS</t>
        </is>
      </c>
      <c r="E1" s="15" t="inlineStr">
        <is>
          <t>LAST TOUCH</t>
        </is>
      </c>
      <c r="F1" s="15" t="inlineStr">
        <is>
          <t>NEXT ACTION</t>
        </is>
      </c>
      <c r="G1" s="15" t="inlineStr">
        <is>
          <t>NEXT DATE</t>
        </is>
      </c>
      <c r="H1" s="15" t="inlineStr">
        <is>
          <t>NOTES</t>
        </is>
      </c>
      <c r="I1" s="15" t="inlineStr">
        <is>
          <t>DECISION MAKER</t>
        </is>
      </c>
      <c r="J1" s="15" t="inlineStr">
        <is>
          <t>Role</t>
        </is>
      </c>
      <c r="K1" s="15" t="inlineStr">
        <is>
          <t>Company phone 1</t>
        </is>
      </c>
      <c r="L1" s="15" t="inlineStr">
        <is>
          <t>Company phone 2</t>
        </is>
      </c>
      <c r="M1" s="15" t="inlineStr">
        <is>
          <t>Mobile (Apollo)</t>
        </is>
      </c>
      <c r="N1" s="15" t="inlineStr">
        <is>
          <t>Email</t>
        </is>
      </c>
      <c r="O1" s="15" t="inlineStr">
        <is>
          <t>Email 2</t>
        </is>
      </c>
      <c r="P1" s="15" t="inlineStr">
        <is>
          <t>BACKUP CONTACT</t>
        </is>
      </c>
      <c r="Q1" s="15" t="inlineStr">
        <is>
          <t>Backup role</t>
        </is>
      </c>
      <c r="R1" s="15" t="inlineStr">
        <is>
          <t>Backup phone</t>
        </is>
      </c>
      <c r="S1" s="15" t="inlineStr">
        <is>
          <t>Backup email</t>
        </is>
      </c>
      <c r="T1" s="15" t="inlineStr">
        <is>
          <t>Contact note</t>
        </is>
      </c>
      <c r="U1" s="15" t="inlineStr">
        <is>
          <t>FACE VALUE (as printed)</t>
        </is>
      </c>
      <c r="V1" s="15" t="inlineStr">
        <is>
          <t>DEBTOR BAND</t>
        </is>
      </c>
      <c r="W1" s="15" t="inlineStr">
        <is>
          <t>Exp. recovery %</t>
        </is>
      </c>
      <c r="X1" s="15" t="inlineStr">
        <is>
          <t>Years to payment</t>
        </is>
      </c>
      <c r="Y1" s="15" t="inlineStr">
        <is>
          <t>FUND PRICE @ IRR (R$)</t>
        </is>
      </c>
      <c r="Z1" s="15" t="inlineStr">
        <is>
          <t>cents</t>
        </is>
      </c>
      <c r="AA1" s="15" t="inlineStr">
        <is>
          <t>OUR QUOTE (R$)</t>
        </is>
      </c>
      <c r="AB1" s="15" t="inlineStr">
        <is>
          <t>cents</t>
        </is>
      </c>
      <c r="AC1" s="15" t="inlineStr">
        <is>
          <t>OUR ÁGIO (R$)</t>
        </is>
      </c>
      <c r="AD1" s="15" t="inlineStr">
        <is>
          <t>Ágio pts of face</t>
        </is>
      </c>
      <c r="AE1" s="15" t="inlineStr">
        <is>
          <t>PROOF QUALITY</t>
        </is>
      </c>
      <c r="AF1" s="15" t="inlineStr">
        <is>
          <t>PROOF: source document</t>
        </is>
      </c>
      <c r="AG1" s="15" t="inlineStr">
        <is>
          <t>Page / row</t>
        </is>
      </c>
      <c r="AH1" s="15" t="inlineStr">
        <is>
          <t>Value as printed</t>
        </is>
      </c>
      <c r="AI1" s="15" t="inlineStr">
        <is>
          <t>Which list</t>
        </is>
      </c>
      <c r="AJ1" s="15" t="inlineStr">
        <is>
          <t>List date</t>
        </is>
      </c>
      <c r="AK1" s="15" t="inlineStr">
        <is>
          <t>Plan evidence</t>
        </is>
      </c>
      <c r="AL1" s="15" t="inlineStr">
        <is>
          <t>Case number</t>
        </is>
      </c>
      <c r="AM1" s="15" t="inlineStr">
        <is>
          <t>Court</t>
        </is>
      </c>
      <c r="AN1" s="15" t="inlineStr">
        <is>
          <t>Stage</t>
        </is>
      </c>
      <c r="AO1" s="15" t="inlineStr">
        <is>
          <t>Filed</t>
        </is>
      </c>
      <c r="AP1" s="15" t="inlineStr">
        <is>
          <t>Band reason</t>
        </is>
      </c>
      <c r="AQ1" s="15" t="inlineStr">
        <is>
          <t>Debtor CNPJ</t>
        </is>
      </c>
      <c r="AR1" s="15" t="inlineStr">
        <is>
          <t>Debtor source</t>
        </is>
      </c>
      <c r="AS1" s="15" t="inlineStr">
        <is>
          <t>City</t>
        </is>
      </c>
      <c r="AT1" s="15" t="inlineStr">
        <is>
          <t>UF</t>
        </is>
      </c>
      <c r="AU1" s="15" t="inlineStr">
        <is>
          <t>Sector</t>
        </is>
      </c>
      <c r="AV1" s="15" t="inlineStr">
        <is>
          <t>Size</t>
        </is>
      </c>
      <c r="AW1" s="15" t="inlineStr">
        <is>
          <t>Capital (R$)</t>
        </is>
      </c>
      <c r="AX1" s="15" t="inlineStr">
        <is>
          <t>Seller fit</t>
        </is>
      </c>
      <c r="AY1" s="15" t="inlineStr">
        <is>
          <t>CNPJ root</t>
        </is>
      </c>
      <c r="AZ1" s="15" t="inlineStr">
        <is>
          <t>Claims</t>
        </is>
      </c>
      <c r="BA1" s="15" t="inlineStr">
        <is>
          <t>Flags</t>
        </is>
      </c>
    </row>
    <row r="2">
      <c r="A2" s="16" t="inlineStr">
        <is>
          <t>TRAVESSIA SECURITIZADORA DE CREDITOS MERCANTIS XXV S.A.</t>
        </is>
      </c>
      <c r="B2" s="17" t="n">
        <v>860209703.42</v>
      </c>
      <c r="C2" s="18" t="inlineStr">
        <is>
          <t>EGESA ENGENHARIA S/A (Consórcio ETDI)</t>
        </is>
      </c>
      <c r="D2" s="19" t="inlineStr">
        <is>
          <t>NEW</t>
        </is>
      </c>
      <c r="E2" s="20" t="inlineStr"/>
      <c r="F2" s="19" t="inlineStr"/>
      <c r="G2" s="20" t="inlineStr"/>
      <c r="H2" s="19" t="inlineStr"/>
      <c r="I2" s="21" t="inlineStr">
        <is>
          <t>VINICIUS BERNARDES BASILE SILVEIRA STOPA</t>
        </is>
      </c>
      <c r="J2" s="21" t="inlineStr">
        <is>
          <t>Presidente (RFB partner)</t>
        </is>
      </c>
      <c r="K2" s="21" t="inlineStr">
        <is>
          <t>(11) 4115-8700</t>
        </is>
      </c>
      <c r="L2" s="21" t="inlineStr"/>
      <c r="M2" s="21" t="inlineStr"/>
      <c r="N2" s="21" t="inlineStr"/>
      <c r="O2" s="21" t="inlineStr"/>
      <c r="P2" s="21" t="inlineStr">
        <is>
          <t>CAMILA MARIA OLIVEIRA</t>
        </is>
      </c>
      <c r="Q2" s="21" t="inlineStr">
        <is>
          <t>Diretor (RFB partner)</t>
        </is>
      </c>
      <c r="R2" s="21" t="inlineStr"/>
      <c r="S2" s="21" t="inlineStr"/>
      <c r="T2" s="21" t="inlineStr">
        <is>
          <t>RFB partner (QSA); no Apollo match</t>
        </is>
      </c>
      <c r="U2" s="22" t="n">
        <v>860209703.42</v>
      </c>
      <c r="V2" s="32" t="inlineStr">
        <is>
          <t>U</t>
        </is>
      </c>
      <c r="W2" s="24">
        <f>IFERROR(VLOOKUP(V2,Assumptions!$A$7:$F$11,2,FALSE),0)</f>
        <v/>
      </c>
      <c r="X2" s="25">
        <f>IF(V2="A",MAX(1,IFERROR(VLOOKUP(V2,Assumptions!$A$7:$F$11,3,FALSE),3)+IFERROR(VLOOKUP(V2,Assumptions!$A$7:$F$11,4,FALSE),8)/2-MAX(0,IF(AO2="",0,YEAR(TODAY())-AO2)-IFERROR(VLOOKUP(V2,Assumptions!$A$7:$F$11,5,FALSE),1.5))),IFERROR(VLOOKUP(V2,Assumptions!$A$7:$F$11,5,FALSE),2.5)+IFERROR(VLOOKUP(V2,Assumptions!$A$7:$F$11,3,FALSE),3)+IFERROR(VLOOKUP(V2,Assumptions!$A$7:$F$11,4,FALSE),8)/2)</f>
        <v/>
      </c>
      <c r="Y2" s="22">
        <f>U2*W2/(1+Assumptions!$B$3)^X2</f>
        <v/>
      </c>
      <c r="Z2" s="26">
        <f>IF(U2=0,"",ROUND(Y2/U2*100,1))</f>
        <v/>
      </c>
      <c r="AA2" s="27">
        <f>Y2*Assumptions!$B$4</f>
        <v/>
      </c>
      <c r="AB2" s="26">
        <f>IF(U2=0,"",ROUND(AA2/U2*100,1))</f>
        <v/>
      </c>
      <c r="AC2" s="27">
        <f>Y2-AA2</f>
        <v/>
      </c>
      <c r="AD2" s="26">
        <f>IF(U2=0,"",ROUND((Y2-AA2)/U2*100,1))</f>
        <v/>
      </c>
      <c r="AE2" s="28" t="inlineStr">
        <is>
          <t>OK — totals reconciled</t>
        </is>
      </c>
      <c r="AF2" s="29" t="inlineStr">
        <is>
          <t>https://scalzilliaj.com.br/sgc/download.php?file=files/processo_documento/processo_documento09514021082025_1_.pdf&amp;nome=04 - Relação de credores das Recuperandas</t>
        </is>
      </c>
      <c r="AG2" s="28" t="inlineStr">
        <is>
          <t>p74 r14; p74 r15; p75 r1; p75 r2; p75 r3</t>
        </is>
      </c>
      <c r="AH2" s="28" t="inlineStr">
        <is>
          <t>p74: R$ 353.866.498,00; p74: R$ 298.441.197,42; p75: R$ 135.449.857,00; p75: R$ 46.031.397,00; p75: R$ 26.420.754,00</t>
        </is>
      </c>
      <c r="AI2" s="28" t="inlineStr">
        <is>
          <t>Debtor list (art. 51)</t>
        </is>
      </c>
      <c r="AJ2" s="28" t="inlineStr"/>
      <c r="AK2" s="28" t="inlineStr">
        <is>
          <t>NONE FOUND</t>
        </is>
      </c>
      <c r="AL2" s="30" t="inlineStr">
        <is>
          <t>(not printed)</t>
        </is>
      </c>
      <c r="AM2" s="30" t="inlineStr"/>
      <c r="AN2" s="30" t="inlineStr"/>
      <c r="AO2" s="30" t="inlineStr"/>
      <c r="AP2" s="30" t="inlineStr">
        <is>
          <t>RJ case number not identified on the document</t>
        </is>
      </c>
      <c r="AQ2" s="30" t="inlineStr"/>
      <c r="AR2" s="30" t="inlineStr">
        <is>
          <t>portal page title / URL — not printed on the list</t>
        </is>
      </c>
      <c r="AS2" s="30" t="inlineStr">
        <is>
          <t>SAO PAULO</t>
        </is>
      </c>
      <c r="AT2" s="30" t="inlineStr">
        <is>
          <t>SP</t>
        </is>
      </c>
      <c r="AU2" s="30" t="inlineStr">
        <is>
          <t>Securitização de créditos</t>
        </is>
      </c>
      <c r="AV2" s="30" t="inlineStr">
        <is>
          <t>DEMAIS</t>
        </is>
      </c>
      <c r="AW2" s="31" t="n">
        <v>500</v>
      </c>
      <c r="AX2" s="30" t="inlineStr">
        <is>
          <t>MID-MARKET</t>
        </is>
      </c>
      <c r="AY2" s="30" t="inlineStr">
        <is>
          <t>45741898</t>
        </is>
      </c>
      <c r="AZ2" s="30" t="n">
        <v>5</v>
      </c>
      <c r="BA2" s="30" t="inlineStr">
        <is>
          <t>LIKELY_FINANCIAL_BY_NAME ROWS:p74r14,p74r15,p75r1,p75r2,p75r3 VALUE_COL:Valor_Atualizado CASE_NUMBER_CORRECTED</t>
        </is>
      </c>
    </row>
    <row r="3">
      <c r="A3" s="16" t="inlineStr">
        <is>
          <t>CAIXA ECONOMICA FEDERAL</t>
        </is>
      </c>
      <c r="B3" s="17" t="n">
        <v>426018950.32</v>
      </c>
      <c r="C3" s="18" t="inlineStr">
        <is>
          <t>EGESA ENGENHARIA S/A (Consórcio ETDI)</t>
        </is>
      </c>
      <c r="D3" s="19" t="inlineStr">
        <is>
          <t>NEW</t>
        </is>
      </c>
      <c r="E3" s="20" t="inlineStr"/>
      <c r="F3" s="19" t="inlineStr"/>
      <c r="G3" s="20" t="inlineStr"/>
      <c r="H3" s="19" t="inlineStr"/>
      <c r="I3" s="21" t="inlineStr">
        <is>
          <t>Livia Serikaku</t>
        </is>
      </c>
      <c r="J3" s="21" t="inlineStr">
        <is>
          <t>Gerente de Clientes e Negócios | Recuperação de Crédito</t>
        </is>
      </c>
      <c r="K3" s="21" t="inlineStr">
        <is>
          <t>(00) 4004-0104</t>
        </is>
      </c>
      <c r="L3" s="21" t="inlineStr"/>
      <c r="M3" s="21" t="inlineStr"/>
      <c r="N3" s="21" t="inlineStr"/>
      <c r="O3" s="21" t="inlineStr"/>
      <c r="P3" s="21" t="inlineStr">
        <is>
          <t>Rodolfo Trevizan</t>
        </is>
      </c>
      <c r="Q3" s="21" t="inlineStr">
        <is>
          <t>Investment Banking | Distressed Assets | Project Finance</t>
        </is>
      </c>
      <c r="R3" s="21" t="inlineStr"/>
      <c r="S3" s="21" t="inlineStr"/>
      <c r="T3" s="21" t="inlineStr">
        <is>
          <t>no work email found in Apollo</t>
        </is>
      </c>
      <c r="U3" s="22" t="n">
        <v>426018950.32</v>
      </c>
      <c r="V3" s="32" t="inlineStr">
        <is>
          <t>U</t>
        </is>
      </c>
      <c r="W3" s="24">
        <f>IFERROR(VLOOKUP(V3,Assumptions!$A$7:$F$11,2,FALSE),0)</f>
        <v/>
      </c>
      <c r="X3" s="25">
        <f>IF(V3="A",MAX(1,IFERROR(VLOOKUP(V3,Assumptions!$A$7:$F$11,3,FALSE),3)+IFERROR(VLOOKUP(V3,Assumptions!$A$7:$F$11,4,FALSE),8)/2-MAX(0,IF(AO3="",0,YEAR(TODAY())-AO3)-IFERROR(VLOOKUP(V3,Assumptions!$A$7:$F$11,5,FALSE),1.5))),IFERROR(VLOOKUP(V3,Assumptions!$A$7:$F$11,5,FALSE),2.5)+IFERROR(VLOOKUP(V3,Assumptions!$A$7:$F$11,3,FALSE),3)+IFERROR(VLOOKUP(V3,Assumptions!$A$7:$F$11,4,FALSE),8)/2)</f>
        <v/>
      </c>
      <c r="Y3" s="22">
        <f>U3*W3/(1+Assumptions!$B$3)^X3</f>
        <v/>
      </c>
      <c r="Z3" s="26">
        <f>IF(U3=0,"",ROUND(Y3/U3*100,1))</f>
        <v/>
      </c>
      <c r="AA3" s="27">
        <f>Y3*Assumptions!$B$4</f>
        <v/>
      </c>
      <c r="AB3" s="26">
        <f>IF(U3=0,"",ROUND(AA3/U3*100,1))</f>
        <v/>
      </c>
      <c r="AC3" s="27">
        <f>Y3-AA3</f>
        <v/>
      </c>
      <c r="AD3" s="26">
        <f>IF(U3=0,"",ROUND((Y3-AA3)/U3*100,1))</f>
        <v/>
      </c>
      <c r="AE3" s="28" t="inlineStr">
        <is>
          <t>OK — totals reconciled</t>
        </is>
      </c>
      <c r="AF3" s="29" t="inlineStr">
        <is>
          <t>https://scalzilliaj.com.br/sgc/download.php?file=files/processo_documento/processo_documento09514021082025_1_.pdf&amp;nome=04 - Relação de credores das Recuperandas</t>
        </is>
      </c>
      <c r="AG3" s="28" t="inlineStr">
        <is>
          <t>p63 r17</t>
        </is>
      </c>
      <c r="AH3" s="28" t="inlineStr">
        <is>
          <t>p63: R$ 426.018.950,32</t>
        </is>
      </c>
      <c r="AI3" s="28" t="inlineStr">
        <is>
          <t>Debtor list (art. 51)</t>
        </is>
      </c>
      <c r="AJ3" s="28" t="inlineStr"/>
      <c r="AK3" s="28" t="inlineStr">
        <is>
          <t>NONE FOUND</t>
        </is>
      </c>
      <c r="AL3" s="30" t="inlineStr">
        <is>
          <t>(not printed)</t>
        </is>
      </c>
      <c r="AM3" s="30" t="inlineStr"/>
      <c r="AN3" s="30" t="inlineStr"/>
      <c r="AO3" s="30" t="inlineStr"/>
      <c r="AP3" s="30" t="inlineStr">
        <is>
          <t>RJ case number not identified on the document</t>
        </is>
      </c>
      <c r="AQ3" s="30" t="inlineStr"/>
      <c r="AR3" s="30" t="inlineStr">
        <is>
          <t>portal page title / URL — not printed on the list</t>
        </is>
      </c>
      <c r="AS3" s="30" t="inlineStr">
        <is>
          <t>BRASILIA</t>
        </is>
      </c>
      <c r="AT3" s="30" t="inlineStr">
        <is>
          <t>DF</t>
        </is>
      </c>
      <c r="AU3" s="30" t="inlineStr">
        <is>
          <t>Caixas econômicas</t>
        </is>
      </c>
      <c r="AV3" s="30" t="inlineStr">
        <is>
          <t>DEMAIS</t>
        </is>
      </c>
      <c r="AW3" s="31" t="n">
        <v>105300000000</v>
      </c>
      <c r="AX3" s="30" t="inlineStr">
        <is>
          <t>LARGE CORP</t>
        </is>
      </c>
      <c r="AY3" s="30" t="inlineStr">
        <is>
          <t>00360305</t>
        </is>
      </c>
      <c r="AZ3" s="30" t="n">
        <v>1</v>
      </c>
      <c r="BA3" s="30" t="inlineStr">
        <is>
          <t>LIKELY_FINANCIAL_BY_NAME ROWS:p63r17 VALUE_COL:Valor_Atualizado CASE_NUMBER_CORRECTED</t>
        </is>
      </c>
    </row>
    <row r="4">
      <c r="A4" s="16" t="inlineStr">
        <is>
          <t>BANCO BRADESCO S.A.</t>
        </is>
      </c>
      <c r="B4" s="17" t="n">
        <v>166745196.81</v>
      </c>
      <c r="C4" s="18" t="inlineStr">
        <is>
          <t>EGESA ENGENHARIA S/A (Consórcio ETDI)</t>
        </is>
      </c>
      <c r="D4" s="19" t="inlineStr">
        <is>
          <t>NEW</t>
        </is>
      </c>
      <c r="E4" s="20" t="inlineStr"/>
      <c r="F4" s="19" t="inlineStr"/>
      <c r="G4" s="20" t="inlineStr"/>
      <c r="H4" s="19" t="inlineStr"/>
      <c r="I4" s="21" t="inlineStr">
        <is>
          <t>Marcela Martins</t>
        </is>
      </c>
      <c r="J4" s="21" t="inlineStr">
        <is>
          <t>Superintendente de Recuperação de Crédito - Canais e Operações</t>
        </is>
      </c>
      <c r="K4" s="21" t="inlineStr">
        <is>
          <t>(11) 3684-5122</t>
        </is>
      </c>
      <c r="L4" s="21" t="inlineStr"/>
      <c r="M4" s="21" t="inlineStr"/>
      <c r="N4" s="21" t="inlineStr"/>
      <c r="O4" s="21" t="inlineStr">
        <is>
          <t>sl@bradesco.com.br</t>
        </is>
      </c>
      <c r="P4" s="21" t="inlineStr">
        <is>
          <t>Luis S</t>
        </is>
      </c>
      <c r="Q4" s="21" t="inlineStr">
        <is>
          <t>DRC - Departamento de Recuperação de Crédito - Gerente de Reestruturação de Crédito</t>
        </is>
      </c>
      <c r="R4" s="21" t="inlineStr"/>
      <c r="S4" s="21" t="inlineStr">
        <is>
          <t>sl@bradesco.com.br</t>
        </is>
      </c>
      <c r="T4" s="21" t="inlineStr">
        <is>
          <t>no work email found in Apollo</t>
        </is>
      </c>
      <c r="U4" s="22" t="n">
        <v>166745196.81</v>
      </c>
      <c r="V4" s="32" t="inlineStr">
        <is>
          <t>U</t>
        </is>
      </c>
      <c r="W4" s="24">
        <f>IFERROR(VLOOKUP(V4,Assumptions!$A$7:$F$11,2,FALSE),0)</f>
        <v/>
      </c>
      <c r="X4" s="25">
        <f>IF(V4="A",MAX(1,IFERROR(VLOOKUP(V4,Assumptions!$A$7:$F$11,3,FALSE),3)+IFERROR(VLOOKUP(V4,Assumptions!$A$7:$F$11,4,FALSE),8)/2-MAX(0,IF(AO4="",0,YEAR(TODAY())-AO4)-IFERROR(VLOOKUP(V4,Assumptions!$A$7:$F$11,5,FALSE),1.5))),IFERROR(VLOOKUP(V4,Assumptions!$A$7:$F$11,5,FALSE),2.5)+IFERROR(VLOOKUP(V4,Assumptions!$A$7:$F$11,3,FALSE),3)+IFERROR(VLOOKUP(V4,Assumptions!$A$7:$F$11,4,FALSE),8)/2)</f>
        <v/>
      </c>
      <c r="Y4" s="22">
        <f>U4*W4/(1+Assumptions!$B$3)^X4</f>
        <v/>
      </c>
      <c r="Z4" s="26">
        <f>IF(U4=0,"",ROUND(Y4/U4*100,1))</f>
        <v/>
      </c>
      <c r="AA4" s="27">
        <f>Y4*Assumptions!$B$4</f>
        <v/>
      </c>
      <c r="AB4" s="26">
        <f>IF(U4=0,"",ROUND(AA4/U4*100,1))</f>
        <v/>
      </c>
      <c r="AC4" s="27">
        <f>Y4-AA4</f>
        <v/>
      </c>
      <c r="AD4" s="26">
        <f>IF(U4=0,"",ROUND((Y4-AA4)/U4*100,1))</f>
        <v/>
      </c>
      <c r="AE4" s="28" t="inlineStr">
        <is>
          <t>OK — totals reconciled</t>
        </is>
      </c>
      <c r="AF4" s="29" t="inlineStr">
        <is>
          <t>https://scalzilliaj.com.br/sgc/download.php?file=files/processo_documento/processo_documento09514021082025_1_.pdf&amp;nome=04 - Relação de credores das Recuperandas</t>
        </is>
      </c>
      <c r="AG4" s="28" t="inlineStr">
        <is>
          <t>p62 r14</t>
        </is>
      </c>
      <c r="AH4" s="28" t="inlineStr">
        <is>
          <t>p62: R$ 166.745.196,81</t>
        </is>
      </c>
      <c r="AI4" s="28" t="inlineStr">
        <is>
          <t>Debtor list (art. 51)</t>
        </is>
      </c>
      <c r="AJ4" s="28" t="inlineStr"/>
      <c r="AK4" s="28" t="inlineStr">
        <is>
          <t>NONE FOUND</t>
        </is>
      </c>
      <c r="AL4" s="30" t="inlineStr">
        <is>
          <t>(not printed)</t>
        </is>
      </c>
      <c r="AM4" s="30" t="inlineStr"/>
      <c r="AN4" s="30" t="inlineStr"/>
      <c r="AO4" s="30" t="inlineStr"/>
      <c r="AP4" s="30" t="inlineStr">
        <is>
          <t>RJ case number not identified on the document</t>
        </is>
      </c>
      <c r="AQ4" s="30" t="inlineStr"/>
      <c r="AR4" s="30" t="inlineStr">
        <is>
          <t>portal page title / URL — not printed on the list</t>
        </is>
      </c>
      <c r="AS4" s="30" t="inlineStr">
        <is>
          <t>OSASCO</t>
        </is>
      </c>
      <c r="AT4" s="30" t="inlineStr">
        <is>
          <t>SP</t>
        </is>
      </c>
      <c r="AU4" s="30" t="inlineStr">
        <is>
          <t>Bancos múltiplos, com carteira comercial</t>
        </is>
      </c>
      <c r="AV4" s="30" t="inlineStr">
        <is>
          <t>DEMAIS</t>
        </is>
      </c>
      <c r="AW4" s="31" t="n">
        <v>93770000000</v>
      </c>
      <c r="AX4" s="30" t="inlineStr">
        <is>
          <t>LARGE CORP</t>
        </is>
      </c>
      <c r="AY4" s="30" t="inlineStr">
        <is>
          <t>60746948</t>
        </is>
      </c>
      <c r="AZ4" s="30" t="n">
        <v>1</v>
      </c>
      <c r="BA4" s="30" t="inlineStr">
        <is>
          <t>LIKELY_FINANCIAL_BY_NAME ROWS:p62r14 VALUE_COL:Valor_Atualizado CASE_NUMBER_CORRECTED</t>
        </is>
      </c>
    </row>
    <row r="5">
      <c r="A5" s="16" t="inlineStr">
        <is>
          <t>CAIXA ECONOMICA FEDERAL</t>
        </is>
      </c>
      <c r="B5" s="17" t="n">
        <v>62052412.02</v>
      </c>
      <c r="C5" s="18" t="inlineStr">
        <is>
          <t>ASSOCIAÇÃO DE CARIDADE SANTA CASA DO RIO GRANDE</t>
        </is>
      </c>
      <c r="D5" s="19" t="inlineStr">
        <is>
          <t>NEW</t>
        </is>
      </c>
      <c r="E5" s="20" t="inlineStr"/>
      <c r="F5" s="19" t="inlineStr"/>
      <c r="G5" s="20" t="inlineStr"/>
      <c r="H5" s="19" t="inlineStr"/>
      <c r="I5" s="21" t="inlineStr">
        <is>
          <t>Livia Serikaku</t>
        </is>
      </c>
      <c r="J5" s="21" t="inlineStr">
        <is>
          <t>Gerente de Clientes e Negócios | Recuperação de Crédito</t>
        </is>
      </c>
      <c r="K5" s="21" t="inlineStr">
        <is>
          <t>(00) 4004-0104</t>
        </is>
      </c>
      <c r="L5" s="21" t="inlineStr"/>
      <c r="M5" s="21" t="inlineStr"/>
      <c r="N5" s="21" t="inlineStr"/>
      <c r="O5" s="21" t="inlineStr"/>
      <c r="P5" s="21" t="inlineStr">
        <is>
          <t>Rodolfo Trevizan</t>
        </is>
      </c>
      <c r="Q5" s="21" t="inlineStr">
        <is>
          <t>Investment Banking | Distressed Assets | Project Finance</t>
        </is>
      </c>
      <c r="R5" s="21" t="inlineStr"/>
      <c r="S5" s="21" t="inlineStr"/>
      <c r="T5" s="21" t="inlineStr">
        <is>
          <t>no work email found in Apollo</t>
        </is>
      </c>
      <c r="U5" s="22" t="n">
        <v>62052412.02</v>
      </c>
      <c r="V5" s="23" t="inlineStr">
        <is>
          <t>B</t>
        </is>
      </c>
      <c r="W5" s="24">
        <f>IFERROR(VLOOKUP(V5,Assumptions!$A$7:$F$11,2,FALSE),0)</f>
        <v/>
      </c>
      <c r="X5" s="25">
        <f>IF(V5="A",MAX(1,IFERROR(VLOOKUP(V5,Assumptions!$A$7:$F$11,3,FALSE),3)+IFERROR(VLOOKUP(V5,Assumptions!$A$7:$F$11,4,FALSE),8)/2-MAX(0,IF(AO5="",0,YEAR(TODAY())-AO5)-IFERROR(VLOOKUP(V5,Assumptions!$A$7:$F$11,5,FALSE),1.5))),IFERROR(VLOOKUP(V5,Assumptions!$A$7:$F$11,5,FALSE),2.5)+IFERROR(VLOOKUP(V5,Assumptions!$A$7:$F$11,3,FALSE),3)+IFERROR(VLOOKUP(V5,Assumptions!$A$7:$F$11,4,FALSE),8)/2)</f>
        <v/>
      </c>
      <c r="Y5" s="22">
        <f>U5*W5/(1+Assumptions!$B$3)^X5</f>
        <v/>
      </c>
      <c r="Z5" s="26">
        <f>IF(U5=0,"",ROUND(Y5/U5*100,1))</f>
        <v/>
      </c>
      <c r="AA5" s="27">
        <f>Y5*Assumptions!$B$4</f>
        <v/>
      </c>
      <c r="AB5" s="26">
        <f>IF(U5=0,"",ROUND(AA5/U5*100,1))</f>
        <v/>
      </c>
      <c r="AC5" s="27">
        <f>Y5-AA5</f>
        <v/>
      </c>
      <c r="AD5" s="26">
        <f>IF(U5=0,"",ROUND((Y5-AA5)/U5*100,1))</f>
        <v/>
      </c>
      <c r="AE5" s="33" t="inlineStr">
        <is>
          <t>NO TOTALS — list prints none; check page</t>
        </is>
      </c>
      <c r="AF5" s="29" t="inlineStr">
        <is>
          <t>https://scalzilliaj.com.br/sgc/download.php?file=files/processo_documento/processo_documento09120721032023_1_.pdf&amp;nome=15 - Edital do art. 7º, §2º e 53 da Lei 11.101/2005 (segunda lista de credores e recebimento do plano))</t>
        </is>
      </c>
      <c r="AG5" s="28" t="inlineStr">
        <is>
          <t>p26 r16</t>
        </is>
      </c>
      <c r="AH5" s="28" t="inlineStr">
        <is>
          <t>p26: R$ 62.052.412,02</t>
        </is>
      </c>
      <c r="AI5" s="28" t="inlineStr">
        <is>
          <t>AJ list (art. 7 §2)</t>
        </is>
      </c>
      <c r="AJ5" s="28" t="inlineStr">
        <is>
          <t>2023-03-21</t>
        </is>
      </c>
      <c r="AK5" s="28" t="inlineStr">
        <is>
          <t>NONE FOUND</t>
        </is>
      </c>
      <c r="AL5" s="30" t="inlineStr">
        <is>
          <t>5012306-16.2022.8.21.0023</t>
        </is>
      </c>
      <c r="AM5" s="30" t="inlineStr">
        <is>
          <t>TJRS</t>
        </is>
      </c>
      <c r="AN5" s="30" t="inlineStr">
        <is>
          <t>ACTIVE</t>
        </is>
      </c>
      <c r="AO5" s="30" t="n">
        <v>2022</v>
      </c>
      <c r="AP5" s="30" t="inlineStr">
        <is>
          <t>live case, no plan document yet</t>
        </is>
      </c>
      <c r="AQ5" s="30" t="inlineStr"/>
      <c r="AR5" s="30" t="inlineStr">
        <is>
          <t>printed on the list (read twice)</t>
        </is>
      </c>
      <c r="AS5" s="30" t="inlineStr">
        <is>
          <t>BRASILIA</t>
        </is>
      </c>
      <c r="AT5" s="30" t="inlineStr">
        <is>
          <t>DF</t>
        </is>
      </c>
      <c r="AU5" s="30" t="inlineStr">
        <is>
          <t>Caixas econômicas</t>
        </is>
      </c>
      <c r="AV5" s="30" t="inlineStr">
        <is>
          <t>DEMAIS</t>
        </is>
      </c>
      <c r="AW5" s="31" t="n">
        <v>105300000000</v>
      </c>
      <c r="AX5" s="30" t="inlineStr">
        <is>
          <t>LARGE CORP</t>
        </is>
      </c>
      <c r="AY5" s="30" t="inlineStr">
        <is>
          <t>00360305</t>
        </is>
      </c>
      <c r="AZ5" s="30" t="n">
        <v>1</v>
      </c>
      <c r="BA5" s="30" t="inlineStr">
        <is>
          <t>LIKELY_FINANCIAL_BY_NAME ROWS:p26r16 UNRECONCILED_SOURCE</t>
        </is>
      </c>
    </row>
    <row r="6">
      <c r="A6" s="16" t="inlineStr">
        <is>
          <t>BANCO DO BRASIL SA</t>
        </is>
      </c>
      <c r="B6" s="17" t="n">
        <v>29399788.89</v>
      </c>
      <c r="C6" s="18" t="inlineStr">
        <is>
          <t>GRUPO 3E</t>
        </is>
      </c>
      <c r="D6" s="19" t="inlineStr">
        <is>
          <t>NEW</t>
        </is>
      </c>
      <c r="E6" s="20" t="inlineStr"/>
      <c r="F6" s="19" t="inlineStr"/>
      <c r="G6" s="20" t="inlineStr"/>
      <c r="H6" s="19" t="inlineStr"/>
      <c r="I6" s="21" t="inlineStr">
        <is>
          <t>Thiago Cavichioli</t>
        </is>
      </c>
      <c r="J6" s="21" t="inlineStr">
        <is>
          <t>Gerente de Cobrança e Recuperação de Crédito</t>
        </is>
      </c>
      <c r="K6" s="21" t="inlineStr">
        <is>
          <t>(61) 3493-9002</t>
        </is>
      </c>
      <c r="L6" s="21" t="inlineStr"/>
      <c r="M6" s="21" t="inlineStr"/>
      <c r="N6" s="21" t="inlineStr">
        <is>
          <t>thiago.cavichioli@bb.com.br</t>
        </is>
      </c>
      <c r="O6" s="21" t="inlineStr">
        <is>
          <t>suelenmondador@bb.com.br</t>
        </is>
      </c>
      <c r="P6" s="21" t="inlineStr">
        <is>
          <t>Suelen Mondador</t>
        </is>
      </c>
      <c r="Q6" s="21" t="inlineStr">
        <is>
          <t>Gerente Especialista em Recuperação de Crédito</t>
        </is>
      </c>
      <c r="R6" s="21" t="inlineStr"/>
      <c r="S6" s="21" t="inlineStr">
        <is>
          <t>suelenmondador@bb.com.br</t>
        </is>
      </c>
      <c r="T6" s="21" t="inlineStr">
        <is>
          <t>email verified by Apollo</t>
        </is>
      </c>
      <c r="U6" s="22" t="n">
        <v>29399788.89</v>
      </c>
      <c r="V6" s="35" t="inlineStr">
        <is>
          <t>A</t>
        </is>
      </c>
      <c r="W6" s="24">
        <f>IFERROR(VLOOKUP(V6,Assumptions!$A$7:$F$11,2,FALSE),0)</f>
        <v/>
      </c>
      <c r="X6" s="25">
        <f>IF(V6="A",MAX(1,IFERROR(VLOOKUP(V6,Assumptions!$A$7:$F$11,3,FALSE),3)+IFERROR(VLOOKUP(V6,Assumptions!$A$7:$F$11,4,FALSE),8)/2-MAX(0,IF(AO6="",0,YEAR(TODAY())-AO6)-IFERROR(VLOOKUP(V6,Assumptions!$A$7:$F$11,5,FALSE),1.5))),IFERROR(VLOOKUP(V6,Assumptions!$A$7:$F$11,5,FALSE),2.5)+IFERROR(VLOOKUP(V6,Assumptions!$A$7:$F$11,3,FALSE),3)+IFERROR(VLOOKUP(V6,Assumptions!$A$7:$F$11,4,FALSE),8)/2)</f>
        <v/>
      </c>
      <c r="Y6" s="22">
        <f>U6*W6/(1+Assumptions!$B$3)^X6</f>
        <v/>
      </c>
      <c r="Z6" s="26">
        <f>IF(U6=0,"",ROUND(Y6/U6*100,1))</f>
        <v/>
      </c>
      <c r="AA6" s="27">
        <f>Y6*Assumptions!$B$4</f>
        <v/>
      </c>
      <c r="AB6" s="26">
        <f>IF(U6=0,"",ROUND(AA6/U6*100,1))</f>
        <v/>
      </c>
      <c r="AC6" s="27">
        <f>Y6-AA6</f>
        <v/>
      </c>
      <c r="AD6" s="26">
        <f>IF(U6=0,"",ROUND((Y6-AA6)/U6*100,1))</f>
        <v/>
      </c>
      <c r="AE6" s="33" t="inlineStr">
        <is>
          <t>NO TOTALS — list prints none; check page</t>
        </is>
      </c>
      <c r="AF6" s="29" t="inlineStr">
        <is>
          <t>https://stenius.com.br/wp-content/uploads/2026/06/EDITAL-GRUPO-3E.pdf</t>
        </is>
      </c>
      <c r="AG6" s="28" t="inlineStr">
        <is>
          <t>p10 r35</t>
        </is>
      </c>
      <c r="AH6" s="28" t="inlineStr">
        <is>
          <t>p10: R$ 29.399.788,89</t>
        </is>
      </c>
      <c r="AI6" s="28" t="inlineStr">
        <is>
          <t>Debtor list (art. 51)</t>
        </is>
      </c>
      <c r="AJ6" s="28" t="inlineStr">
        <is>
          <t>2026-06-22</t>
        </is>
      </c>
      <c r="AK6" s="28" t="inlineStr">
        <is>
          <t>PLAN DOC FOUND</t>
        </is>
      </c>
      <c r="AL6" s="30" t="inlineStr">
        <is>
          <t>5341375-33.2026.8.09.0049</t>
        </is>
      </c>
      <c r="AM6" s="30" t="inlineStr">
        <is>
          <t>TJGO</t>
        </is>
      </c>
      <c r="AN6" s="30" t="inlineStr">
        <is>
          <t>ACTIVE</t>
        </is>
      </c>
      <c r="AO6" s="30" t="n">
        <v>2026</v>
      </c>
      <c r="AP6" s="30" t="inlineStr">
        <is>
          <t>plan/homologation document found</t>
        </is>
      </c>
      <c r="AQ6" s="30" t="inlineStr"/>
      <c r="AR6" s="30" t="inlineStr">
        <is>
          <t>printed on the list (read twice)</t>
        </is>
      </c>
      <c r="AS6" s="30" t="inlineStr">
        <is>
          <t>BRASILIA</t>
        </is>
      </c>
      <c r="AT6" s="30" t="inlineStr">
        <is>
          <t>DF</t>
        </is>
      </c>
      <c r="AU6" s="30" t="inlineStr">
        <is>
          <t>Bancos múltiplos, com carteira comercial</t>
        </is>
      </c>
      <c r="AV6" s="30" t="inlineStr">
        <is>
          <t>DEMAIS</t>
        </is>
      </c>
      <c r="AW6" s="31" t="n">
        <v>120000000000</v>
      </c>
      <c r="AX6" s="30" t="inlineStr">
        <is>
          <t>LARGE CORP</t>
        </is>
      </c>
      <c r="AY6" s="30" t="inlineStr">
        <is>
          <t>00000000</t>
        </is>
      </c>
      <c r="AZ6" s="30" t="n">
        <v>1</v>
      </c>
      <c r="BA6" s="30" t="inlineStr">
        <is>
          <t>LIKELY_FINANCIAL_BY_NAME ROWS:p10r35 UNRECONCILED_SOURCE</t>
        </is>
      </c>
    </row>
    <row r="7">
      <c r="A7" s="16" t="inlineStr">
        <is>
          <t>BANCO SANTANDER (BRASIL) S.A.</t>
        </is>
      </c>
      <c r="B7" s="17" t="n">
        <v>53119917.67</v>
      </c>
      <c r="C7" s="18" t="inlineStr">
        <is>
          <t>Grupo Rech</t>
        </is>
      </c>
      <c r="D7" s="19" t="inlineStr">
        <is>
          <t>NEW</t>
        </is>
      </c>
      <c r="E7" s="20" t="inlineStr"/>
      <c r="F7" s="19" t="inlineStr"/>
      <c r="G7" s="20" t="inlineStr"/>
      <c r="H7" s="19" t="inlineStr"/>
      <c r="I7" s="21" t="inlineStr">
        <is>
          <t>Igor Puertas</t>
        </is>
      </c>
      <c r="J7" s="21" t="inlineStr">
        <is>
          <t>Distressed Assets | NPL</t>
        </is>
      </c>
      <c r="K7" s="21" t="inlineStr">
        <is>
          <t>(11) 4004-3535</t>
        </is>
      </c>
      <c r="L7" s="21" t="inlineStr"/>
      <c r="M7" s="21" t="inlineStr"/>
      <c r="N7" s="21" t="inlineStr">
        <is>
          <t>igor.puertas@santander.com.br</t>
        </is>
      </c>
      <c r="O7" s="21" t="inlineStr">
        <is>
          <t>antonio.pequeno.junior@santander.com.br</t>
        </is>
      </c>
      <c r="P7" s="21" t="inlineStr">
        <is>
          <t>Antonio Junior</t>
        </is>
      </c>
      <c r="Q7" s="21" t="inlineStr">
        <is>
          <t>Superintendente Recuperação de Crédito</t>
        </is>
      </c>
      <c r="R7" s="21" t="inlineStr"/>
      <c r="S7" s="21" t="inlineStr">
        <is>
          <t>antonio.pequeno.junior@santander.com.br</t>
        </is>
      </c>
      <c r="T7" s="21" t="inlineStr">
        <is>
          <t>email verified by Apollo</t>
        </is>
      </c>
      <c r="U7" s="22" t="n">
        <v>53119917.67</v>
      </c>
      <c r="V7" s="23" t="inlineStr">
        <is>
          <t>B</t>
        </is>
      </c>
      <c r="W7" s="24">
        <f>IFERROR(VLOOKUP(V7,Assumptions!$A$7:$F$11,2,FALSE),0)</f>
        <v/>
      </c>
      <c r="X7" s="25">
        <f>IF(V7="A",MAX(1,IFERROR(VLOOKUP(V7,Assumptions!$A$7:$F$11,3,FALSE),3)+IFERROR(VLOOKUP(V7,Assumptions!$A$7:$F$11,4,FALSE),8)/2-MAX(0,IF(AO7="",0,YEAR(TODAY())-AO7)-IFERROR(VLOOKUP(V7,Assumptions!$A$7:$F$11,5,FALSE),1.5))),IFERROR(VLOOKUP(V7,Assumptions!$A$7:$F$11,5,FALSE),2.5)+IFERROR(VLOOKUP(V7,Assumptions!$A$7:$F$11,3,FALSE),3)+IFERROR(VLOOKUP(V7,Assumptions!$A$7:$F$11,4,FALSE),8)/2)</f>
        <v/>
      </c>
      <c r="Y7" s="22">
        <f>U7*W7/(1+Assumptions!$B$3)^X7</f>
        <v/>
      </c>
      <c r="Z7" s="26">
        <f>IF(U7=0,"",ROUND(Y7/U7*100,1))</f>
        <v/>
      </c>
      <c r="AA7" s="27">
        <f>Y7*Assumptions!$B$4</f>
        <v/>
      </c>
      <c r="AB7" s="26">
        <f>IF(U7=0,"",ROUND(AA7/U7*100,1))</f>
        <v/>
      </c>
      <c r="AC7" s="27">
        <f>Y7-AA7</f>
        <v/>
      </c>
      <c r="AD7" s="26">
        <f>IF(U7=0,"",ROUND((Y7-AA7)/U7*100,1))</f>
        <v/>
      </c>
      <c r="AE7" s="36" t="inlineStr">
        <is>
          <t>CHECK — source is not a statutory creditor list</t>
        </is>
      </c>
      <c r="AF7" s="29" t="inlineStr">
        <is>
          <t>https://credibilita.com.br/wp-content/uploads/2025/09/Relacao-Credores-29.04.2026.pdf</t>
        </is>
      </c>
      <c r="AG7" s="28" t="inlineStr">
        <is>
          <t>p1 r13</t>
        </is>
      </c>
      <c r="AH7" s="28" t="inlineStr">
        <is>
          <t>p1: R$ 53.119.917,67</t>
        </is>
      </c>
      <c r="AI7" s="28" t="inlineStr">
        <is>
          <t>Quorum list — NOT an art. 7/51 list</t>
        </is>
      </c>
      <c r="AJ7" s="28" t="inlineStr"/>
      <c r="AK7" s="28" t="inlineStr">
        <is>
          <t>NONE FOUND</t>
        </is>
      </c>
      <c r="AL7" s="30" t="inlineStr">
        <is>
          <t>5057720-48.2025.8.24.0023</t>
        </is>
      </c>
      <c r="AM7" s="30" t="inlineStr">
        <is>
          <t>TJSC</t>
        </is>
      </c>
      <c r="AN7" s="30" t="inlineStr"/>
      <c r="AO7" s="30" t="n">
        <v>2025</v>
      </c>
      <c r="AP7" s="30" t="inlineStr">
        <is>
          <t>live case, no plan document yet</t>
        </is>
      </c>
      <c r="AQ7" s="30" t="inlineStr"/>
      <c r="AR7" s="30" t="inlineStr">
        <is>
          <t>portal page title / URL — not printed on the list</t>
        </is>
      </c>
      <c r="AS7" s="30" t="inlineStr">
        <is>
          <t>SAO PAULO</t>
        </is>
      </c>
      <c r="AT7" s="30" t="inlineStr">
        <is>
          <t>SP</t>
        </is>
      </c>
      <c r="AU7" s="30" t="inlineStr">
        <is>
          <t>Bancos múltiplos, com carteira comercial</t>
        </is>
      </c>
      <c r="AV7" s="30" t="inlineStr">
        <is>
          <t>DEMAIS</t>
        </is>
      </c>
      <c r="AW7" s="31" t="n">
        <v>65000000000</v>
      </c>
      <c r="AX7" s="30" t="inlineStr">
        <is>
          <t>LARGE CORP</t>
        </is>
      </c>
      <c r="AY7" s="30" t="inlineStr">
        <is>
          <t>90400888</t>
        </is>
      </c>
      <c r="AZ7" s="30" t="n">
        <v>1</v>
      </c>
      <c r="BA7" s="30" t="inlineStr">
        <is>
          <t>ROWS:p1r13 UNRECONCILED_SOURCE VALUE_COL:Valor_Após_Analise CASE_NUMBER_CORRECTED</t>
        </is>
      </c>
    </row>
    <row r="8">
      <c r="A8" s="16" t="inlineStr">
        <is>
          <t>BANCO DO BRASIL SA</t>
        </is>
      </c>
      <c r="B8" s="17" t="n">
        <v>49456863.81</v>
      </c>
      <c r="C8" s="18" t="inlineStr">
        <is>
          <t>Grupo Rech</t>
        </is>
      </c>
      <c r="D8" s="19" t="inlineStr">
        <is>
          <t>NEW</t>
        </is>
      </c>
      <c r="E8" s="20" t="inlineStr"/>
      <c r="F8" s="19" t="inlineStr"/>
      <c r="G8" s="20" t="inlineStr"/>
      <c r="H8" s="19" t="inlineStr"/>
      <c r="I8" s="21" t="inlineStr">
        <is>
          <t>Thiago Cavichioli</t>
        </is>
      </c>
      <c r="J8" s="21" t="inlineStr">
        <is>
          <t>Gerente de Cobrança e Recuperação de Crédito</t>
        </is>
      </c>
      <c r="K8" s="21" t="inlineStr">
        <is>
          <t>(61) 3493-9002</t>
        </is>
      </c>
      <c r="L8" s="21" t="inlineStr"/>
      <c r="M8" s="21" t="inlineStr"/>
      <c r="N8" s="21" t="inlineStr">
        <is>
          <t>thiago.cavichioli@bb.com.br</t>
        </is>
      </c>
      <c r="O8" s="21" t="inlineStr">
        <is>
          <t>suelenmondador@bb.com.br</t>
        </is>
      </c>
      <c r="P8" s="21" t="inlineStr">
        <is>
          <t>Suelen Mondador</t>
        </is>
      </c>
      <c r="Q8" s="21" t="inlineStr">
        <is>
          <t>Gerente Especialista em Recuperação de Crédito</t>
        </is>
      </c>
      <c r="R8" s="21" t="inlineStr"/>
      <c r="S8" s="21" t="inlineStr">
        <is>
          <t>suelenmondador@bb.com.br</t>
        </is>
      </c>
      <c r="T8" s="21" t="inlineStr">
        <is>
          <t>email verified by Apollo</t>
        </is>
      </c>
      <c r="U8" s="22" t="n">
        <v>49456863.81</v>
      </c>
      <c r="V8" s="23" t="inlineStr">
        <is>
          <t>B</t>
        </is>
      </c>
      <c r="W8" s="24">
        <f>IFERROR(VLOOKUP(V8,Assumptions!$A$7:$F$11,2,FALSE),0)</f>
        <v/>
      </c>
      <c r="X8" s="25">
        <f>IF(V8="A",MAX(1,IFERROR(VLOOKUP(V8,Assumptions!$A$7:$F$11,3,FALSE),3)+IFERROR(VLOOKUP(V8,Assumptions!$A$7:$F$11,4,FALSE),8)/2-MAX(0,IF(AO8="",0,YEAR(TODAY())-AO8)-IFERROR(VLOOKUP(V8,Assumptions!$A$7:$F$11,5,FALSE),1.5))),IFERROR(VLOOKUP(V8,Assumptions!$A$7:$F$11,5,FALSE),2.5)+IFERROR(VLOOKUP(V8,Assumptions!$A$7:$F$11,3,FALSE),3)+IFERROR(VLOOKUP(V8,Assumptions!$A$7:$F$11,4,FALSE),8)/2)</f>
        <v/>
      </c>
      <c r="Y8" s="22">
        <f>U8*W8/(1+Assumptions!$B$3)^X8</f>
        <v/>
      </c>
      <c r="Z8" s="26">
        <f>IF(U8=0,"",ROUND(Y8/U8*100,1))</f>
        <v/>
      </c>
      <c r="AA8" s="27">
        <f>Y8*Assumptions!$B$4</f>
        <v/>
      </c>
      <c r="AB8" s="26">
        <f>IF(U8=0,"",ROUND(AA8/U8*100,1))</f>
        <v/>
      </c>
      <c r="AC8" s="27">
        <f>Y8-AA8</f>
        <v/>
      </c>
      <c r="AD8" s="26">
        <f>IF(U8=0,"",ROUND((Y8-AA8)/U8*100,1))</f>
        <v/>
      </c>
      <c r="AE8" s="36" t="inlineStr">
        <is>
          <t>CHECK — source is not a statutory creditor list</t>
        </is>
      </c>
      <c r="AF8" s="29" t="inlineStr">
        <is>
          <t>https://credibilita.com.br/wp-content/uploads/2025/09/Relacao-Credores-29.04.2026.pdf</t>
        </is>
      </c>
      <c r="AG8" s="28" t="inlineStr">
        <is>
          <t>p1 r10</t>
        </is>
      </c>
      <c r="AH8" s="28" t="inlineStr">
        <is>
          <t>p1: R$ 49.456.863,81</t>
        </is>
      </c>
      <c r="AI8" s="28" t="inlineStr">
        <is>
          <t>Quorum list — NOT an art. 7/51 list</t>
        </is>
      </c>
      <c r="AJ8" s="28" t="inlineStr"/>
      <c r="AK8" s="28" t="inlineStr">
        <is>
          <t>NONE FOUND</t>
        </is>
      </c>
      <c r="AL8" s="30" t="inlineStr">
        <is>
          <t>5057720-48.2025.8.24.0023</t>
        </is>
      </c>
      <c r="AM8" s="30" t="inlineStr">
        <is>
          <t>TJSC</t>
        </is>
      </c>
      <c r="AN8" s="30" t="inlineStr"/>
      <c r="AO8" s="30" t="n">
        <v>2025</v>
      </c>
      <c r="AP8" s="30" t="inlineStr">
        <is>
          <t>live case, no plan document yet</t>
        </is>
      </c>
      <c r="AQ8" s="30" t="inlineStr"/>
      <c r="AR8" s="30" t="inlineStr">
        <is>
          <t>portal page title / URL — not printed on the list</t>
        </is>
      </c>
      <c r="AS8" s="30" t="inlineStr">
        <is>
          <t>BRASILIA</t>
        </is>
      </c>
      <c r="AT8" s="30" t="inlineStr">
        <is>
          <t>DF</t>
        </is>
      </c>
      <c r="AU8" s="30" t="inlineStr">
        <is>
          <t>Bancos múltiplos, com carteira comercial</t>
        </is>
      </c>
      <c r="AV8" s="30" t="inlineStr">
        <is>
          <t>DEMAIS</t>
        </is>
      </c>
      <c r="AW8" s="31" t="n">
        <v>120000000000</v>
      </c>
      <c r="AX8" s="30" t="inlineStr">
        <is>
          <t>LARGE CORP</t>
        </is>
      </c>
      <c r="AY8" s="30" t="inlineStr">
        <is>
          <t>00000000</t>
        </is>
      </c>
      <c r="AZ8" s="30" t="n">
        <v>1</v>
      </c>
      <c r="BA8" s="30" t="inlineStr">
        <is>
          <t>ROWS:p1r10 UNRECONCILED_SOURCE VALUE_COL:Valor_Após_Analise CASE_NUMBER_CORRECTED</t>
        </is>
      </c>
    </row>
    <row r="9">
      <c r="A9" s="16" t="inlineStr">
        <is>
          <t>BANCO RURAL S.A - EM LIQUIDACAO EXTRAJUDICIAL</t>
        </is>
      </c>
      <c r="B9" s="17" t="n">
        <v>91334195.52</v>
      </c>
      <c r="C9" s="18" t="inlineStr">
        <is>
          <t>EGESA ENGENHARIA S/A (Consórcio ETDI)</t>
        </is>
      </c>
      <c r="D9" s="19" t="inlineStr">
        <is>
          <t>NEW</t>
        </is>
      </c>
      <c r="E9" s="20" t="inlineStr"/>
      <c r="F9" s="19" t="inlineStr"/>
      <c r="G9" s="20" t="inlineStr"/>
      <c r="H9" s="19" t="inlineStr"/>
      <c r="I9" s="21" t="inlineStr">
        <is>
          <t>Marcelo Candido</t>
        </is>
      </c>
      <c r="J9" s="21" t="inlineStr">
        <is>
          <t>Especialista em Recuperação de Crédito</t>
        </is>
      </c>
      <c r="K9" s="21" t="inlineStr">
        <is>
          <t>(31) 2126-5207</t>
        </is>
      </c>
      <c r="L9" s="21" t="inlineStr"/>
      <c r="M9" s="21" t="inlineStr"/>
      <c r="N9" s="21" t="inlineStr"/>
      <c r="O9" s="21" t="inlineStr"/>
      <c r="P9" s="21" t="inlineStr"/>
      <c r="Q9" s="21" t="inlineStr"/>
      <c r="R9" s="21" t="inlineStr"/>
      <c r="S9" s="21" t="inlineStr"/>
      <c r="T9" s="21" t="inlineStr">
        <is>
          <t>no work email found in Apollo</t>
        </is>
      </c>
      <c r="U9" s="22" t="n">
        <v>91334195.52</v>
      </c>
      <c r="V9" s="32" t="inlineStr">
        <is>
          <t>U</t>
        </is>
      </c>
      <c r="W9" s="24">
        <f>IFERROR(VLOOKUP(V9,Assumptions!$A$7:$F$11,2,FALSE),0)</f>
        <v/>
      </c>
      <c r="X9" s="25">
        <f>IF(V9="A",MAX(1,IFERROR(VLOOKUP(V9,Assumptions!$A$7:$F$11,3,FALSE),3)+IFERROR(VLOOKUP(V9,Assumptions!$A$7:$F$11,4,FALSE),8)/2-MAX(0,IF(AO9="",0,YEAR(TODAY())-AO9)-IFERROR(VLOOKUP(V9,Assumptions!$A$7:$F$11,5,FALSE),1.5))),IFERROR(VLOOKUP(V9,Assumptions!$A$7:$F$11,5,FALSE),2.5)+IFERROR(VLOOKUP(V9,Assumptions!$A$7:$F$11,3,FALSE),3)+IFERROR(VLOOKUP(V9,Assumptions!$A$7:$F$11,4,FALSE),8)/2)</f>
        <v/>
      </c>
      <c r="Y9" s="22">
        <f>U9*W9/(1+Assumptions!$B$3)^X9</f>
        <v/>
      </c>
      <c r="Z9" s="26">
        <f>IF(U9=0,"",ROUND(Y9/U9*100,1))</f>
        <v/>
      </c>
      <c r="AA9" s="27">
        <f>Y9*Assumptions!$B$4</f>
        <v/>
      </c>
      <c r="AB9" s="26">
        <f>IF(U9=0,"",ROUND(AA9/U9*100,1))</f>
        <v/>
      </c>
      <c r="AC9" s="27">
        <f>Y9-AA9</f>
        <v/>
      </c>
      <c r="AD9" s="26">
        <f>IF(U9=0,"",ROUND((Y9-AA9)/U9*100,1))</f>
        <v/>
      </c>
      <c r="AE9" s="28" t="inlineStr">
        <is>
          <t>OK — totals reconciled</t>
        </is>
      </c>
      <c r="AF9" s="29" t="inlineStr">
        <is>
          <t>https://scalzilliaj.com.br/sgc/download.php?file=files/processo_documento/processo_documento09514021082025_1_.pdf&amp;nome=04 - Relação de credores das Recuperandas</t>
        </is>
      </c>
      <c r="AG9" s="28" t="inlineStr">
        <is>
          <t>p62 r16</t>
        </is>
      </c>
      <c r="AH9" s="28" t="inlineStr">
        <is>
          <t>p62: R$ 91.334.195,52</t>
        </is>
      </c>
      <c r="AI9" s="28" t="inlineStr">
        <is>
          <t>Debtor list (art. 51)</t>
        </is>
      </c>
      <c r="AJ9" s="28" t="inlineStr"/>
      <c r="AK9" s="28" t="inlineStr">
        <is>
          <t>NONE FOUND</t>
        </is>
      </c>
      <c r="AL9" s="30" t="inlineStr">
        <is>
          <t>(not printed)</t>
        </is>
      </c>
      <c r="AM9" s="30" t="inlineStr"/>
      <c r="AN9" s="30" t="inlineStr"/>
      <c r="AO9" s="30" t="inlineStr"/>
      <c r="AP9" s="30" t="inlineStr">
        <is>
          <t>RJ case number not identified on the document</t>
        </is>
      </c>
      <c r="AQ9" s="30" t="inlineStr"/>
      <c r="AR9" s="30" t="inlineStr">
        <is>
          <t>portal page title / URL — not printed on the list</t>
        </is>
      </c>
      <c r="AS9" s="30" t="inlineStr">
        <is>
          <t>BELO HORIZONTE</t>
        </is>
      </c>
      <c r="AT9" s="30" t="inlineStr">
        <is>
          <t>MG</t>
        </is>
      </c>
      <c r="AU9" s="30" t="inlineStr">
        <is>
          <t>Bancos múltiplos, com carteira comercial</t>
        </is>
      </c>
      <c r="AV9" s="30" t="inlineStr">
        <is>
          <t>DEMAIS</t>
        </is>
      </c>
      <c r="AW9" s="31" t="n">
        <v>540744200</v>
      </c>
      <c r="AX9" s="30" t="inlineStr">
        <is>
          <t>MID-MARKET</t>
        </is>
      </c>
      <c r="AY9" s="30" t="inlineStr">
        <is>
          <t>33124959</t>
        </is>
      </c>
      <c r="AZ9" s="30" t="n">
        <v>1</v>
      </c>
      <c r="BA9" s="30" t="inlineStr">
        <is>
          <t>LIKELY_FINANCIAL_BY_NAME ROWS:p62r16 VALUE_COL:Valor_Atualizado CASE_NUMBER_CORRECTED</t>
        </is>
      </c>
    </row>
    <row r="10">
      <c r="A10" s="16" t="inlineStr">
        <is>
          <t>COOPERATIVA DE CREDITO DE LIVRE ADMISSAO DO CENTRO NORTE BRASILEIRO</t>
        </is>
      </c>
      <c r="B10" s="17" t="n">
        <v>25688383.88</v>
      </c>
      <c r="C10" s="18" t="inlineStr">
        <is>
          <t>GRUPO 3E</t>
        </is>
      </c>
      <c r="D10" s="19" t="inlineStr">
        <is>
          <t>NEW</t>
        </is>
      </c>
      <c r="E10" s="20" t="inlineStr"/>
      <c r="F10" s="19" t="inlineStr"/>
      <c r="G10" s="20" t="inlineStr"/>
      <c r="H10" s="19" t="inlineStr"/>
      <c r="I10" s="21" t="inlineStr">
        <is>
          <t>Talita Araujo</t>
        </is>
      </c>
      <c r="J10" s="21" t="inlineStr">
        <is>
          <t>Supervisora de Crédito</t>
        </is>
      </c>
      <c r="K10" s="21" t="inlineStr">
        <is>
          <t>(62) 3311-3810</t>
        </is>
      </c>
      <c r="L10" s="21" t="inlineStr"/>
      <c r="M10" s="21" t="inlineStr"/>
      <c r="N10" s="21" t="inlineStr">
        <is>
          <t>talita.araujo@sicoob.com.br</t>
        </is>
      </c>
      <c r="O10" s="21" t="inlineStr">
        <is>
          <t>ingrid.lima@sicoob.com.br</t>
        </is>
      </c>
      <c r="P10" s="21" t="inlineStr">
        <is>
          <t>Ingrid Lima</t>
        </is>
      </c>
      <c r="Q10" s="21" t="inlineStr">
        <is>
          <t>Supervisora Juridica</t>
        </is>
      </c>
      <c r="R10" s="21" t="inlineStr"/>
      <c r="S10" s="21" t="inlineStr">
        <is>
          <t>ingrid.lima@sicoob.com.br</t>
        </is>
      </c>
      <c r="T10" s="21" t="inlineStr">
        <is>
          <t>email verified by Apollo</t>
        </is>
      </c>
      <c r="U10" s="22" t="n">
        <v>25688383.88</v>
      </c>
      <c r="V10" s="35" t="inlineStr">
        <is>
          <t>A</t>
        </is>
      </c>
      <c r="W10" s="24">
        <f>IFERROR(VLOOKUP(V10,Assumptions!$A$7:$F$11,2,FALSE),0)</f>
        <v/>
      </c>
      <c r="X10" s="25">
        <f>IF(V10="A",MAX(1,IFERROR(VLOOKUP(V10,Assumptions!$A$7:$F$11,3,FALSE),3)+IFERROR(VLOOKUP(V10,Assumptions!$A$7:$F$11,4,FALSE),8)/2-MAX(0,IF(AO10="",0,YEAR(TODAY())-AO10)-IFERROR(VLOOKUP(V10,Assumptions!$A$7:$F$11,5,FALSE),1.5))),IFERROR(VLOOKUP(V10,Assumptions!$A$7:$F$11,5,FALSE),2.5)+IFERROR(VLOOKUP(V10,Assumptions!$A$7:$F$11,3,FALSE),3)+IFERROR(VLOOKUP(V10,Assumptions!$A$7:$F$11,4,FALSE),8)/2)</f>
        <v/>
      </c>
      <c r="Y10" s="22">
        <f>U10*W10/(1+Assumptions!$B$3)^X10</f>
        <v/>
      </c>
      <c r="Z10" s="26">
        <f>IF(U10=0,"",ROUND(Y10/U10*100,1))</f>
        <v/>
      </c>
      <c r="AA10" s="27">
        <f>Y10*Assumptions!$B$4</f>
        <v/>
      </c>
      <c r="AB10" s="26">
        <f>IF(U10=0,"",ROUND(AA10/U10*100,1))</f>
        <v/>
      </c>
      <c r="AC10" s="27">
        <f>Y10-AA10</f>
        <v/>
      </c>
      <c r="AD10" s="26">
        <f>IF(U10=0,"",ROUND((Y10-AA10)/U10*100,1))</f>
        <v/>
      </c>
      <c r="AE10" s="33" t="inlineStr">
        <is>
          <t>NO TOTALS — list prints none; check page</t>
        </is>
      </c>
      <c r="AF10" s="29" t="inlineStr">
        <is>
          <t>https://stenius.com.br/wp-content/uploads/2026/06/EDITAL-GRUPO-3E.pdf</t>
        </is>
      </c>
      <c r="AG10" s="28" t="inlineStr">
        <is>
          <t>p12 r8</t>
        </is>
      </c>
      <c r="AH10" s="28" t="inlineStr">
        <is>
          <t>p12: R$ 25.688.383,88</t>
        </is>
      </c>
      <c r="AI10" s="28" t="inlineStr">
        <is>
          <t>Debtor list (art. 51)</t>
        </is>
      </c>
      <c r="AJ10" s="28" t="inlineStr">
        <is>
          <t>2026-06-22</t>
        </is>
      </c>
      <c r="AK10" s="28" t="inlineStr">
        <is>
          <t>PLAN DOC FOUND</t>
        </is>
      </c>
      <c r="AL10" s="30" t="inlineStr">
        <is>
          <t>5341375-33.2026.8.09.0049</t>
        </is>
      </c>
      <c r="AM10" s="30" t="inlineStr">
        <is>
          <t>TJGO</t>
        </is>
      </c>
      <c r="AN10" s="30" t="inlineStr">
        <is>
          <t>ACTIVE</t>
        </is>
      </c>
      <c r="AO10" s="30" t="n">
        <v>2026</v>
      </c>
      <c r="AP10" s="30" t="inlineStr">
        <is>
          <t>plan/homologation document found</t>
        </is>
      </c>
      <c r="AQ10" s="30" t="inlineStr"/>
      <c r="AR10" s="30" t="inlineStr">
        <is>
          <t>printed on the list (read twice)</t>
        </is>
      </c>
      <c r="AS10" s="30" t="inlineStr">
        <is>
          <t>ANAPOLIS</t>
        </is>
      </c>
      <c r="AT10" s="30" t="inlineStr">
        <is>
          <t>GO</t>
        </is>
      </c>
      <c r="AU10" s="30" t="inlineStr">
        <is>
          <t>Cooperativas de crédito mútuo</t>
        </is>
      </c>
      <c r="AV10" s="30" t="inlineStr">
        <is>
          <t>DEMAIS</t>
        </is>
      </c>
      <c r="AW10" s="31" t="inlineStr"/>
      <c r="AX10" s="30" t="inlineStr">
        <is>
          <t>MID-MARKET</t>
        </is>
      </c>
      <c r="AY10" s="30" t="inlineStr">
        <is>
          <t>02282709</t>
        </is>
      </c>
      <c r="AZ10" s="30" t="n">
        <v>1</v>
      </c>
      <c r="BA10" s="30" t="inlineStr">
        <is>
          <t>LIKELY_FINANCIAL_BY_NAME ROWS:p12r8 UNRECONCILED_SOURCE</t>
        </is>
      </c>
    </row>
    <row r="11">
      <c r="A11" s="16" t="inlineStr">
        <is>
          <t>ITAU UNIBANCO S.A.</t>
        </is>
      </c>
      <c r="B11" s="17" t="n">
        <v>46224793.46</v>
      </c>
      <c r="C11" s="18" t="inlineStr">
        <is>
          <t>Grupo Rech</t>
        </is>
      </c>
      <c r="D11" s="19" t="inlineStr">
        <is>
          <t>NEW</t>
        </is>
      </c>
      <c r="E11" s="20" t="inlineStr"/>
      <c r="F11" s="19" t="inlineStr"/>
      <c r="G11" s="20" t="inlineStr"/>
      <c r="H11" s="19" t="inlineStr"/>
      <c r="I11" s="21" t="inlineStr">
        <is>
          <t>Murilo Gigliucci</t>
        </is>
      </c>
      <c r="J11" s="21" t="inlineStr">
        <is>
          <t>Superintendente de Reestruturação de Crédito</t>
        </is>
      </c>
      <c r="K11" s="21" t="inlineStr">
        <is>
          <t>(11) 3003-4828</t>
        </is>
      </c>
      <c r="L11" s="21" t="inlineStr"/>
      <c r="M11" s="21" t="inlineStr"/>
      <c r="N11" s="21" t="inlineStr">
        <is>
          <t>murilo.gigliucci@itau-unibanco.com.br</t>
        </is>
      </c>
      <c r="O11" s="21" t="inlineStr">
        <is>
          <t>pedro.ornellas-geronimo@itau-unibanco.com.br</t>
        </is>
      </c>
      <c r="P11" s="21" t="inlineStr">
        <is>
          <t>Pedro Ornellas</t>
        </is>
      </c>
      <c r="Q11" s="21" t="inlineStr">
        <is>
          <t>Superintendente de Recuperação de Crédito</t>
        </is>
      </c>
      <c r="R11" s="21" t="inlineStr"/>
      <c r="S11" s="21" t="inlineStr">
        <is>
          <t>pedro.ornellas-geronimo@itau-unibanco.com.br</t>
        </is>
      </c>
      <c r="T11" s="21" t="inlineStr">
        <is>
          <t>email verified by Apollo</t>
        </is>
      </c>
      <c r="U11" s="22" t="n">
        <v>46224793.46</v>
      </c>
      <c r="V11" s="23" t="inlineStr">
        <is>
          <t>B</t>
        </is>
      </c>
      <c r="W11" s="24">
        <f>IFERROR(VLOOKUP(V11,Assumptions!$A$7:$F$11,2,FALSE),0)</f>
        <v/>
      </c>
      <c r="X11" s="25">
        <f>IF(V11="A",MAX(1,IFERROR(VLOOKUP(V11,Assumptions!$A$7:$F$11,3,FALSE),3)+IFERROR(VLOOKUP(V11,Assumptions!$A$7:$F$11,4,FALSE),8)/2-MAX(0,IF(AO11="",0,YEAR(TODAY())-AO11)-IFERROR(VLOOKUP(V11,Assumptions!$A$7:$F$11,5,FALSE),1.5))),IFERROR(VLOOKUP(V11,Assumptions!$A$7:$F$11,5,FALSE),2.5)+IFERROR(VLOOKUP(V11,Assumptions!$A$7:$F$11,3,FALSE),3)+IFERROR(VLOOKUP(V11,Assumptions!$A$7:$F$11,4,FALSE),8)/2)</f>
        <v/>
      </c>
      <c r="Y11" s="22">
        <f>U11*W11/(1+Assumptions!$B$3)^X11</f>
        <v/>
      </c>
      <c r="Z11" s="26">
        <f>IF(U11=0,"",ROUND(Y11/U11*100,1))</f>
        <v/>
      </c>
      <c r="AA11" s="27">
        <f>Y11*Assumptions!$B$4</f>
        <v/>
      </c>
      <c r="AB11" s="26">
        <f>IF(U11=0,"",ROUND(AA11/U11*100,1))</f>
        <v/>
      </c>
      <c r="AC11" s="27">
        <f>Y11-AA11</f>
        <v/>
      </c>
      <c r="AD11" s="26">
        <f>IF(U11=0,"",ROUND((Y11-AA11)/U11*100,1))</f>
        <v/>
      </c>
      <c r="AE11" s="36" t="inlineStr">
        <is>
          <t>CHECK — source is not a statutory creditor list</t>
        </is>
      </c>
      <c r="AF11" s="29" t="inlineStr">
        <is>
          <t>https://credibilita.com.br/wp-content/uploads/2025/09/Relacao-Credores-29.04.2026.pdf</t>
        </is>
      </c>
      <c r="AG11" s="28" t="inlineStr">
        <is>
          <t>p1 r28</t>
        </is>
      </c>
      <c r="AH11" s="28" t="inlineStr">
        <is>
          <t>p1: R$ 46.224.793,46</t>
        </is>
      </c>
      <c r="AI11" s="28" t="inlineStr">
        <is>
          <t>Quorum list — NOT an art. 7/51 list</t>
        </is>
      </c>
      <c r="AJ11" s="28" t="inlineStr"/>
      <c r="AK11" s="28" t="inlineStr">
        <is>
          <t>NONE FOUND</t>
        </is>
      </c>
      <c r="AL11" s="30" t="inlineStr">
        <is>
          <t>5057720-48.2025.8.24.0023</t>
        </is>
      </c>
      <c r="AM11" s="30" t="inlineStr">
        <is>
          <t>TJSC</t>
        </is>
      </c>
      <c r="AN11" s="30" t="inlineStr"/>
      <c r="AO11" s="30" t="n">
        <v>2025</v>
      </c>
      <c r="AP11" s="30" t="inlineStr">
        <is>
          <t>live case, no plan document yet</t>
        </is>
      </c>
      <c r="AQ11" s="30" t="inlineStr"/>
      <c r="AR11" s="30" t="inlineStr">
        <is>
          <t>portal page title / URL — not printed on the list</t>
        </is>
      </c>
      <c r="AS11" s="30" t="inlineStr">
        <is>
          <t>SAO PAULO</t>
        </is>
      </c>
      <c r="AT11" s="30" t="inlineStr">
        <is>
          <t>SP</t>
        </is>
      </c>
      <c r="AU11" s="30" t="inlineStr">
        <is>
          <t>Bancos comerciais</t>
        </is>
      </c>
      <c r="AV11" s="30" t="inlineStr">
        <is>
          <t>DEMAIS</t>
        </is>
      </c>
      <c r="AW11" s="31" t="n">
        <v>76200000000</v>
      </c>
      <c r="AX11" s="30" t="inlineStr">
        <is>
          <t>LARGE CORP</t>
        </is>
      </c>
      <c r="AY11" s="30" t="inlineStr">
        <is>
          <t>60701190</t>
        </is>
      </c>
      <c r="AZ11" s="30" t="n">
        <v>1</v>
      </c>
      <c r="BA11" s="30" t="inlineStr">
        <is>
          <t>ROWS:p1r28 UNRECONCILED_SOURCE VALUE_COL:Valor_Após_Analise CASE_NUMBER_CORRECTED</t>
        </is>
      </c>
    </row>
    <row r="12">
      <c r="A12" s="16" t="inlineStr">
        <is>
          <t>BANK OF CHINA (BRASIL) BANCO MULTIPLO S/A</t>
        </is>
      </c>
      <c r="B12" s="17" t="n">
        <v>84072313.37</v>
      </c>
      <c r="C12" s="18" t="inlineStr">
        <is>
          <t>EGESA ENGENHARIA S/A (Consórcio ETDI)</t>
        </is>
      </c>
      <c r="D12" s="19" t="inlineStr">
        <is>
          <t>NEW</t>
        </is>
      </c>
      <c r="E12" s="20" t="inlineStr"/>
      <c r="F12" s="19" t="inlineStr"/>
      <c r="G12" s="20" t="inlineStr"/>
      <c r="H12" s="19" t="inlineStr"/>
      <c r="I12" s="21" t="inlineStr">
        <is>
          <t>Claudio Rotolo</t>
        </is>
      </c>
      <c r="J12" s="21" t="inlineStr">
        <is>
          <t>Executive Director</t>
        </is>
      </c>
      <c r="K12" s="21" t="inlineStr">
        <is>
          <t>(11) 2173-9000</t>
        </is>
      </c>
      <c r="L12" s="21" t="inlineStr"/>
      <c r="M12" s="21" t="inlineStr"/>
      <c r="N12" s="21" t="inlineStr">
        <is>
          <t>claudio.rotolo@bocbrasil.com.br</t>
        </is>
      </c>
      <c r="O12" s="21" t="inlineStr">
        <is>
          <t>medeiros.renan@groupebpce.com</t>
        </is>
      </c>
      <c r="P12" s="21" t="inlineStr">
        <is>
          <t>Renan Medeiros</t>
        </is>
      </c>
      <c r="Q12" s="21" t="inlineStr">
        <is>
          <t>Credit Analyst</t>
        </is>
      </c>
      <c r="R12" s="21" t="inlineStr"/>
      <c r="S12" s="21" t="inlineStr">
        <is>
          <t>medeiros.renan@groupebpce.com</t>
        </is>
      </c>
      <c r="T12" s="21" t="inlineStr">
        <is>
          <t>DM verified email; VERIFY org: Bank of China (Brasil) Banco Múltiplo S/A - no recovery desk in Apollo; email verified by Apollo</t>
        </is>
      </c>
      <c r="U12" s="22" t="n">
        <v>84072313.37</v>
      </c>
      <c r="V12" s="32" t="inlineStr">
        <is>
          <t>U</t>
        </is>
      </c>
      <c r="W12" s="24">
        <f>IFERROR(VLOOKUP(V12,Assumptions!$A$7:$F$11,2,FALSE),0)</f>
        <v/>
      </c>
      <c r="X12" s="25">
        <f>IF(V12="A",MAX(1,IFERROR(VLOOKUP(V12,Assumptions!$A$7:$F$11,3,FALSE),3)+IFERROR(VLOOKUP(V12,Assumptions!$A$7:$F$11,4,FALSE),8)/2-MAX(0,IF(AO12="",0,YEAR(TODAY())-AO12)-IFERROR(VLOOKUP(V12,Assumptions!$A$7:$F$11,5,FALSE),1.5))),IFERROR(VLOOKUP(V12,Assumptions!$A$7:$F$11,5,FALSE),2.5)+IFERROR(VLOOKUP(V12,Assumptions!$A$7:$F$11,3,FALSE),3)+IFERROR(VLOOKUP(V12,Assumptions!$A$7:$F$11,4,FALSE),8)/2)</f>
        <v/>
      </c>
      <c r="Y12" s="22">
        <f>U12*W12/(1+Assumptions!$B$3)^X12</f>
        <v/>
      </c>
      <c r="Z12" s="26">
        <f>IF(U12=0,"",ROUND(Y12/U12*100,1))</f>
        <v/>
      </c>
      <c r="AA12" s="27">
        <f>Y12*Assumptions!$B$4</f>
        <v/>
      </c>
      <c r="AB12" s="26">
        <f>IF(U12=0,"",ROUND(AA12/U12*100,1))</f>
        <v/>
      </c>
      <c r="AC12" s="27">
        <f>Y12-AA12</f>
        <v/>
      </c>
      <c r="AD12" s="26">
        <f>IF(U12=0,"",ROUND((Y12-AA12)/U12*100,1))</f>
        <v/>
      </c>
      <c r="AE12" s="28" t="inlineStr">
        <is>
          <t>OK — totals reconciled</t>
        </is>
      </c>
      <c r="AF12" s="29" t="inlineStr">
        <is>
          <t>https://scalzilliaj.com.br/sgc/download.php?file=files/processo_documento/processo_documento09514021082025_1_.pdf&amp;nome=04 - Relação de credores das Recuperandas</t>
        </is>
      </c>
      <c r="AG12" s="28" t="inlineStr">
        <is>
          <t>p64 r8</t>
        </is>
      </c>
      <c r="AH12" s="28" t="inlineStr">
        <is>
          <t>p64: R$ 84.072.313,37</t>
        </is>
      </c>
      <c r="AI12" s="28" t="inlineStr">
        <is>
          <t>Debtor list (art. 51)</t>
        </is>
      </c>
      <c r="AJ12" s="28" t="inlineStr"/>
      <c r="AK12" s="28" t="inlineStr">
        <is>
          <t>NONE FOUND</t>
        </is>
      </c>
      <c r="AL12" s="30" t="inlineStr">
        <is>
          <t>(not printed)</t>
        </is>
      </c>
      <c r="AM12" s="30" t="inlineStr"/>
      <c r="AN12" s="30" t="inlineStr"/>
      <c r="AO12" s="30" t="inlineStr"/>
      <c r="AP12" s="30" t="inlineStr">
        <is>
          <t>RJ case number not identified on the document</t>
        </is>
      </c>
      <c r="AQ12" s="30" t="inlineStr"/>
      <c r="AR12" s="30" t="inlineStr">
        <is>
          <t>portal page title / URL — not printed on the list</t>
        </is>
      </c>
      <c r="AS12" s="30" t="inlineStr">
        <is>
          <t>SAO PAULO</t>
        </is>
      </c>
      <c r="AT12" s="30" t="inlineStr">
        <is>
          <t>SP</t>
        </is>
      </c>
      <c r="AU12" s="30" t="inlineStr">
        <is>
          <t>Bancos múltiplos, com carteira comercial</t>
        </is>
      </c>
      <c r="AV12" s="30" t="inlineStr">
        <is>
          <t>DEMAIS</t>
        </is>
      </c>
      <c r="AW12" s="31" t="n">
        <v>3497234200</v>
      </c>
      <c r="AX12" s="30" t="inlineStr">
        <is>
          <t>LARGE CORP</t>
        </is>
      </c>
      <c r="AY12" s="30" t="inlineStr">
        <is>
          <t>07450604</t>
        </is>
      </c>
      <c r="AZ12" s="30" t="n">
        <v>1</v>
      </c>
      <c r="BA12" s="30" t="inlineStr">
        <is>
          <t>LIKELY_FINANCIAL_BY_NAME ROWS:p64r8 VALUE_COL:Valor_Atualizado CASE_NUMBER_CORRECTED</t>
        </is>
      </c>
    </row>
    <row r="13">
      <c r="A13" s="16" t="inlineStr">
        <is>
          <t>BANCO SANTANDER (BRASIL) S.A.</t>
        </is>
      </c>
      <c r="B13" s="17" t="n">
        <v>81755024.22</v>
      </c>
      <c r="C13" s="18" t="inlineStr">
        <is>
          <t>EGESA ENGENHARIA S/A (Consórcio ETDI)</t>
        </is>
      </c>
      <c r="D13" s="19" t="inlineStr">
        <is>
          <t>NEW</t>
        </is>
      </c>
      <c r="E13" s="20" t="inlineStr"/>
      <c r="F13" s="19" t="inlineStr"/>
      <c r="G13" s="20" t="inlineStr"/>
      <c r="H13" s="19" t="inlineStr"/>
      <c r="I13" s="21" t="inlineStr">
        <is>
          <t>Igor Puertas</t>
        </is>
      </c>
      <c r="J13" s="21" t="inlineStr">
        <is>
          <t>Distressed Assets | NPL</t>
        </is>
      </c>
      <c r="K13" s="21" t="inlineStr">
        <is>
          <t>(11) 4004-3535</t>
        </is>
      </c>
      <c r="L13" s="21" t="inlineStr"/>
      <c r="M13" s="21" t="inlineStr"/>
      <c r="N13" s="21" t="inlineStr">
        <is>
          <t>igor.puertas@santander.com.br</t>
        </is>
      </c>
      <c r="O13" s="21" t="inlineStr">
        <is>
          <t>antonio.pequeno.junior@santander.com.br</t>
        </is>
      </c>
      <c r="P13" s="21" t="inlineStr">
        <is>
          <t>Antonio Junior</t>
        </is>
      </c>
      <c r="Q13" s="21" t="inlineStr">
        <is>
          <t>Superintendente Recuperação de Crédito</t>
        </is>
      </c>
      <c r="R13" s="21" t="inlineStr"/>
      <c r="S13" s="21" t="inlineStr">
        <is>
          <t>antonio.pequeno.junior@santander.com.br</t>
        </is>
      </c>
      <c r="T13" s="21" t="inlineStr">
        <is>
          <t>email verified by Apollo</t>
        </is>
      </c>
      <c r="U13" s="22" t="n">
        <v>81755024.22</v>
      </c>
      <c r="V13" s="32" t="inlineStr">
        <is>
          <t>U</t>
        </is>
      </c>
      <c r="W13" s="24">
        <f>IFERROR(VLOOKUP(V13,Assumptions!$A$7:$F$11,2,FALSE),0)</f>
        <v/>
      </c>
      <c r="X13" s="25">
        <f>IF(V13="A",MAX(1,IFERROR(VLOOKUP(V13,Assumptions!$A$7:$F$11,3,FALSE),3)+IFERROR(VLOOKUP(V13,Assumptions!$A$7:$F$11,4,FALSE),8)/2-MAX(0,IF(AO13="",0,YEAR(TODAY())-AO13)-IFERROR(VLOOKUP(V13,Assumptions!$A$7:$F$11,5,FALSE),1.5))),IFERROR(VLOOKUP(V13,Assumptions!$A$7:$F$11,5,FALSE),2.5)+IFERROR(VLOOKUP(V13,Assumptions!$A$7:$F$11,3,FALSE),3)+IFERROR(VLOOKUP(V13,Assumptions!$A$7:$F$11,4,FALSE),8)/2)</f>
        <v/>
      </c>
      <c r="Y13" s="22">
        <f>U13*W13/(1+Assumptions!$B$3)^X13</f>
        <v/>
      </c>
      <c r="Z13" s="26">
        <f>IF(U13=0,"",ROUND(Y13/U13*100,1))</f>
        <v/>
      </c>
      <c r="AA13" s="27">
        <f>Y13*Assumptions!$B$4</f>
        <v/>
      </c>
      <c r="AB13" s="26">
        <f>IF(U13=0,"",ROUND(AA13/U13*100,1))</f>
        <v/>
      </c>
      <c r="AC13" s="27">
        <f>Y13-AA13</f>
        <v/>
      </c>
      <c r="AD13" s="26">
        <f>IF(U13=0,"",ROUND((Y13-AA13)/U13*100,1))</f>
        <v/>
      </c>
      <c r="AE13" s="28" t="inlineStr">
        <is>
          <t>OK — totals reconciled</t>
        </is>
      </c>
      <c r="AF13" s="29" t="inlineStr">
        <is>
          <t>https://scalzilliaj.com.br/sgc/download.php?file=files/processo_documento/processo_documento09514021082025_1_.pdf&amp;nome=04 - Relação de credores das Recuperandas</t>
        </is>
      </c>
      <c r="AG13" s="28" t="inlineStr">
        <is>
          <t>p62 r17</t>
        </is>
      </c>
      <c r="AH13" s="28" t="inlineStr">
        <is>
          <t>p62: R$ 81.755.024,22</t>
        </is>
      </c>
      <c r="AI13" s="28" t="inlineStr">
        <is>
          <t>Debtor list (art. 51)</t>
        </is>
      </c>
      <c r="AJ13" s="28" t="inlineStr"/>
      <c r="AK13" s="28" t="inlineStr">
        <is>
          <t>NONE FOUND</t>
        </is>
      </c>
      <c r="AL13" s="30" t="inlineStr">
        <is>
          <t>(not printed)</t>
        </is>
      </c>
      <c r="AM13" s="30" t="inlineStr"/>
      <c r="AN13" s="30" t="inlineStr"/>
      <c r="AO13" s="30" t="inlineStr"/>
      <c r="AP13" s="30" t="inlineStr">
        <is>
          <t>RJ case number not identified on the document</t>
        </is>
      </c>
      <c r="AQ13" s="30" t="inlineStr"/>
      <c r="AR13" s="30" t="inlineStr">
        <is>
          <t>portal page title / URL — not printed on the list</t>
        </is>
      </c>
      <c r="AS13" s="30" t="inlineStr">
        <is>
          <t>SAO PAULO</t>
        </is>
      </c>
      <c r="AT13" s="30" t="inlineStr">
        <is>
          <t>SP</t>
        </is>
      </c>
      <c r="AU13" s="30" t="inlineStr">
        <is>
          <t>Bancos múltiplos, com carteira comercial</t>
        </is>
      </c>
      <c r="AV13" s="30" t="inlineStr">
        <is>
          <t>DEMAIS</t>
        </is>
      </c>
      <c r="AW13" s="31" t="n">
        <v>65000000000</v>
      </c>
      <c r="AX13" s="30" t="inlineStr">
        <is>
          <t>LARGE CORP</t>
        </is>
      </c>
      <c r="AY13" s="30" t="inlineStr">
        <is>
          <t>90400888</t>
        </is>
      </c>
      <c r="AZ13" s="30" t="n">
        <v>1</v>
      </c>
      <c r="BA13" s="30" t="inlineStr">
        <is>
          <t>LIKELY_FINANCIAL_BY_NAME ROWS:p62r17 VALUE_COL:Valor_Atualizado CASE_NUMBER_CORRECTED</t>
        </is>
      </c>
    </row>
    <row r="14">
      <c r="A14" s="16" t="inlineStr">
        <is>
          <t>BANCO DO BRASIL SA</t>
        </is>
      </c>
      <c r="B14" s="17" t="n">
        <v>43161497.61</v>
      </c>
      <c r="C14" s="18" t="inlineStr">
        <is>
          <t>Grupo Conduscabos</t>
        </is>
      </c>
      <c r="D14" s="19" t="inlineStr">
        <is>
          <t>NEW</t>
        </is>
      </c>
      <c r="E14" s="20" t="inlineStr"/>
      <c r="F14" s="19" t="inlineStr"/>
      <c r="G14" s="20" t="inlineStr"/>
      <c r="H14" s="19" t="inlineStr"/>
      <c r="I14" s="21" t="inlineStr">
        <is>
          <t>Thiago Cavichioli</t>
        </is>
      </c>
      <c r="J14" s="21" t="inlineStr">
        <is>
          <t>Gerente de Cobrança e Recuperação de Crédito</t>
        </is>
      </c>
      <c r="K14" s="21" t="inlineStr">
        <is>
          <t>(61) 3493-9002</t>
        </is>
      </c>
      <c r="L14" s="21" t="inlineStr"/>
      <c r="M14" s="21" t="inlineStr"/>
      <c r="N14" s="21" t="inlineStr">
        <is>
          <t>thiago.cavichioli@bb.com.br</t>
        </is>
      </c>
      <c r="O14" s="21" t="inlineStr">
        <is>
          <t>suelenmondador@bb.com.br</t>
        </is>
      </c>
      <c r="P14" s="21" t="inlineStr">
        <is>
          <t>Suelen Mondador</t>
        </is>
      </c>
      <c r="Q14" s="21" t="inlineStr">
        <is>
          <t>Gerente Especialista em Recuperação de Crédito</t>
        </is>
      </c>
      <c r="R14" s="21" t="inlineStr"/>
      <c r="S14" s="21" t="inlineStr">
        <is>
          <t>suelenmondador@bb.com.br</t>
        </is>
      </c>
      <c r="T14" s="21" t="inlineStr">
        <is>
          <t>email verified by Apollo</t>
        </is>
      </c>
      <c r="U14" s="22" t="n">
        <v>43161497.61</v>
      </c>
      <c r="V14" s="23" t="inlineStr">
        <is>
          <t>B</t>
        </is>
      </c>
      <c r="W14" s="24">
        <f>IFERROR(VLOOKUP(V14,Assumptions!$A$7:$F$11,2,FALSE),0)</f>
        <v/>
      </c>
      <c r="X14" s="25">
        <f>IF(V14="A",MAX(1,IFERROR(VLOOKUP(V14,Assumptions!$A$7:$F$11,3,FALSE),3)+IFERROR(VLOOKUP(V14,Assumptions!$A$7:$F$11,4,FALSE),8)/2-MAX(0,IF(AO14="",0,YEAR(TODAY())-AO14)-IFERROR(VLOOKUP(V14,Assumptions!$A$7:$F$11,5,FALSE),1.5))),IFERROR(VLOOKUP(V14,Assumptions!$A$7:$F$11,5,FALSE),2.5)+IFERROR(VLOOKUP(V14,Assumptions!$A$7:$F$11,3,FALSE),3)+IFERROR(VLOOKUP(V14,Assumptions!$A$7:$F$11,4,FALSE),8)/2)</f>
        <v/>
      </c>
      <c r="Y14" s="22">
        <f>U14*W14/(1+Assumptions!$B$3)^X14</f>
        <v/>
      </c>
      <c r="Z14" s="26">
        <f>IF(U14=0,"",ROUND(Y14/U14*100,1))</f>
        <v/>
      </c>
      <c r="AA14" s="27">
        <f>Y14*Assumptions!$B$4</f>
        <v/>
      </c>
      <c r="AB14" s="26">
        <f>IF(U14=0,"",ROUND(AA14/U14*100,1))</f>
        <v/>
      </c>
      <c r="AC14" s="27">
        <f>Y14-AA14</f>
        <v/>
      </c>
      <c r="AD14" s="26">
        <f>IF(U14=0,"",ROUND((Y14-AA14)/U14*100,1))</f>
        <v/>
      </c>
      <c r="AE14" s="33" t="inlineStr">
        <is>
          <t>NO TOTALS — list prints none; check page</t>
        </is>
      </c>
      <c r="AF14" s="29" t="inlineStr">
        <is>
          <t>https://assistjud.com.br/wp-content/uploads/elementor/forms/65098c80a5824.pdf</t>
        </is>
      </c>
      <c r="AG14" s="28" t="inlineStr">
        <is>
          <t>p5 r9; p17 r3</t>
        </is>
      </c>
      <c r="AH14" s="28" t="inlineStr">
        <is>
          <t>p5: R$ 34.976.748,87; p17: R$ 8.184.748,74</t>
        </is>
      </c>
      <c r="AI14" s="28" t="inlineStr">
        <is>
          <t>AJ list (art. 7 §2)</t>
        </is>
      </c>
      <c r="AJ14" s="28" t="inlineStr">
        <is>
          <t>2023-09-18</t>
        </is>
      </c>
      <c r="AK14" s="28" t="inlineStr">
        <is>
          <t>NONE FOUND</t>
        </is>
      </c>
      <c r="AL14" s="30" t="inlineStr">
        <is>
          <t>8005129-09.2023.8.05.0039</t>
        </is>
      </c>
      <c r="AM14" s="30" t="inlineStr">
        <is>
          <t>TJBA</t>
        </is>
      </c>
      <c r="AN14" s="30" t="inlineStr">
        <is>
          <t>ACTIVE</t>
        </is>
      </c>
      <c r="AO14" s="30" t="n">
        <v>2023</v>
      </c>
      <c r="AP14" s="30" t="inlineStr">
        <is>
          <t>live case, no plan document yet</t>
        </is>
      </c>
      <c r="AQ14" s="30" t="inlineStr"/>
      <c r="AR14" s="30" t="inlineStr">
        <is>
          <t>printed on the list (read twice)</t>
        </is>
      </c>
      <c r="AS14" s="30" t="inlineStr">
        <is>
          <t>BRASILIA</t>
        </is>
      </c>
      <c r="AT14" s="30" t="inlineStr">
        <is>
          <t>DF</t>
        </is>
      </c>
      <c r="AU14" s="30" t="inlineStr">
        <is>
          <t>Bancos múltiplos, com carteira comercial</t>
        </is>
      </c>
      <c r="AV14" s="30" t="inlineStr">
        <is>
          <t>DEMAIS</t>
        </is>
      </c>
      <c r="AW14" s="31" t="n">
        <v>120000000000</v>
      </c>
      <c r="AX14" s="30" t="inlineStr">
        <is>
          <t>LARGE CORP</t>
        </is>
      </c>
      <c r="AY14" s="30" t="inlineStr">
        <is>
          <t>00000000</t>
        </is>
      </c>
      <c r="AZ14" s="30" t="n">
        <v>2</v>
      </c>
      <c r="BA14" s="30" t="inlineStr">
        <is>
          <t>LIKELY_FINANCIAL_BY_NAME ROWS:p5r9,p17r3 UNRECONCILED_SOURCE VALUE_COL:Valor_Do_Crédito_2º_Edital_De_Credores</t>
        </is>
      </c>
    </row>
    <row r="15">
      <c r="A15" s="16" t="inlineStr">
        <is>
          <t>Cooperativa de Crédito de Livre Admissão do Vale do São Patrício Ltda - Sicoob Coopercred</t>
        </is>
      </c>
      <c r="B15" s="17" t="n">
        <v>20802131.71</v>
      </c>
      <c r="C15" s="18" t="inlineStr">
        <is>
          <t>GRUPO 3E</t>
        </is>
      </c>
      <c r="D15" s="19" t="inlineStr">
        <is>
          <t>NEW</t>
        </is>
      </c>
      <c r="E15" s="20" t="inlineStr"/>
      <c r="F15" s="19" t="inlineStr"/>
      <c r="G15" s="20" t="inlineStr"/>
      <c r="H15" s="19" t="inlineStr"/>
      <c r="I15" s="21" t="inlineStr">
        <is>
          <t>Kamilla Ibrahim</t>
        </is>
      </c>
      <c r="J15" s="21" t="inlineStr">
        <is>
          <t>Especialista em Crédito</t>
        </is>
      </c>
      <c r="K15" s="21" t="inlineStr"/>
      <c r="L15" s="21" t="inlineStr"/>
      <c r="M15" s="21" t="inlineStr"/>
      <c r="N15" s="21" t="inlineStr"/>
      <c r="O15" s="21" t="inlineStr"/>
      <c r="P15" s="21" t="inlineStr">
        <is>
          <t>Michelle Melo</t>
        </is>
      </c>
      <c r="Q15" s="21" t="inlineStr">
        <is>
          <t>Legal Advisor</t>
        </is>
      </c>
      <c r="R15" s="21" t="inlineStr"/>
      <c r="S15" s="21" t="inlineStr"/>
      <c r="T15" s="21" t="inlineStr">
        <is>
          <t>no work email found in Apollo</t>
        </is>
      </c>
      <c r="U15" s="22" t="n">
        <v>20802131.71</v>
      </c>
      <c r="V15" s="35" t="inlineStr">
        <is>
          <t>A</t>
        </is>
      </c>
      <c r="W15" s="24">
        <f>IFERROR(VLOOKUP(V15,Assumptions!$A$7:$F$11,2,FALSE),0)</f>
        <v/>
      </c>
      <c r="X15" s="25">
        <f>IF(V15="A",MAX(1,IFERROR(VLOOKUP(V15,Assumptions!$A$7:$F$11,3,FALSE),3)+IFERROR(VLOOKUP(V15,Assumptions!$A$7:$F$11,4,FALSE),8)/2-MAX(0,IF(AO15="",0,YEAR(TODAY())-AO15)-IFERROR(VLOOKUP(V15,Assumptions!$A$7:$F$11,5,FALSE),1.5))),IFERROR(VLOOKUP(V15,Assumptions!$A$7:$F$11,5,FALSE),2.5)+IFERROR(VLOOKUP(V15,Assumptions!$A$7:$F$11,3,FALSE),3)+IFERROR(VLOOKUP(V15,Assumptions!$A$7:$F$11,4,FALSE),8)/2)</f>
        <v/>
      </c>
      <c r="Y15" s="22">
        <f>U15*W15/(1+Assumptions!$B$3)^X15</f>
        <v/>
      </c>
      <c r="Z15" s="26">
        <f>IF(U15=0,"",ROUND(Y15/U15*100,1))</f>
        <v/>
      </c>
      <c r="AA15" s="27">
        <f>Y15*Assumptions!$B$4</f>
        <v/>
      </c>
      <c r="AB15" s="26">
        <f>IF(U15=0,"",ROUND(AA15/U15*100,1))</f>
        <v/>
      </c>
      <c r="AC15" s="27">
        <f>Y15-AA15</f>
        <v/>
      </c>
      <c r="AD15" s="26">
        <f>IF(U15=0,"",ROUND((Y15-AA15)/U15*100,1))</f>
        <v/>
      </c>
      <c r="AE15" s="33" t="inlineStr">
        <is>
          <t>NO TOTALS — list prints none; check page</t>
        </is>
      </c>
      <c r="AF15" s="29" t="inlineStr">
        <is>
          <t>https://stenius.com.br/wp-content/uploads/2026/06/EDITAL-GRUPO-3E.pdf</t>
        </is>
      </c>
      <c r="AG15" s="28" t="inlineStr">
        <is>
          <t>p12 r9</t>
        </is>
      </c>
      <c r="AH15" s="28" t="inlineStr">
        <is>
          <t>p12: R$ 20.802.131,71</t>
        </is>
      </c>
      <c r="AI15" s="28" t="inlineStr">
        <is>
          <t>Debtor list (art. 51)</t>
        </is>
      </c>
      <c r="AJ15" s="28" t="inlineStr">
        <is>
          <t>2026-06-22</t>
        </is>
      </c>
      <c r="AK15" s="28" t="inlineStr">
        <is>
          <t>PLAN DOC FOUND</t>
        </is>
      </c>
      <c r="AL15" s="30" t="inlineStr">
        <is>
          <t>5341375-33.2026.8.09.0049</t>
        </is>
      </c>
      <c r="AM15" s="30" t="inlineStr">
        <is>
          <t>TJGO</t>
        </is>
      </c>
      <c r="AN15" s="30" t="inlineStr">
        <is>
          <t>ACTIVE</t>
        </is>
      </c>
      <c r="AO15" s="30" t="n">
        <v>2026</v>
      </c>
      <c r="AP15" s="30" t="inlineStr">
        <is>
          <t>plan/homologation document found</t>
        </is>
      </c>
      <c r="AQ15" s="30" t="inlineStr"/>
      <c r="AR15" s="30" t="inlineStr">
        <is>
          <t>printed on the list (read twice)</t>
        </is>
      </c>
      <c r="AS15" s="30" t="inlineStr"/>
      <c r="AT15" s="30" t="inlineStr"/>
      <c r="AU15" s="30" t="inlineStr"/>
      <c r="AV15" s="30" t="inlineStr"/>
      <c r="AW15" s="31" t="inlineStr"/>
      <c r="AX15" s="30" t="inlineStr">
        <is>
          <t>MID-MARKET</t>
        </is>
      </c>
      <c r="AY15" s="30" t="inlineStr">
        <is>
          <t>00968602</t>
        </is>
      </c>
      <c r="AZ15" s="30" t="n">
        <v>1</v>
      </c>
      <c r="BA15" s="30" t="inlineStr">
        <is>
          <t>LIKELY_FINANCIAL_BY_NAME ROWS:p12r9 UNRECONCILED_SOURCE</t>
        </is>
      </c>
    </row>
    <row r="16">
      <c r="A16" s="16" t="inlineStr">
        <is>
          <t>BANCO VOTORANTIM S.A.</t>
        </is>
      </c>
      <c r="B16" s="17" t="n">
        <v>65326446.86</v>
      </c>
      <c r="C16" s="18" t="inlineStr">
        <is>
          <t>EGESA ENGENHARIA S/A (Consórcio ETDI)</t>
        </is>
      </c>
      <c r="D16" s="19" t="inlineStr">
        <is>
          <t>NEW</t>
        </is>
      </c>
      <c r="E16" s="20" t="inlineStr"/>
      <c r="F16" s="19" t="inlineStr"/>
      <c r="G16" s="20" t="inlineStr"/>
      <c r="H16" s="19" t="inlineStr"/>
      <c r="I16" s="21" t="inlineStr">
        <is>
          <t>Red Silva</t>
        </is>
      </c>
      <c r="J16" s="21" t="inlineStr">
        <is>
          <t>Special Assets - Banker Senior</t>
        </is>
      </c>
      <c r="K16" s="21" t="inlineStr">
        <is>
          <t>(11) 5171-2672</t>
        </is>
      </c>
      <c r="L16" s="21" t="inlineStr">
        <is>
          <t>(11) 5171-2488</t>
        </is>
      </c>
      <c r="M16" s="21" t="inlineStr"/>
      <c r="N16" s="21" t="inlineStr">
        <is>
          <t>red.silva@bv.com.br</t>
        </is>
      </c>
      <c r="O16" s="21" t="inlineStr">
        <is>
          <t>caroline.oishi@bv.com.br</t>
        </is>
      </c>
      <c r="P16" s="21" t="inlineStr">
        <is>
          <t>Caroline Oishi</t>
        </is>
      </c>
      <c r="Q16" s="21" t="inlineStr">
        <is>
          <t>Gerente Executivo de Recuperação de Crédito</t>
        </is>
      </c>
      <c r="R16" s="21" t="inlineStr"/>
      <c r="S16" s="21" t="inlineStr">
        <is>
          <t>caroline.oishi@bv.com.br</t>
        </is>
      </c>
      <c r="T16" s="21" t="inlineStr">
        <is>
          <t>email verified by Apollo</t>
        </is>
      </c>
      <c r="U16" s="22" t="n">
        <v>65326446.86</v>
      </c>
      <c r="V16" s="32" t="inlineStr">
        <is>
          <t>U</t>
        </is>
      </c>
      <c r="W16" s="24">
        <f>IFERROR(VLOOKUP(V16,Assumptions!$A$7:$F$11,2,FALSE),0)</f>
        <v/>
      </c>
      <c r="X16" s="25">
        <f>IF(V16="A",MAX(1,IFERROR(VLOOKUP(V16,Assumptions!$A$7:$F$11,3,FALSE),3)+IFERROR(VLOOKUP(V16,Assumptions!$A$7:$F$11,4,FALSE),8)/2-MAX(0,IF(AO16="",0,YEAR(TODAY())-AO16)-IFERROR(VLOOKUP(V16,Assumptions!$A$7:$F$11,5,FALSE),1.5))),IFERROR(VLOOKUP(V16,Assumptions!$A$7:$F$11,5,FALSE),2.5)+IFERROR(VLOOKUP(V16,Assumptions!$A$7:$F$11,3,FALSE),3)+IFERROR(VLOOKUP(V16,Assumptions!$A$7:$F$11,4,FALSE),8)/2)</f>
        <v/>
      </c>
      <c r="Y16" s="22">
        <f>U16*W16/(1+Assumptions!$B$3)^X16</f>
        <v/>
      </c>
      <c r="Z16" s="26">
        <f>IF(U16=0,"",ROUND(Y16/U16*100,1))</f>
        <v/>
      </c>
      <c r="AA16" s="27">
        <f>Y16*Assumptions!$B$4</f>
        <v/>
      </c>
      <c r="AB16" s="26">
        <f>IF(U16=0,"",ROUND(AA16/U16*100,1))</f>
        <v/>
      </c>
      <c r="AC16" s="27">
        <f>Y16-AA16</f>
        <v/>
      </c>
      <c r="AD16" s="26">
        <f>IF(U16=0,"",ROUND((Y16-AA16)/U16*100,1))</f>
        <v/>
      </c>
      <c r="AE16" s="28" t="inlineStr">
        <is>
          <t>OK — totals reconciled</t>
        </is>
      </c>
      <c r="AF16" s="29" t="inlineStr">
        <is>
          <t>https://scalzilliaj.com.br/sgc/download.php?file=files/processo_documento/processo_documento09514021082025_1_.pdf&amp;nome=04 - Relação de credores das Recuperandas</t>
        </is>
      </c>
      <c r="AG16" s="28" t="inlineStr">
        <is>
          <t>p63 r1</t>
        </is>
      </c>
      <c r="AH16" s="28" t="inlineStr">
        <is>
          <t>p63: R$ 65.326.446,86</t>
        </is>
      </c>
      <c r="AI16" s="28" t="inlineStr">
        <is>
          <t>Debtor list (art. 51)</t>
        </is>
      </c>
      <c r="AJ16" s="28" t="inlineStr"/>
      <c r="AK16" s="28" t="inlineStr">
        <is>
          <t>NONE FOUND</t>
        </is>
      </c>
      <c r="AL16" s="30" t="inlineStr">
        <is>
          <t>(not printed)</t>
        </is>
      </c>
      <c r="AM16" s="30" t="inlineStr"/>
      <c r="AN16" s="30" t="inlineStr"/>
      <c r="AO16" s="30" t="inlineStr"/>
      <c r="AP16" s="30" t="inlineStr">
        <is>
          <t>RJ case number not identified on the document</t>
        </is>
      </c>
      <c r="AQ16" s="30" t="inlineStr"/>
      <c r="AR16" s="30" t="inlineStr">
        <is>
          <t>portal page title / URL — not printed on the list</t>
        </is>
      </c>
      <c r="AS16" s="30" t="inlineStr">
        <is>
          <t>SAO PAULO</t>
        </is>
      </c>
      <c r="AT16" s="30" t="inlineStr">
        <is>
          <t>SP</t>
        </is>
      </c>
      <c r="AU16" s="30" t="inlineStr">
        <is>
          <t>Bancos múltiplos, com carteira comercial</t>
        </is>
      </c>
      <c r="AV16" s="30" t="inlineStr">
        <is>
          <t>DEMAIS</t>
        </is>
      </c>
      <c r="AW16" s="31" t="n">
        <v>8480372000</v>
      </c>
      <c r="AX16" s="30" t="inlineStr">
        <is>
          <t>LARGE CORP</t>
        </is>
      </c>
      <c r="AY16" s="30" t="inlineStr">
        <is>
          <t>59588111</t>
        </is>
      </c>
      <c r="AZ16" s="30" t="n">
        <v>1</v>
      </c>
      <c r="BA16" s="30" t="inlineStr">
        <is>
          <t>LIKELY_FINANCIAL_BY_NAME ROWS:p63r1 VALUE_COL:Valor_Atualizado CASE_NUMBER_CORRECTED</t>
        </is>
      </c>
    </row>
    <row r="17">
      <c r="A17" s="16" t="inlineStr">
        <is>
          <t>CAIXA ECONOMICA FEDERAL</t>
        </is>
      </c>
      <c r="B17" s="17" t="n">
        <v>31052221.17</v>
      </c>
      <c r="C17" s="18" t="inlineStr">
        <is>
          <t>Grupo Rech</t>
        </is>
      </c>
      <c r="D17" s="19" t="inlineStr">
        <is>
          <t>NEW</t>
        </is>
      </c>
      <c r="E17" s="20" t="inlineStr"/>
      <c r="F17" s="19" t="inlineStr"/>
      <c r="G17" s="20" t="inlineStr"/>
      <c r="H17" s="19" t="inlineStr"/>
      <c r="I17" s="21" t="inlineStr">
        <is>
          <t>Livia Serikaku</t>
        </is>
      </c>
      <c r="J17" s="21" t="inlineStr">
        <is>
          <t>Gerente de Clientes e Negócios | Recuperação de Crédito</t>
        </is>
      </c>
      <c r="K17" s="21" t="inlineStr">
        <is>
          <t>(00) 4004-0104</t>
        </is>
      </c>
      <c r="L17" s="21" t="inlineStr"/>
      <c r="M17" s="21" t="inlineStr"/>
      <c r="N17" s="21" t="inlineStr"/>
      <c r="O17" s="21" t="inlineStr"/>
      <c r="P17" s="21" t="inlineStr">
        <is>
          <t>Rodolfo Trevizan</t>
        </is>
      </c>
      <c r="Q17" s="21" t="inlineStr">
        <is>
          <t>Investment Banking | Distressed Assets | Project Finance</t>
        </is>
      </c>
      <c r="R17" s="21" t="inlineStr"/>
      <c r="S17" s="21" t="inlineStr"/>
      <c r="T17" s="21" t="inlineStr">
        <is>
          <t>no work email found in Apollo</t>
        </is>
      </c>
      <c r="U17" s="22" t="n">
        <v>31052221.17</v>
      </c>
      <c r="V17" s="23" t="inlineStr">
        <is>
          <t>B</t>
        </is>
      </c>
      <c r="W17" s="24">
        <f>IFERROR(VLOOKUP(V17,Assumptions!$A$7:$F$11,2,FALSE),0)</f>
        <v/>
      </c>
      <c r="X17" s="25">
        <f>IF(V17="A",MAX(1,IFERROR(VLOOKUP(V17,Assumptions!$A$7:$F$11,3,FALSE),3)+IFERROR(VLOOKUP(V17,Assumptions!$A$7:$F$11,4,FALSE),8)/2-MAX(0,IF(AO17="",0,YEAR(TODAY())-AO17)-IFERROR(VLOOKUP(V17,Assumptions!$A$7:$F$11,5,FALSE),1.5))),IFERROR(VLOOKUP(V17,Assumptions!$A$7:$F$11,5,FALSE),2.5)+IFERROR(VLOOKUP(V17,Assumptions!$A$7:$F$11,3,FALSE),3)+IFERROR(VLOOKUP(V17,Assumptions!$A$7:$F$11,4,FALSE),8)/2)</f>
        <v/>
      </c>
      <c r="Y17" s="22">
        <f>U17*W17/(1+Assumptions!$B$3)^X17</f>
        <v/>
      </c>
      <c r="Z17" s="26">
        <f>IF(U17=0,"",ROUND(Y17/U17*100,1))</f>
        <v/>
      </c>
      <c r="AA17" s="27">
        <f>Y17*Assumptions!$B$4</f>
        <v/>
      </c>
      <c r="AB17" s="26">
        <f>IF(U17=0,"",ROUND(AA17/U17*100,1))</f>
        <v/>
      </c>
      <c r="AC17" s="27">
        <f>Y17-AA17</f>
        <v/>
      </c>
      <c r="AD17" s="26">
        <f>IF(U17=0,"",ROUND((Y17-AA17)/U17*100,1))</f>
        <v/>
      </c>
      <c r="AE17" s="36" t="inlineStr">
        <is>
          <t>CHECK — source is not a statutory creditor list</t>
        </is>
      </c>
      <c r="AF17" s="29" t="inlineStr">
        <is>
          <t>https://credibilita.com.br/wp-content/uploads/2025/09/Relacao-Credores-29.04.2026.pdf</t>
        </is>
      </c>
      <c r="AG17" s="28" t="inlineStr">
        <is>
          <t>p1 r18</t>
        </is>
      </c>
      <c r="AH17" s="28" t="inlineStr">
        <is>
          <t>p1: R$ 31.052.221,17</t>
        </is>
      </c>
      <c r="AI17" s="28" t="inlineStr">
        <is>
          <t>Quorum list — NOT an art. 7/51 list</t>
        </is>
      </c>
      <c r="AJ17" s="28" t="inlineStr"/>
      <c r="AK17" s="28" t="inlineStr">
        <is>
          <t>NONE FOUND</t>
        </is>
      </c>
      <c r="AL17" s="30" t="inlineStr">
        <is>
          <t>5057720-48.2025.8.24.0023</t>
        </is>
      </c>
      <c r="AM17" s="30" t="inlineStr">
        <is>
          <t>TJSC</t>
        </is>
      </c>
      <c r="AN17" s="30" t="inlineStr"/>
      <c r="AO17" s="30" t="n">
        <v>2025</v>
      </c>
      <c r="AP17" s="30" t="inlineStr">
        <is>
          <t>live case, no plan document yet</t>
        </is>
      </c>
      <c r="AQ17" s="30" t="inlineStr"/>
      <c r="AR17" s="30" t="inlineStr">
        <is>
          <t>portal page title / URL — not printed on the list</t>
        </is>
      </c>
      <c r="AS17" s="30" t="inlineStr">
        <is>
          <t>BRASILIA</t>
        </is>
      </c>
      <c r="AT17" s="30" t="inlineStr">
        <is>
          <t>DF</t>
        </is>
      </c>
      <c r="AU17" s="30" t="inlineStr">
        <is>
          <t>Caixas econômicas</t>
        </is>
      </c>
      <c r="AV17" s="30" t="inlineStr">
        <is>
          <t>DEMAIS</t>
        </is>
      </c>
      <c r="AW17" s="31" t="n">
        <v>105300000000</v>
      </c>
      <c r="AX17" s="30" t="inlineStr">
        <is>
          <t>LARGE CORP</t>
        </is>
      </c>
      <c r="AY17" s="30" t="inlineStr">
        <is>
          <t>00360305</t>
        </is>
      </c>
      <c r="AZ17" s="30" t="n">
        <v>1</v>
      </c>
      <c r="BA17" s="30" t="inlineStr">
        <is>
          <t>ROWS:p1r18 UNRECONCILED_SOURCE VALUE_COL:Valor_Após_Analise CASE_NUMBER_CORRECTED</t>
        </is>
      </c>
    </row>
    <row r="18">
      <c r="A18" s="16" t="inlineStr">
        <is>
          <t>CAIXA ECONOMICA FEDERAL</t>
        </is>
      </c>
      <c r="B18" s="17" t="n">
        <v>29895475.21</v>
      </c>
      <c r="C18" s="18" t="inlineStr">
        <is>
          <t>GRUPO GLP</t>
        </is>
      </c>
      <c r="D18" s="19" t="inlineStr">
        <is>
          <t>NEW</t>
        </is>
      </c>
      <c r="E18" s="20" t="inlineStr"/>
      <c r="F18" s="19" t="inlineStr"/>
      <c r="G18" s="20" t="inlineStr"/>
      <c r="H18" s="19" t="inlineStr"/>
      <c r="I18" s="21" t="inlineStr">
        <is>
          <t>Livia Serikaku</t>
        </is>
      </c>
      <c r="J18" s="21" t="inlineStr">
        <is>
          <t>Gerente de Clientes e Negócios | Recuperação de Crédito</t>
        </is>
      </c>
      <c r="K18" s="21" t="inlineStr">
        <is>
          <t>(00) 4004-0104</t>
        </is>
      </c>
      <c r="L18" s="21" t="inlineStr"/>
      <c r="M18" s="21" t="inlineStr"/>
      <c r="N18" s="21" t="inlineStr"/>
      <c r="O18" s="21" t="inlineStr"/>
      <c r="P18" s="21" t="inlineStr">
        <is>
          <t>Rodolfo Trevizan</t>
        </is>
      </c>
      <c r="Q18" s="21" t="inlineStr">
        <is>
          <t>Investment Banking | Distressed Assets | Project Finance</t>
        </is>
      </c>
      <c r="R18" s="21" t="inlineStr"/>
      <c r="S18" s="21" t="inlineStr"/>
      <c r="T18" s="21" t="inlineStr">
        <is>
          <t>no work email found in Apollo</t>
        </is>
      </c>
      <c r="U18" s="22" t="n">
        <v>29895475.21</v>
      </c>
      <c r="V18" s="23" t="inlineStr">
        <is>
          <t>B</t>
        </is>
      </c>
      <c r="W18" s="24">
        <f>IFERROR(VLOOKUP(V18,Assumptions!$A$7:$F$11,2,FALSE),0)</f>
        <v/>
      </c>
      <c r="X18" s="25">
        <f>IF(V18="A",MAX(1,IFERROR(VLOOKUP(V18,Assumptions!$A$7:$F$11,3,FALSE),3)+IFERROR(VLOOKUP(V18,Assumptions!$A$7:$F$11,4,FALSE),8)/2-MAX(0,IF(AO18="",0,YEAR(TODAY())-AO18)-IFERROR(VLOOKUP(V18,Assumptions!$A$7:$F$11,5,FALSE),1.5))),IFERROR(VLOOKUP(V18,Assumptions!$A$7:$F$11,5,FALSE),2.5)+IFERROR(VLOOKUP(V18,Assumptions!$A$7:$F$11,3,FALSE),3)+IFERROR(VLOOKUP(V18,Assumptions!$A$7:$F$11,4,FALSE),8)/2)</f>
        <v/>
      </c>
      <c r="Y18" s="22">
        <f>U18*W18/(1+Assumptions!$B$3)^X18</f>
        <v/>
      </c>
      <c r="Z18" s="26">
        <f>IF(U18=0,"",ROUND(Y18/U18*100,1))</f>
        <v/>
      </c>
      <c r="AA18" s="27">
        <f>Y18*Assumptions!$B$4</f>
        <v/>
      </c>
      <c r="AB18" s="26">
        <f>IF(U18=0,"",ROUND(AA18/U18*100,1))</f>
        <v/>
      </c>
      <c r="AC18" s="27">
        <f>Y18-AA18</f>
        <v/>
      </c>
      <c r="AD18" s="26">
        <f>IF(U18=0,"",ROUND((Y18-AA18)/U18*100,1))</f>
        <v/>
      </c>
      <c r="AE18" s="28" t="inlineStr">
        <is>
          <t>OK — totals reconciled</t>
        </is>
      </c>
      <c r="AF18" s="29" t="inlineStr">
        <is>
          <t>https://recuperasolucoes.com/wp-content/plugins/download-attachments/includes/download.php?id=1597</t>
        </is>
      </c>
      <c r="AG18" s="28" t="inlineStr">
        <is>
          <t>p13 r10</t>
        </is>
      </c>
      <c r="AH18" s="28" t="inlineStr">
        <is>
          <t>p13: R$ 29.895.475,21</t>
        </is>
      </c>
      <c r="AI18" s="28" t="inlineStr">
        <is>
          <t>Debtor list (art. 51)</t>
        </is>
      </c>
      <c r="AJ18" s="28" t="inlineStr">
        <is>
          <t>2026-05-21</t>
        </is>
      </c>
      <c r="AK18" s="28" t="inlineStr">
        <is>
          <t>NONE FOUND</t>
        </is>
      </c>
      <c r="AL18" s="30" t="inlineStr">
        <is>
          <t>0001639-09.2026.8.17.2810</t>
        </is>
      </c>
      <c r="AM18" s="30" t="inlineStr">
        <is>
          <t>TJPE</t>
        </is>
      </c>
      <c r="AN18" s="30" t="inlineStr">
        <is>
          <t>ACTIVE</t>
        </is>
      </c>
      <c r="AO18" s="30" t="n">
        <v>2026</v>
      </c>
      <c r="AP18" s="30" t="inlineStr">
        <is>
          <t>live case, no plan document yet</t>
        </is>
      </c>
      <c r="AQ18" s="30" t="inlineStr"/>
      <c r="AR18" s="30" t="inlineStr">
        <is>
          <t>printed on the list (read twice)</t>
        </is>
      </c>
      <c r="AS18" s="30" t="inlineStr">
        <is>
          <t>BRASILIA</t>
        </is>
      </c>
      <c r="AT18" s="30" t="inlineStr">
        <is>
          <t>DF</t>
        </is>
      </c>
      <c r="AU18" s="30" t="inlineStr">
        <is>
          <t>Caixas econômicas</t>
        </is>
      </c>
      <c r="AV18" s="30" t="inlineStr">
        <is>
          <t>DEMAIS</t>
        </is>
      </c>
      <c r="AW18" s="31" t="n">
        <v>105300000000</v>
      </c>
      <c r="AX18" s="30" t="inlineStr">
        <is>
          <t>LARGE CORP</t>
        </is>
      </c>
      <c r="AY18" s="30" t="inlineStr">
        <is>
          <t>00360305</t>
        </is>
      </c>
      <c r="AZ18" s="30" t="n">
        <v>1</v>
      </c>
      <c r="BA18" s="30" t="inlineStr">
        <is>
          <t>LIKELY_FINANCIAL_BY_NAME ROWS:p13r10</t>
        </is>
      </c>
    </row>
    <row r="19">
      <c r="A19" s="16" t="inlineStr">
        <is>
          <t>STONE SOCIEDADE DE CREDITO DIRETO S.A.</t>
        </is>
      </c>
      <c r="B19" s="17" t="n">
        <v>16005897.08</v>
      </c>
      <c r="C19" s="18" t="inlineStr">
        <is>
          <t>GRUPO 3E</t>
        </is>
      </c>
      <c r="D19" s="19" t="inlineStr">
        <is>
          <t>NEW</t>
        </is>
      </c>
      <c r="E19" s="20" t="inlineStr"/>
      <c r="F19" s="19" t="inlineStr"/>
      <c r="G19" s="20" t="inlineStr"/>
      <c r="H19" s="19" t="inlineStr"/>
      <c r="I19" s="21" t="inlineStr">
        <is>
          <t>Alex Aquino</t>
        </is>
      </c>
      <c r="J19" s="21" t="inlineStr">
        <is>
          <t>Gerente de Reestruturação de Crédito</t>
        </is>
      </c>
      <c r="K19" s="21" t="inlineStr">
        <is>
          <t>(11) 3568-6318</t>
        </is>
      </c>
      <c r="L19" s="21" t="inlineStr"/>
      <c r="M19" s="21" t="inlineStr"/>
      <c r="N19" s="21" t="inlineStr"/>
      <c r="O19" s="21" t="inlineStr">
        <is>
          <t>isaias.alves@stone.com.br</t>
        </is>
      </c>
      <c r="P19" s="21" t="inlineStr">
        <is>
          <t>Isaias Oliveira</t>
        </is>
      </c>
      <c r="Q19" s="21" t="inlineStr">
        <is>
          <t>Credit Recovery &amp; Collateral Management Lead</t>
        </is>
      </c>
      <c r="R19" s="21" t="inlineStr"/>
      <c r="S19" s="21" t="inlineStr">
        <is>
          <t>isaias.alves@stone.com.br</t>
        </is>
      </c>
      <c r="T19" s="21" t="inlineStr">
        <is>
          <t>no work email found in Apollo</t>
        </is>
      </c>
      <c r="U19" s="22" t="n">
        <v>16005897.08</v>
      </c>
      <c r="V19" s="35" t="inlineStr">
        <is>
          <t>A</t>
        </is>
      </c>
      <c r="W19" s="24">
        <f>IFERROR(VLOOKUP(V19,Assumptions!$A$7:$F$11,2,FALSE),0)</f>
        <v/>
      </c>
      <c r="X19" s="25">
        <f>IF(V19="A",MAX(1,IFERROR(VLOOKUP(V19,Assumptions!$A$7:$F$11,3,FALSE),3)+IFERROR(VLOOKUP(V19,Assumptions!$A$7:$F$11,4,FALSE),8)/2-MAX(0,IF(AO19="",0,YEAR(TODAY())-AO19)-IFERROR(VLOOKUP(V19,Assumptions!$A$7:$F$11,5,FALSE),1.5))),IFERROR(VLOOKUP(V19,Assumptions!$A$7:$F$11,5,FALSE),2.5)+IFERROR(VLOOKUP(V19,Assumptions!$A$7:$F$11,3,FALSE),3)+IFERROR(VLOOKUP(V19,Assumptions!$A$7:$F$11,4,FALSE),8)/2)</f>
        <v/>
      </c>
      <c r="Y19" s="22">
        <f>U19*W19/(1+Assumptions!$B$3)^X19</f>
        <v/>
      </c>
      <c r="Z19" s="26">
        <f>IF(U19=0,"",ROUND(Y19/U19*100,1))</f>
        <v/>
      </c>
      <c r="AA19" s="27">
        <f>Y19*Assumptions!$B$4</f>
        <v/>
      </c>
      <c r="AB19" s="26">
        <f>IF(U19=0,"",ROUND(AA19/U19*100,1))</f>
        <v/>
      </c>
      <c r="AC19" s="27">
        <f>Y19-AA19</f>
        <v/>
      </c>
      <c r="AD19" s="26">
        <f>IF(U19=0,"",ROUND((Y19-AA19)/U19*100,1))</f>
        <v/>
      </c>
      <c r="AE19" s="33" t="inlineStr">
        <is>
          <t>NO TOTALS — list prints none; check page</t>
        </is>
      </c>
      <c r="AF19" s="29" t="inlineStr">
        <is>
          <t>https://stenius.com.br/wp-content/uploads/2026/06/EDITAL-GRUPO-3E.pdf</t>
        </is>
      </c>
      <c r="AG19" s="28" t="inlineStr">
        <is>
          <t>p18 r11</t>
        </is>
      </c>
      <c r="AH19" s="28" t="inlineStr">
        <is>
          <t>p18: R$ 16.005.897,08</t>
        </is>
      </c>
      <c r="AI19" s="28" t="inlineStr">
        <is>
          <t>Debtor list (art. 51)</t>
        </is>
      </c>
      <c r="AJ19" s="28" t="inlineStr">
        <is>
          <t>2026-06-22</t>
        </is>
      </c>
      <c r="AK19" s="28" t="inlineStr">
        <is>
          <t>PLAN DOC FOUND</t>
        </is>
      </c>
      <c r="AL19" s="30" t="inlineStr">
        <is>
          <t>5341375-33.2026.8.09.0049</t>
        </is>
      </c>
      <c r="AM19" s="30" t="inlineStr">
        <is>
          <t>TJGO</t>
        </is>
      </c>
      <c r="AN19" s="30" t="inlineStr">
        <is>
          <t>ACTIVE</t>
        </is>
      </c>
      <c r="AO19" s="30" t="n">
        <v>2026</v>
      </c>
      <c r="AP19" s="30" t="inlineStr">
        <is>
          <t>plan/homologation document found</t>
        </is>
      </c>
      <c r="AQ19" s="30" t="inlineStr"/>
      <c r="AR19" s="30" t="inlineStr">
        <is>
          <t>printed on the list (read twice)</t>
        </is>
      </c>
      <c r="AS19" s="30" t="inlineStr">
        <is>
          <t>SAO PAULO</t>
        </is>
      </c>
      <c r="AT19" s="30" t="inlineStr">
        <is>
          <t>SP</t>
        </is>
      </c>
      <c r="AU19" s="30" t="inlineStr">
        <is>
          <t>Outras atividades de serviços financeiros não especificadas anteriormente</t>
        </is>
      </c>
      <c r="AV19" s="30" t="inlineStr">
        <is>
          <t>DEMAIS</t>
        </is>
      </c>
      <c r="AW19" s="31" t="n">
        <v>651000000</v>
      </c>
      <c r="AX19" s="30" t="inlineStr">
        <is>
          <t>LARGE CORP</t>
        </is>
      </c>
      <c r="AY19" s="30" t="inlineStr">
        <is>
          <t>34590184</t>
        </is>
      </c>
      <c r="AZ19" s="30" t="n">
        <v>1</v>
      </c>
      <c r="BA19" s="30" t="inlineStr">
        <is>
          <t>ROWS:p18r11 UNRECONCILED_SOURCE</t>
        </is>
      </c>
    </row>
    <row r="20">
      <c r="A20" s="16" t="inlineStr">
        <is>
          <t>BANCO FIBRA SA</t>
        </is>
      </c>
      <c r="B20" s="17" t="n">
        <v>45662831.72</v>
      </c>
      <c r="C20" s="18" t="inlineStr">
        <is>
          <t>EGESA ENGENHARIA S/A (Consórcio ETDI)</t>
        </is>
      </c>
      <c r="D20" s="19" t="inlineStr">
        <is>
          <t>NEW</t>
        </is>
      </c>
      <c r="E20" s="20" t="inlineStr"/>
      <c r="F20" s="19" t="inlineStr"/>
      <c r="G20" s="20" t="inlineStr"/>
      <c r="H20" s="19" t="inlineStr"/>
      <c r="I20" s="21" t="inlineStr">
        <is>
          <t>Carlota Schwarz</t>
        </is>
      </c>
      <c r="J20" s="21" t="inlineStr">
        <is>
          <t>Superintendente de Reestruturação de Crédito</t>
        </is>
      </c>
      <c r="K20" s="21" t="inlineStr">
        <is>
          <t>(11) 3847-6943</t>
        </is>
      </c>
      <c r="L20" s="21" t="inlineStr"/>
      <c r="M20" s="21" t="inlineStr"/>
      <c r="N20" s="21" t="inlineStr">
        <is>
          <t>carlota.schwarz@bancofibra.com.br</t>
        </is>
      </c>
      <c r="O20" s="21" t="inlineStr">
        <is>
          <t>acardoso@bancofibra.com.br</t>
        </is>
      </c>
      <c r="P20" s="21" t="inlineStr">
        <is>
          <t>Augusto Cardoso</t>
        </is>
      </c>
      <c r="Q20" s="21" t="inlineStr">
        <is>
          <t>Gerente de Recuperação de Crédito e Cobrança</t>
        </is>
      </c>
      <c r="R20" s="21" t="inlineStr"/>
      <c r="S20" s="21" t="inlineStr">
        <is>
          <t>acardoso@bancofibra.com.br</t>
        </is>
      </c>
      <c r="T20" s="21" t="inlineStr">
        <is>
          <t>email verified by Apollo</t>
        </is>
      </c>
      <c r="U20" s="22" t="n">
        <v>45662831.72</v>
      </c>
      <c r="V20" s="32" t="inlineStr">
        <is>
          <t>U</t>
        </is>
      </c>
      <c r="W20" s="24">
        <f>IFERROR(VLOOKUP(V20,Assumptions!$A$7:$F$11,2,FALSE),0)</f>
        <v/>
      </c>
      <c r="X20" s="25">
        <f>IF(V20="A",MAX(1,IFERROR(VLOOKUP(V20,Assumptions!$A$7:$F$11,3,FALSE),3)+IFERROR(VLOOKUP(V20,Assumptions!$A$7:$F$11,4,FALSE),8)/2-MAX(0,IF(AO20="",0,YEAR(TODAY())-AO20)-IFERROR(VLOOKUP(V20,Assumptions!$A$7:$F$11,5,FALSE),1.5))),IFERROR(VLOOKUP(V20,Assumptions!$A$7:$F$11,5,FALSE),2.5)+IFERROR(VLOOKUP(V20,Assumptions!$A$7:$F$11,3,FALSE),3)+IFERROR(VLOOKUP(V20,Assumptions!$A$7:$F$11,4,FALSE),8)/2)</f>
        <v/>
      </c>
      <c r="Y20" s="22">
        <f>U20*W20/(1+Assumptions!$B$3)^X20</f>
        <v/>
      </c>
      <c r="Z20" s="26">
        <f>IF(U20=0,"",ROUND(Y20/U20*100,1))</f>
        <v/>
      </c>
      <c r="AA20" s="27">
        <f>Y20*Assumptions!$B$4</f>
        <v/>
      </c>
      <c r="AB20" s="26">
        <f>IF(U20=0,"",ROUND(AA20/U20*100,1))</f>
        <v/>
      </c>
      <c r="AC20" s="27">
        <f>Y20-AA20</f>
        <v/>
      </c>
      <c r="AD20" s="26">
        <f>IF(U20=0,"",ROUND((Y20-AA20)/U20*100,1))</f>
        <v/>
      </c>
      <c r="AE20" s="28" t="inlineStr">
        <is>
          <t>OK — totals reconciled</t>
        </is>
      </c>
      <c r="AF20" s="29" t="inlineStr">
        <is>
          <t>https://scalzilliaj.com.br/sgc/download.php?file=files/processo_documento/processo_documento09514021082025_1_.pdf&amp;nome=04 - Relação de credores das Recuperandas</t>
        </is>
      </c>
      <c r="AG20" s="28" t="inlineStr">
        <is>
          <t>p62 r15</t>
        </is>
      </c>
      <c r="AH20" s="28" t="inlineStr">
        <is>
          <t>p62: R$ 45.662.831,72</t>
        </is>
      </c>
      <c r="AI20" s="28" t="inlineStr">
        <is>
          <t>Debtor list (art. 51)</t>
        </is>
      </c>
      <c r="AJ20" s="28" t="inlineStr"/>
      <c r="AK20" s="28" t="inlineStr">
        <is>
          <t>NONE FOUND</t>
        </is>
      </c>
      <c r="AL20" s="30" t="inlineStr">
        <is>
          <t>(not printed)</t>
        </is>
      </c>
      <c r="AM20" s="30" t="inlineStr"/>
      <c r="AN20" s="30" t="inlineStr"/>
      <c r="AO20" s="30" t="inlineStr"/>
      <c r="AP20" s="30" t="inlineStr">
        <is>
          <t>RJ case number not identified on the document</t>
        </is>
      </c>
      <c r="AQ20" s="30" t="inlineStr"/>
      <c r="AR20" s="30" t="inlineStr">
        <is>
          <t>portal page title / URL — not printed on the list</t>
        </is>
      </c>
      <c r="AS20" s="30" t="inlineStr">
        <is>
          <t>SAO PAULO</t>
        </is>
      </c>
      <c r="AT20" s="30" t="inlineStr">
        <is>
          <t>SP</t>
        </is>
      </c>
      <c r="AU20" s="30" t="inlineStr">
        <is>
          <t>Bancos múltiplos, com carteira comercial</t>
        </is>
      </c>
      <c r="AV20" s="30" t="inlineStr">
        <is>
          <t>DEMAIS</t>
        </is>
      </c>
      <c r="AW20" s="31" t="n">
        <v>1207776000</v>
      </c>
      <c r="AX20" s="30" t="inlineStr">
        <is>
          <t>LARGE CORP</t>
        </is>
      </c>
      <c r="AY20" s="30" t="inlineStr">
        <is>
          <t>58616418</t>
        </is>
      </c>
      <c r="AZ20" s="30" t="n">
        <v>1</v>
      </c>
      <c r="BA20" s="30" t="inlineStr">
        <is>
          <t>LIKELY_FINANCIAL_BY_NAME ROWS:p62r15 VALUE_COL:Valor_Atualizado CASE_NUMBER_CORRECTED</t>
        </is>
      </c>
    </row>
    <row r="21">
      <c r="A21" s="16" t="inlineStr">
        <is>
          <t>Itaú Unibanco Holding S.A.</t>
        </is>
      </c>
      <c r="B21" s="17" t="n">
        <v>12852151.77</v>
      </c>
      <c r="C21" s="18" t="inlineStr">
        <is>
          <t>GRUPO 3E</t>
        </is>
      </c>
      <c r="D21" s="19" t="inlineStr">
        <is>
          <t>NEW</t>
        </is>
      </c>
      <c r="E21" s="20" t="inlineStr"/>
      <c r="F21" s="19" t="inlineStr"/>
      <c r="G21" s="20" t="inlineStr"/>
      <c r="H21" s="19" t="inlineStr"/>
      <c r="I21" s="21" t="inlineStr">
        <is>
          <t>Rodrigo Mourato</t>
        </is>
      </c>
      <c r="J21" s="21" t="inlineStr">
        <is>
          <t>Superintendente de Recuperação de Crédito</t>
        </is>
      </c>
      <c r="K21" s="21" t="inlineStr"/>
      <c r="L21" s="21" t="inlineStr"/>
      <c r="M21" s="21" t="inlineStr"/>
      <c r="N21" s="21" t="inlineStr">
        <is>
          <t>rodrigo.mourato@itau-unibanco.com.br</t>
        </is>
      </c>
      <c r="O21" s="21" t="inlineStr">
        <is>
          <t>marina.c@itau.com.br</t>
        </is>
      </c>
      <c r="P21" s="21" t="inlineStr">
        <is>
          <t>Marina Canteiro</t>
        </is>
      </c>
      <c r="Q21" s="21" t="inlineStr">
        <is>
          <t>Superintendente de Recuperação de Crédito</t>
        </is>
      </c>
      <c r="R21" s="21" t="inlineStr"/>
      <c r="S21" s="21" t="inlineStr">
        <is>
          <t>marina.c@itau.com.br</t>
        </is>
      </c>
      <c r="T21" s="21" t="inlineStr">
        <is>
          <t>email verified by Apollo</t>
        </is>
      </c>
      <c r="U21" s="22" t="n">
        <v>12852151.77</v>
      </c>
      <c r="V21" s="35" t="inlineStr">
        <is>
          <t>A</t>
        </is>
      </c>
      <c r="W21" s="24">
        <f>IFERROR(VLOOKUP(V21,Assumptions!$A$7:$F$11,2,FALSE),0)</f>
        <v/>
      </c>
      <c r="X21" s="25">
        <f>IF(V21="A",MAX(1,IFERROR(VLOOKUP(V21,Assumptions!$A$7:$F$11,3,FALSE),3)+IFERROR(VLOOKUP(V21,Assumptions!$A$7:$F$11,4,FALSE),8)/2-MAX(0,IF(AO21="",0,YEAR(TODAY())-AO21)-IFERROR(VLOOKUP(V21,Assumptions!$A$7:$F$11,5,FALSE),1.5))),IFERROR(VLOOKUP(V21,Assumptions!$A$7:$F$11,5,FALSE),2.5)+IFERROR(VLOOKUP(V21,Assumptions!$A$7:$F$11,3,FALSE),3)+IFERROR(VLOOKUP(V21,Assumptions!$A$7:$F$11,4,FALSE),8)/2)</f>
        <v/>
      </c>
      <c r="Y21" s="22">
        <f>U21*W21/(1+Assumptions!$B$3)^X21</f>
        <v/>
      </c>
      <c r="Z21" s="26">
        <f>IF(U21=0,"",ROUND(Y21/U21*100,1))</f>
        <v/>
      </c>
      <c r="AA21" s="27">
        <f>Y21*Assumptions!$B$4</f>
        <v/>
      </c>
      <c r="AB21" s="26">
        <f>IF(U21=0,"",ROUND(AA21/U21*100,1))</f>
        <v/>
      </c>
      <c r="AC21" s="27">
        <f>Y21-AA21</f>
        <v/>
      </c>
      <c r="AD21" s="26">
        <f>IF(U21=0,"",ROUND((Y21-AA21)/U21*100,1))</f>
        <v/>
      </c>
      <c r="AE21" s="33" t="inlineStr">
        <is>
          <t>NO TOTALS — list prints none; check page</t>
        </is>
      </c>
      <c r="AF21" s="29" t="inlineStr">
        <is>
          <t>https://stenius.com.br/wp-content/uploads/2026/06/EDITAL-GRUPO-3E.pdf</t>
        </is>
      </c>
      <c r="AG21" s="28" t="inlineStr">
        <is>
          <t>p14 r63</t>
        </is>
      </c>
      <c r="AH21" s="28" t="inlineStr">
        <is>
          <t>p14: R$ 12.852.151,77</t>
        </is>
      </c>
      <c r="AI21" s="28" t="inlineStr">
        <is>
          <t>Debtor list (art. 51)</t>
        </is>
      </c>
      <c r="AJ21" s="28" t="inlineStr">
        <is>
          <t>2026-06-22</t>
        </is>
      </c>
      <c r="AK21" s="28" t="inlineStr">
        <is>
          <t>PLAN DOC FOUND</t>
        </is>
      </c>
      <c r="AL21" s="30" t="inlineStr">
        <is>
          <t>5341375-33.2026.8.09.0049</t>
        </is>
      </c>
      <c r="AM21" s="30" t="inlineStr">
        <is>
          <t>TJGO</t>
        </is>
      </c>
      <c r="AN21" s="30" t="inlineStr">
        <is>
          <t>ACTIVE</t>
        </is>
      </c>
      <c r="AO21" s="30" t="n">
        <v>2026</v>
      </c>
      <c r="AP21" s="30" t="inlineStr">
        <is>
          <t>plan/homologation document found</t>
        </is>
      </c>
      <c r="AQ21" s="30" t="inlineStr"/>
      <c r="AR21" s="30" t="inlineStr">
        <is>
          <t>printed on the list (read twice)</t>
        </is>
      </c>
      <c r="AS21" s="30" t="inlineStr"/>
      <c r="AT21" s="30" t="inlineStr"/>
      <c r="AU21" s="30" t="inlineStr"/>
      <c r="AV21" s="30" t="inlineStr"/>
      <c r="AW21" s="31" t="inlineStr"/>
      <c r="AX21" s="30" t="inlineStr">
        <is>
          <t>MID-MARKET</t>
        </is>
      </c>
      <c r="AY21" s="30" t="inlineStr">
        <is>
          <t>60872504</t>
        </is>
      </c>
      <c r="AZ21" s="30" t="n">
        <v>1</v>
      </c>
      <c r="BA21" s="30" t="inlineStr">
        <is>
          <t>LIKELY_FINANCIAL_BY_NAME ROWS:p14r63 UNRECONCILED_SOURCE</t>
        </is>
      </c>
    </row>
    <row r="22">
      <c r="A22" s="16" t="inlineStr">
        <is>
          <t>CAIXA ECONOMICA FEDERAL</t>
        </is>
      </c>
      <c r="B22" s="17" t="n">
        <v>11652776.23</v>
      </c>
      <c r="C22" s="18" t="inlineStr">
        <is>
          <t>GRUPO 3E</t>
        </is>
      </c>
      <c r="D22" s="19" t="inlineStr">
        <is>
          <t>NEW</t>
        </is>
      </c>
      <c r="E22" s="20" t="inlineStr"/>
      <c r="F22" s="19" t="inlineStr"/>
      <c r="G22" s="20" t="inlineStr"/>
      <c r="H22" s="19" t="inlineStr"/>
      <c r="I22" s="21" t="inlineStr">
        <is>
          <t>Livia Serikaku</t>
        </is>
      </c>
      <c r="J22" s="21" t="inlineStr">
        <is>
          <t>Gerente de Clientes e Negócios | Recuperação de Crédito</t>
        </is>
      </c>
      <c r="K22" s="21" t="inlineStr">
        <is>
          <t>(00) 4004-0104</t>
        </is>
      </c>
      <c r="L22" s="21" t="inlineStr"/>
      <c r="M22" s="21" t="inlineStr"/>
      <c r="N22" s="21" t="inlineStr"/>
      <c r="O22" s="21" t="inlineStr"/>
      <c r="P22" s="21" t="inlineStr">
        <is>
          <t>Rodolfo Trevizan</t>
        </is>
      </c>
      <c r="Q22" s="21" t="inlineStr">
        <is>
          <t>Investment Banking | Distressed Assets | Project Finance</t>
        </is>
      </c>
      <c r="R22" s="21" t="inlineStr"/>
      <c r="S22" s="21" t="inlineStr"/>
      <c r="T22" s="21" t="inlineStr">
        <is>
          <t>no work email found in Apollo</t>
        </is>
      </c>
      <c r="U22" s="22" t="n">
        <v>11652776.23</v>
      </c>
      <c r="V22" s="35" t="inlineStr">
        <is>
          <t>A</t>
        </is>
      </c>
      <c r="W22" s="24">
        <f>IFERROR(VLOOKUP(V22,Assumptions!$A$7:$F$11,2,FALSE),0)</f>
        <v/>
      </c>
      <c r="X22" s="25">
        <f>IF(V22="A",MAX(1,IFERROR(VLOOKUP(V22,Assumptions!$A$7:$F$11,3,FALSE),3)+IFERROR(VLOOKUP(V22,Assumptions!$A$7:$F$11,4,FALSE),8)/2-MAX(0,IF(AO22="",0,YEAR(TODAY())-AO22)-IFERROR(VLOOKUP(V22,Assumptions!$A$7:$F$11,5,FALSE),1.5))),IFERROR(VLOOKUP(V22,Assumptions!$A$7:$F$11,5,FALSE),2.5)+IFERROR(VLOOKUP(V22,Assumptions!$A$7:$F$11,3,FALSE),3)+IFERROR(VLOOKUP(V22,Assumptions!$A$7:$F$11,4,FALSE),8)/2)</f>
        <v/>
      </c>
      <c r="Y22" s="22">
        <f>U22*W22/(1+Assumptions!$B$3)^X22</f>
        <v/>
      </c>
      <c r="Z22" s="26">
        <f>IF(U22=0,"",ROUND(Y22/U22*100,1))</f>
        <v/>
      </c>
      <c r="AA22" s="27">
        <f>Y22*Assumptions!$B$4</f>
        <v/>
      </c>
      <c r="AB22" s="26">
        <f>IF(U22=0,"",ROUND(AA22/U22*100,1))</f>
        <v/>
      </c>
      <c r="AC22" s="27">
        <f>Y22-AA22</f>
        <v/>
      </c>
      <c r="AD22" s="26">
        <f>IF(U22=0,"",ROUND((Y22-AA22)/U22*100,1))</f>
        <v/>
      </c>
      <c r="AE22" s="33" t="inlineStr">
        <is>
          <t>NO TOTALS — list prints none; check page</t>
        </is>
      </c>
      <c r="AF22" s="29" t="inlineStr">
        <is>
          <t>https://stenius.com.br/wp-content/uploads/2026/06/EDITAL-GRUPO-3E.pdf</t>
        </is>
      </c>
      <c r="AG22" s="28" t="inlineStr">
        <is>
          <t>p11 r27</t>
        </is>
      </c>
      <c r="AH22" s="28" t="inlineStr">
        <is>
          <t>p11: R$ 11.652.776,23</t>
        </is>
      </c>
      <c r="AI22" s="28" t="inlineStr">
        <is>
          <t>Debtor list (art. 51)</t>
        </is>
      </c>
      <c r="AJ22" s="28" t="inlineStr">
        <is>
          <t>2026-06-22</t>
        </is>
      </c>
      <c r="AK22" s="28" t="inlineStr">
        <is>
          <t>PLAN DOC FOUND</t>
        </is>
      </c>
      <c r="AL22" s="30" t="inlineStr">
        <is>
          <t>5341375-33.2026.8.09.0049</t>
        </is>
      </c>
      <c r="AM22" s="30" t="inlineStr">
        <is>
          <t>TJGO</t>
        </is>
      </c>
      <c r="AN22" s="30" t="inlineStr">
        <is>
          <t>ACTIVE</t>
        </is>
      </c>
      <c r="AO22" s="30" t="n">
        <v>2026</v>
      </c>
      <c r="AP22" s="30" t="inlineStr">
        <is>
          <t>plan/homologation document found</t>
        </is>
      </c>
      <c r="AQ22" s="30" t="inlineStr"/>
      <c r="AR22" s="30" t="inlineStr">
        <is>
          <t>printed on the list (read twice)</t>
        </is>
      </c>
      <c r="AS22" s="30" t="inlineStr">
        <is>
          <t>BRASILIA</t>
        </is>
      </c>
      <c r="AT22" s="30" t="inlineStr">
        <is>
          <t>DF</t>
        </is>
      </c>
      <c r="AU22" s="30" t="inlineStr">
        <is>
          <t>Caixas econômicas</t>
        </is>
      </c>
      <c r="AV22" s="30" t="inlineStr">
        <is>
          <t>DEMAIS</t>
        </is>
      </c>
      <c r="AW22" s="31" t="n">
        <v>105300000000</v>
      </c>
      <c r="AX22" s="30" t="inlineStr">
        <is>
          <t>LARGE CORP</t>
        </is>
      </c>
      <c r="AY22" s="30" t="inlineStr">
        <is>
          <t>00360305</t>
        </is>
      </c>
      <c r="AZ22" s="30" t="n">
        <v>1</v>
      </c>
      <c r="BA22" s="30" t="inlineStr">
        <is>
          <t>LIKELY_FINANCIAL_BY_NAME ROWS:p11r27 UNRECONCILED_SOURCE</t>
        </is>
      </c>
    </row>
    <row r="23">
      <c r="A23" s="16" t="inlineStr">
        <is>
          <t>BANCO SANTANDER (BRASIL) S.A.</t>
        </is>
      </c>
      <c r="B23" s="17" t="n">
        <v>21041903.06</v>
      </c>
      <c r="C23" s="18" t="inlineStr">
        <is>
          <t>GRUPO GLP</t>
        </is>
      </c>
      <c r="D23" s="19" t="inlineStr">
        <is>
          <t>NEW</t>
        </is>
      </c>
      <c r="E23" s="20" t="inlineStr"/>
      <c r="F23" s="19" t="inlineStr"/>
      <c r="G23" s="20" t="inlineStr"/>
      <c r="H23" s="19" t="inlineStr"/>
      <c r="I23" s="21" t="inlineStr">
        <is>
          <t>Igor Puertas</t>
        </is>
      </c>
      <c r="J23" s="21" t="inlineStr">
        <is>
          <t>Distressed Assets | NPL</t>
        </is>
      </c>
      <c r="K23" s="21" t="inlineStr">
        <is>
          <t>(11) 4004-3535</t>
        </is>
      </c>
      <c r="L23" s="21" t="inlineStr"/>
      <c r="M23" s="21" t="inlineStr"/>
      <c r="N23" s="21" t="inlineStr">
        <is>
          <t>igor.puertas@santander.com.br</t>
        </is>
      </c>
      <c r="O23" s="21" t="inlineStr">
        <is>
          <t>antonio.pequeno.junior@santander.com.br</t>
        </is>
      </c>
      <c r="P23" s="21" t="inlineStr">
        <is>
          <t>Antonio Junior</t>
        </is>
      </c>
      <c r="Q23" s="21" t="inlineStr">
        <is>
          <t>Superintendente Recuperação de Crédito</t>
        </is>
      </c>
      <c r="R23" s="21" t="inlineStr"/>
      <c r="S23" s="21" t="inlineStr">
        <is>
          <t>antonio.pequeno.junior@santander.com.br</t>
        </is>
      </c>
      <c r="T23" s="21" t="inlineStr">
        <is>
          <t>email verified by Apollo</t>
        </is>
      </c>
      <c r="U23" s="22" t="n">
        <v>21041903.06</v>
      </c>
      <c r="V23" s="23" t="inlineStr">
        <is>
          <t>B</t>
        </is>
      </c>
      <c r="W23" s="24">
        <f>IFERROR(VLOOKUP(V23,Assumptions!$A$7:$F$11,2,FALSE),0)</f>
        <v/>
      </c>
      <c r="X23" s="25">
        <f>IF(V23="A",MAX(1,IFERROR(VLOOKUP(V23,Assumptions!$A$7:$F$11,3,FALSE),3)+IFERROR(VLOOKUP(V23,Assumptions!$A$7:$F$11,4,FALSE),8)/2-MAX(0,IF(AO23="",0,YEAR(TODAY())-AO23)-IFERROR(VLOOKUP(V23,Assumptions!$A$7:$F$11,5,FALSE),1.5))),IFERROR(VLOOKUP(V23,Assumptions!$A$7:$F$11,5,FALSE),2.5)+IFERROR(VLOOKUP(V23,Assumptions!$A$7:$F$11,3,FALSE),3)+IFERROR(VLOOKUP(V23,Assumptions!$A$7:$F$11,4,FALSE),8)/2)</f>
        <v/>
      </c>
      <c r="Y23" s="22">
        <f>U23*W23/(1+Assumptions!$B$3)^X23</f>
        <v/>
      </c>
      <c r="Z23" s="26">
        <f>IF(U23=0,"",ROUND(Y23/U23*100,1))</f>
        <v/>
      </c>
      <c r="AA23" s="27">
        <f>Y23*Assumptions!$B$4</f>
        <v/>
      </c>
      <c r="AB23" s="26">
        <f>IF(U23=0,"",ROUND(AA23/U23*100,1))</f>
        <v/>
      </c>
      <c r="AC23" s="27">
        <f>Y23-AA23</f>
        <v/>
      </c>
      <c r="AD23" s="26">
        <f>IF(U23=0,"",ROUND((Y23-AA23)/U23*100,1))</f>
        <v/>
      </c>
      <c r="AE23" s="28" t="inlineStr">
        <is>
          <t>OK — totals reconciled</t>
        </is>
      </c>
      <c r="AF23" s="29" t="inlineStr">
        <is>
          <t>https://recuperasolucoes.com/wp-content/plugins/download-attachments/includes/download.php?id=1597</t>
        </is>
      </c>
      <c r="AG23" s="28" t="inlineStr">
        <is>
          <t>p13 r19</t>
        </is>
      </c>
      <c r="AH23" s="28" t="inlineStr">
        <is>
          <t>p13: R$ 21.041.903,06</t>
        </is>
      </c>
      <c r="AI23" s="28" t="inlineStr">
        <is>
          <t>Debtor list (art. 51)</t>
        </is>
      </c>
      <c r="AJ23" s="28" t="inlineStr">
        <is>
          <t>2026-05-21</t>
        </is>
      </c>
      <c r="AK23" s="28" t="inlineStr">
        <is>
          <t>NONE FOUND</t>
        </is>
      </c>
      <c r="AL23" s="30" t="inlineStr">
        <is>
          <t>0001639-09.2026.8.17.2810</t>
        </is>
      </c>
      <c r="AM23" s="30" t="inlineStr">
        <is>
          <t>TJPE</t>
        </is>
      </c>
      <c r="AN23" s="30" t="inlineStr">
        <is>
          <t>ACTIVE</t>
        </is>
      </c>
      <c r="AO23" s="30" t="n">
        <v>2026</v>
      </c>
      <c r="AP23" s="30" t="inlineStr">
        <is>
          <t>live case, no plan document yet</t>
        </is>
      </c>
      <c r="AQ23" s="30" t="inlineStr"/>
      <c r="AR23" s="30" t="inlineStr">
        <is>
          <t>printed on the list (read twice)</t>
        </is>
      </c>
      <c r="AS23" s="30" t="inlineStr">
        <is>
          <t>SAO PAULO</t>
        </is>
      </c>
      <c r="AT23" s="30" t="inlineStr">
        <is>
          <t>SP</t>
        </is>
      </c>
      <c r="AU23" s="30" t="inlineStr">
        <is>
          <t>Bancos múltiplos, com carteira comercial</t>
        </is>
      </c>
      <c r="AV23" s="30" t="inlineStr">
        <is>
          <t>DEMAIS</t>
        </is>
      </c>
      <c r="AW23" s="31" t="n">
        <v>65000000000</v>
      </c>
      <c r="AX23" s="30" t="inlineStr">
        <is>
          <t>LARGE CORP</t>
        </is>
      </c>
      <c r="AY23" s="30" t="inlineStr">
        <is>
          <t>90400888</t>
        </is>
      </c>
      <c r="AZ23" s="30" t="n">
        <v>1</v>
      </c>
      <c r="BA23" s="30" t="inlineStr">
        <is>
          <t>LIKELY_FINANCIAL_BY_NAME ROWS:p13r19</t>
        </is>
      </c>
    </row>
    <row r="24">
      <c r="A24" s="16" t="inlineStr">
        <is>
          <t>Banco Cooperativo Sicredi S.A.</t>
        </is>
      </c>
      <c r="B24" s="17" t="n">
        <v>11225999.29</v>
      </c>
      <c r="C24" s="18" t="inlineStr">
        <is>
          <t>GRUPO 3E</t>
        </is>
      </c>
      <c r="D24" s="19" t="inlineStr">
        <is>
          <t>NEW</t>
        </is>
      </c>
      <c r="E24" s="20" t="inlineStr"/>
      <c r="F24" s="19" t="inlineStr"/>
      <c r="G24" s="20" t="inlineStr"/>
      <c r="H24" s="19" t="inlineStr"/>
      <c r="I24" s="21" t="inlineStr">
        <is>
          <t>Rafael Vignotto</t>
        </is>
      </c>
      <c r="J24" s="21" t="inlineStr">
        <is>
          <t>GPM - Recuperação de Crédito</t>
        </is>
      </c>
      <c r="K24" s="21" t="inlineStr"/>
      <c r="L24" s="21" t="inlineStr"/>
      <c r="M24" s="21" t="inlineStr"/>
      <c r="N24" s="21" t="inlineStr">
        <is>
          <t>rafael_vignotto@sicredi.com.br</t>
        </is>
      </c>
      <c r="O24" s="21" t="inlineStr">
        <is>
          <t>daniele_schallenberger@sicredi.com.br</t>
        </is>
      </c>
      <c r="P24" s="21" t="inlineStr">
        <is>
          <t>Daniele Schallenberger</t>
        </is>
      </c>
      <c r="Q24" s="21" t="inlineStr">
        <is>
          <t>Assessora Recuperação de Crédito</t>
        </is>
      </c>
      <c r="R24" s="21" t="inlineStr"/>
      <c r="S24" s="21" t="inlineStr">
        <is>
          <t>daniele_schallenberger@sicredi.com.br</t>
        </is>
      </c>
      <c r="T24" s="21" t="inlineStr">
        <is>
          <t>email verified by Apollo</t>
        </is>
      </c>
      <c r="U24" s="22" t="n">
        <v>11225999.29</v>
      </c>
      <c r="V24" s="35" t="inlineStr">
        <is>
          <t>A</t>
        </is>
      </c>
      <c r="W24" s="24">
        <f>IFERROR(VLOOKUP(V24,Assumptions!$A$7:$F$11,2,FALSE),0)</f>
        <v/>
      </c>
      <c r="X24" s="25">
        <f>IF(V24="A",MAX(1,IFERROR(VLOOKUP(V24,Assumptions!$A$7:$F$11,3,FALSE),3)+IFERROR(VLOOKUP(V24,Assumptions!$A$7:$F$11,4,FALSE),8)/2-MAX(0,IF(AO24="",0,YEAR(TODAY())-AO24)-IFERROR(VLOOKUP(V24,Assumptions!$A$7:$F$11,5,FALSE),1.5))),IFERROR(VLOOKUP(V24,Assumptions!$A$7:$F$11,5,FALSE),2.5)+IFERROR(VLOOKUP(V24,Assumptions!$A$7:$F$11,3,FALSE),3)+IFERROR(VLOOKUP(V24,Assumptions!$A$7:$F$11,4,FALSE),8)/2)</f>
        <v/>
      </c>
      <c r="Y24" s="22">
        <f>U24*W24/(1+Assumptions!$B$3)^X24</f>
        <v/>
      </c>
      <c r="Z24" s="26">
        <f>IF(U24=0,"",ROUND(Y24/U24*100,1))</f>
        <v/>
      </c>
      <c r="AA24" s="27">
        <f>Y24*Assumptions!$B$4</f>
        <v/>
      </c>
      <c r="AB24" s="26">
        <f>IF(U24=0,"",ROUND(AA24/U24*100,1))</f>
        <v/>
      </c>
      <c r="AC24" s="27">
        <f>Y24-AA24</f>
        <v/>
      </c>
      <c r="AD24" s="26">
        <f>IF(U24=0,"",ROUND((Y24-AA24)/U24*100,1))</f>
        <v/>
      </c>
      <c r="AE24" s="33" t="inlineStr">
        <is>
          <t>NO TOTALS — list prints none; check page</t>
        </is>
      </c>
      <c r="AF24" s="29" t="inlineStr">
        <is>
          <t>https://stenius.com.br/wp-content/uploads/2026/06/EDITAL-GRUPO-3E.pdf</t>
        </is>
      </c>
      <c r="AG24" s="28" t="inlineStr">
        <is>
          <t>p10 r34</t>
        </is>
      </c>
      <c r="AH24" s="28" t="inlineStr">
        <is>
          <t>p10: R$ 11.225.999,29</t>
        </is>
      </c>
      <c r="AI24" s="28" t="inlineStr">
        <is>
          <t>Debtor list (art. 51)</t>
        </is>
      </c>
      <c r="AJ24" s="28" t="inlineStr">
        <is>
          <t>2026-06-22</t>
        </is>
      </c>
      <c r="AK24" s="28" t="inlineStr">
        <is>
          <t>PLAN DOC FOUND</t>
        </is>
      </c>
      <c r="AL24" s="30" t="inlineStr">
        <is>
          <t>5341375-33.2026.8.09.0049</t>
        </is>
      </c>
      <c r="AM24" s="30" t="inlineStr">
        <is>
          <t>TJGO</t>
        </is>
      </c>
      <c r="AN24" s="30" t="inlineStr">
        <is>
          <t>ACTIVE</t>
        </is>
      </c>
      <c r="AO24" s="30" t="n">
        <v>2026</v>
      </c>
      <c r="AP24" s="30" t="inlineStr">
        <is>
          <t>plan/homologation document found</t>
        </is>
      </c>
      <c r="AQ24" s="30" t="inlineStr"/>
      <c r="AR24" s="30" t="inlineStr">
        <is>
          <t>printed on the list (read twice)</t>
        </is>
      </c>
      <c r="AS24" s="30" t="inlineStr"/>
      <c r="AT24" s="30" t="inlineStr"/>
      <c r="AU24" s="30" t="inlineStr"/>
      <c r="AV24" s="30" t="inlineStr"/>
      <c r="AW24" s="31" t="inlineStr"/>
      <c r="AX24" s="30" t="inlineStr">
        <is>
          <t>MID-MARKET</t>
        </is>
      </c>
      <c r="AY24" s="30" t="inlineStr">
        <is>
          <t>01181521</t>
        </is>
      </c>
      <c r="AZ24" s="30" t="n">
        <v>1</v>
      </c>
      <c r="BA24" s="30" t="inlineStr">
        <is>
          <t>LIKELY_FINANCIAL_BY_NAME ROWS:p10r34 UNRECONCILED_SOURCE</t>
        </is>
      </c>
    </row>
    <row r="25">
      <c r="A25" s="16" t="inlineStr">
        <is>
          <t>KLT PARTICIPACOES SA</t>
        </is>
      </c>
      <c r="B25" s="17" t="n">
        <v>20417361.13</v>
      </c>
      <c r="C25" s="18" t="inlineStr">
        <is>
          <t>Grupo Rech</t>
        </is>
      </c>
      <c r="D25" s="19" t="inlineStr">
        <is>
          <t>NEW</t>
        </is>
      </c>
      <c r="E25" s="20" t="inlineStr"/>
      <c r="F25" s="19" t="inlineStr"/>
      <c r="G25" s="20" t="inlineStr"/>
      <c r="H25" s="19" t="inlineStr"/>
      <c r="I25" s="21" t="inlineStr">
        <is>
          <t>GILBERTO RECH</t>
        </is>
      </c>
      <c r="J25" s="21" t="inlineStr">
        <is>
          <t>Presidente (RFB partner)</t>
        </is>
      </c>
      <c r="K25" s="21" t="inlineStr">
        <is>
          <t>(47) 3062-8301</t>
        </is>
      </c>
      <c r="L25" s="21" t="inlineStr"/>
      <c r="M25" s="21" t="inlineStr"/>
      <c r="N25" s="21" t="inlineStr"/>
      <c r="O25" s="21" t="inlineStr"/>
      <c r="P25" s="21" t="inlineStr">
        <is>
          <t>DENIZE CRISTINA MARTINS RECH</t>
        </is>
      </c>
      <c r="Q25" s="21" t="inlineStr">
        <is>
          <t>Diretor (RFB partner)</t>
        </is>
      </c>
      <c r="R25" s="21" t="inlineStr"/>
      <c r="S25" s="21" t="inlineStr"/>
      <c r="T25" s="21" t="inlineStr">
        <is>
          <t>RFB partner (QSA); no Apollo match</t>
        </is>
      </c>
      <c r="U25" s="22" t="n">
        <v>20417361.13</v>
      </c>
      <c r="V25" s="23" t="inlineStr">
        <is>
          <t>B</t>
        </is>
      </c>
      <c r="W25" s="24">
        <f>IFERROR(VLOOKUP(V25,Assumptions!$A$7:$F$11,2,FALSE),0)</f>
        <v/>
      </c>
      <c r="X25" s="25">
        <f>IF(V25="A",MAX(1,IFERROR(VLOOKUP(V25,Assumptions!$A$7:$F$11,3,FALSE),3)+IFERROR(VLOOKUP(V25,Assumptions!$A$7:$F$11,4,FALSE),8)/2-MAX(0,IF(AO25="",0,YEAR(TODAY())-AO25)-IFERROR(VLOOKUP(V25,Assumptions!$A$7:$F$11,5,FALSE),1.5))),IFERROR(VLOOKUP(V25,Assumptions!$A$7:$F$11,5,FALSE),2.5)+IFERROR(VLOOKUP(V25,Assumptions!$A$7:$F$11,3,FALSE),3)+IFERROR(VLOOKUP(V25,Assumptions!$A$7:$F$11,4,FALSE),8)/2)</f>
        <v/>
      </c>
      <c r="Y25" s="22">
        <f>U25*W25/(1+Assumptions!$B$3)^X25</f>
        <v/>
      </c>
      <c r="Z25" s="26">
        <f>IF(U25=0,"",ROUND(Y25/U25*100,1))</f>
        <v/>
      </c>
      <c r="AA25" s="27">
        <f>Y25*Assumptions!$B$4</f>
        <v/>
      </c>
      <c r="AB25" s="26">
        <f>IF(U25=0,"",ROUND(AA25/U25*100,1))</f>
        <v/>
      </c>
      <c r="AC25" s="27">
        <f>Y25-AA25</f>
        <v/>
      </c>
      <c r="AD25" s="26">
        <f>IF(U25=0,"",ROUND((Y25-AA25)/U25*100,1))</f>
        <v/>
      </c>
      <c r="AE25" s="36" t="inlineStr">
        <is>
          <t>CHECK — source is not a statutory creditor list</t>
        </is>
      </c>
      <c r="AF25" s="29" t="inlineStr">
        <is>
          <t>https://credibilita.com.br/wp-content/uploads/2025/09/Relacao-Credores-29.04.2026.pdf</t>
        </is>
      </c>
      <c r="AG25" s="28" t="inlineStr">
        <is>
          <t>p1 r31</t>
        </is>
      </c>
      <c r="AH25" s="28" t="inlineStr">
        <is>
          <t>p1: R$ 20.417.361,13</t>
        </is>
      </c>
      <c r="AI25" s="28" t="inlineStr">
        <is>
          <t>Quorum list — NOT an art. 7/51 list</t>
        </is>
      </c>
      <c r="AJ25" s="28" t="inlineStr"/>
      <c r="AK25" s="28" t="inlineStr">
        <is>
          <t>NONE FOUND</t>
        </is>
      </c>
      <c r="AL25" s="30" t="inlineStr">
        <is>
          <t>5057720-48.2025.8.24.0023</t>
        </is>
      </c>
      <c r="AM25" s="30" t="inlineStr">
        <is>
          <t>TJSC</t>
        </is>
      </c>
      <c r="AN25" s="30" t="inlineStr"/>
      <c r="AO25" s="30" t="n">
        <v>2025</v>
      </c>
      <c r="AP25" s="30" t="inlineStr">
        <is>
          <t>live case, no plan document yet</t>
        </is>
      </c>
      <c r="AQ25" s="30" t="inlineStr"/>
      <c r="AR25" s="30" t="inlineStr">
        <is>
          <t>portal page title / URL — not printed on the list</t>
        </is>
      </c>
      <c r="AS25" s="30" t="inlineStr">
        <is>
          <t>ITAJAI</t>
        </is>
      </c>
      <c r="AT25" s="30" t="inlineStr">
        <is>
          <t>SC</t>
        </is>
      </c>
      <c r="AU25" s="30" t="inlineStr">
        <is>
          <t>Holdings de instituições não-financeiras</t>
        </is>
      </c>
      <c r="AV25" s="30" t="inlineStr">
        <is>
          <t>DEMAIS</t>
        </is>
      </c>
      <c r="AW25" s="31" t="n">
        <v>21290322</v>
      </c>
      <c r="AX25" s="30" t="inlineStr">
        <is>
          <t>MID-MARKET</t>
        </is>
      </c>
      <c r="AY25" s="30" t="inlineStr">
        <is>
          <t>11303092</t>
        </is>
      </c>
      <c r="AZ25" s="30" t="n">
        <v>1</v>
      </c>
      <c r="BA25" s="30" t="inlineStr">
        <is>
          <t>ROWS:p1r31 UNRECONCILED_SOURCE VALUE_COL:Valor_Após_Analise CASE_NUMBER_CORRECTED</t>
        </is>
      </c>
    </row>
    <row r="26">
      <c r="A26" s="16" t="inlineStr">
        <is>
          <t>Banco do Veneza Equipamentos Sul Comercio LTDA (CNPJ nº</t>
        </is>
      </c>
      <c r="B26" s="17" t="n">
        <v>19901498.91</v>
      </c>
      <c r="C26" s="18" t="inlineStr">
        <is>
          <t>CARAVAGGIO CONSTRUTORA LTDA</t>
        </is>
      </c>
      <c r="D26" s="19" t="inlineStr">
        <is>
          <t>NEW</t>
        </is>
      </c>
      <c r="E26" s="20" t="inlineStr"/>
      <c r="F26" s="19" t="inlineStr"/>
      <c r="G26" s="20" t="inlineStr"/>
      <c r="H26" s="19" t="inlineStr"/>
      <c r="I26" s="21" t="inlineStr">
        <is>
          <t>Ronaldo Lacerda</t>
        </is>
      </c>
      <c r="J26" s="21" t="inlineStr">
        <is>
          <t>Financial Director</t>
        </is>
      </c>
      <c r="K26" s="21" t="inlineStr"/>
      <c r="L26" s="21" t="inlineStr"/>
      <c r="M26" s="21" t="inlineStr"/>
      <c r="N26" s="21" t="inlineStr"/>
      <c r="O26" s="21" t="inlineStr"/>
      <c r="P26" s="21" t="inlineStr"/>
      <c r="Q26" s="21" t="inlineStr"/>
      <c r="R26" s="21" t="inlineStr"/>
      <c r="S26" s="21" t="inlineStr"/>
      <c r="T26" s="21" t="inlineStr">
        <is>
          <t>no work email found in Apollo</t>
        </is>
      </c>
      <c r="U26" s="22" t="n">
        <v>19901498.91</v>
      </c>
      <c r="V26" s="23" t="inlineStr">
        <is>
          <t>B</t>
        </is>
      </c>
      <c r="W26" s="24">
        <f>IFERROR(VLOOKUP(V26,Assumptions!$A$7:$F$11,2,FALSE),0)</f>
        <v/>
      </c>
      <c r="X26" s="25">
        <f>IF(V26="A",MAX(1,IFERROR(VLOOKUP(V26,Assumptions!$A$7:$F$11,3,FALSE),3)+IFERROR(VLOOKUP(V26,Assumptions!$A$7:$F$11,4,FALSE),8)/2-MAX(0,IF(AO26="",0,YEAR(TODAY())-AO26)-IFERROR(VLOOKUP(V26,Assumptions!$A$7:$F$11,5,FALSE),1.5))),IFERROR(VLOOKUP(V26,Assumptions!$A$7:$F$11,5,FALSE),2.5)+IFERROR(VLOOKUP(V26,Assumptions!$A$7:$F$11,3,FALSE),3)+IFERROR(VLOOKUP(V26,Assumptions!$A$7:$F$11,4,FALSE),8)/2)</f>
        <v/>
      </c>
      <c r="Y26" s="22">
        <f>U26*W26/(1+Assumptions!$B$3)^X26</f>
        <v/>
      </c>
      <c r="Z26" s="26">
        <f>IF(U26=0,"",ROUND(Y26/U26*100,1))</f>
        <v/>
      </c>
      <c r="AA26" s="27">
        <f>Y26*Assumptions!$B$4</f>
        <v/>
      </c>
      <c r="AB26" s="26">
        <f>IF(U26=0,"",ROUND(AA26/U26*100,1))</f>
        <v/>
      </c>
      <c r="AC26" s="27">
        <f>Y26-AA26</f>
        <v/>
      </c>
      <c r="AD26" s="26">
        <f>IF(U26=0,"",ROUND((Y26-AA26)/U26*100,1))</f>
        <v/>
      </c>
      <c r="AE26" s="33" t="inlineStr">
        <is>
          <t>NO TOTALS — list prints none; check page</t>
        </is>
      </c>
      <c r="AF26" s="29" t="inlineStr">
        <is>
          <t>https://marquesadmjudicial.com.br/sgc/download.php?file=files/processo_documento/processo_documento16562707032024_1_.pdf&amp;nome=2º Edital-Relação de Credores do art. 7, §2 da LREF e do Plano de Recuperação Judicial</t>
        </is>
      </c>
      <c r="AG26" s="28" t="inlineStr">
        <is>
          <t>p1 r43</t>
        </is>
      </c>
      <c r="AH26" s="28" t="inlineStr">
        <is>
          <t>p1: R$ 19.901.498,91</t>
        </is>
      </c>
      <c r="AI26" s="28" t="inlineStr">
        <is>
          <t>AJ list (art. 7 §2)</t>
        </is>
      </c>
      <c r="AJ26" s="28" t="inlineStr">
        <is>
          <t>2022-11-17</t>
        </is>
      </c>
      <c r="AK26" s="28" t="inlineStr">
        <is>
          <t>NONE FOUND</t>
        </is>
      </c>
      <c r="AL26" s="30" t="inlineStr">
        <is>
          <t>0037411-27.2022.8.16.0021</t>
        </is>
      </c>
      <c r="AM26" s="30" t="inlineStr">
        <is>
          <t>TJPR</t>
        </is>
      </c>
      <c r="AN26" s="30" t="inlineStr">
        <is>
          <t>ACTIVE</t>
        </is>
      </c>
      <c r="AO26" s="30" t="n">
        <v>2022</v>
      </c>
      <c r="AP26" s="30" t="inlineStr">
        <is>
          <t>live case, no plan document yet</t>
        </is>
      </c>
      <c r="AQ26" s="30" t="inlineStr">
        <is>
          <t>04.929.130/0001-64</t>
        </is>
      </c>
      <c r="AR26" s="30" t="inlineStr">
        <is>
          <t>printed on the list (read twice)</t>
        </is>
      </c>
      <c r="AS26" s="30" t="inlineStr"/>
      <c r="AT26" s="30" t="inlineStr"/>
      <c r="AU26" s="30" t="inlineStr"/>
      <c r="AV26" s="30" t="inlineStr"/>
      <c r="AW26" s="31" t="inlineStr"/>
      <c r="AX26" s="30" t="inlineStr">
        <is>
          <t>MID-MARKET</t>
        </is>
      </c>
      <c r="AY26" s="30" t="inlineStr">
        <is>
          <t>29644666</t>
        </is>
      </c>
      <c r="AZ26" s="30" t="n">
        <v>1</v>
      </c>
      <c r="BA26" s="30" t="inlineStr">
        <is>
          <t>LIKELY_FINANCIAL_BY_NAME MULTI_ROOT ROWS:p1r43 UNRECONCILED_SOURCE</t>
        </is>
      </c>
    </row>
    <row r="27">
      <c r="A27" s="16" t="inlineStr">
        <is>
          <t>BANCO ABC BRASIL S.A.</t>
        </is>
      </c>
      <c r="B27" s="17" t="n">
        <v>18590200.29</v>
      </c>
      <c r="C27" s="18" t="inlineStr">
        <is>
          <t>Grupo Rech</t>
        </is>
      </c>
      <c r="D27" s="19" t="inlineStr">
        <is>
          <t>NEW</t>
        </is>
      </c>
      <c r="E27" s="20" t="inlineStr"/>
      <c r="F27" s="19" t="inlineStr"/>
      <c r="G27" s="20" t="inlineStr"/>
      <c r="H27" s="19" t="inlineStr"/>
      <c r="I27" s="21" t="inlineStr">
        <is>
          <t>Luciano Makino</t>
        </is>
      </c>
      <c r="J27" s="21" t="inlineStr">
        <is>
          <t>Especialista de Recuperação de Crédito</t>
        </is>
      </c>
      <c r="K27" s="21" t="inlineStr">
        <is>
          <t>(11) 3170-2000</t>
        </is>
      </c>
      <c r="L27" s="21" t="inlineStr"/>
      <c r="M27" s="21" t="inlineStr"/>
      <c r="N27" s="21" t="inlineStr">
        <is>
          <t>luciano.makino@abcbrasil.com.br</t>
        </is>
      </c>
      <c r="O27" s="21" t="inlineStr">
        <is>
          <t>marilia.neves@abcbrasil.com.br</t>
        </is>
      </c>
      <c r="P27" s="21" t="inlineStr">
        <is>
          <t>Marilia Neves</t>
        </is>
      </c>
      <c r="Q27" s="21" t="inlineStr">
        <is>
          <t>Advogado Especialista em Recuperação de Crédito</t>
        </is>
      </c>
      <c r="R27" s="21" t="inlineStr"/>
      <c r="S27" s="21" t="inlineStr">
        <is>
          <t>marilia.neves@abcbrasil.com.br</t>
        </is>
      </c>
      <c r="T27" s="21" t="inlineStr">
        <is>
          <t>email verified by Apollo</t>
        </is>
      </c>
      <c r="U27" s="22" t="n">
        <v>18590200.29</v>
      </c>
      <c r="V27" s="23" t="inlineStr">
        <is>
          <t>B</t>
        </is>
      </c>
      <c r="W27" s="24">
        <f>IFERROR(VLOOKUP(V27,Assumptions!$A$7:$F$11,2,FALSE),0)</f>
        <v/>
      </c>
      <c r="X27" s="25">
        <f>IF(V27="A",MAX(1,IFERROR(VLOOKUP(V27,Assumptions!$A$7:$F$11,3,FALSE),3)+IFERROR(VLOOKUP(V27,Assumptions!$A$7:$F$11,4,FALSE),8)/2-MAX(0,IF(AO27="",0,YEAR(TODAY())-AO27)-IFERROR(VLOOKUP(V27,Assumptions!$A$7:$F$11,5,FALSE),1.5))),IFERROR(VLOOKUP(V27,Assumptions!$A$7:$F$11,5,FALSE),2.5)+IFERROR(VLOOKUP(V27,Assumptions!$A$7:$F$11,3,FALSE),3)+IFERROR(VLOOKUP(V27,Assumptions!$A$7:$F$11,4,FALSE),8)/2)</f>
        <v/>
      </c>
      <c r="Y27" s="22">
        <f>U27*W27/(1+Assumptions!$B$3)^X27</f>
        <v/>
      </c>
      <c r="Z27" s="26">
        <f>IF(U27=0,"",ROUND(Y27/U27*100,1))</f>
        <v/>
      </c>
      <c r="AA27" s="27">
        <f>Y27*Assumptions!$B$4</f>
        <v/>
      </c>
      <c r="AB27" s="26">
        <f>IF(U27=0,"",ROUND(AA27/U27*100,1))</f>
        <v/>
      </c>
      <c r="AC27" s="27">
        <f>Y27-AA27</f>
        <v/>
      </c>
      <c r="AD27" s="26">
        <f>IF(U27=0,"",ROUND((Y27-AA27)/U27*100,1))</f>
        <v/>
      </c>
      <c r="AE27" s="36" t="inlineStr">
        <is>
          <t>CHECK — source is not a statutory creditor list</t>
        </is>
      </c>
      <c r="AF27" s="29" t="inlineStr">
        <is>
          <t>https://credibilita.com.br/wp-content/uploads/2025/09/Relacao-Credores-29.04.2026.pdf</t>
        </is>
      </c>
      <c r="AG27" s="28" t="inlineStr">
        <is>
          <t>p1 r4; p1 r5</t>
        </is>
      </c>
      <c r="AH27" s="28" t="inlineStr">
        <is>
          <t>p1: R$ 16.575.188,17; p1: R$ 2.015.012,12</t>
        </is>
      </c>
      <c r="AI27" s="28" t="inlineStr">
        <is>
          <t>Quorum list — NOT an art. 7/51 list</t>
        </is>
      </c>
      <c r="AJ27" s="28" t="inlineStr"/>
      <c r="AK27" s="28" t="inlineStr">
        <is>
          <t>NONE FOUND</t>
        </is>
      </c>
      <c r="AL27" s="30" t="inlineStr">
        <is>
          <t>5057720-48.2025.8.24.0023</t>
        </is>
      </c>
      <c r="AM27" s="30" t="inlineStr">
        <is>
          <t>TJSC</t>
        </is>
      </c>
      <c r="AN27" s="30" t="inlineStr"/>
      <c r="AO27" s="30" t="n">
        <v>2025</v>
      </c>
      <c r="AP27" s="30" t="inlineStr">
        <is>
          <t>live case, no plan document yet</t>
        </is>
      </c>
      <c r="AQ27" s="30" t="inlineStr"/>
      <c r="AR27" s="30" t="inlineStr">
        <is>
          <t>portal page title / URL — not printed on the list</t>
        </is>
      </c>
      <c r="AS27" s="30" t="inlineStr">
        <is>
          <t>SAO PAULO</t>
        </is>
      </c>
      <c r="AT27" s="30" t="inlineStr">
        <is>
          <t>SP</t>
        </is>
      </c>
      <c r="AU27" s="30" t="inlineStr">
        <is>
          <t>Bancos múltiplos, com carteira comercial</t>
        </is>
      </c>
      <c r="AV27" s="30" t="inlineStr">
        <is>
          <t>DEMAIS</t>
        </is>
      </c>
      <c r="AW27" s="31" t="n">
        <v>6012662300</v>
      </c>
      <c r="AX27" s="30" t="inlineStr">
        <is>
          <t>LARGE CORP</t>
        </is>
      </c>
      <c r="AY27" s="30" t="inlineStr">
        <is>
          <t>28195667</t>
        </is>
      </c>
      <c r="AZ27" s="30" t="n">
        <v>2</v>
      </c>
      <c r="BA27" s="30" t="inlineStr">
        <is>
          <t>ROWS:p1r4,p1r5 UNRECONCILED_SOURCE VALUE_COL:Valor_Após_Analise CASE_NUMBER_CORRECTED</t>
        </is>
      </c>
    </row>
    <row r="28">
      <c r="A28" s="16" t="inlineStr">
        <is>
          <t>BANCO SAFRA S A</t>
        </is>
      </c>
      <c r="B28" s="17" t="n">
        <v>8644481.52</v>
      </c>
      <c r="C28" s="18" t="inlineStr">
        <is>
          <t>GRUPO 3E</t>
        </is>
      </c>
      <c r="D28" s="19" t="inlineStr">
        <is>
          <t>NEW</t>
        </is>
      </c>
      <c r="E28" s="20" t="inlineStr"/>
      <c r="F28" s="19" t="inlineStr"/>
      <c r="G28" s="20" t="inlineStr"/>
      <c r="H28" s="19" t="inlineStr"/>
      <c r="I28" s="21" t="inlineStr">
        <is>
          <t>Vanessa Biotti</t>
        </is>
      </c>
      <c r="J28" s="21" t="inlineStr">
        <is>
          <t>Gerente de Recuperação de Crédito</t>
        </is>
      </c>
      <c r="K28" s="21" t="inlineStr">
        <is>
          <t>(11) 3175-7575</t>
        </is>
      </c>
      <c r="L28" s="21" t="inlineStr"/>
      <c r="M28" s="21" t="inlineStr"/>
      <c r="N28" s="21" t="inlineStr">
        <is>
          <t>vanessa.biotti@safra.com.br</t>
        </is>
      </c>
      <c r="O28" s="21" t="inlineStr">
        <is>
          <t>rodrigo.anjos@safra.com.br</t>
        </is>
      </c>
      <c r="P28" s="21" t="inlineStr">
        <is>
          <t>Rodrigo Anjos</t>
        </is>
      </c>
      <c r="Q28" s="21" t="inlineStr">
        <is>
          <t>Advogado Sênior - Jurídico Contencioso - Recuperação de Crédito - NPL</t>
        </is>
      </c>
      <c r="R28" s="21" t="inlineStr"/>
      <c r="S28" s="21" t="inlineStr">
        <is>
          <t>rodrigo.anjos@safra.com.br</t>
        </is>
      </c>
      <c r="T28" s="21" t="inlineStr">
        <is>
          <t>email verified by Apollo</t>
        </is>
      </c>
      <c r="U28" s="22" t="n">
        <v>8644481.52</v>
      </c>
      <c r="V28" s="35" t="inlineStr">
        <is>
          <t>A</t>
        </is>
      </c>
      <c r="W28" s="24">
        <f>IFERROR(VLOOKUP(V28,Assumptions!$A$7:$F$11,2,FALSE),0)</f>
        <v/>
      </c>
      <c r="X28" s="25">
        <f>IF(V28="A",MAX(1,IFERROR(VLOOKUP(V28,Assumptions!$A$7:$F$11,3,FALSE),3)+IFERROR(VLOOKUP(V28,Assumptions!$A$7:$F$11,4,FALSE),8)/2-MAX(0,IF(AO28="",0,YEAR(TODAY())-AO28)-IFERROR(VLOOKUP(V28,Assumptions!$A$7:$F$11,5,FALSE),1.5))),IFERROR(VLOOKUP(V28,Assumptions!$A$7:$F$11,5,FALSE),2.5)+IFERROR(VLOOKUP(V28,Assumptions!$A$7:$F$11,3,FALSE),3)+IFERROR(VLOOKUP(V28,Assumptions!$A$7:$F$11,4,FALSE),8)/2)</f>
        <v/>
      </c>
      <c r="Y28" s="22">
        <f>U28*W28/(1+Assumptions!$B$3)^X28</f>
        <v/>
      </c>
      <c r="Z28" s="26">
        <f>IF(U28=0,"",ROUND(Y28/U28*100,1))</f>
        <v/>
      </c>
      <c r="AA28" s="27">
        <f>Y28*Assumptions!$B$4</f>
        <v/>
      </c>
      <c r="AB28" s="26">
        <f>IF(U28=0,"",ROUND(AA28/U28*100,1))</f>
        <v/>
      </c>
      <c r="AC28" s="27">
        <f>Y28-AA28</f>
        <v/>
      </c>
      <c r="AD28" s="26">
        <f>IF(U28=0,"",ROUND((Y28-AA28)/U28*100,1))</f>
        <v/>
      </c>
      <c r="AE28" s="33" t="inlineStr">
        <is>
          <t>NO TOTALS — list prints none; check page</t>
        </is>
      </c>
      <c r="AF28" s="29" t="inlineStr">
        <is>
          <t>https://stenius.com.br/wp-content/uploads/2026/06/EDITAL-GRUPO-3E.pdf</t>
        </is>
      </c>
      <c r="AG28" s="28" t="inlineStr">
        <is>
          <t>p10 r38</t>
        </is>
      </c>
      <c r="AH28" s="28" t="inlineStr">
        <is>
          <t>p10: R$ 8.644.481,52</t>
        </is>
      </c>
      <c r="AI28" s="28" t="inlineStr">
        <is>
          <t>Debtor list (art. 51)</t>
        </is>
      </c>
      <c r="AJ28" s="28" t="inlineStr">
        <is>
          <t>2026-06-22</t>
        </is>
      </c>
      <c r="AK28" s="28" t="inlineStr">
        <is>
          <t>PLAN DOC FOUND</t>
        </is>
      </c>
      <c r="AL28" s="30" t="inlineStr">
        <is>
          <t>5341375-33.2026.8.09.0049</t>
        </is>
      </c>
      <c r="AM28" s="30" t="inlineStr">
        <is>
          <t>TJGO</t>
        </is>
      </c>
      <c r="AN28" s="30" t="inlineStr">
        <is>
          <t>ACTIVE</t>
        </is>
      </c>
      <c r="AO28" s="30" t="n">
        <v>2026</v>
      </c>
      <c r="AP28" s="30" t="inlineStr">
        <is>
          <t>plan/homologation document found</t>
        </is>
      </c>
      <c r="AQ28" s="30" t="inlineStr"/>
      <c r="AR28" s="30" t="inlineStr">
        <is>
          <t>printed on the list (read twice)</t>
        </is>
      </c>
      <c r="AS28" s="30" t="inlineStr">
        <is>
          <t>SAO PAULO</t>
        </is>
      </c>
      <c r="AT28" s="30" t="inlineStr">
        <is>
          <t>SP</t>
        </is>
      </c>
      <c r="AU28" s="30" t="inlineStr">
        <is>
          <t>Bancos múltiplos, com carteira comercial</t>
        </is>
      </c>
      <c r="AV28" s="30" t="inlineStr">
        <is>
          <t>DEMAIS</t>
        </is>
      </c>
      <c r="AW28" s="31" t="n">
        <v>13924903000</v>
      </c>
      <c r="AX28" s="30" t="inlineStr">
        <is>
          <t>LARGE CORP</t>
        </is>
      </c>
      <c r="AY28" s="30" t="inlineStr">
        <is>
          <t>58160789</t>
        </is>
      </c>
      <c r="AZ28" s="30" t="n">
        <v>1</v>
      </c>
      <c r="BA28" s="30" t="inlineStr">
        <is>
          <t>LIKELY_FINANCIAL_BY_NAME ROWS:p10r38 UNRECONCILED_SOURCE</t>
        </is>
      </c>
    </row>
    <row r="29">
      <c r="A29" s="16" t="inlineStr">
        <is>
          <t>Cooperativa de Crédito de Livre Admissão Centro Oeste Ltda - Sicoob Emprecred</t>
        </is>
      </c>
      <c r="B29" s="17" t="n">
        <v>7977879.63</v>
      </c>
      <c r="C29" s="18" t="inlineStr">
        <is>
          <t>GRUPO 3E</t>
        </is>
      </c>
      <c r="D29" s="19" t="inlineStr">
        <is>
          <t>NEW</t>
        </is>
      </c>
      <c r="E29" s="20" t="inlineStr"/>
      <c r="F29" s="19" t="inlineStr"/>
      <c r="G29" s="20" t="inlineStr"/>
      <c r="H29" s="19" t="inlineStr"/>
      <c r="I29" s="21" t="inlineStr">
        <is>
          <t>Larissa Godoy</t>
        </is>
      </c>
      <c r="J29" s="21" t="inlineStr">
        <is>
          <t>Coordenadora de Crédito e Cadastro</t>
        </is>
      </c>
      <c r="K29" s="21" t="inlineStr"/>
      <c r="L29" s="21" t="inlineStr"/>
      <c r="M29" s="21" t="inlineStr"/>
      <c r="N29" s="21" t="inlineStr">
        <is>
          <t>larissa.godoy@sicoobemprecred.com.br</t>
        </is>
      </c>
      <c r="O29" s="21" t="inlineStr">
        <is>
          <t>alice.nascimento@sicoobemprecred.com.br</t>
        </is>
      </c>
      <c r="P29" s="21" t="inlineStr">
        <is>
          <t>Alice Nascimento</t>
        </is>
      </c>
      <c r="Q29" s="21" t="inlineStr">
        <is>
          <t>Assistente de Cobrança e Recuperação de Crédito</t>
        </is>
      </c>
      <c r="R29" s="21" t="inlineStr"/>
      <c r="S29" s="21" t="inlineStr">
        <is>
          <t>alice.nascimento@sicoobemprecred.com.br</t>
        </is>
      </c>
      <c r="T29" s="21" t="inlineStr">
        <is>
          <t>email is pattern-guessed, not verified</t>
        </is>
      </c>
      <c r="U29" s="22" t="n">
        <v>7977879.63</v>
      </c>
      <c r="V29" s="35" t="inlineStr">
        <is>
          <t>A</t>
        </is>
      </c>
      <c r="W29" s="24">
        <f>IFERROR(VLOOKUP(V29,Assumptions!$A$7:$F$11,2,FALSE),0)</f>
        <v/>
      </c>
      <c r="X29" s="25">
        <f>IF(V29="A",MAX(1,IFERROR(VLOOKUP(V29,Assumptions!$A$7:$F$11,3,FALSE),3)+IFERROR(VLOOKUP(V29,Assumptions!$A$7:$F$11,4,FALSE),8)/2-MAX(0,IF(AO29="",0,YEAR(TODAY())-AO29)-IFERROR(VLOOKUP(V29,Assumptions!$A$7:$F$11,5,FALSE),1.5))),IFERROR(VLOOKUP(V29,Assumptions!$A$7:$F$11,5,FALSE),2.5)+IFERROR(VLOOKUP(V29,Assumptions!$A$7:$F$11,3,FALSE),3)+IFERROR(VLOOKUP(V29,Assumptions!$A$7:$F$11,4,FALSE),8)/2)</f>
        <v/>
      </c>
      <c r="Y29" s="22">
        <f>U29*W29/(1+Assumptions!$B$3)^X29</f>
        <v/>
      </c>
      <c r="Z29" s="26">
        <f>IF(U29=0,"",ROUND(Y29/U29*100,1))</f>
        <v/>
      </c>
      <c r="AA29" s="27">
        <f>Y29*Assumptions!$B$4</f>
        <v/>
      </c>
      <c r="AB29" s="26">
        <f>IF(U29=0,"",ROUND(AA29/U29*100,1))</f>
        <v/>
      </c>
      <c r="AC29" s="27">
        <f>Y29-AA29</f>
        <v/>
      </c>
      <c r="AD29" s="26">
        <f>IF(U29=0,"",ROUND((Y29-AA29)/U29*100,1))</f>
        <v/>
      </c>
      <c r="AE29" s="33" t="inlineStr">
        <is>
          <t>NO TOTALS — list prints none; check page</t>
        </is>
      </c>
      <c r="AF29" s="29" t="inlineStr">
        <is>
          <t>https://stenius.com.br/wp-content/uploads/2026/06/EDITAL-GRUPO-3E.pdf</t>
        </is>
      </c>
      <c r="AG29" s="28" t="inlineStr">
        <is>
          <t>p12 r7</t>
        </is>
      </c>
      <c r="AH29" s="28" t="inlineStr">
        <is>
          <t>p12: R$ 7.977.879,63</t>
        </is>
      </c>
      <c r="AI29" s="28" t="inlineStr">
        <is>
          <t>Debtor list (art. 51)</t>
        </is>
      </c>
      <c r="AJ29" s="28" t="inlineStr">
        <is>
          <t>2026-06-22</t>
        </is>
      </c>
      <c r="AK29" s="28" t="inlineStr">
        <is>
          <t>PLAN DOC FOUND</t>
        </is>
      </c>
      <c r="AL29" s="30" t="inlineStr">
        <is>
          <t>5341375-33.2026.8.09.0049</t>
        </is>
      </c>
      <c r="AM29" s="30" t="inlineStr">
        <is>
          <t>TJGO</t>
        </is>
      </c>
      <c r="AN29" s="30" t="inlineStr">
        <is>
          <t>ACTIVE</t>
        </is>
      </c>
      <c r="AO29" s="30" t="n">
        <v>2026</v>
      </c>
      <c r="AP29" s="30" t="inlineStr">
        <is>
          <t>plan/homologation document found</t>
        </is>
      </c>
      <c r="AQ29" s="30" t="inlineStr"/>
      <c r="AR29" s="30" t="inlineStr">
        <is>
          <t>printed on the list (read twice)</t>
        </is>
      </c>
      <c r="AS29" s="30" t="inlineStr"/>
      <c r="AT29" s="30" t="inlineStr"/>
      <c r="AU29" s="30" t="inlineStr"/>
      <c r="AV29" s="30" t="inlineStr"/>
      <c r="AW29" s="31" t="inlineStr"/>
      <c r="AX29" s="30" t="inlineStr">
        <is>
          <t>MID-MARKET</t>
        </is>
      </c>
      <c r="AY29" s="30" t="inlineStr">
        <is>
          <t>07502031</t>
        </is>
      </c>
      <c r="AZ29" s="30" t="n">
        <v>1</v>
      </c>
      <c r="BA29" s="30" t="inlineStr">
        <is>
          <t>LIKELY_FINANCIAL_BY_NAME ROWS:p12r7 UNRECONCILED_SOURCE</t>
        </is>
      </c>
    </row>
    <row r="30">
      <c r="A30" s="16" t="inlineStr">
        <is>
          <t>FUNDO DE INVESTIMENTO EM DIREITOS CREDITÓRIOS NÃO PADRONIZADOS MULTISSETORIA L BS NP</t>
        </is>
      </c>
      <c r="B30" s="17" t="n">
        <v>14857604.68</v>
      </c>
      <c r="C30" s="18" t="inlineStr">
        <is>
          <t>Grupo Conduscabos</t>
        </is>
      </c>
      <c r="D30" s="19" t="inlineStr">
        <is>
          <t>NEW</t>
        </is>
      </c>
      <c r="E30" s="20" t="inlineStr"/>
      <c r="F30" s="19" t="inlineStr"/>
      <c r="G30" s="20" t="inlineStr"/>
      <c r="H30" s="19" t="inlineStr"/>
      <c r="I30" s="21" t="inlineStr"/>
      <c r="J30" s="21" t="inlineStr"/>
      <c r="K30" s="21" t="inlineStr"/>
      <c r="L30" s="21" t="inlineStr"/>
      <c r="M30" s="21" t="inlineStr"/>
      <c r="N30" s="21" t="inlineStr"/>
      <c r="O30" s="21" t="inlineStr"/>
      <c r="P30" s="21" t="inlineStr"/>
      <c r="Q30" s="21" t="inlineStr"/>
      <c r="R30" s="21" t="inlineStr"/>
      <c r="S30" s="21" t="inlineStr"/>
      <c r="T30" s="21" t="inlineStr">
        <is>
          <t>no named contact found</t>
        </is>
      </c>
      <c r="U30" s="22" t="n">
        <v>14857604.68</v>
      </c>
      <c r="V30" s="23" t="inlineStr">
        <is>
          <t>B</t>
        </is>
      </c>
      <c r="W30" s="24">
        <f>IFERROR(VLOOKUP(V30,Assumptions!$A$7:$F$11,2,FALSE),0)</f>
        <v/>
      </c>
      <c r="X30" s="25">
        <f>IF(V30="A",MAX(1,IFERROR(VLOOKUP(V30,Assumptions!$A$7:$F$11,3,FALSE),3)+IFERROR(VLOOKUP(V30,Assumptions!$A$7:$F$11,4,FALSE),8)/2-MAX(0,IF(AO30="",0,YEAR(TODAY())-AO30)-IFERROR(VLOOKUP(V30,Assumptions!$A$7:$F$11,5,FALSE),1.5))),IFERROR(VLOOKUP(V30,Assumptions!$A$7:$F$11,5,FALSE),2.5)+IFERROR(VLOOKUP(V30,Assumptions!$A$7:$F$11,3,FALSE),3)+IFERROR(VLOOKUP(V30,Assumptions!$A$7:$F$11,4,FALSE),8)/2)</f>
        <v/>
      </c>
      <c r="Y30" s="22">
        <f>U30*W30/(1+Assumptions!$B$3)^X30</f>
        <v/>
      </c>
      <c r="Z30" s="26">
        <f>IF(U30=0,"",ROUND(Y30/U30*100,1))</f>
        <v/>
      </c>
      <c r="AA30" s="27">
        <f>Y30*Assumptions!$B$4</f>
        <v/>
      </c>
      <c r="AB30" s="26">
        <f>IF(U30=0,"",ROUND(AA30/U30*100,1))</f>
        <v/>
      </c>
      <c r="AC30" s="27">
        <f>Y30-AA30</f>
        <v/>
      </c>
      <c r="AD30" s="26">
        <f>IF(U30=0,"",ROUND((Y30-AA30)/U30*100,1))</f>
        <v/>
      </c>
      <c r="AE30" s="33" t="inlineStr">
        <is>
          <t>NO TOTALS — list prints none; check page</t>
        </is>
      </c>
      <c r="AF30" s="29" t="inlineStr">
        <is>
          <t>https://assistjud.com.br/wp-content/uploads/elementor/forms/65098c80a5824.pdf</t>
        </is>
      </c>
      <c r="AG30" s="28" t="inlineStr">
        <is>
          <t>p7 r8; p10 r1; p18 r2</t>
        </is>
      </c>
      <c r="AH30" s="28" t="inlineStr">
        <is>
          <t>p7: R$ 10.954.112,61; p10: R$ 1.455.516,44; p18: R$ 2.447.975,63</t>
        </is>
      </c>
      <c r="AI30" s="28" t="inlineStr">
        <is>
          <t>AJ list (art. 7 §2)</t>
        </is>
      </c>
      <c r="AJ30" s="28" t="inlineStr">
        <is>
          <t>2023-09-18</t>
        </is>
      </c>
      <c r="AK30" s="28" t="inlineStr">
        <is>
          <t>NONE FOUND</t>
        </is>
      </c>
      <c r="AL30" s="30" t="inlineStr">
        <is>
          <t>8005129-09.2023.8.05.0039</t>
        </is>
      </c>
      <c r="AM30" s="30" t="inlineStr">
        <is>
          <t>TJBA</t>
        </is>
      </c>
      <c r="AN30" s="30" t="inlineStr">
        <is>
          <t>ACTIVE</t>
        </is>
      </c>
      <c r="AO30" s="30" t="n">
        <v>2023</v>
      </c>
      <c r="AP30" s="30" t="inlineStr">
        <is>
          <t>live case, no plan document yet</t>
        </is>
      </c>
      <c r="AQ30" s="30" t="inlineStr"/>
      <c r="AR30" s="30" t="inlineStr">
        <is>
          <t>printed on the list (read twice)</t>
        </is>
      </c>
      <c r="AS30" s="30" t="inlineStr"/>
      <c r="AT30" s="30" t="inlineStr"/>
      <c r="AU30" s="30" t="inlineStr"/>
      <c r="AV30" s="30" t="inlineStr"/>
      <c r="AW30" s="31" t="inlineStr"/>
      <c r="AX30" s="30" t="inlineStr">
        <is>
          <t>MID-MARKET</t>
        </is>
      </c>
      <c r="AY30" s="30" t="inlineStr">
        <is>
          <t>12428086</t>
        </is>
      </c>
      <c r="AZ30" s="30" t="n">
        <v>3</v>
      </c>
      <c r="BA30" s="30" t="inlineStr">
        <is>
          <t>LIKELY_FINANCIAL_BY_NAME ROWS:p7r8,p10r1,p18r2 UNRECONCILED_SOURCE</t>
        </is>
      </c>
    </row>
    <row r="31">
      <c r="A31" s="16" t="inlineStr">
        <is>
          <t>BOCOM BBM CORPORATE CREDIT HIGH YIELD FIF - CLASSE DE INVESTIMENTO MULT CRED PRIV - RESP LIMITADA</t>
        </is>
      </c>
      <c r="B31" s="17" t="n">
        <v>14500488.51</v>
      </c>
      <c r="C31" s="18" t="inlineStr">
        <is>
          <t>Grupo Rech</t>
        </is>
      </c>
      <c r="D31" s="19" t="inlineStr">
        <is>
          <t>NEW</t>
        </is>
      </c>
      <c r="E31" s="20" t="inlineStr"/>
      <c r="F31" s="19" t="inlineStr"/>
      <c r="G31" s="20" t="inlineStr"/>
      <c r="H31" s="19" t="inlineStr"/>
      <c r="I31" s="21" t="inlineStr">
        <is>
          <t>Rodrigo Caleiro</t>
        </is>
      </c>
      <c r="J31" s="21" t="inlineStr">
        <is>
          <t>Credit Manager | Large Corporate</t>
        </is>
      </c>
      <c r="K31" s="21" t="inlineStr">
        <is>
          <t>(11) 3684-5122</t>
        </is>
      </c>
      <c r="L31" s="21" t="inlineStr"/>
      <c r="M31" s="21" t="inlineStr"/>
      <c r="N31" s="21" t="inlineStr">
        <is>
          <t>rodrigocaleiro@bocombbm.com.br</t>
        </is>
      </c>
      <c r="O31" s="21" t="inlineStr">
        <is>
          <t>thaynafranca@bocombbm.com.br</t>
        </is>
      </c>
      <c r="P31" s="21" t="inlineStr">
        <is>
          <t>Thayna Franca</t>
        </is>
      </c>
      <c r="Q31" s="21" t="inlineStr">
        <is>
          <t>Analista de Controle de Crédito</t>
        </is>
      </c>
      <c r="R31" s="21" t="inlineStr"/>
      <c r="S31" s="21" t="inlineStr">
        <is>
          <t>thaynafranca@bocombbm.com.br</t>
        </is>
      </c>
      <c r="T31" s="21" t="inlineStr">
        <is>
          <t>email verified by Apollo</t>
        </is>
      </c>
      <c r="U31" s="22" t="n">
        <v>14500488.51</v>
      </c>
      <c r="V31" s="23" t="inlineStr">
        <is>
          <t>B</t>
        </is>
      </c>
      <c r="W31" s="24">
        <f>IFERROR(VLOOKUP(V31,Assumptions!$A$7:$F$11,2,FALSE),0)</f>
        <v/>
      </c>
      <c r="X31" s="25">
        <f>IF(V31="A",MAX(1,IFERROR(VLOOKUP(V31,Assumptions!$A$7:$F$11,3,FALSE),3)+IFERROR(VLOOKUP(V31,Assumptions!$A$7:$F$11,4,FALSE),8)/2-MAX(0,IF(AO31="",0,YEAR(TODAY())-AO31)-IFERROR(VLOOKUP(V31,Assumptions!$A$7:$F$11,5,FALSE),1.5))),IFERROR(VLOOKUP(V31,Assumptions!$A$7:$F$11,5,FALSE),2.5)+IFERROR(VLOOKUP(V31,Assumptions!$A$7:$F$11,3,FALSE),3)+IFERROR(VLOOKUP(V31,Assumptions!$A$7:$F$11,4,FALSE),8)/2)</f>
        <v/>
      </c>
      <c r="Y31" s="22">
        <f>U31*W31/(1+Assumptions!$B$3)^X31</f>
        <v/>
      </c>
      <c r="Z31" s="26">
        <f>IF(U31=0,"",ROUND(Y31/U31*100,1))</f>
        <v/>
      </c>
      <c r="AA31" s="27">
        <f>Y31*Assumptions!$B$4</f>
        <v/>
      </c>
      <c r="AB31" s="26">
        <f>IF(U31=0,"",ROUND(AA31/U31*100,1))</f>
        <v/>
      </c>
      <c r="AC31" s="27">
        <f>Y31-AA31</f>
        <v/>
      </c>
      <c r="AD31" s="26">
        <f>IF(U31=0,"",ROUND((Y31-AA31)/U31*100,1))</f>
        <v/>
      </c>
      <c r="AE31" s="36" t="inlineStr">
        <is>
          <t>CHECK — source is not a statutory creditor list</t>
        </is>
      </c>
      <c r="AF31" s="29" t="inlineStr">
        <is>
          <t>https://credibilita.com.br/wp-content/uploads/2025/09/Relacao-Credores-29.04.2026.pdf</t>
        </is>
      </c>
      <c r="AG31" s="28" t="inlineStr">
        <is>
          <t>p1 r15</t>
        </is>
      </c>
      <c r="AH31" s="28" t="inlineStr">
        <is>
          <t>p1: R$ 14.500.488,51</t>
        </is>
      </c>
      <c r="AI31" s="28" t="inlineStr">
        <is>
          <t>Quorum list — NOT an art. 7/51 list</t>
        </is>
      </c>
      <c r="AJ31" s="28" t="inlineStr"/>
      <c r="AK31" s="28" t="inlineStr">
        <is>
          <t>NONE FOUND</t>
        </is>
      </c>
      <c r="AL31" s="30" t="inlineStr">
        <is>
          <t>5057720-48.2025.8.24.0023</t>
        </is>
      </c>
      <c r="AM31" s="30" t="inlineStr">
        <is>
          <t>TJSC</t>
        </is>
      </c>
      <c r="AN31" s="30" t="inlineStr"/>
      <c r="AO31" s="30" t="n">
        <v>2025</v>
      </c>
      <c r="AP31" s="30" t="inlineStr">
        <is>
          <t>live case, no plan document yet</t>
        </is>
      </c>
      <c r="AQ31" s="30" t="inlineStr"/>
      <c r="AR31" s="30" t="inlineStr">
        <is>
          <t>portal page title / URL — not printed on the list</t>
        </is>
      </c>
      <c r="AS31" s="30" t="inlineStr">
        <is>
          <t>OSASCO</t>
        </is>
      </c>
      <c r="AT31" s="30" t="inlineStr">
        <is>
          <t>SP</t>
        </is>
      </c>
      <c r="AU31" s="30" t="inlineStr">
        <is>
          <t>Fundos de investimento, exceto previdenciários e imobiliários</t>
        </is>
      </c>
      <c r="AV31" s="30" t="inlineStr">
        <is>
          <t>DEMAIS</t>
        </is>
      </c>
      <c r="AW31" s="31" t="inlineStr"/>
      <c r="AX31" s="30" t="inlineStr">
        <is>
          <t>MID-MARKET</t>
        </is>
      </c>
      <c r="AY31" s="30" t="inlineStr">
        <is>
          <t>34799393</t>
        </is>
      </c>
      <c r="AZ31" s="30" t="n">
        <v>1</v>
      </c>
      <c r="BA31" s="30" t="inlineStr">
        <is>
          <t>ROWS:p1r15 UNRECONCILED_SOURCE VALUE_COL:Valor_Após_Analise CASE_NUMBER_CORRECTED</t>
        </is>
      </c>
    </row>
    <row r="32">
      <c r="A32" s="16" t="inlineStr">
        <is>
          <t>BANCO SANTANDER (BRASIL) S.A.</t>
        </is>
      </c>
      <c r="B32" s="17" t="n">
        <v>13569297.24</v>
      </c>
      <c r="C32" s="18" t="inlineStr">
        <is>
          <t>GRUPO IMOBI</t>
        </is>
      </c>
      <c r="D32" s="19" t="inlineStr">
        <is>
          <t>NEW</t>
        </is>
      </c>
      <c r="E32" s="20" t="inlineStr"/>
      <c r="F32" s="19" t="inlineStr"/>
      <c r="G32" s="20" t="inlineStr"/>
      <c r="H32" s="19" t="inlineStr"/>
      <c r="I32" s="21" t="inlineStr">
        <is>
          <t>Igor Puertas</t>
        </is>
      </c>
      <c r="J32" s="21" t="inlineStr">
        <is>
          <t>Distressed Assets | NPL</t>
        </is>
      </c>
      <c r="K32" s="21" t="inlineStr">
        <is>
          <t>(11) 4004-3535</t>
        </is>
      </c>
      <c r="L32" s="21" t="inlineStr"/>
      <c r="M32" s="21" t="inlineStr"/>
      <c r="N32" s="21" t="inlineStr">
        <is>
          <t>igor.puertas@santander.com.br</t>
        </is>
      </c>
      <c r="O32" s="21" t="inlineStr">
        <is>
          <t>antonio.pequeno.junior@santander.com.br</t>
        </is>
      </c>
      <c r="P32" s="21" t="inlineStr">
        <is>
          <t>Antonio Junior</t>
        </is>
      </c>
      <c r="Q32" s="21" t="inlineStr">
        <is>
          <t>Superintendente Recuperação de Crédito</t>
        </is>
      </c>
      <c r="R32" s="21" t="inlineStr"/>
      <c r="S32" s="21" t="inlineStr">
        <is>
          <t>antonio.pequeno.junior@santander.com.br</t>
        </is>
      </c>
      <c r="T32" s="21" t="inlineStr">
        <is>
          <t>email verified by Apollo</t>
        </is>
      </c>
      <c r="U32" s="22" t="n">
        <v>13569297.24</v>
      </c>
      <c r="V32" s="23" t="inlineStr">
        <is>
          <t>B</t>
        </is>
      </c>
      <c r="W32" s="24">
        <f>IFERROR(VLOOKUP(V32,Assumptions!$A$7:$F$11,2,FALSE),0)</f>
        <v/>
      </c>
      <c r="X32" s="25">
        <f>IF(V32="A",MAX(1,IFERROR(VLOOKUP(V32,Assumptions!$A$7:$F$11,3,FALSE),3)+IFERROR(VLOOKUP(V32,Assumptions!$A$7:$F$11,4,FALSE),8)/2-MAX(0,IF(AO32="",0,YEAR(TODAY())-AO32)-IFERROR(VLOOKUP(V32,Assumptions!$A$7:$F$11,5,FALSE),1.5))),IFERROR(VLOOKUP(V32,Assumptions!$A$7:$F$11,5,FALSE),2.5)+IFERROR(VLOOKUP(V32,Assumptions!$A$7:$F$11,3,FALSE),3)+IFERROR(VLOOKUP(V32,Assumptions!$A$7:$F$11,4,FALSE),8)/2)</f>
        <v/>
      </c>
      <c r="Y32" s="22">
        <f>U32*W32/(1+Assumptions!$B$3)^X32</f>
        <v/>
      </c>
      <c r="Z32" s="26">
        <f>IF(U32=0,"",ROUND(Y32/U32*100,1))</f>
        <v/>
      </c>
      <c r="AA32" s="27">
        <f>Y32*Assumptions!$B$4</f>
        <v/>
      </c>
      <c r="AB32" s="26">
        <f>IF(U32=0,"",ROUND(AA32/U32*100,1))</f>
        <v/>
      </c>
      <c r="AC32" s="27">
        <f>Y32-AA32</f>
        <v/>
      </c>
      <c r="AD32" s="26">
        <f>IF(U32=0,"",ROUND((Y32-AA32)/U32*100,1))</f>
        <v/>
      </c>
      <c r="AE32" s="28" t="inlineStr">
        <is>
          <t>OK — totals reconciled</t>
        </is>
      </c>
      <c r="AF32" s="29" t="inlineStr">
        <is>
          <t>https://lrflideres.com.br/wp-content/plugins/download-attachments/includes/download.php?id=6273</t>
        </is>
      </c>
      <c r="AG32" s="28" t="inlineStr">
        <is>
          <t>p3 r95</t>
        </is>
      </c>
      <c r="AH32" s="28" t="inlineStr">
        <is>
          <t>p3: R$ 13.569.297,24</t>
        </is>
      </c>
      <c r="AI32" s="28" t="inlineStr">
        <is>
          <t>AJ list (art. 7 §2)</t>
        </is>
      </c>
      <c r="AJ32" s="28" t="inlineStr">
        <is>
          <t>2024-11-14</t>
        </is>
      </c>
      <c r="AK32" s="28" t="inlineStr">
        <is>
          <t>NONE FOUND</t>
        </is>
      </c>
      <c r="AL32" s="30" t="inlineStr">
        <is>
          <t>0074500-63.2024.8.17.2001</t>
        </is>
      </c>
      <c r="AM32" s="30" t="inlineStr">
        <is>
          <t>TJPE</t>
        </is>
      </c>
      <c r="AN32" s="30" t="inlineStr">
        <is>
          <t>ACTIVE</t>
        </is>
      </c>
      <c r="AO32" s="30" t="n">
        <v>2024</v>
      </c>
      <c r="AP32" s="30" t="inlineStr">
        <is>
          <t>live case, no plan document yet</t>
        </is>
      </c>
      <c r="AQ32" s="30" t="inlineStr">
        <is>
          <t>02.284.048/0001-02</t>
        </is>
      </c>
      <c r="AR32" s="30" t="inlineStr">
        <is>
          <t>printed on the list (read twice)</t>
        </is>
      </c>
      <c r="AS32" s="30" t="inlineStr">
        <is>
          <t>SAO PAULO</t>
        </is>
      </c>
      <c r="AT32" s="30" t="inlineStr">
        <is>
          <t>SP</t>
        </is>
      </c>
      <c r="AU32" s="30" t="inlineStr">
        <is>
          <t>Bancos múltiplos, com carteira comercial</t>
        </is>
      </c>
      <c r="AV32" s="30" t="inlineStr">
        <is>
          <t>DEMAIS</t>
        </is>
      </c>
      <c r="AW32" s="31" t="n">
        <v>65000000000</v>
      </c>
      <c r="AX32" s="30" t="inlineStr">
        <is>
          <t>LARGE CORP</t>
        </is>
      </c>
      <c r="AY32" s="30" t="inlineStr">
        <is>
          <t>90400888</t>
        </is>
      </c>
      <c r="AZ32" s="30" t="n">
        <v>1</v>
      </c>
      <c r="BA32" s="30" t="inlineStr">
        <is>
          <t>LIKELY_FINANCIAL_BY_NAME ROWS:p3r95</t>
        </is>
      </c>
    </row>
    <row r="33">
      <c r="A33" s="16" t="inlineStr">
        <is>
          <t>CAIXA ECONOMICA FEDERAL</t>
        </is>
      </c>
      <c r="B33" s="17" t="n">
        <v>13335951.83</v>
      </c>
      <c r="C33" s="18" t="inlineStr">
        <is>
          <t>GRUPO ADLIM</t>
        </is>
      </c>
      <c r="D33" s="19" t="inlineStr">
        <is>
          <t>NEW</t>
        </is>
      </c>
      <c r="E33" s="20" t="inlineStr"/>
      <c r="F33" s="19" t="inlineStr"/>
      <c r="G33" s="20" t="inlineStr"/>
      <c r="H33" s="19" t="inlineStr"/>
      <c r="I33" s="21" t="inlineStr">
        <is>
          <t>Livia Serikaku</t>
        </is>
      </c>
      <c r="J33" s="21" t="inlineStr">
        <is>
          <t>Gerente de Clientes e Negócios | Recuperação de Crédito</t>
        </is>
      </c>
      <c r="K33" s="21" t="inlineStr">
        <is>
          <t>(00) 4004-0104</t>
        </is>
      </c>
      <c r="L33" s="21" t="inlineStr"/>
      <c r="M33" s="21" t="inlineStr"/>
      <c r="N33" s="21" t="inlineStr"/>
      <c r="O33" s="21" t="inlineStr"/>
      <c r="P33" s="21" t="inlineStr">
        <is>
          <t>Rodolfo Trevizan</t>
        </is>
      </c>
      <c r="Q33" s="21" t="inlineStr">
        <is>
          <t>Investment Banking | Distressed Assets | Project Finance</t>
        </is>
      </c>
      <c r="R33" s="21" t="inlineStr"/>
      <c r="S33" s="21" t="inlineStr"/>
      <c r="T33" s="21" t="inlineStr">
        <is>
          <t>no work email found in Apollo</t>
        </is>
      </c>
      <c r="U33" s="22" t="n">
        <v>13335951.83</v>
      </c>
      <c r="V33" s="23" t="inlineStr">
        <is>
          <t>B</t>
        </is>
      </c>
      <c r="W33" s="24">
        <f>IFERROR(VLOOKUP(V33,Assumptions!$A$7:$F$11,2,FALSE),0)</f>
        <v/>
      </c>
      <c r="X33" s="25">
        <f>IF(V33="A",MAX(1,IFERROR(VLOOKUP(V33,Assumptions!$A$7:$F$11,3,FALSE),3)+IFERROR(VLOOKUP(V33,Assumptions!$A$7:$F$11,4,FALSE),8)/2-MAX(0,IF(AO33="",0,YEAR(TODAY())-AO33)-IFERROR(VLOOKUP(V33,Assumptions!$A$7:$F$11,5,FALSE),1.5))),IFERROR(VLOOKUP(V33,Assumptions!$A$7:$F$11,5,FALSE),2.5)+IFERROR(VLOOKUP(V33,Assumptions!$A$7:$F$11,3,FALSE),3)+IFERROR(VLOOKUP(V33,Assumptions!$A$7:$F$11,4,FALSE),8)/2)</f>
        <v/>
      </c>
      <c r="Y33" s="22">
        <f>U33*W33/(1+Assumptions!$B$3)^X33</f>
        <v/>
      </c>
      <c r="Z33" s="26">
        <f>IF(U33=0,"",ROUND(Y33/U33*100,1))</f>
        <v/>
      </c>
      <c r="AA33" s="27">
        <f>Y33*Assumptions!$B$4</f>
        <v/>
      </c>
      <c r="AB33" s="26">
        <f>IF(U33=0,"",ROUND(AA33/U33*100,1))</f>
        <v/>
      </c>
      <c r="AC33" s="27">
        <f>Y33-AA33</f>
        <v/>
      </c>
      <c r="AD33" s="26">
        <f>IF(U33=0,"",ROUND((Y33-AA33)/U33*100,1))</f>
        <v/>
      </c>
      <c r="AE33" s="34" t="inlineStr">
        <is>
          <t>PARTIAL — class III reconciled, other classes not</t>
        </is>
      </c>
      <c r="AF33" s="29" t="inlineStr">
        <is>
          <t>https://lrflideres.com.br/wp-content/plugins/download-attachments/includes/download.php?id=6051</t>
        </is>
      </c>
      <c r="AG33" s="28" t="inlineStr">
        <is>
          <t>p66 r74; p85 r24; p97 r23</t>
        </is>
      </c>
      <c r="AH33" s="28" t="inlineStr">
        <is>
          <t>p66: R$ 8997846,92; p85: R$ 743735,91; p97: R$ 3594369,00</t>
        </is>
      </c>
      <c r="AI33" s="28" t="inlineStr">
        <is>
          <t>AJ list (art. 7 §2)</t>
        </is>
      </c>
      <c r="AJ33" s="28" t="inlineStr">
        <is>
          <t>2024-08-12</t>
        </is>
      </c>
      <c r="AK33" s="28" t="inlineStr">
        <is>
          <t>NONE FOUND</t>
        </is>
      </c>
      <c r="AL33" s="30" t="inlineStr">
        <is>
          <t>0019761-43.2024.8.17.2001</t>
        </is>
      </c>
      <c r="AM33" s="30" t="inlineStr">
        <is>
          <t>TJPE</t>
        </is>
      </c>
      <c r="AN33" s="30" t="inlineStr">
        <is>
          <t>ACTIVE</t>
        </is>
      </c>
      <c r="AO33" s="30" t="n">
        <v>2024</v>
      </c>
      <c r="AP33" s="30" t="inlineStr">
        <is>
          <t>live case, no plan document yet</t>
        </is>
      </c>
      <c r="AQ33" s="30" t="inlineStr"/>
      <c r="AR33" s="30" t="inlineStr">
        <is>
          <t>printed on the list (read twice)</t>
        </is>
      </c>
      <c r="AS33" s="30" t="inlineStr">
        <is>
          <t>BRASILIA</t>
        </is>
      </c>
      <c r="AT33" s="30" t="inlineStr">
        <is>
          <t>DF</t>
        </is>
      </c>
      <c r="AU33" s="30" t="inlineStr">
        <is>
          <t>Caixas econômicas</t>
        </is>
      </c>
      <c r="AV33" s="30" t="inlineStr">
        <is>
          <t>DEMAIS</t>
        </is>
      </c>
      <c r="AW33" s="31" t="n">
        <v>105300000000</v>
      </c>
      <c r="AX33" s="30" t="inlineStr">
        <is>
          <t>LARGE CORP</t>
        </is>
      </c>
      <c r="AY33" s="30" t="inlineStr">
        <is>
          <t>00360305</t>
        </is>
      </c>
      <c r="AZ33" s="30" t="n">
        <v>3</v>
      </c>
      <c r="BA33" s="30" t="inlineStr">
        <is>
          <t>LIKELY_FINANCIAL_BY_NAME PARTIAL_DOC_CLASS_III_RECONCILED ROWS:p66r74,p85r24,p97r23</t>
        </is>
      </c>
    </row>
    <row r="34">
      <c r="A34" s="16" t="inlineStr">
        <is>
          <t>RODOBENS S.A.</t>
        </is>
      </c>
      <c r="B34" s="17" t="n">
        <v>13075093.63</v>
      </c>
      <c r="C34" s="18" t="inlineStr">
        <is>
          <t>GRUPO GLP</t>
        </is>
      </c>
      <c r="D34" s="19" t="inlineStr">
        <is>
          <t>NEW</t>
        </is>
      </c>
      <c r="E34" s="20" t="inlineStr"/>
      <c r="F34" s="19" t="inlineStr"/>
      <c r="G34" s="20" t="inlineStr"/>
      <c r="H34" s="19" t="inlineStr"/>
      <c r="I34" s="21" t="inlineStr">
        <is>
          <t>Carolina Moura</t>
        </is>
      </c>
      <c r="J34" s="21" t="inlineStr">
        <is>
          <t>Gerente de Crédito, Cobrança, Portfólio e MIS</t>
        </is>
      </c>
      <c r="K34" s="21" t="inlineStr">
        <is>
          <t>(17) 2136-3666</t>
        </is>
      </c>
      <c r="L34" s="21" t="inlineStr">
        <is>
          <t>(17) 3122-7800</t>
        </is>
      </c>
      <c r="M34" s="21" t="inlineStr"/>
      <c r="N34" s="21" t="inlineStr">
        <is>
          <t>carolina.moura@rodobens.com.br</t>
        </is>
      </c>
      <c r="O34" s="21" t="inlineStr">
        <is>
          <t>valmir.ciciliato@rodobens.com.br</t>
        </is>
      </c>
      <c r="P34" s="21" t="inlineStr">
        <is>
          <t>Valmir Ciciliato</t>
        </is>
      </c>
      <c r="Q34" s="21" t="inlineStr">
        <is>
          <t>Collections Manager</t>
        </is>
      </c>
      <c r="R34" s="21" t="inlineStr"/>
      <c r="S34" s="21" t="inlineStr">
        <is>
          <t>valmir.ciciliato@rodobens.com.br</t>
        </is>
      </c>
      <c r="T34" s="21" t="inlineStr">
        <is>
          <t>email verified by Apollo</t>
        </is>
      </c>
      <c r="U34" s="22" t="n">
        <v>13075093.63</v>
      </c>
      <c r="V34" s="23" t="inlineStr">
        <is>
          <t>B</t>
        </is>
      </c>
      <c r="W34" s="24">
        <f>IFERROR(VLOOKUP(V34,Assumptions!$A$7:$F$11,2,FALSE),0)</f>
        <v/>
      </c>
      <c r="X34" s="25">
        <f>IF(V34="A",MAX(1,IFERROR(VLOOKUP(V34,Assumptions!$A$7:$F$11,3,FALSE),3)+IFERROR(VLOOKUP(V34,Assumptions!$A$7:$F$11,4,FALSE),8)/2-MAX(0,IF(AO34="",0,YEAR(TODAY())-AO34)-IFERROR(VLOOKUP(V34,Assumptions!$A$7:$F$11,5,FALSE),1.5))),IFERROR(VLOOKUP(V34,Assumptions!$A$7:$F$11,5,FALSE),2.5)+IFERROR(VLOOKUP(V34,Assumptions!$A$7:$F$11,3,FALSE),3)+IFERROR(VLOOKUP(V34,Assumptions!$A$7:$F$11,4,FALSE),8)/2)</f>
        <v/>
      </c>
      <c r="Y34" s="22">
        <f>U34*W34/(1+Assumptions!$B$3)^X34</f>
        <v/>
      </c>
      <c r="Z34" s="26">
        <f>IF(U34=0,"",ROUND(Y34/U34*100,1))</f>
        <v/>
      </c>
      <c r="AA34" s="27">
        <f>Y34*Assumptions!$B$4</f>
        <v/>
      </c>
      <c r="AB34" s="26">
        <f>IF(U34=0,"",ROUND(AA34/U34*100,1))</f>
        <v/>
      </c>
      <c r="AC34" s="27">
        <f>Y34-AA34</f>
        <v/>
      </c>
      <c r="AD34" s="26">
        <f>IF(U34=0,"",ROUND((Y34-AA34)/U34*100,1))</f>
        <v/>
      </c>
      <c r="AE34" s="28" t="inlineStr">
        <is>
          <t>OK — totals reconciled</t>
        </is>
      </c>
      <c r="AF34" s="29" t="inlineStr">
        <is>
          <t>https://recuperasolucoes.com/wp-content/plugins/download-attachments/includes/download.php?id=1597</t>
        </is>
      </c>
      <c r="AG34" s="28" t="inlineStr">
        <is>
          <t>p13 r17</t>
        </is>
      </c>
      <c r="AH34" s="28" t="inlineStr">
        <is>
          <t>p13: R$ 13.075.093,63</t>
        </is>
      </c>
      <c r="AI34" s="28" t="inlineStr">
        <is>
          <t>Debtor list (art. 51)</t>
        </is>
      </c>
      <c r="AJ34" s="28" t="inlineStr">
        <is>
          <t>2026-05-21</t>
        </is>
      </c>
      <c r="AK34" s="28" t="inlineStr">
        <is>
          <t>NONE FOUND</t>
        </is>
      </c>
      <c r="AL34" s="30" t="inlineStr">
        <is>
          <t>0001639-09.2026.8.17.2810</t>
        </is>
      </c>
      <c r="AM34" s="30" t="inlineStr">
        <is>
          <t>TJPE</t>
        </is>
      </c>
      <c r="AN34" s="30" t="inlineStr">
        <is>
          <t>ACTIVE</t>
        </is>
      </c>
      <c r="AO34" s="30" t="n">
        <v>2026</v>
      </c>
      <c r="AP34" s="30" t="inlineStr">
        <is>
          <t>live case, no plan document yet</t>
        </is>
      </c>
      <c r="AQ34" s="30" t="inlineStr"/>
      <c r="AR34" s="30" t="inlineStr">
        <is>
          <t>printed on the list (read twice)</t>
        </is>
      </c>
      <c r="AS34" s="30" t="inlineStr">
        <is>
          <t>SAO JOSE DO RIO PRETO</t>
        </is>
      </c>
      <c r="AT34" s="30" t="inlineStr">
        <is>
          <t>SP</t>
        </is>
      </c>
      <c r="AU34" s="30" t="inlineStr">
        <is>
          <t>Holdings de instituições não-financeiras</t>
        </is>
      </c>
      <c r="AV34" s="30" t="inlineStr">
        <is>
          <t>DEMAIS</t>
        </is>
      </c>
      <c r="AW34" s="31" t="n">
        <v>945595650</v>
      </c>
      <c r="AX34" s="30" t="inlineStr">
        <is>
          <t>LARGE CORP</t>
        </is>
      </c>
      <c r="AY34" s="30" t="inlineStr">
        <is>
          <t>59981829</t>
        </is>
      </c>
      <c r="AZ34" s="30" t="n">
        <v>1</v>
      </c>
      <c r="BA34" s="30" t="inlineStr">
        <is>
          <t>ROWS:p13r17</t>
        </is>
      </c>
    </row>
    <row r="35">
      <c r="A35" s="16" t="inlineStr">
        <is>
          <t>BANCO BOCOM BBM S.A.</t>
        </is>
      </c>
      <c r="B35" s="17" t="n">
        <v>12763083.47</v>
      </c>
      <c r="C35" s="18" t="inlineStr">
        <is>
          <t>Grupo Rech</t>
        </is>
      </c>
      <c r="D35" s="19" t="inlineStr">
        <is>
          <t>NEW</t>
        </is>
      </c>
      <c r="E35" s="20" t="inlineStr"/>
      <c r="F35" s="19" t="inlineStr"/>
      <c r="G35" s="20" t="inlineStr"/>
      <c r="H35" s="19" t="inlineStr"/>
      <c r="I35" s="21" t="inlineStr">
        <is>
          <t>Rodrigo Caleiro</t>
        </is>
      </c>
      <c r="J35" s="21" t="inlineStr">
        <is>
          <t>Credit Manager | Large Corporate</t>
        </is>
      </c>
      <c r="K35" s="21" t="inlineStr">
        <is>
          <t>(71) 3243-2666</t>
        </is>
      </c>
      <c r="L35" s="21" t="inlineStr"/>
      <c r="M35" s="21" t="inlineStr"/>
      <c r="N35" s="21" t="inlineStr">
        <is>
          <t>rodrigocaleiro@bocombbm.com.br</t>
        </is>
      </c>
      <c r="O35" s="21" t="inlineStr">
        <is>
          <t>thaynafranca@bocombbm.com.br</t>
        </is>
      </c>
      <c r="P35" s="21" t="inlineStr">
        <is>
          <t>Thayna Franca</t>
        </is>
      </c>
      <c r="Q35" s="21" t="inlineStr">
        <is>
          <t>Analista de Controle de Crédito</t>
        </is>
      </c>
      <c r="R35" s="21" t="inlineStr"/>
      <c r="S35" s="21" t="inlineStr">
        <is>
          <t>thaynafranca@bocombbm.com.br</t>
        </is>
      </c>
      <c r="T35" s="21" t="inlineStr">
        <is>
          <t>email verified by Apollo</t>
        </is>
      </c>
      <c r="U35" s="22" t="n">
        <v>12763083.47</v>
      </c>
      <c r="V35" s="23" t="inlineStr">
        <is>
          <t>B</t>
        </is>
      </c>
      <c r="W35" s="24">
        <f>IFERROR(VLOOKUP(V35,Assumptions!$A$7:$F$11,2,FALSE),0)</f>
        <v/>
      </c>
      <c r="X35" s="25">
        <f>IF(V35="A",MAX(1,IFERROR(VLOOKUP(V35,Assumptions!$A$7:$F$11,3,FALSE),3)+IFERROR(VLOOKUP(V35,Assumptions!$A$7:$F$11,4,FALSE),8)/2-MAX(0,IF(AO35="",0,YEAR(TODAY())-AO35)-IFERROR(VLOOKUP(V35,Assumptions!$A$7:$F$11,5,FALSE),1.5))),IFERROR(VLOOKUP(V35,Assumptions!$A$7:$F$11,5,FALSE),2.5)+IFERROR(VLOOKUP(V35,Assumptions!$A$7:$F$11,3,FALSE),3)+IFERROR(VLOOKUP(V35,Assumptions!$A$7:$F$11,4,FALSE),8)/2)</f>
        <v/>
      </c>
      <c r="Y35" s="22">
        <f>U35*W35/(1+Assumptions!$B$3)^X35</f>
        <v/>
      </c>
      <c r="Z35" s="26">
        <f>IF(U35=0,"",ROUND(Y35/U35*100,1))</f>
        <v/>
      </c>
      <c r="AA35" s="27">
        <f>Y35*Assumptions!$B$4</f>
        <v/>
      </c>
      <c r="AB35" s="26">
        <f>IF(U35=0,"",ROUND(AA35/U35*100,1))</f>
        <v/>
      </c>
      <c r="AC35" s="27">
        <f>Y35-AA35</f>
        <v/>
      </c>
      <c r="AD35" s="26">
        <f>IF(U35=0,"",ROUND((Y35-AA35)/U35*100,1))</f>
        <v/>
      </c>
      <c r="AE35" s="36" t="inlineStr">
        <is>
          <t>CHECK — source is not a statutory creditor list</t>
        </is>
      </c>
      <c r="AF35" s="29" t="inlineStr">
        <is>
          <t>https://credibilita.com.br/wp-content/uploads/2025/09/Relacao-Credores-29.04.2026.pdf</t>
        </is>
      </c>
      <c r="AG35" s="28" t="inlineStr">
        <is>
          <t>p1 r7; p1 r8</t>
        </is>
      </c>
      <c r="AH35" s="28" t="inlineStr">
        <is>
          <t>p1: R$ 11.190.064,90; p1: R$ 1.573.018,57</t>
        </is>
      </c>
      <c r="AI35" s="28" t="inlineStr">
        <is>
          <t>Quorum list — NOT an art. 7/51 list</t>
        </is>
      </c>
      <c r="AJ35" s="28" t="inlineStr"/>
      <c r="AK35" s="28" t="inlineStr">
        <is>
          <t>NONE FOUND</t>
        </is>
      </c>
      <c r="AL35" s="30" t="inlineStr">
        <is>
          <t>5057720-48.2025.8.24.0023</t>
        </is>
      </c>
      <c r="AM35" s="30" t="inlineStr">
        <is>
          <t>TJSC</t>
        </is>
      </c>
      <c r="AN35" s="30" t="inlineStr"/>
      <c r="AO35" s="30" t="n">
        <v>2025</v>
      </c>
      <c r="AP35" s="30" t="inlineStr">
        <is>
          <t>live case, no plan document yet</t>
        </is>
      </c>
      <c r="AQ35" s="30" t="inlineStr"/>
      <c r="AR35" s="30" t="inlineStr">
        <is>
          <t>portal page title / URL — not printed on the list</t>
        </is>
      </c>
      <c r="AS35" s="30" t="inlineStr">
        <is>
          <t>SALVADOR</t>
        </is>
      </c>
      <c r="AT35" s="30" t="inlineStr">
        <is>
          <t>BA</t>
        </is>
      </c>
      <c r="AU35" s="30" t="inlineStr">
        <is>
          <t>Bancos múltiplos, com carteira comercial</t>
        </is>
      </c>
      <c r="AV35" s="30" t="inlineStr">
        <is>
          <t>DEMAIS</t>
        </is>
      </c>
      <c r="AW35" s="31" t="n">
        <v>469300380</v>
      </c>
      <c r="AX35" s="30" t="inlineStr">
        <is>
          <t>LARGE CORP</t>
        </is>
      </c>
      <c r="AY35" s="30" t="inlineStr">
        <is>
          <t>15114366</t>
        </is>
      </c>
      <c r="AZ35" s="30" t="n">
        <v>2</v>
      </c>
      <c r="BA35" s="30" t="inlineStr">
        <is>
          <t>ROWS:p1r7,p1r8 UNRECONCILED_SOURCE VALUE_COL:Valor_Após_Analise CASE_NUMBER_CORRECTED</t>
        </is>
      </c>
    </row>
    <row r="36">
      <c r="A36" s="16" t="inlineStr">
        <is>
          <t>BANCO ALFA DE INVESTIMENTO S.A.</t>
        </is>
      </c>
      <c r="B36" s="17" t="n">
        <v>12737378.82</v>
      </c>
      <c r="C36" s="18" t="inlineStr">
        <is>
          <t>Grupo Rech</t>
        </is>
      </c>
      <c r="D36" s="19" t="inlineStr">
        <is>
          <t>NEW</t>
        </is>
      </c>
      <c r="E36" s="20" t="inlineStr"/>
      <c r="F36" s="19" t="inlineStr"/>
      <c r="G36" s="20" t="inlineStr"/>
      <c r="H36" s="19" t="inlineStr"/>
      <c r="I36" s="21" t="inlineStr">
        <is>
          <t>Andre Vinicius</t>
        </is>
      </c>
      <c r="J36" s="21" t="inlineStr">
        <is>
          <t>Coordinator</t>
        </is>
      </c>
      <c r="K36" s="21" t="inlineStr">
        <is>
          <t>(11) 3175-7575</t>
        </is>
      </c>
      <c r="L36" s="21" t="inlineStr"/>
      <c r="M36" s="21" t="inlineStr"/>
      <c r="N36" s="21" t="inlineStr"/>
      <c r="O36" s="21" t="inlineStr"/>
      <c r="P36" s="21" t="inlineStr">
        <is>
          <t>Vanessa Saito</t>
        </is>
      </c>
      <c r="Q36" s="21" t="inlineStr">
        <is>
          <t>Coordenador Jurídico - Atuação Banco Safra S.A.</t>
        </is>
      </c>
      <c r="R36" s="21" t="inlineStr"/>
      <c r="S36" s="21" t="inlineStr"/>
      <c r="T36" s="21" t="inlineStr">
        <is>
          <t>DM email unavailable; VERIFY org: Banco Alfa S.A. (now Safra group) - runoff desk; no work email found in Apollo</t>
        </is>
      </c>
      <c r="U36" s="22" t="n">
        <v>12737378.82</v>
      </c>
      <c r="V36" s="23" t="inlineStr">
        <is>
          <t>B</t>
        </is>
      </c>
      <c r="W36" s="24">
        <f>IFERROR(VLOOKUP(V36,Assumptions!$A$7:$F$11,2,FALSE),0)</f>
        <v/>
      </c>
      <c r="X36" s="25">
        <f>IF(V36="A",MAX(1,IFERROR(VLOOKUP(V36,Assumptions!$A$7:$F$11,3,FALSE),3)+IFERROR(VLOOKUP(V36,Assumptions!$A$7:$F$11,4,FALSE),8)/2-MAX(0,IF(AO36="",0,YEAR(TODAY())-AO36)-IFERROR(VLOOKUP(V36,Assumptions!$A$7:$F$11,5,FALSE),1.5))),IFERROR(VLOOKUP(V36,Assumptions!$A$7:$F$11,5,FALSE),2.5)+IFERROR(VLOOKUP(V36,Assumptions!$A$7:$F$11,3,FALSE),3)+IFERROR(VLOOKUP(V36,Assumptions!$A$7:$F$11,4,FALSE),8)/2)</f>
        <v/>
      </c>
      <c r="Y36" s="22">
        <f>U36*W36/(1+Assumptions!$B$3)^X36</f>
        <v/>
      </c>
      <c r="Z36" s="26">
        <f>IF(U36=0,"",ROUND(Y36/U36*100,1))</f>
        <v/>
      </c>
      <c r="AA36" s="27">
        <f>Y36*Assumptions!$B$4</f>
        <v/>
      </c>
      <c r="AB36" s="26">
        <f>IF(U36=0,"",ROUND(AA36/U36*100,1))</f>
        <v/>
      </c>
      <c r="AC36" s="27">
        <f>Y36-AA36</f>
        <v/>
      </c>
      <c r="AD36" s="26">
        <f>IF(U36=0,"",ROUND((Y36-AA36)/U36*100,1))</f>
        <v/>
      </c>
      <c r="AE36" s="36" t="inlineStr">
        <is>
          <t>CHECK — source is not a statutory creditor list</t>
        </is>
      </c>
      <c r="AF36" s="29" t="inlineStr">
        <is>
          <t>https://credibilita.com.br/wp-content/uploads/2025/09/Relacao-Credores-29.04.2026.pdf</t>
        </is>
      </c>
      <c r="AG36" s="28" t="inlineStr">
        <is>
          <t>p1 r6</t>
        </is>
      </c>
      <c r="AH36" s="28" t="inlineStr">
        <is>
          <t>p1: R$ 12.737.378,82</t>
        </is>
      </c>
      <c r="AI36" s="28" t="inlineStr">
        <is>
          <t>Quorum list — NOT an art. 7/51 list</t>
        </is>
      </c>
      <c r="AJ36" s="28" t="inlineStr"/>
      <c r="AK36" s="28" t="inlineStr">
        <is>
          <t>NONE FOUND</t>
        </is>
      </c>
      <c r="AL36" s="30" t="inlineStr">
        <is>
          <t>5057720-48.2025.8.24.0023</t>
        </is>
      </c>
      <c r="AM36" s="30" t="inlineStr">
        <is>
          <t>TJSC</t>
        </is>
      </c>
      <c r="AN36" s="30" t="inlineStr"/>
      <c r="AO36" s="30" t="n">
        <v>2025</v>
      </c>
      <c r="AP36" s="30" t="inlineStr">
        <is>
          <t>live case, no plan document yet</t>
        </is>
      </c>
      <c r="AQ36" s="30" t="inlineStr"/>
      <c r="AR36" s="30" t="inlineStr">
        <is>
          <t>portal page title / URL — not printed on the list</t>
        </is>
      </c>
      <c r="AS36" s="30" t="inlineStr">
        <is>
          <t>SAO PAULO</t>
        </is>
      </c>
      <c r="AT36" s="30" t="inlineStr">
        <is>
          <t>SP</t>
        </is>
      </c>
      <c r="AU36" s="30" t="inlineStr">
        <is>
          <t>Bancos de investimento</t>
        </is>
      </c>
      <c r="AV36" s="30" t="inlineStr">
        <is>
          <t>DEMAIS</t>
        </is>
      </c>
      <c r="AW36" s="31" t="n">
        <v>820925000</v>
      </c>
      <c r="AX36" s="30" t="inlineStr">
        <is>
          <t>LARGE CORP</t>
        </is>
      </c>
      <c r="AY36" s="30" t="inlineStr">
        <is>
          <t>60770336</t>
        </is>
      </c>
      <c r="AZ36" s="30" t="n">
        <v>1</v>
      </c>
      <c r="BA36" s="30" t="inlineStr">
        <is>
          <t>ROWS:p1r6 UNRECONCILED_SOURCE VALUE_COL:Valor_Após_Analise CASE_NUMBER_CORRECTED</t>
        </is>
      </c>
    </row>
    <row r="37">
      <c r="A37" s="16" t="inlineStr">
        <is>
          <t>BANCO BRADESCO S.A.</t>
        </is>
      </c>
      <c r="B37" s="17" t="n">
        <v>12430000</v>
      </c>
      <c r="C37" s="18" t="inlineStr">
        <is>
          <t>Cerealista Safrasul Ltda</t>
        </is>
      </c>
      <c r="D37" s="19" t="inlineStr">
        <is>
          <t>NEW</t>
        </is>
      </c>
      <c r="E37" s="20" t="inlineStr"/>
      <c r="F37" s="19" t="inlineStr"/>
      <c r="G37" s="20" t="inlineStr"/>
      <c r="H37" s="19" t="inlineStr"/>
      <c r="I37" s="21" t="inlineStr">
        <is>
          <t>Marcela Martins</t>
        </is>
      </c>
      <c r="J37" s="21" t="inlineStr">
        <is>
          <t>Superintendente de Recuperação de Crédito - Canais e Operações</t>
        </is>
      </c>
      <c r="K37" s="21" t="inlineStr">
        <is>
          <t>(11) 3684-5122</t>
        </is>
      </c>
      <c r="L37" s="21" t="inlineStr"/>
      <c r="M37" s="21" t="inlineStr"/>
      <c r="N37" s="21" t="inlineStr"/>
      <c r="O37" s="21" t="inlineStr">
        <is>
          <t>sl@bradesco.com.br</t>
        </is>
      </c>
      <c r="P37" s="21" t="inlineStr">
        <is>
          <t>Luis S</t>
        </is>
      </c>
      <c r="Q37" s="21" t="inlineStr">
        <is>
          <t>DRC - Departamento de Recuperação de Crédito - Gerente de Reestruturação de Crédito</t>
        </is>
      </c>
      <c r="R37" s="21" t="inlineStr"/>
      <c r="S37" s="21" t="inlineStr">
        <is>
          <t>sl@bradesco.com.br</t>
        </is>
      </c>
      <c r="T37" s="21" t="inlineStr">
        <is>
          <t>no work email found in Apollo</t>
        </is>
      </c>
      <c r="U37" s="22" t="n">
        <v>12430000</v>
      </c>
      <c r="V37" s="23" t="inlineStr">
        <is>
          <t>B</t>
        </is>
      </c>
      <c r="W37" s="24">
        <f>IFERROR(VLOOKUP(V37,Assumptions!$A$7:$F$11,2,FALSE),0)</f>
        <v/>
      </c>
      <c r="X37" s="25">
        <f>IF(V37="A",MAX(1,IFERROR(VLOOKUP(V37,Assumptions!$A$7:$F$11,3,FALSE),3)+IFERROR(VLOOKUP(V37,Assumptions!$A$7:$F$11,4,FALSE),8)/2-MAX(0,IF(AO37="",0,YEAR(TODAY())-AO37)-IFERROR(VLOOKUP(V37,Assumptions!$A$7:$F$11,5,FALSE),1.5))),IFERROR(VLOOKUP(V37,Assumptions!$A$7:$F$11,5,FALSE),2.5)+IFERROR(VLOOKUP(V37,Assumptions!$A$7:$F$11,3,FALSE),3)+IFERROR(VLOOKUP(V37,Assumptions!$A$7:$F$11,4,FALSE),8)/2)</f>
        <v/>
      </c>
      <c r="Y37" s="22">
        <f>U37*W37/(1+Assumptions!$B$3)^X37</f>
        <v/>
      </c>
      <c r="Z37" s="26">
        <f>IF(U37=0,"",ROUND(Y37/U37*100,1))</f>
        <v/>
      </c>
      <c r="AA37" s="27">
        <f>Y37*Assumptions!$B$4</f>
        <v/>
      </c>
      <c r="AB37" s="26">
        <f>IF(U37=0,"",ROUND(AA37/U37*100,1))</f>
        <v/>
      </c>
      <c r="AC37" s="27">
        <f>Y37-AA37</f>
        <v/>
      </c>
      <c r="AD37" s="26">
        <f>IF(U37=0,"",ROUND((Y37-AA37)/U37*100,1))</f>
        <v/>
      </c>
      <c r="AE37" s="33" t="inlineStr">
        <is>
          <t>NO TOTALS — list prints none; check page</t>
        </is>
      </c>
      <c r="AF37" s="29" t="inlineStr">
        <is>
          <t>https://ajruiz.com.br/sites/default/files/public/arquivos-processos/2026-01/safrasul_relacao_de_credores_recuperanda.pdf</t>
        </is>
      </c>
      <c r="AG37" s="28" t="inlineStr">
        <is>
          <t>p8 r16; p8 r17; p8 r18; p8 r19</t>
        </is>
      </c>
      <c r="AH37" s="28" t="inlineStr">
        <is>
          <t>p8: R$ 4.000.000,00; p8: R$ 8.000.000,00; p8: R$ 400.000,00; p8: R$ 30.000,00</t>
        </is>
      </c>
      <c r="AI37" s="28" t="inlineStr">
        <is>
          <t>AJ list (art. 7 §2)</t>
        </is>
      </c>
      <c r="AJ37" s="28" t="inlineStr">
        <is>
          <t>2026-01-14</t>
        </is>
      </c>
      <c r="AK37" s="28" t="inlineStr">
        <is>
          <t>NONE FOUND</t>
        </is>
      </c>
      <c r="AL37" s="30" t="inlineStr">
        <is>
          <t>4000167-23.2025.8.26.0373</t>
        </is>
      </c>
      <c r="AM37" s="30" t="inlineStr">
        <is>
          <t>TJSP</t>
        </is>
      </c>
      <c r="AN37" s="30" t="inlineStr">
        <is>
          <t>ACTIVE</t>
        </is>
      </c>
      <c r="AO37" s="30" t="n">
        <v>2025</v>
      </c>
      <c r="AP37" s="30" t="inlineStr">
        <is>
          <t>live case, no plan document yet</t>
        </is>
      </c>
      <c r="AQ37" s="30" t="inlineStr"/>
      <c r="AR37" s="30" t="inlineStr">
        <is>
          <t>printed on the list (read twice)</t>
        </is>
      </c>
      <c r="AS37" s="30" t="inlineStr">
        <is>
          <t>OSASCO</t>
        </is>
      </c>
      <c r="AT37" s="30" t="inlineStr">
        <is>
          <t>SP</t>
        </is>
      </c>
      <c r="AU37" s="30" t="inlineStr">
        <is>
          <t>Bancos múltiplos, com carteira comercial</t>
        </is>
      </c>
      <c r="AV37" s="30" t="inlineStr">
        <is>
          <t>DEMAIS</t>
        </is>
      </c>
      <c r="AW37" s="31" t="n">
        <v>93770000000</v>
      </c>
      <c r="AX37" s="30" t="inlineStr">
        <is>
          <t>LARGE CORP</t>
        </is>
      </c>
      <c r="AY37" s="30" t="inlineStr">
        <is>
          <t>60746948</t>
        </is>
      </c>
      <c r="AZ37" s="30" t="n">
        <v>4</v>
      </c>
      <c r="BA37" s="30" t="inlineStr">
        <is>
          <t>LIKELY_FINANCIAL_BY_NAME ROWS:p8r16,p8r17,p8r18,p8r19 UNRECONCILED_SOURCE</t>
        </is>
      </c>
    </row>
    <row r="38">
      <c r="A38" s="16" t="inlineStr">
        <is>
          <t>CAIXA ECONOMICA FEDERAL</t>
        </is>
      </c>
      <c r="B38" s="17" t="n">
        <v>12089694.64</v>
      </c>
      <c r="C38" s="18" t="inlineStr">
        <is>
          <t>GRUPO DP4</t>
        </is>
      </c>
      <c r="D38" s="19" t="inlineStr">
        <is>
          <t>NEW</t>
        </is>
      </c>
      <c r="E38" s="20" t="inlineStr"/>
      <c r="F38" s="19" t="inlineStr"/>
      <c r="G38" s="20" t="inlineStr"/>
      <c r="H38" s="19" t="inlineStr"/>
      <c r="I38" s="21" t="inlineStr">
        <is>
          <t>Livia Serikaku</t>
        </is>
      </c>
      <c r="J38" s="21" t="inlineStr">
        <is>
          <t>Gerente de Clientes e Negócios | Recuperação de Crédito</t>
        </is>
      </c>
      <c r="K38" s="21" t="inlineStr">
        <is>
          <t>(00) 4004-0104</t>
        </is>
      </c>
      <c r="L38" s="21" t="inlineStr"/>
      <c r="M38" s="21" t="inlineStr"/>
      <c r="N38" s="21" t="inlineStr"/>
      <c r="O38" s="21" t="inlineStr"/>
      <c r="P38" s="21" t="inlineStr">
        <is>
          <t>Rodolfo Trevizan</t>
        </is>
      </c>
      <c r="Q38" s="21" t="inlineStr">
        <is>
          <t>Investment Banking | Distressed Assets | Project Finance</t>
        </is>
      </c>
      <c r="R38" s="21" t="inlineStr"/>
      <c r="S38" s="21" t="inlineStr"/>
      <c r="T38" s="21" t="inlineStr">
        <is>
          <t>no work email found in Apollo</t>
        </is>
      </c>
      <c r="U38" s="22" t="n">
        <v>12089694.64</v>
      </c>
      <c r="V38" s="23" t="inlineStr">
        <is>
          <t>B</t>
        </is>
      </c>
      <c r="W38" s="24">
        <f>IFERROR(VLOOKUP(V38,Assumptions!$A$7:$F$11,2,FALSE),0)</f>
        <v/>
      </c>
      <c r="X38" s="25">
        <f>IF(V38="A",MAX(1,IFERROR(VLOOKUP(V38,Assumptions!$A$7:$F$11,3,FALSE),3)+IFERROR(VLOOKUP(V38,Assumptions!$A$7:$F$11,4,FALSE),8)/2-MAX(0,IF(AO38="",0,YEAR(TODAY())-AO38)-IFERROR(VLOOKUP(V38,Assumptions!$A$7:$F$11,5,FALSE),1.5))),IFERROR(VLOOKUP(V38,Assumptions!$A$7:$F$11,5,FALSE),2.5)+IFERROR(VLOOKUP(V38,Assumptions!$A$7:$F$11,3,FALSE),3)+IFERROR(VLOOKUP(V38,Assumptions!$A$7:$F$11,4,FALSE),8)/2)</f>
        <v/>
      </c>
      <c r="Y38" s="22">
        <f>U38*W38/(1+Assumptions!$B$3)^X38</f>
        <v/>
      </c>
      <c r="Z38" s="26">
        <f>IF(U38=0,"",ROUND(Y38/U38*100,1))</f>
        <v/>
      </c>
      <c r="AA38" s="27">
        <f>Y38*Assumptions!$B$4</f>
        <v/>
      </c>
      <c r="AB38" s="26">
        <f>IF(U38=0,"",ROUND(AA38/U38*100,1))</f>
        <v/>
      </c>
      <c r="AC38" s="27">
        <f>Y38-AA38</f>
        <v/>
      </c>
      <c r="AD38" s="26">
        <f>IF(U38=0,"",ROUND((Y38-AA38)/U38*100,1))</f>
        <v/>
      </c>
      <c r="AE38" s="34" t="inlineStr">
        <is>
          <t>PARTIAL — class III reconciled, other classes not</t>
        </is>
      </c>
      <c r="AF38" s="29" t="inlineStr">
        <is>
          <t>https://marquesadmjudicial.com.br/sgc/download.php?file=files/processo_documento/processo_documento15293208032024_1_.pdf&amp;nome=Relação Nominal de Credores da AJ-Sintética</t>
        </is>
      </c>
      <c r="AG38" s="28" t="inlineStr">
        <is>
          <t>p22 r10</t>
        </is>
      </c>
      <c r="AH38" s="28" t="inlineStr">
        <is>
          <t>p22: R$ 12.089.694,64</t>
        </is>
      </c>
      <c r="AI38" s="28" t="inlineStr">
        <is>
          <t>AJ list (art. 7 §2)</t>
        </is>
      </c>
      <c r="AJ38" s="28" t="inlineStr">
        <is>
          <t>2023-03-02</t>
        </is>
      </c>
      <c r="AK38" s="28" t="inlineStr">
        <is>
          <t>NONE FOUND</t>
        </is>
      </c>
      <c r="AL38" s="30" t="inlineStr">
        <is>
          <t>0005010-98.2023.8.16.0001</t>
        </is>
      </c>
      <c r="AM38" s="30" t="inlineStr">
        <is>
          <t>TJPR</t>
        </is>
      </c>
      <c r="AN38" s="30" t="inlineStr">
        <is>
          <t>ACTIVE</t>
        </is>
      </c>
      <c r="AO38" s="30" t="n">
        <v>2023</v>
      </c>
      <c r="AP38" s="30" t="inlineStr">
        <is>
          <t>live case, no plan document yet</t>
        </is>
      </c>
      <c r="AQ38" s="30" t="inlineStr"/>
      <c r="AR38" s="30" t="inlineStr">
        <is>
          <t>printed on the list (read twice)</t>
        </is>
      </c>
      <c r="AS38" s="30" t="inlineStr">
        <is>
          <t>BRASILIA</t>
        </is>
      </c>
      <c r="AT38" s="30" t="inlineStr">
        <is>
          <t>DF</t>
        </is>
      </c>
      <c r="AU38" s="30" t="inlineStr">
        <is>
          <t>Caixas econômicas</t>
        </is>
      </c>
      <c r="AV38" s="30" t="inlineStr">
        <is>
          <t>DEMAIS</t>
        </is>
      </c>
      <c r="AW38" s="31" t="n">
        <v>105300000000</v>
      </c>
      <c r="AX38" s="30" t="inlineStr">
        <is>
          <t>LARGE CORP</t>
        </is>
      </c>
      <c r="AY38" s="30" t="inlineStr">
        <is>
          <t>00360305</t>
        </is>
      </c>
      <c r="AZ38" s="30" t="n">
        <v>1</v>
      </c>
      <c r="BA38" s="30" t="inlineStr">
        <is>
          <t>LIKELY_FINANCIAL_BY_NAME PARTIAL_DOC_CLASS_III_RECONCILED ROWS:p22r10</t>
        </is>
      </c>
    </row>
    <row r="39">
      <c r="A39" s="16" t="inlineStr">
        <is>
          <t>BANCO SANTANDER (BRASIL) S.A.</t>
        </is>
      </c>
      <c r="B39" s="17" t="n">
        <v>6202478.95</v>
      </c>
      <c r="C39" s="18" t="inlineStr">
        <is>
          <t>GRUPO 3E</t>
        </is>
      </c>
      <c r="D39" s="19" t="inlineStr">
        <is>
          <t>NEW</t>
        </is>
      </c>
      <c r="E39" s="20" t="inlineStr"/>
      <c r="F39" s="19" t="inlineStr"/>
      <c r="G39" s="20" t="inlineStr"/>
      <c r="H39" s="19" t="inlineStr"/>
      <c r="I39" s="21" t="inlineStr">
        <is>
          <t>Igor Puertas</t>
        </is>
      </c>
      <c r="J39" s="21" t="inlineStr">
        <is>
          <t>Distressed Assets | NPL</t>
        </is>
      </c>
      <c r="K39" s="21" t="inlineStr">
        <is>
          <t>(11) 4004-3535</t>
        </is>
      </c>
      <c r="L39" s="21" t="inlineStr"/>
      <c r="M39" s="21" t="inlineStr"/>
      <c r="N39" s="21" t="inlineStr">
        <is>
          <t>igor.puertas@santander.com.br</t>
        </is>
      </c>
      <c r="O39" s="21" t="inlineStr">
        <is>
          <t>antonio.pequeno.junior@santander.com.br</t>
        </is>
      </c>
      <c r="P39" s="21" t="inlineStr">
        <is>
          <t>Antonio Junior</t>
        </is>
      </c>
      <c r="Q39" s="21" t="inlineStr">
        <is>
          <t>Superintendente Recuperação de Crédito</t>
        </is>
      </c>
      <c r="R39" s="21" t="inlineStr"/>
      <c r="S39" s="21" t="inlineStr">
        <is>
          <t>antonio.pequeno.junior@santander.com.br</t>
        </is>
      </c>
      <c r="T39" s="21" t="inlineStr">
        <is>
          <t>email verified by Apollo</t>
        </is>
      </c>
      <c r="U39" s="22" t="n">
        <v>6202478.95</v>
      </c>
      <c r="V39" s="35" t="inlineStr">
        <is>
          <t>A</t>
        </is>
      </c>
      <c r="W39" s="24">
        <f>IFERROR(VLOOKUP(V39,Assumptions!$A$7:$F$11,2,FALSE),0)</f>
        <v/>
      </c>
      <c r="X39" s="25">
        <f>IF(V39="A",MAX(1,IFERROR(VLOOKUP(V39,Assumptions!$A$7:$F$11,3,FALSE),3)+IFERROR(VLOOKUP(V39,Assumptions!$A$7:$F$11,4,FALSE),8)/2-MAX(0,IF(AO39="",0,YEAR(TODAY())-AO39)-IFERROR(VLOOKUP(V39,Assumptions!$A$7:$F$11,5,FALSE),1.5))),IFERROR(VLOOKUP(V39,Assumptions!$A$7:$F$11,5,FALSE),2.5)+IFERROR(VLOOKUP(V39,Assumptions!$A$7:$F$11,3,FALSE),3)+IFERROR(VLOOKUP(V39,Assumptions!$A$7:$F$11,4,FALSE),8)/2)</f>
        <v/>
      </c>
      <c r="Y39" s="22">
        <f>U39*W39/(1+Assumptions!$B$3)^X39</f>
        <v/>
      </c>
      <c r="Z39" s="26">
        <f>IF(U39=0,"",ROUND(Y39/U39*100,1))</f>
        <v/>
      </c>
      <c r="AA39" s="27">
        <f>Y39*Assumptions!$B$4</f>
        <v/>
      </c>
      <c r="AB39" s="26">
        <f>IF(U39=0,"",ROUND(AA39/U39*100,1))</f>
        <v/>
      </c>
      <c r="AC39" s="27">
        <f>Y39-AA39</f>
        <v/>
      </c>
      <c r="AD39" s="26">
        <f>IF(U39=0,"",ROUND((Y39-AA39)/U39*100,1))</f>
        <v/>
      </c>
      <c r="AE39" s="33" t="inlineStr">
        <is>
          <t>NO TOTALS — list prints none; check page</t>
        </is>
      </c>
      <c r="AF39" s="29" t="inlineStr">
        <is>
          <t>https://stenius.com.br/wp-content/uploads/2026/06/EDITAL-GRUPO-3E.pdf</t>
        </is>
      </c>
      <c r="AG39" s="28" t="inlineStr">
        <is>
          <t>p10 r39</t>
        </is>
      </c>
      <c r="AH39" s="28" t="inlineStr">
        <is>
          <t>p10: R$ 6.202.478,95</t>
        </is>
      </c>
      <c r="AI39" s="28" t="inlineStr">
        <is>
          <t>Debtor list (art. 51)</t>
        </is>
      </c>
      <c r="AJ39" s="28" t="inlineStr">
        <is>
          <t>2026-06-22</t>
        </is>
      </c>
      <c r="AK39" s="28" t="inlineStr">
        <is>
          <t>PLAN DOC FOUND</t>
        </is>
      </c>
      <c r="AL39" s="30" t="inlineStr">
        <is>
          <t>5341375-33.2026.8.09.0049</t>
        </is>
      </c>
      <c r="AM39" s="30" t="inlineStr">
        <is>
          <t>TJGO</t>
        </is>
      </c>
      <c r="AN39" s="30" t="inlineStr">
        <is>
          <t>ACTIVE</t>
        </is>
      </c>
      <c r="AO39" s="30" t="n">
        <v>2026</v>
      </c>
      <c r="AP39" s="30" t="inlineStr">
        <is>
          <t>plan/homologation document found</t>
        </is>
      </c>
      <c r="AQ39" s="30" t="inlineStr"/>
      <c r="AR39" s="30" t="inlineStr">
        <is>
          <t>printed on the list (read twice)</t>
        </is>
      </c>
      <c r="AS39" s="30" t="inlineStr">
        <is>
          <t>SAO PAULO</t>
        </is>
      </c>
      <c r="AT39" s="30" t="inlineStr">
        <is>
          <t>SP</t>
        </is>
      </c>
      <c r="AU39" s="30" t="inlineStr">
        <is>
          <t>Bancos múltiplos, com carteira comercial</t>
        </is>
      </c>
      <c r="AV39" s="30" t="inlineStr">
        <is>
          <t>DEMAIS</t>
        </is>
      </c>
      <c r="AW39" s="31" t="n">
        <v>65000000000</v>
      </c>
      <c r="AX39" s="30" t="inlineStr">
        <is>
          <t>LARGE CORP</t>
        </is>
      </c>
      <c r="AY39" s="30" t="inlineStr">
        <is>
          <t>90400888</t>
        </is>
      </c>
      <c r="AZ39" s="30" t="n">
        <v>1</v>
      </c>
      <c r="BA39" s="30" t="inlineStr">
        <is>
          <t>LIKELY_FINANCIAL_BY_NAME ROWS:p10r39 UNRECONCILED_SOURCE</t>
        </is>
      </c>
    </row>
    <row r="40">
      <c r="A40" s="16" t="inlineStr">
        <is>
          <t>BANCO ABC BRASIL S.A.</t>
        </is>
      </c>
      <c r="B40" s="17" t="n">
        <v>11070395.8</v>
      </c>
      <c r="C40" s="18" t="inlineStr">
        <is>
          <t>REAL DISTRIBUIDORA ÚNICA RIO COMÉRCIO DE REFRIGERAÇÃO LTDA.</t>
        </is>
      </c>
      <c r="D40" s="19" t="inlineStr">
        <is>
          <t>NEW</t>
        </is>
      </c>
      <c r="E40" s="20" t="inlineStr"/>
      <c r="F40" s="19" t="inlineStr"/>
      <c r="G40" s="20" t="inlineStr"/>
      <c r="H40" s="19" t="inlineStr"/>
      <c r="I40" s="21" t="inlineStr">
        <is>
          <t>Luciano Makino</t>
        </is>
      </c>
      <c r="J40" s="21" t="inlineStr">
        <is>
          <t>Especialista de Recuperação de Crédito</t>
        </is>
      </c>
      <c r="K40" s="21" t="inlineStr">
        <is>
          <t>(11) 3170-2000</t>
        </is>
      </c>
      <c r="L40" s="21" t="inlineStr"/>
      <c r="M40" s="21" t="inlineStr"/>
      <c r="N40" s="21" t="inlineStr">
        <is>
          <t>luciano.makino@abcbrasil.com.br</t>
        </is>
      </c>
      <c r="O40" s="21" t="inlineStr">
        <is>
          <t>marilia.neves@abcbrasil.com.br</t>
        </is>
      </c>
      <c r="P40" s="21" t="inlineStr">
        <is>
          <t>Marilia Neves</t>
        </is>
      </c>
      <c r="Q40" s="21" t="inlineStr">
        <is>
          <t>Advogado Especialista em Recuperação de Crédito</t>
        </is>
      </c>
      <c r="R40" s="21" t="inlineStr"/>
      <c r="S40" s="21" t="inlineStr">
        <is>
          <t>marilia.neves@abcbrasil.com.br</t>
        </is>
      </c>
      <c r="T40" s="21" t="inlineStr">
        <is>
          <t>email verified by Apollo</t>
        </is>
      </c>
      <c r="U40" s="22" t="n">
        <v>11070395.8</v>
      </c>
      <c r="V40" s="23" t="inlineStr">
        <is>
          <t>B</t>
        </is>
      </c>
      <c r="W40" s="24">
        <f>IFERROR(VLOOKUP(V40,Assumptions!$A$7:$F$11,2,FALSE),0)</f>
        <v/>
      </c>
      <c r="X40" s="25">
        <f>IF(V40="A",MAX(1,IFERROR(VLOOKUP(V40,Assumptions!$A$7:$F$11,3,FALSE),3)+IFERROR(VLOOKUP(V40,Assumptions!$A$7:$F$11,4,FALSE),8)/2-MAX(0,IF(AO40="",0,YEAR(TODAY())-AO40)-IFERROR(VLOOKUP(V40,Assumptions!$A$7:$F$11,5,FALSE),1.5))),IFERROR(VLOOKUP(V40,Assumptions!$A$7:$F$11,5,FALSE),2.5)+IFERROR(VLOOKUP(V40,Assumptions!$A$7:$F$11,3,FALSE),3)+IFERROR(VLOOKUP(V40,Assumptions!$A$7:$F$11,4,FALSE),8)/2)</f>
        <v/>
      </c>
      <c r="Y40" s="22">
        <f>U40*W40/(1+Assumptions!$B$3)^X40</f>
        <v/>
      </c>
      <c r="Z40" s="26">
        <f>IF(U40=0,"",ROUND(Y40/U40*100,1))</f>
        <v/>
      </c>
      <c r="AA40" s="27">
        <f>Y40*Assumptions!$B$4</f>
        <v/>
      </c>
      <c r="AB40" s="26">
        <f>IF(U40=0,"",ROUND(AA40/U40*100,1))</f>
        <v/>
      </c>
      <c r="AC40" s="27">
        <f>Y40-AA40</f>
        <v/>
      </c>
      <c r="AD40" s="26">
        <f>IF(U40=0,"",ROUND((Y40-AA40)/U40*100,1))</f>
        <v/>
      </c>
      <c r="AE40" s="28" t="inlineStr">
        <is>
          <t>OK — totals reconciled</t>
        </is>
      </c>
      <c r="AF40" s="29" t="inlineStr">
        <is>
          <t>https://inova-aj.com.br/wp-content/uploads/2026/08/1a-Relacao-de-Credores-Real.pdf</t>
        </is>
      </c>
      <c r="AG40" s="28" t="inlineStr">
        <is>
          <t>p1 r14</t>
        </is>
      </c>
      <c r="AH40" s="28" t="inlineStr">
        <is>
          <t>p1: R$ 11.070.395,80</t>
        </is>
      </c>
      <c r="AI40" s="28" t="inlineStr">
        <is>
          <t>AJ list (art. 7 §2)</t>
        </is>
      </c>
      <c r="AJ40" s="28" t="inlineStr">
        <is>
          <t>2023-06-05</t>
        </is>
      </c>
      <c r="AK40" s="28" t="inlineStr">
        <is>
          <t>NONE FOUND</t>
        </is>
      </c>
      <c r="AL40" s="30" t="inlineStr">
        <is>
          <t>0873061-47.2023.8.19.0001</t>
        </is>
      </c>
      <c r="AM40" s="30" t="inlineStr">
        <is>
          <t>TJRJ</t>
        </is>
      </c>
      <c r="AN40" s="30" t="inlineStr"/>
      <c r="AO40" s="30" t="n">
        <v>2023</v>
      </c>
      <c r="AP40" s="30" t="inlineStr">
        <is>
          <t>live case, no plan document yet</t>
        </is>
      </c>
      <c r="AQ40" s="30" t="inlineStr"/>
      <c r="AR40" s="30" t="inlineStr">
        <is>
          <t>printed on the list (read twice)</t>
        </is>
      </c>
      <c r="AS40" s="30" t="inlineStr">
        <is>
          <t>SAO PAULO</t>
        </is>
      </c>
      <c r="AT40" s="30" t="inlineStr">
        <is>
          <t>SP</t>
        </is>
      </c>
      <c r="AU40" s="30" t="inlineStr">
        <is>
          <t>Bancos múltiplos, com carteira comercial</t>
        </is>
      </c>
      <c r="AV40" s="30" t="inlineStr">
        <is>
          <t>DEMAIS</t>
        </is>
      </c>
      <c r="AW40" s="31" t="n">
        <v>6012662300</v>
      </c>
      <c r="AX40" s="30" t="inlineStr">
        <is>
          <t>LARGE CORP</t>
        </is>
      </c>
      <c r="AY40" s="30" t="inlineStr">
        <is>
          <t>28195667</t>
        </is>
      </c>
      <c r="AZ40" s="30" t="n">
        <v>1</v>
      </c>
      <c r="BA40" s="30" t="inlineStr">
        <is>
          <t>ALT_VALUE:R$8.049.373,91 ROWS:p1r14</t>
        </is>
      </c>
    </row>
    <row r="41">
      <c r="A41" s="16" t="inlineStr">
        <is>
          <t>BANCO DO BRASIL SA</t>
        </is>
      </c>
      <c r="B41" s="17" t="n">
        <v>11024401.03</v>
      </c>
      <c r="C41" s="18" t="inlineStr">
        <is>
          <t>CENTURY CONSTRUÇÕES COMÉRCIO E SERVIÇOS LTDA.</t>
        </is>
      </c>
      <c r="D41" s="19" t="inlineStr">
        <is>
          <t>NEW</t>
        </is>
      </c>
      <c r="E41" s="20" t="inlineStr"/>
      <c r="F41" s="19" t="inlineStr"/>
      <c r="G41" s="20" t="inlineStr"/>
      <c r="H41" s="19" t="inlineStr"/>
      <c r="I41" s="21" t="inlineStr">
        <is>
          <t>Thiago Cavichioli</t>
        </is>
      </c>
      <c r="J41" s="21" t="inlineStr">
        <is>
          <t>Gerente de Cobrança e Recuperação de Crédito</t>
        </is>
      </c>
      <c r="K41" s="21" t="inlineStr">
        <is>
          <t>(61) 3493-9002</t>
        </is>
      </c>
      <c r="L41" s="21" t="inlineStr"/>
      <c r="M41" s="21" t="inlineStr"/>
      <c r="N41" s="21" t="inlineStr">
        <is>
          <t>thiago.cavichioli@bb.com.br</t>
        </is>
      </c>
      <c r="O41" s="21" t="inlineStr">
        <is>
          <t>suelenmondador@bb.com.br</t>
        </is>
      </c>
      <c r="P41" s="21" t="inlineStr">
        <is>
          <t>Suelen Mondador</t>
        </is>
      </c>
      <c r="Q41" s="21" t="inlineStr">
        <is>
          <t>Gerente Especialista em Recuperação de Crédito</t>
        </is>
      </c>
      <c r="R41" s="21" t="inlineStr"/>
      <c r="S41" s="21" t="inlineStr">
        <is>
          <t>suelenmondador@bb.com.br</t>
        </is>
      </c>
      <c r="T41" s="21" t="inlineStr">
        <is>
          <t>email verified by Apollo</t>
        </is>
      </c>
      <c r="U41" s="22" t="n">
        <v>11024401.03</v>
      </c>
      <c r="V41" s="23" t="inlineStr">
        <is>
          <t>B</t>
        </is>
      </c>
      <c r="W41" s="24">
        <f>IFERROR(VLOOKUP(V41,Assumptions!$A$7:$F$11,2,FALSE),0)</f>
        <v/>
      </c>
      <c r="X41" s="25">
        <f>IF(V41="A",MAX(1,IFERROR(VLOOKUP(V41,Assumptions!$A$7:$F$11,3,FALSE),3)+IFERROR(VLOOKUP(V41,Assumptions!$A$7:$F$11,4,FALSE),8)/2-MAX(0,IF(AO41="",0,YEAR(TODAY())-AO41)-IFERROR(VLOOKUP(V41,Assumptions!$A$7:$F$11,5,FALSE),1.5))),IFERROR(VLOOKUP(V41,Assumptions!$A$7:$F$11,5,FALSE),2.5)+IFERROR(VLOOKUP(V41,Assumptions!$A$7:$F$11,3,FALSE),3)+IFERROR(VLOOKUP(V41,Assumptions!$A$7:$F$11,4,FALSE),8)/2)</f>
        <v/>
      </c>
      <c r="Y41" s="22">
        <f>U41*W41/(1+Assumptions!$B$3)^X41</f>
        <v/>
      </c>
      <c r="Z41" s="26">
        <f>IF(U41=0,"",ROUND(Y41/U41*100,1))</f>
        <v/>
      </c>
      <c r="AA41" s="27">
        <f>Y41*Assumptions!$B$4</f>
        <v/>
      </c>
      <c r="AB41" s="26">
        <f>IF(U41=0,"",ROUND(AA41/U41*100,1))</f>
        <v/>
      </c>
      <c r="AC41" s="27">
        <f>Y41-AA41</f>
        <v/>
      </c>
      <c r="AD41" s="26">
        <f>IF(U41=0,"",ROUND((Y41-AA41)/U41*100,1))</f>
        <v/>
      </c>
      <c r="AE41" s="33" t="inlineStr">
        <is>
          <t>NO TOTALS — list prints none; check page</t>
        </is>
      </c>
      <c r="AF41" s="29" t="inlineStr">
        <is>
          <t>https://ativosajce.com.br/admin/download.php?file=files/processo_documento/processo_documento16022716122025_1_.pdf&amp;nome=Relação de credores - art. 52, §1º da Lei 11.101/05 - 15/12/2025</t>
        </is>
      </c>
      <c r="AG41" s="28" t="inlineStr">
        <is>
          <t>p2 r19</t>
        </is>
      </c>
      <c r="AH41" s="28" t="inlineStr">
        <is>
          <t>p2: R$ 11.024.401,03</t>
        </is>
      </c>
      <c r="AI41" s="28" t="inlineStr">
        <is>
          <t>Unclassified list</t>
        </is>
      </c>
      <c r="AJ41" s="28" t="inlineStr"/>
      <c r="AK41" s="28" t="inlineStr">
        <is>
          <t>NONE FOUND</t>
        </is>
      </c>
      <c r="AL41" s="30" t="inlineStr">
        <is>
          <t>4054599-35.2025.8.26.0100</t>
        </is>
      </c>
      <c r="AM41" s="30" t="inlineStr">
        <is>
          <t>TJSP</t>
        </is>
      </c>
      <c r="AN41" s="30" t="inlineStr">
        <is>
          <t>ACTIVE</t>
        </is>
      </c>
      <c r="AO41" s="30" t="n">
        <v>2025</v>
      </c>
      <c r="AP41" s="30" t="inlineStr">
        <is>
          <t>live case, no plan document yet</t>
        </is>
      </c>
      <c r="AQ41" s="30" t="inlineStr">
        <is>
          <t>03.299.563/0001-10</t>
        </is>
      </c>
      <c r="AR41" s="30" t="inlineStr">
        <is>
          <t>printed on the list (read twice)</t>
        </is>
      </c>
      <c r="AS41" s="30" t="inlineStr">
        <is>
          <t>BRASILIA</t>
        </is>
      </c>
      <c r="AT41" s="30" t="inlineStr">
        <is>
          <t>DF</t>
        </is>
      </c>
      <c r="AU41" s="30" t="inlineStr">
        <is>
          <t>Bancos múltiplos, com carteira comercial</t>
        </is>
      </c>
      <c r="AV41" s="30" t="inlineStr">
        <is>
          <t>DEMAIS</t>
        </is>
      </c>
      <c r="AW41" s="31" t="n">
        <v>120000000000</v>
      </c>
      <c r="AX41" s="30" t="inlineStr">
        <is>
          <t>LARGE CORP</t>
        </is>
      </c>
      <c r="AY41" s="30" t="inlineStr">
        <is>
          <t>00000000</t>
        </is>
      </c>
      <c r="AZ41" s="30" t="n">
        <v>1</v>
      </c>
      <c r="BA41" s="30" t="inlineStr">
        <is>
          <t>ROWS:p2r19 UNRECONCILED_SOURCE VALUE_COL:Valor</t>
        </is>
      </c>
    </row>
    <row r="42">
      <c r="A42" s="16" t="inlineStr">
        <is>
          <t>BANCO DO BRASIL SA</t>
        </is>
      </c>
      <c r="B42" s="17" t="n">
        <v>10935147.95</v>
      </c>
      <c r="C42" s="18" t="inlineStr">
        <is>
          <t>Grupo Gomiero</t>
        </is>
      </c>
      <c r="D42" s="19" t="inlineStr">
        <is>
          <t>NEW</t>
        </is>
      </c>
      <c r="E42" s="20" t="inlineStr"/>
      <c r="F42" s="19" t="inlineStr"/>
      <c r="G42" s="20" t="inlineStr"/>
      <c r="H42" s="19" t="inlineStr"/>
      <c r="I42" s="21" t="inlineStr">
        <is>
          <t>Thiago Cavichioli</t>
        </is>
      </c>
      <c r="J42" s="21" t="inlineStr">
        <is>
          <t>Gerente de Cobrança e Recuperação de Crédito</t>
        </is>
      </c>
      <c r="K42" s="21" t="inlineStr">
        <is>
          <t>(61) 3493-9002</t>
        </is>
      </c>
      <c r="L42" s="21" t="inlineStr"/>
      <c r="M42" s="21" t="inlineStr"/>
      <c r="N42" s="21" t="inlineStr">
        <is>
          <t>thiago.cavichioli@bb.com.br</t>
        </is>
      </c>
      <c r="O42" s="21" t="inlineStr">
        <is>
          <t>suelenmondador@bb.com.br</t>
        </is>
      </c>
      <c r="P42" s="21" t="inlineStr">
        <is>
          <t>Suelen Mondador</t>
        </is>
      </c>
      <c r="Q42" s="21" t="inlineStr">
        <is>
          <t>Gerente Especialista em Recuperação de Crédito</t>
        </is>
      </c>
      <c r="R42" s="21" t="inlineStr"/>
      <c r="S42" s="21" t="inlineStr">
        <is>
          <t>suelenmondador@bb.com.br</t>
        </is>
      </c>
      <c r="T42" s="21" t="inlineStr">
        <is>
          <t>email verified by Apollo</t>
        </is>
      </c>
      <c r="U42" s="22" t="n">
        <v>10935147.95</v>
      </c>
      <c r="V42" s="23" t="inlineStr">
        <is>
          <t>B</t>
        </is>
      </c>
      <c r="W42" s="24">
        <f>IFERROR(VLOOKUP(V42,Assumptions!$A$7:$F$11,2,FALSE),0)</f>
        <v/>
      </c>
      <c r="X42" s="25">
        <f>IF(V42="A",MAX(1,IFERROR(VLOOKUP(V42,Assumptions!$A$7:$F$11,3,FALSE),3)+IFERROR(VLOOKUP(V42,Assumptions!$A$7:$F$11,4,FALSE),8)/2-MAX(0,IF(AO42="",0,YEAR(TODAY())-AO42)-IFERROR(VLOOKUP(V42,Assumptions!$A$7:$F$11,5,FALSE),1.5))),IFERROR(VLOOKUP(V42,Assumptions!$A$7:$F$11,5,FALSE),2.5)+IFERROR(VLOOKUP(V42,Assumptions!$A$7:$F$11,3,FALSE),3)+IFERROR(VLOOKUP(V42,Assumptions!$A$7:$F$11,4,FALSE),8)/2)</f>
        <v/>
      </c>
      <c r="Y42" s="22">
        <f>U42*W42/(1+Assumptions!$B$3)^X42</f>
        <v/>
      </c>
      <c r="Z42" s="26">
        <f>IF(U42=0,"",ROUND(Y42/U42*100,1))</f>
        <v/>
      </c>
      <c r="AA42" s="27">
        <f>Y42*Assumptions!$B$4</f>
        <v/>
      </c>
      <c r="AB42" s="26">
        <f>IF(U42=0,"",ROUND(AA42/U42*100,1))</f>
        <v/>
      </c>
      <c r="AC42" s="27">
        <f>Y42-AA42</f>
        <v/>
      </c>
      <c r="AD42" s="26">
        <f>IF(U42=0,"",ROUND((Y42-AA42)/U42*100,1))</f>
        <v/>
      </c>
      <c r="AE42" s="34" t="inlineStr">
        <is>
          <t>PARTIAL — class III reconciled, other classes not</t>
        </is>
      </c>
      <c r="AF42" s="29" t="inlineStr">
        <is>
          <t>https://marquesadmjudicial.com.br/sgc/download.php?file=files/processo_documento/processo_documento09391327032025_1_.pdf&amp;nome=Relação Nominal de Credores AJ</t>
        </is>
      </c>
      <c r="AG42" s="28" t="inlineStr">
        <is>
          <t>p4 r4</t>
        </is>
      </c>
      <c r="AH42" s="28" t="inlineStr">
        <is>
          <t>p4: R$ 10.935.147,95</t>
        </is>
      </c>
      <c r="AI42" s="28" t="inlineStr">
        <is>
          <t>AJ list (art. 7 §2)</t>
        </is>
      </c>
      <c r="AJ42" s="28" t="inlineStr">
        <is>
          <t>2025-03-21</t>
        </is>
      </c>
      <c r="AK42" s="28" t="inlineStr">
        <is>
          <t>NONE FOUND</t>
        </is>
      </c>
      <c r="AL42" s="30" t="inlineStr">
        <is>
          <t>0044747-14.2024.8.16.0021</t>
        </is>
      </c>
      <c r="AM42" s="30" t="inlineStr">
        <is>
          <t>TJPR</t>
        </is>
      </c>
      <c r="AN42" s="30" t="inlineStr">
        <is>
          <t>ACTIVE</t>
        </is>
      </c>
      <c r="AO42" s="30" t="n">
        <v>2024</v>
      </c>
      <c r="AP42" s="30" t="inlineStr">
        <is>
          <t>live case, no plan document yet</t>
        </is>
      </c>
      <c r="AQ42" s="30" t="inlineStr">
        <is>
          <t>57.650.709/0001-50</t>
        </is>
      </c>
      <c r="AR42" s="30" t="inlineStr">
        <is>
          <t>printed on the list (read twice)</t>
        </is>
      </c>
      <c r="AS42" s="30" t="inlineStr">
        <is>
          <t>BRASILIA</t>
        </is>
      </c>
      <c r="AT42" s="30" t="inlineStr">
        <is>
          <t>DF</t>
        </is>
      </c>
      <c r="AU42" s="30" t="inlineStr">
        <is>
          <t>Bancos múltiplos, com carteira comercial</t>
        </is>
      </c>
      <c r="AV42" s="30" t="inlineStr">
        <is>
          <t>DEMAIS</t>
        </is>
      </c>
      <c r="AW42" s="31" t="n">
        <v>120000000000</v>
      </c>
      <c r="AX42" s="30" t="inlineStr">
        <is>
          <t>LARGE CORP</t>
        </is>
      </c>
      <c r="AY42" s="30" t="inlineStr">
        <is>
          <t>00000000</t>
        </is>
      </c>
      <c r="AZ42" s="30" t="n">
        <v>1</v>
      </c>
      <c r="BA42" s="30" t="inlineStr">
        <is>
          <t>NAME_MISSING PARTIAL_DOC_CLASS_III_RECONCILED ROWS:p4r4</t>
        </is>
      </c>
    </row>
    <row r="43">
      <c r="A43" s="16" t="inlineStr">
        <is>
          <t>BANCO SAFRA S A</t>
        </is>
      </c>
      <c r="B43" s="17" t="n">
        <v>10547523.23</v>
      </c>
      <c r="C43" s="18" t="inlineStr">
        <is>
          <t>GRUPO GLP</t>
        </is>
      </c>
      <c r="D43" s="19" t="inlineStr">
        <is>
          <t>NEW</t>
        </is>
      </c>
      <c r="E43" s="20" t="inlineStr"/>
      <c r="F43" s="19" t="inlineStr"/>
      <c r="G43" s="20" t="inlineStr"/>
      <c r="H43" s="19" t="inlineStr"/>
      <c r="I43" s="21" t="inlineStr">
        <is>
          <t>Vanessa Biotti</t>
        </is>
      </c>
      <c r="J43" s="21" t="inlineStr">
        <is>
          <t>Gerente de Recuperação de Crédito</t>
        </is>
      </c>
      <c r="K43" s="21" t="inlineStr">
        <is>
          <t>(11) 3175-7575</t>
        </is>
      </c>
      <c r="L43" s="21" t="inlineStr"/>
      <c r="M43" s="21" t="inlineStr"/>
      <c r="N43" s="21" t="inlineStr">
        <is>
          <t>vanessa.biotti@safra.com.br</t>
        </is>
      </c>
      <c r="O43" s="21" t="inlineStr">
        <is>
          <t>rodrigo.anjos@safra.com.br</t>
        </is>
      </c>
      <c r="P43" s="21" t="inlineStr">
        <is>
          <t>Rodrigo Anjos</t>
        </is>
      </c>
      <c r="Q43" s="21" t="inlineStr">
        <is>
          <t>Advogado Sênior - Jurídico Contencioso - Recuperação de Crédito - NPL</t>
        </is>
      </c>
      <c r="R43" s="21" t="inlineStr"/>
      <c r="S43" s="21" t="inlineStr">
        <is>
          <t>rodrigo.anjos@safra.com.br</t>
        </is>
      </c>
      <c r="T43" s="21" t="inlineStr">
        <is>
          <t>email verified by Apollo</t>
        </is>
      </c>
      <c r="U43" s="22" t="n">
        <v>10547523.23</v>
      </c>
      <c r="V43" s="23" t="inlineStr">
        <is>
          <t>B</t>
        </is>
      </c>
      <c r="W43" s="24">
        <f>IFERROR(VLOOKUP(V43,Assumptions!$A$7:$F$11,2,FALSE),0)</f>
        <v/>
      </c>
      <c r="X43" s="25">
        <f>IF(V43="A",MAX(1,IFERROR(VLOOKUP(V43,Assumptions!$A$7:$F$11,3,FALSE),3)+IFERROR(VLOOKUP(V43,Assumptions!$A$7:$F$11,4,FALSE),8)/2-MAX(0,IF(AO43="",0,YEAR(TODAY())-AO43)-IFERROR(VLOOKUP(V43,Assumptions!$A$7:$F$11,5,FALSE),1.5))),IFERROR(VLOOKUP(V43,Assumptions!$A$7:$F$11,5,FALSE),2.5)+IFERROR(VLOOKUP(V43,Assumptions!$A$7:$F$11,3,FALSE),3)+IFERROR(VLOOKUP(V43,Assumptions!$A$7:$F$11,4,FALSE),8)/2)</f>
        <v/>
      </c>
      <c r="Y43" s="22">
        <f>U43*W43/(1+Assumptions!$B$3)^X43</f>
        <v/>
      </c>
      <c r="Z43" s="26">
        <f>IF(U43=0,"",ROUND(Y43/U43*100,1))</f>
        <v/>
      </c>
      <c r="AA43" s="27">
        <f>Y43*Assumptions!$B$4</f>
        <v/>
      </c>
      <c r="AB43" s="26">
        <f>IF(U43=0,"",ROUND(AA43/U43*100,1))</f>
        <v/>
      </c>
      <c r="AC43" s="27">
        <f>Y43-AA43</f>
        <v/>
      </c>
      <c r="AD43" s="26">
        <f>IF(U43=0,"",ROUND((Y43-AA43)/U43*100,1))</f>
        <v/>
      </c>
      <c r="AE43" s="28" t="inlineStr">
        <is>
          <t>OK — totals reconciled</t>
        </is>
      </c>
      <c r="AF43" s="29" t="inlineStr">
        <is>
          <t>https://recuperasolucoes.com/wp-content/plugins/download-attachments/includes/download.php?id=1597</t>
        </is>
      </c>
      <c r="AG43" s="28" t="inlineStr">
        <is>
          <t>p13 r18</t>
        </is>
      </c>
      <c r="AH43" s="28" t="inlineStr">
        <is>
          <t>p13: R$ 10.547.523,23</t>
        </is>
      </c>
      <c r="AI43" s="28" t="inlineStr">
        <is>
          <t>Debtor list (art. 51)</t>
        </is>
      </c>
      <c r="AJ43" s="28" t="inlineStr">
        <is>
          <t>2026-05-21</t>
        </is>
      </c>
      <c r="AK43" s="28" t="inlineStr">
        <is>
          <t>NONE FOUND</t>
        </is>
      </c>
      <c r="AL43" s="30" t="inlineStr">
        <is>
          <t>0001639-09.2026.8.17.2810</t>
        </is>
      </c>
      <c r="AM43" s="30" t="inlineStr">
        <is>
          <t>TJPE</t>
        </is>
      </c>
      <c r="AN43" s="30" t="inlineStr">
        <is>
          <t>ACTIVE</t>
        </is>
      </c>
      <c r="AO43" s="30" t="n">
        <v>2026</v>
      </c>
      <c r="AP43" s="30" t="inlineStr">
        <is>
          <t>live case, no plan document yet</t>
        </is>
      </c>
      <c r="AQ43" s="30" t="inlineStr"/>
      <c r="AR43" s="30" t="inlineStr">
        <is>
          <t>printed on the list (read twice)</t>
        </is>
      </c>
      <c r="AS43" s="30" t="inlineStr">
        <is>
          <t>SAO PAULO</t>
        </is>
      </c>
      <c r="AT43" s="30" t="inlineStr">
        <is>
          <t>SP</t>
        </is>
      </c>
      <c r="AU43" s="30" t="inlineStr">
        <is>
          <t>Bancos múltiplos, com carteira comercial</t>
        </is>
      </c>
      <c r="AV43" s="30" t="inlineStr">
        <is>
          <t>DEMAIS</t>
        </is>
      </c>
      <c r="AW43" s="31" t="n">
        <v>13924903000</v>
      </c>
      <c r="AX43" s="30" t="inlineStr">
        <is>
          <t>LARGE CORP</t>
        </is>
      </c>
      <c r="AY43" s="30" t="inlineStr">
        <is>
          <t>58160789</t>
        </is>
      </c>
      <c r="AZ43" s="30" t="n">
        <v>1</v>
      </c>
      <c r="BA43" s="30" t="inlineStr">
        <is>
          <t>ROWS:p13r18</t>
        </is>
      </c>
    </row>
    <row r="44">
      <c r="A44" s="16" t="inlineStr">
        <is>
          <t>ITAU UNIBANCO S.A.</t>
        </is>
      </c>
      <c r="B44" s="17" t="n">
        <v>10230308.04</v>
      </c>
      <c r="C44" s="18" t="inlineStr">
        <is>
          <t>GRUPO CATTAN</t>
        </is>
      </c>
      <c r="D44" s="19" t="inlineStr">
        <is>
          <t>NEW</t>
        </is>
      </c>
      <c r="E44" s="20" t="inlineStr"/>
      <c r="F44" s="19" t="inlineStr"/>
      <c r="G44" s="20" t="inlineStr"/>
      <c r="H44" s="19" t="inlineStr"/>
      <c r="I44" s="21" t="inlineStr">
        <is>
          <t>Murilo Gigliucci</t>
        </is>
      </c>
      <c r="J44" s="21" t="inlineStr">
        <is>
          <t>Superintendente de Reestruturação de Crédito</t>
        </is>
      </c>
      <c r="K44" s="21" t="inlineStr">
        <is>
          <t>(11) 3003-4828</t>
        </is>
      </c>
      <c r="L44" s="21" t="inlineStr"/>
      <c r="M44" s="21" t="inlineStr"/>
      <c r="N44" s="21" t="inlineStr">
        <is>
          <t>murilo.gigliucci@itau-unibanco.com.br</t>
        </is>
      </c>
      <c r="O44" s="21" t="inlineStr">
        <is>
          <t>pedro.ornellas-geronimo@itau-unibanco.com.br</t>
        </is>
      </c>
      <c r="P44" s="21" t="inlineStr">
        <is>
          <t>Pedro Ornellas</t>
        </is>
      </c>
      <c r="Q44" s="21" t="inlineStr">
        <is>
          <t>Superintendente de Recuperação de Crédito</t>
        </is>
      </c>
      <c r="R44" s="21" t="inlineStr"/>
      <c r="S44" s="21" t="inlineStr">
        <is>
          <t>pedro.ornellas-geronimo@itau-unibanco.com.br</t>
        </is>
      </c>
      <c r="T44" s="21" t="inlineStr">
        <is>
          <t>email verified by Apollo</t>
        </is>
      </c>
      <c r="U44" s="22" t="n">
        <v>10230308.04</v>
      </c>
      <c r="V44" s="23" t="inlineStr">
        <is>
          <t>B</t>
        </is>
      </c>
      <c r="W44" s="24">
        <f>IFERROR(VLOOKUP(V44,Assumptions!$A$7:$F$11,2,FALSE),0)</f>
        <v/>
      </c>
      <c r="X44" s="25">
        <f>IF(V44="A",MAX(1,IFERROR(VLOOKUP(V44,Assumptions!$A$7:$F$11,3,FALSE),3)+IFERROR(VLOOKUP(V44,Assumptions!$A$7:$F$11,4,FALSE),8)/2-MAX(0,IF(AO44="",0,YEAR(TODAY())-AO44)-IFERROR(VLOOKUP(V44,Assumptions!$A$7:$F$11,5,FALSE),1.5))),IFERROR(VLOOKUP(V44,Assumptions!$A$7:$F$11,5,FALSE),2.5)+IFERROR(VLOOKUP(V44,Assumptions!$A$7:$F$11,3,FALSE),3)+IFERROR(VLOOKUP(V44,Assumptions!$A$7:$F$11,4,FALSE),8)/2)</f>
        <v/>
      </c>
      <c r="Y44" s="22">
        <f>U44*W44/(1+Assumptions!$B$3)^X44</f>
        <v/>
      </c>
      <c r="Z44" s="26">
        <f>IF(U44=0,"",ROUND(Y44/U44*100,1))</f>
        <v/>
      </c>
      <c r="AA44" s="27">
        <f>Y44*Assumptions!$B$4</f>
        <v/>
      </c>
      <c r="AB44" s="26">
        <f>IF(U44=0,"",ROUND(AA44/U44*100,1))</f>
        <v/>
      </c>
      <c r="AC44" s="27">
        <f>Y44-AA44</f>
        <v/>
      </c>
      <c r="AD44" s="26">
        <f>IF(U44=0,"",ROUND((Y44-AA44)/U44*100,1))</f>
        <v/>
      </c>
      <c r="AE44" s="34" t="inlineStr">
        <is>
          <t>PARTIAL — class III reconciled, other classes not</t>
        </is>
      </c>
      <c r="AF44" s="29" t="inlineStr">
        <is>
          <t>https://lrflideres.com.br/wp-content/plugins/download-attachments/includes/download.php?id=4023</t>
        </is>
      </c>
      <c r="AG44" s="28" t="inlineStr">
        <is>
          <t>p4 r79; p7 r104; p8 r83; p9 r78</t>
        </is>
      </c>
      <c r="AH44" s="28" t="inlineStr">
        <is>
          <t>p4: R$ 1.877.913,26; p7: R$ 5.246.171,01; p8: R$ 2.428.571,55; p9: R$ 677.652,22</t>
        </is>
      </c>
      <c r="AI44" s="28" t="inlineStr">
        <is>
          <t>Debtor list (art. 51)</t>
        </is>
      </c>
      <c r="AJ44" s="28" t="inlineStr"/>
      <c r="AK44" s="28" t="inlineStr">
        <is>
          <t>NONE FOUND</t>
        </is>
      </c>
      <c r="AL44" s="30" t="inlineStr">
        <is>
          <t>0002484-82.2022.8.17.2001</t>
        </is>
      </c>
      <c r="AM44" s="30" t="inlineStr">
        <is>
          <t>TJPE</t>
        </is>
      </c>
      <c r="AN44" s="30" t="inlineStr">
        <is>
          <t>ACTIVE</t>
        </is>
      </c>
      <c r="AO44" s="30" t="n">
        <v>2022</v>
      </c>
      <c r="AP44" s="30" t="inlineStr">
        <is>
          <t>live case, no plan document yet</t>
        </is>
      </c>
      <c r="AQ44" s="30" t="inlineStr"/>
      <c r="AR44" s="30" t="inlineStr">
        <is>
          <t>printed on the list (read twice)</t>
        </is>
      </c>
      <c r="AS44" s="30" t="inlineStr">
        <is>
          <t>SAO PAULO</t>
        </is>
      </c>
      <c r="AT44" s="30" t="inlineStr">
        <is>
          <t>SP</t>
        </is>
      </c>
      <c r="AU44" s="30" t="inlineStr">
        <is>
          <t>Bancos comerciais</t>
        </is>
      </c>
      <c r="AV44" s="30" t="inlineStr">
        <is>
          <t>DEMAIS</t>
        </is>
      </c>
      <c r="AW44" s="31" t="n">
        <v>76200000000</v>
      </c>
      <c r="AX44" s="30" t="inlineStr">
        <is>
          <t>LARGE CORP</t>
        </is>
      </c>
      <c r="AY44" s="30" t="inlineStr">
        <is>
          <t>60701190</t>
        </is>
      </c>
      <c r="AZ44" s="30" t="n">
        <v>4</v>
      </c>
      <c r="BA44" s="30" t="inlineStr">
        <is>
          <t>LIKELY_FINANCIAL_BY_NAME PARTIAL_DOC_CLASS_III_RECONCILED ROWS:p4r79,p7r104,p8r83,p9r78</t>
        </is>
      </c>
    </row>
    <row r="45">
      <c r="A45" s="16" t="inlineStr">
        <is>
          <t>BANCO SANTANDER (BRASIL) S.A.</t>
        </is>
      </c>
      <c r="B45" s="17" t="n">
        <v>10130566.25</v>
      </c>
      <c r="C45" s="18" t="inlineStr">
        <is>
          <t>GRUPO ADLIM</t>
        </is>
      </c>
      <c r="D45" s="19" t="inlineStr">
        <is>
          <t>NEW</t>
        </is>
      </c>
      <c r="E45" s="20" t="inlineStr"/>
      <c r="F45" s="19" t="inlineStr"/>
      <c r="G45" s="20" t="inlineStr"/>
      <c r="H45" s="19" t="inlineStr"/>
      <c r="I45" s="21" t="inlineStr">
        <is>
          <t>Igor Puertas</t>
        </is>
      </c>
      <c r="J45" s="21" t="inlineStr">
        <is>
          <t>Distressed Assets | NPL</t>
        </is>
      </c>
      <c r="K45" s="21" t="inlineStr">
        <is>
          <t>(11) 4004-3535</t>
        </is>
      </c>
      <c r="L45" s="21" t="inlineStr"/>
      <c r="M45" s="21" t="inlineStr"/>
      <c r="N45" s="21" t="inlineStr">
        <is>
          <t>igor.puertas@santander.com.br</t>
        </is>
      </c>
      <c r="O45" s="21" t="inlineStr">
        <is>
          <t>antonio.pequeno.junior@santander.com.br</t>
        </is>
      </c>
      <c r="P45" s="21" t="inlineStr">
        <is>
          <t>Antonio Junior</t>
        </is>
      </c>
      <c r="Q45" s="21" t="inlineStr">
        <is>
          <t>Superintendente Recuperação de Crédito</t>
        </is>
      </c>
      <c r="R45" s="21" t="inlineStr"/>
      <c r="S45" s="21" t="inlineStr">
        <is>
          <t>antonio.pequeno.junior@santander.com.br</t>
        </is>
      </c>
      <c r="T45" s="21" t="inlineStr">
        <is>
          <t>email verified by Apollo</t>
        </is>
      </c>
      <c r="U45" s="22" t="n">
        <v>10130566.25</v>
      </c>
      <c r="V45" s="23" t="inlineStr">
        <is>
          <t>B</t>
        </is>
      </c>
      <c r="W45" s="24">
        <f>IFERROR(VLOOKUP(V45,Assumptions!$A$7:$F$11,2,FALSE),0)</f>
        <v/>
      </c>
      <c r="X45" s="25">
        <f>IF(V45="A",MAX(1,IFERROR(VLOOKUP(V45,Assumptions!$A$7:$F$11,3,FALSE),3)+IFERROR(VLOOKUP(V45,Assumptions!$A$7:$F$11,4,FALSE),8)/2-MAX(0,IF(AO45="",0,YEAR(TODAY())-AO45)-IFERROR(VLOOKUP(V45,Assumptions!$A$7:$F$11,5,FALSE),1.5))),IFERROR(VLOOKUP(V45,Assumptions!$A$7:$F$11,5,FALSE),2.5)+IFERROR(VLOOKUP(V45,Assumptions!$A$7:$F$11,3,FALSE),3)+IFERROR(VLOOKUP(V45,Assumptions!$A$7:$F$11,4,FALSE),8)/2)</f>
        <v/>
      </c>
      <c r="Y45" s="22">
        <f>U45*W45/(1+Assumptions!$B$3)^X45</f>
        <v/>
      </c>
      <c r="Z45" s="26">
        <f>IF(U45=0,"",ROUND(Y45/U45*100,1))</f>
        <v/>
      </c>
      <c r="AA45" s="27">
        <f>Y45*Assumptions!$B$4</f>
        <v/>
      </c>
      <c r="AB45" s="26">
        <f>IF(U45=0,"",ROUND(AA45/U45*100,1))</f>
        <v/>
      </c>
      <c r="AC45" s="27">
        <f>Y45-AA45</f>
        <v/>
      </c>
      <c r="AD45" s="26">
        <f>IF(U45=0,"",ROUND((Y45-AA45)/U45*100,1))</f>
        <v/>
      </c>
      <c r="AE45" s="34" t="inlineStr">
        <is>
          <t>PARTIAL — class III reconciled, other classes not</t>
        </is>
      </c>
      <c r="AF45" s="29" t="inlineStr">
        <is>
          <t>https://lrflideres.com.br/wp-content/plugins/download-attachments/includes/download.php?id=6051</t>
        </is>
      </c>
      <c r="AG45" s="28" t="inlineStr">
        <is>
          <t>p66 r71; p85 r23; p97 r22</t>
        </is>
      </c>
      <c r="AH45" s="28" t="inlineStr">
        <is>
          <t>p66: R$ 5124521,38; p85: R$ 5006044,87; p97: R$ 5006044,87</t>
        </is>
      </c>
      <c r="AI45" s="28" t="inlineStr">
        <is>
          <t>AJ list (art. 7 §2)</t>
        </is>
      </c>
      <c r="AJ45" s="28" t="inlineStr">
        <is>
          <t>2024-08-12</t>
        </is>
      </c>
      <c r="AK45" s="28" t="inlineStr">
        <is>
          <t>NONE FOUND</t>
        </is>
      </c>
      <c r="AL45" s="30" t="inlineStr">
        <is>
          <t>0019761-43.2024.8.17.2001</t>
        </is>
      </c>
      <c r="AM45" s="30" t="inlineStr">
        <is>
          <t>TJPE</t>
        </is>
      </c>
      <c r="AN45" s="30" t="inlineStr">
        <is>
          <t>ACTIVE</t>
        </is>
      </c>
      <c r="AO45" s="30" t="n">
        <v>2024</v>
      </c>
      <c r="AP45" s="30" t="inlineStr">
        <is>
          <t>live case, no plan document yet</t>
        </is>
      </c>
      <c r="AQ45" s="30" t="inlineStr"/>
      <c r="AR45" s="30" t="inlineStr">
        <is>
          <t>printed on the list (read twice)</t>
        </is>
      </c>
      <c r="AS45" s="30" t="inlineStr">
        <is>
          <t>SAO PAULO</t>
        </is>
      </c>
      <c r="AT45" s="30" t="inlineStr">
        <is>
          <t>SP</t>
        </is>
      </c>
      <c r="AU45" s="30" t="inlineStr">
        <is>
          <t>Bancos múltiplos, com carteira comercial</t>
        </is>
      </c>
      <c r="AV45" s="30" t="inlineStr">
        <is>
          <t>DEMAIS</t>
        </is>
      </c>
      <c r="AW45" s="31" t="n">
        <v>65000000000</v>
      </c>
      <c r="AX45" s="30" t="inlineStr">
        <is>
          <t>LARGE CORP</t>
        </is>
      </c>
      <c r="AY45" s="30" t="inlineStr">
        <is>
          <t>90400888</t>
        </is>
      </c>
      <c r="AZ45" s="30" t="n">
        <v>2</v>
      </c>
      <c r="BA45" s="30" t="inlineStr">
        <is>
          <t>LIKELY_FINANCIAL_BY_NAME PARTIAL_DOC_CLASS_III_RECONCILED ROWS:p66r71,p85r23</t>
        </is>
      </c>
    </row>
    <row r="46">
      <c r="A46" s="16" t="inlineStr">
        <is>
          <t>BANCO BRADESCO S.A.</t>
        </is>
      </c>
      <c r="B46" s="17" t="n">
        <v>5316666.67</v>
      </c>
      <c r="C46" s="18" t="inlineStr">
        <is>
          <t>GRUPO 3E</t>
        </is>
      </c>
      <c r="D46" s="19" t="inlineStr">
        <is>
          <t>NEW</t>
        </is>
      </c>
      <c r="E46" s="20" t="inlineStr"/>
      <c r="F46" s="19" t="inlineStr"/>
      <c r="G46" s="20" t="inlineStr"/>
      <c r="H46" s="19" t="inlineStr"/>
      <c r="I46" s="21" t="inlineStr">
        <is>
          <t>Marcela Martins</t>
        </is>
      </c>
      <c r="J46" s="21" t="inlineStr">
        <is>
          <t>Superintendente de Recuperação de Crédito - Canais e Operações</t>
        </is>
      </c>
      <c r="K46" s="21" t="inlineStr">
        <is>
          <t>(11) 3684-5122</t>
        </is>
      </c>
      <c r="L46" s="21" t="inlineStr"/>
      <c r="M46" s="21" t="inlineStr"/>
      <c r="N46" s="21" t="inlineStr"/>
      <c r="O46" s="21" t="inlineStr">
        <is>
          <t>sl@bradesco.com.br</t>
        </is>
      </c>
      <c r="P46" s="21" t="inlineStr">
        <is>
          <t>Luis S</t>
        </is>
      </c>
      <c r="Q46" s="21" t="inlineStr">
        <is>
          <t>DRC - Departamento de Recuperação de Crédito - Gerente de Reestruturação de Crédito</t>
        </is>
      </c>
      <c r="R46" s="21" t="inlineStr"/>
      <c r="S46" s="21" t="inlineStr">
        <is>
          <t>sl@bradesco.com.br</t>
        </is>
      </c>
      <c r="T46" s="21" t="inlineStr">
        <is>
          <t>no work email found in Apollo</t>
        </is>
      </c>
      <c r="U46" s="22" t="n">
        <v>5316666.67</v>
      </c>
      <c r="V46" s="35" t="inlineStr">
        <is>
          <t>A</t>
        </is>
      </c>
      <c r="W46" s="24">
        <f>IFERROR(VLOOKUP(V46,Assumptions!$A$7:$F$11,2,FALSE),0)</f>
        <v/>
      </c>
      <c r="X46" s="25">
        <f>IF(V46="A",MAX(1,IFERROR(VLOOKUP(V46,Assumptions!$A$7:$F$11,3,FALSE),3)+IFERROR(VLOOKUP(V46,Assumptions!$A$7:$F$11,4,FALSE),8)/2-MAX(0,IF(AO46="",0,YEAR(TODAY())-AO46)-IFERROR(VLOOKUP(V46,Assumptions!$A$7:$F$11,5,FALSE),1.5))),IFERROR(VLOOKUP(V46,Assumptions!$A$7:$F$11,5,FALSE),2.5)+IFERROR(VLOOKUP(V46,Assumptions!$A$7:$F$11,3,FALSE),3)+IFERROR(VLOOKUP(V46,Assumptions!$A$7:$F$11,4,FALSE),8)/2)</f>
        <v/>
      </c>
      <c r="Y46" s="22">
        <f>U46*W46/(1+Assumptions!$B$3)^X46</f>
        <v/>
      </c>
      <c r="Z46" s="26">
        <f>IF(U46=0,"",ROUND(Y46/U46*100,1))</f>
        <v/>
      </c>
      <c r="AA46" s="27">
        <f>Y46*Assumptions!$B$4</f>
        <v/>
      </c>
      <c r="AB46" s="26">
        <f>IF(U46=0,"",ROUND(AA46/U46*100,1))</f>
        <v/>
      </c>
      <c r="AC46" s="27">
        <f>Y46-AA46</f>
        <v/>
      </c>
      <c r="AD46" s="26">
        <f>IF(U46=0,"",ROUND((Y46-AA46)/U46*100,1))</f>
        <v/>
      </c>
      <c r="AE46" s="33" t="inlineStr">
        <is>
          <t>NO TOTALS — list prints none; check page</t>
        </is>
      </c>
      <c r="AF46" s="29" t="inlineStr">
        <is>
          <t>https://stenius.com.br/wp-content/uploads/2026/06/EDITAL-GRUPO-3E.pdf</t>
        </is>
      </c>
      <c r="AG46" s="28" t="inlineStr">
        <is>
          <t>p10 r32</t>
        </is>
      </c>
      <c r="AH46" s="28" t="inlineStr">
        <is>
          <t>p10: R$ 5.316.666,67</t>
        </is>
      </c>
      <c r="AI46" s="28" t="inlineStr">
        <is>
          <t>Debtor list (art. 51)</t>
        </is>
      </c>
      <c r="AJ46" s="28" t="inlineStr">
        <is>
          <t>2026-06-22</t>
        </is>
      </c>
      <c r="AK46" s="28" t="inlineStr">
        <is>
          <t>PLAN DOC FOUND</t>
        </is>
      </c>
      <c r="AL46" s="30" t="inlineStr">
        <is>
          <t>5341375-33.2026.8.09.0049</t>
        </is>
      </c>
      <c r="AM46" s="30" t="inlineStr">
        <is>
          <t>TJGO</t>
        </is>
      </c>
      <c r="AN46" s="30" t="inlineStr">
        <is>
          <t>ACTIVE</t>
        </is>
      </c>
      <c r="AO46" s="30" t="n">
        <v>2026</v>
      </c>
      <c r="AP46" s="30" t="inlineStr">
        <is>
          <t>plan/homologation document found</t>
        </is>
      </c>
      <c r="AQ46" s="30" t="inlineStr"/>
      <c r="AR46" s="30" t="inlineStr">
        <is>
          <t>printed on the list (read twice)</t>
        </is>
      </c>
      <c r="AS46" s="30" t="inlineStr">
        <is>
          <t>OSASCO</t>
        </is>
      </c>
      <c r="AT46" s="30" t="inlineStr">
        <is>
          <t>SP</t>
        </is>
      </c>
      <c r="AU46" s="30" t="inlineStr">
        <is>
          <t>Bancos múltiplos, com carteira comercial</t>
        </is>
      </c>
      <c r="AV46" s="30" t="inlineStr">
        <is>
          <t>DEMAIS</t>
        </is>
      </c>
      <c r="AW46" s="31" t="n">
        <v>93770000000</v>
      </c>
      <c r="AX46" s="30" t="inlineStr">
        <is>
          <t>LARGE CORP</t>
        </is>
      </c>
      <c r="AY46" s="30" t="inlineStr">
        <is>
          <t>60746948</t>
        </is>
      </c>
      <c r="AZ46" s="30" t="n">
        <v>1</v>
      </c>
      <c r="BA46" s="30" t="inlineStr">
        <is>
          <t>LIKELY_FINANCIAL_BY_NAME ROWS:p10r32 UNRECONCILED_SOURCE</t>
        </is>
      </c>
    </row>
    <row r="47">
      <c r="A47" s="16" t="inlineStr">
        <is>
          <t>BANCO SEMEAR S.A.</t>
        </is>
      </c>
      <c r="B47" s="17" t="n">
        <v>17013791.05</v>
      </c>
      <c r="C47" s="18" t="inlineStr">
        <is>
          <t>EGESA ENGENHARIA S/A (Consórcio ETDI)</t>
        </is>
      </c>
      <c r="D47" s="19" t="inlineStr">
        <is>
          <t>NEW</t>
        </is>
      </c>
      <c r="E47" s="20" t="inlineStr"/>
      <c r="F47" s="19" t="inlineStr"/>
      <c r="G47" s="20" t="inlineStr"/>
      <c r="H47" s="19" t="inlineStr"/>
      <c r="I47" s="21" t="inlineStr">
        <is>
          <t>Wenzzer Miranda</t>
        </is>
      </c>
      <c r="J47" s="21" t="inlineStr">
        <is>
          <t>Gerente – Operações Imobiliárias, Recuperação de Crédito, Garantias e Cadastro Corporativo</t>
        </is>
      </c>
      <c r="K47" s="21" t="inlineStr">
        <is>
          <t>(31) 3516-8000</t>
        </is>
      </c>
      <c r="L47" s="21" t="inlineStr"/>
      <c r="M47" s="21" t="inlineStr"/>
      <c r="N47" s="21" t="inlineStr">
        <is>
          <t>wenzzer.miranda@bancosemear.com.br</t>
        </is>
      </c>
      <c r="O47" s="21" t="inlineStr"/>
      <c r="P47" s="21" t="inlineStr">
        <is>
          <t>Livia Freitas</t>
        </is>
      </c>
      <c r="Q47" s="21" t="inlineStr">
        <is>
          <t>Analista de Recuperação de Crédito PF</t>
        </is>
      </c>
      <c r="R47" s="21" t="inlineStr"/>
      <c r="S47" s="21" t="inlineStr"/>
      <c r="T47" s="21" t="inlineStr">
        <is>
          <t>email verified by Apollo</t>
        </is>
      </c>
      <c r="U47" s="22" t="n">
        <v>17013791.05</v>
      </c>
      <c r="V47" s="32" t="inlineStr">
        <is>
          <t>U</t>
        </is>
      </c>
      <c r="W47" s="24">
        <f>IFERROR(VLOOKUP(V47,Assumptions!$A$7:$F$11,2,FALSE),0)</f>
        <v/>
      </c>
      <c r="X47" s="25">
        <f>IF(V47="A",MAX(1,IFERROR(VLOOKUP(V47,Assumptions!$A$7:$F$11,3,FALSE),3)+IFERROR(VLOOKUP(V47,Assumptions!$A$7:$F$11,4,FALSE),8)/2-MAX(0,IF(AO47="",0,YEAR(TODAY())-AO47)-IFERROR(VLOOKUP(V47,Assumptions!$A$7:$F$11,5,FALSE),1.5))),IFERROR(VLOOKUP(V47,Assumptions!$A$7:$F$11,5,FALSE),2.5)+IFERROR(VLOOKUP(V47,Assumptions!$A$7:$F$11,3,FALSE),3)+IFERROR(VLOOKUP(V47,Assumptions!$A$7:$F$11,4,FALSE),8)/2)</f>
        <v/>
      </c>
      <c r="Y47" s="22">
        <f>U47*W47/(1+Assumptions!$B$3)^X47</f>
        <v/>
      </c>
      <c r="Z47" s="26">
        <f>IF(U47=0,"",ROUND(Y47/U47*100,1))</f>
        <v/>
      </c>
      <c r="AA47" s="27">
        <f>Y47*Assumptions!$B$4</f>
        <v/>
      </c>
      <c r="AB47" s="26">
        <f>IF(U47=0,"",ROUND(AA47/U47*100,1))</f>
        <v/>
      </c>
      <c r="AC47" s="27">
        <f>Y47-AA47</f>
        <v/>
      </c>
      <c r="AD47" s="26">
        <f>IF(U47=0,"",ROUND((Y47-AA47)/U47*100,1))</f>
        <v/>
      </c>
      <c r="AE47" s="28" t="inlineStr">
        <is>
          <t>OK — totals reconciled</t>
        </is>
      </c>
      <c r="AF47" s="29" t="inlineStr">
        <is>
          <t>https://scalzilliaj.com.br/sgc/download.php?file=files/processo_documento/processo_documento09514021082025_1_.pdf&amp;nome=04 - Relação de credores das Recuperandas</t>
        </is>
      </c>
      <c r="AG47" s="28" t="inlineStr">
        <is>
          <t>p62 r18</t>
        </is>
      </c>
      <c r="AH47" s="28" t="inlineStr">
        <is>
          <t>p62: R$ 17.013.791,05</t>
        </is>
      </c>
      <c r="AI47" s="28" t="inlineStr">
        <is>
          <t>Debtor list (art. 51)</t>
        </is>
      </c>
      <c r="AJ47" s="28" t="inlineStr"/>
      <c r="AK47" s="28" t="inlineStr">
        <is>
          <t>NONE FOUND</t>
        </is>
      </c>
      <c r="AL47" s="30" t="inlineStr">
        <is>
          <t>(not printed)</t>
        </is>
      </c>
      <c r="AM47" s="30" t="inlineStr"/>
      <c r="AN47" s="30" t="inlineStr"/>
      <c r="AO47" s="30" t="inlineStr"/>
      <c r="AP47" s="30" t="inlineStr">
        <is>
          <t>RJ case number not identified on the document</t>
        </is>
      </c>
      <c r="AQ47" s="30" t="inlineStr"/>
      <c r="AR47" s="30" t="inlineStr">
        <is>
          <t>portal page title / URL — not printed on the list</t>
        </is>
      </c>
      <c r="AS47" s="30" t="inlineStr">
        <is>
          <t>BELO HORIZONTE</t>
        </is>
      </c>
      <c r="AT47" s="30" t="inlineStr">
        <is>
          <t>MG</t>
        </is>
      </c>
      <c r="AU47" s="30" t="inlineStr">
        <is>
          <t>Bancos múltiplos, com carteira comercial</t>
        </is>
      </c>
      <c r="AV47" s="30" t="inlineStr">
        <is>
          <t>DEMAIS</t>
        </is>
      </c>
      <c r="AW47" s="31" t="n">
        <v>113068184</v>
      </c>
      <c r="AX47" s="30" t="inlineStr">
        <is>
          <t>MID-MARKET</t>
        </is>
      </c>
      <c r="AY47" s="30" t="inlineStr">
        <is>
          <t>00795423</t>
        </is>
      </c>
      <c r="AZ47" s="30" t="n">
        <v>1</v>
      </c>
      <c r="BA47" s="30" t="inlineStr">
        <is>
          <t>LIKELY_FINANCIAL_BY_NAME ROWS:p62r18 VALUE_COL:Valor_Atualizado CASE_NUMBER_CORRECTED</t>
        </is>
      </c>
    </row>
    <row r="48">
      <c r="A48" s="16" t="inlineStr">
        <is>
          <t>BANCO DAYCOVAL S.A.</t>
        </is>
      </c>
      <c r="B48" s="17" t="n">
        <v>8739976.119999999</v>
      </c>
      <c r="C48" s="18" t="inlineStr">
        <is>
          <t>GRUPO DP4</t>
        </is>
      </c>
      <c r="D48" s="19" t="inlineStr">
        <is>
          <t>NEW</t>
        </is>
      </c>
      <c r="E48" s="20" t="inlineStr"/>
      <c r="F48" s="19" t="inlineStr"/>
      <c r="G48" s="20" t="inlineStr"/>
      <c r="H48" s="19" t="inlineStr"/>
      <c r="I48" s="21" t="inlineStr">
        <is>
          <t>Celso Araujo</t>
        </is>
      </c>
      <c r="J48" s="21" t="inlineStr">
        <is>
          <t>Gerente de Recuperação de Crédito</t>
        </is>
      </c>
      <c r="K48" s="21" t="inlineStr">
        <is>
          <t>(11) 3138-0500</t>
        </is>
      </c>
      <c r="L48" s="21" t="inlineStr"/>
      <c r="M48" s="21" t="inlineStr"/>
      <c r="N48" s="21" t="inlineStr">
        <is>
          <t>celso.araujo@bancodaycoval.com.br</t>
        </is>
      </c>
      <c r="O48" s="21" t="inlineStr">
        <is>
          <t>andreia.matiel@daycoval.com.br</t>
        </is>
      </c>
      <c r="P48" s="21" t="inlineStr">
        <is>
          <t>Andreia Matiel</t>
        </is>
      </c>
      <c r="Q48" s="21" t="inlineStr">
        <is>
          <t>Advogada Recuperação de Crédito Empresas</t>
        </is>
      </c>
      <c r="R48" s="21" t="inlineStr"/>
      <c r="S48" s="21" t="inlineStr">
        <is>
          <t>andreia.matiel@daycoval.com.br</t>
        </is>
      </c>
      <c r="T48" s="21" t="inlineStr">
        <is>
          <t>email verified by Apollo</t>
        </is>
      </c>
      <c r="U48" s="22" t="n">
        <v>8739976.119999999</v>
      </c>
      <c r="V48" s="23" t="inlineStr">
        <is>
          <t>B</t>
        </is>
      </c>
      <c r="W48" s="24">
        <f>IFERROR(VLOOKUP(V48,Assumptions!$A$7:$F$11,2,FALSE),0)</f>
        <v/>
      </c>
      <c r="X48" s="25">
        <f>IF(V48="A",MAX(1,IFERROR(VLOOKUP(V48,Assumptions!$A$7:$F$11,3,FALSE),3)+IFERROR(VLOOKUP(V48,Assumptions!$A$7:$F$11,4,FALSE),8)/2-MAX(0,IF(AO48="",0,YEAR(TODAY())-AO48)-IFERROR(VLOOKUP(V48,Assumptions!$A$7:$F$11,5,FALSE),1.5))),IFERROR(VLOOKUP(V48,Assumptions!$A$7:$F$11,5,FALSE),2.5)+IFERROR(VLOOKUP(V48,Assumptions!$A$7:$F$11,3,FALSE),3)+IFERROR(VLOOKUP(V48,Assumptions!$A$7:$F$11,4,FALSE),8)/2)</f>
        <v/>
      </c>
      <c r="Y48" s="22">
        <f>U48*W48/(1+Assumptions!$B$3)^X48</f>
        <v/>
      </c>
      <c r="Z48" s="26">
        <f>IF(U48=0,"",ROUND(Y48/U48*100,1))</f>
        <v/>
      </c>
      <c r="AA48" s="27">
        <f>Y48*Assumptions!$B$4</f>
        <v/>
      </c>
      <c r="AB48" s="26">
        <f>IF(U48=0,"",ROUND(AA48/U48*100,1))</f>
        <v/>
      </c>
      <c r="AC48" s="27">
        <f>Y48-AA48</f>
        <v/>
      </c>
      <c r="AD48" s="26">
        <f>IF(U48=0,"",ROUND((Y48-AA48)/U48*100,1))</f>
        <v/>
      </c>
      <c r="AE48" s="34" t="inlineStr">
        <is>
          <t>PARTIAL — class III reconciled, other classes not</t>
        </is>
      </c>
      <c r="AF48" s="29" t="inlineStr">
        <is>
          <t>https://marquesadmjudicial.com.br/sgc/download.php?file=files/processo_documento/processo_documento15293208032024_1_.pdf&amp;nome=Relação Nominal de Credores da AJ-Sintética</t>
        </is>
      </c>
      <c r="AG48" s="28" t="inlineStr">
        <is>
          <t>p20 r9</t>
        </is>
      </c>
      <c r="AH48" s="28" t="inlineStr">
        <is>
          <t>p20: R$ 8.739.976,12</t>
        </is>
      </c>
      <c r="AI48" s="28" t="inlineStr">
        <is>
          <t>AJ list (art. 7 §2)</t>
        </is>
      </c>
      <c r="AJ48" s="28" t="inlineStr">
        <is>
          <t>2023-03-02</t>
        </is>
      </c>
      <c r="AK48" s="28" t="inlineStr">
        <is>
          <t>NONE FOUND</t>
        </is>
      </c>
      <c r="AL48" s="30" t="inlineStr">
        <is>
          <t>0005010-98.2023.8.16.0001</t>
        </is>
      </c>
      <c r="AM48" s="30" t="inlineStr">
        <is>
          <t>TJPR</t>
        </is>
      </c>
      <c r="AN48" s="30" t="inlineStr">
        <is>
          <t>ACTIVE</t>
        </is>
      </c>
      <c r="AO48" s="30" t="n">
        <v>2023</v>
      </c>
      <c r="AP48" s="30" t="inlineStr">
        <is>
          <t>live case, no plan document yet</t>
        </is>
      </c>
      <c r="AQ48" s="30" t="inlineStr"/>
      <c r="AR48" s="30" t="inlineStr">
        <is>
          <t>printed on the list (read twice)</t>
        </is>
      </c>
      <c r="AS48" s="30" t="inlineStr">
        <is>
          <t>SAO PAULO</t>
        </is>
      </c>
      <c r="AT48" s="30" t="inlineStr">
        <is>
          <t>SP</t>
        </is>
      </c>
      <c r="AU48" s="30" t="inlineStr">
        <is>
          <t>Bancos múltiplos, com carteira comercial</t>
        </is>
      </c>
      <c r="AV48" s="30" t="inlineStr">
        <is>
          <t>DEMAIS</t>
        </is>
      </c>
      <c r="AW48" s="31" t="n">
        <v>6907260000</v>
      </c>
      <c r="AX48" s="30" t="inlineStr">
        <is>
          <t>LARGE CORP</t>
        </is>
      </c>
      <c r="AY48" s="30" t="inlineStr">
        <is>
          <t>62232889</t>
        </is>
      </c>
      <c r="AZ48" s="30" t="n">
        <v>1</v>
      </c>
      <c r="BA48" s="30" t="inlineStr">
        <is>
          <t>LIKELY_FINANCIAL_BY_NAME PARTIAL_DOC_CLASS_III_RECONCILED ROWS:p20r9</t>
        </is>
      </c>
    </row>
    <row r="49">
      <c r="A49" s="16" t="inlineStr">
        <is>
          <t>BANCO VOTORANTIM S.A.</t>
        </is>
      </c>
      <c r="B49" s="17" t="n">
        <v>8555161.5</v>
      </c>
      <c r="C49" s="18" t="inlineStr">
        <is>
          <t>GRUPO GLP</t>
        </is>
      </c>
      <c r="D49" s="19" t="inlineStr">
        <is>
          <t>NEW</t>
        </is>
      </c>
      <c r="E49" s="20" t="inlineStr"/>
      <c r="F49" s="19" t="inlineStr"/>
      <c r="G49" s="20" t="inlineStr"/>
      <c r="H49" s="19" t="inlineStr"/>
      <c r="I49" s="21" t="inlineStr">
        <is>
          <t>Red Silva</t>
        </is>
      </c>
      <c r="J49" s="21" t="inlineStr">
        <is>
          <t>Special Assets - Banker Senior</t>
        </is>
      </c>
      <c r="K49" s="21" t="inlineStr">
        <is>
          <t>(11) 5171-2672</t>
        </is>
      </c>
      <c r="L49" s="21" t="inlineStr">
        <is>
          <t>(11) 5171-2488</t>
        </is>
      </c>
      <c r="M49" s="21" t="inlineStr"/>
      <c r="N49" s="21" t="inlineStr">
        <is>
          <t>red.silva@bv.com.br</t>
        </is>
      </c>
      <c r="O49" s="21" t="inlineStr">
        <is>
          <t>caroline.oishi@bv.com.br</t>
        </is>
      </c>
      <c r="P49" s="21" t="inlineStr">
        <is>
          <t>Caroline Oishi</t>
        </is>
      </c>
      <c r="Q49" s="21" t="inlineStr">
        <is>
          <t>Gerente Executivo de Recuperação de Crédito</t>
        </is>
      </c>
      <c r="R49" s="21" t="inlineStr"/>
      <c r="S49" s="21" t="inlineStr">
        <is>
          <t>caroline.oishi@bv.com.br</t>
        </is>
      </c>
      <c r="T49" s="21" t="inlineStr">
        <is>
          <t>email verified by Apollo</t>
        </is>
      </c>
      <c r="U49" s="22" t="n">
        <v>8555161.5</v>
      </c>
      <c r="V49" s="23" t="inlineStr">
        <is>
          <t>B</t>
        </is>
      </c>
      <c r="W49" s="24">
        <f>IFERROR(VLOOKUP(V49,Assumptions!$A$7:$F$11,2,FALSE),0)</f>
        <v/>
      </c>
      <c r="X49" s="25">
        <f>IF(V49="A",MAX(1,IFERROR(VLOOKUP(V49,Assumptions!$A$7:$F$11,3,FALSE),3)+IFERROR(VLOOKUP(V49,Assumptions!$A$7:$F$11,4,FALSE),8)/2-MAX(0,IF(AO49="",0,YEAR(TODAY())-AO49)-IFERROR(VLOOKUP(V49,Assumptions!$A$7:$F$11,5,FALSE),1.5))),IFERROR(VLOOKUP(V49,Assumptions!$A$7:$F$11,5,FALSE),2.5)+IFERROR(VLOOKUP(V49,Assumptions!$A$7:$F$11,3,FALSE),3)+IFERROR(VLOOKUP(V49,Assumptions!$A$7:$F$11,4,FALSE),8)/2)</f>
        <v/>
      </c>
      <c r="Y49" s="22">
        <f>U49*W49/(1+Assumptions!$B$3)^X49</f>
        <v/>
      </c>
      <c r="Z49" s="26">
        <f>IF(U49=0,"",ROUND(Y49/U49*100,1))</f>
        <v/>
      </c>
      <c r="AA49" s="27">
        <f>Y49*Assumptions!$B$4</f>
        <v/>
      </c>
      <c r="AB49" s="26">
        <f>IF(U49=0,"",ROUND(AA49/U49*100,1))</f>
        <v/>
      </c>
      <c r="AC49" s="27">
        <f>Y49-AA49</f>
        <v/>
      </c>
      <c r="AD49" s="26">
        <f>IF(U49=0,"",ROUND((Y49-AA49)/U49*100,1))</f>
        <v/>
      </c>
      <c r="AE49" s="28" t="inlineStr">
        <is>
          <t>OK — totals reconciled</t>
        </is>
      </c>
      <c r="AF49" s="29" t="inlineStr">
        <is>
          <t>https://recuperasolucoes.com/wp-content/plugins/download-attachments/includes/download.php?id=1597</t>
        </is>
      </c>
      <c r="AG49" s="28" t="inlineStr">
        <is>
          <t>p13 r24</t>
        </is>
      </c>
      <c r="AH49" s="28" t="inlineStr">
        <is>
          <t>p13: R$ 8.555.161,50</t>
        </is>
      </c>
      <c r="AI49" s="28" t="inlineStr">
        <is>
          <t>Debtor list (art. 51)</t>
        </is>
      </c>
      <c r="AJ49" s="28" t="inlineStr">
        <is>
          <t>2026-05-21</t>
        </is>
      </c>
      <c r="AK49" s="28" t="inlineStr">
        <is>
          <t>NONE FOUND</t>
        </is>
      </c>
      <c r="AL49" s="30" t="inlineStr">
        <is>
          <t>0001639-09.2026.8.17.2810</t>
        </is>
      </c>
      <c r="AM49" s="30" t="inlineStr">
        <is>
          <t>TJPE</t>
        </is>
      </c>
      <c r="AN49" s="30" t="inlineStr">
        <is>
          <t>ACTIVE</t>
        </is>
      </c>
      <c r="AO49" s="30" t="n">
        <v>2026</v>
      </c>
      <c r="AP49" s="30" t="inlineStr">
        <is>
          <t>live case, no plan document yet</t>
        </is>
      </c>
      <c r="AQ49" s="30" t="inlineStr"/>
      <c r="AR49" s="30" t="inlineStr">
        <is>
          <t>printed on the list (read twice)</t>
        </is>
      </c>
      <c r="AS49" s="30" t="inlineStr">
        <is>
          <t>SAO PAULO</t>
        </is>
      </c>
      <c r="AT49" s="30" t="inlineStr">
        <is>
          <t>SP</t>
        </is>
      </c>
      <c r="AU49" s="30" t="inlineStr">
        <is>
          <t>Bancos múltiplos, com carteira comercial</t>
        </is>
      </c>
      <c r="AV49" s="30" t="inlineStr">
        <is>
          <t>DEMAIS</t>
        </is>
      </c>
      <c r="AW49" s="31" t="n">
        <v>8480372000</v>
      </c>
      <c r="AX49" s="30" t="inlineStr">
        <is>
          <t>LARGE CORP</t>
        </is>
      </c>
      <c r="AY49" s="30" t="inlineStr">
        <is>
          <t>59588111</t>
        </is>
      </c>
      <c r="AZ49" s="30" t="n">
        <v>1</v>
      </c>
      <c r="BA49" s="30" t="inlineStr">
        <is>
          <t>ROWS:p13r24</t>
        </is>
      </c>
    </row>
    <row r="50">
      <c r="A50" s="16" t="inlineStr">
        <is>
          <t>SICOOB CREDIGOIAS COOPERATIVA DE CREDITO LTDA</t>
        </is>
      </c>
      <c r="B50" s="17" t="n">
        <v>8134852.72</v>
      </c>
      <c r="C50" s="18" t="inlineStr">
        <is>
          <t>Grupo GE (Condomínio Agropecuário GE)</t>
        </is>
      </c>
      <c r="D50" s="19" t="inlineStr">
        <is>
          <t>NEW</t>
        </is>
      </c>
      <c r="E50" s="20" t="inlineStr"/>
      <c r="F50" s="19" t="inlineStr"/>
      <c r="G50" s="20" t="inlineStr"/>
      <c r="H50" s="19" t="inlineStr"/>
      <c r="I50" s="21" t="inlineStr">
        <is>
          <t>Natanael Silva</t>
        </is>
      </c>
      <c r="J50" s="21" t="inlineStr">
        <is>
          <t>Credit Manager</t>
        </is>
      </c>
      <c r="K50" s="21" t="inlineStr"/>
      <c r="L50" s="21" t="inlineStr"/>
      <c r="M50" s="21" t="inlineStr"/>
      <c r="N50" s="21" t="inlineStr">
        <is>
          <t>natanael.silva@sicoob.com.br</t>
        </is>
      </c>
      <c r="O50" s="21" t="inlineStr">
        <is>
          <t>ricardo.esteves@sicoob.com.br</t>
        </is>
      </c>
      <c r="P50" s="21" t="inlineStr">
        <is>
          <t>Ricardo Esteves</t>
        </is>
      </c>
      <c r="Q50" s="21" t="inlineStr">
        <is>
          <t>Diretor de Negócios</t>
        </is>
      </c>
      <c r="R50" s="21" t="inlineStr"/>
      <c r="S50" s="21" t="inlineStr">
        <is>
          <t>ricardo.esteves@sicoob.com.br</t>
        </is>
      </c>
      <c r="T50" s="21" t="inlineStr">
        <is>
          <t>email verified by Apollo</t>
        </is>
      </c>
      <c r="U50" s="22" t="n">
        <v>8134852.72</v>
      </c>
      <c r="V50" s="23" t="inlineStr">
        <is>
          <t>B</t>
        </is>
      </c>
      <c r="W50" s="24">
        <f>IFERROR(VLOOKUP(V50,Assumptions!$A$7:$F$11,2,FALSE),0)</f>
        <v/>
      </c>
      <c r="X50" s="25">
        <f>IF(V50="A",MAX(1,IFERROR(VLOOKUP(V50,Assumptions!$A$7:$F$11,3,FALSE),3)+IFERROR(VLOOKUP(V50,Assumptions!$A$7:$F$11,4,FALSE),8)/2-MAX(0,IF(AO50="",0,YEAR(TODAY())-AO50)-IFERROR(VLOOKUP(V50,Assumptions!$A$7:$F$11,5,FALSE),1.5))),IFERROR(VLOOKUP(V50,Assumptions!$A$7:$F$11,5,FALSE),2.5)+IFERROR(VLOOKUP(V50,Assumptions!$A$7:$F$11,3,FALSE),3)+IFERROR(VLOOKUP(V50,Assumptions!$A$7:$F$11,4,FALSE),8)/2)</f>
        <v/>
      </c>
      <c r="Y50" s="22">
        <f>U50*W50/(1+Assumptions!$B$3)^X50</f>
        <v/>
      </c>
      <c r="Z50" s="26">
        <f>IF(U50=0,"",ROUND(Y50/U50*100,1))</f>
        <v/>
      </c>
      <c r="AA50" s="27">
        <f>Y50*Assumptions!$B$4</f>
        <v/>
      </c>
      <c r="AB50" s="26">
        <f>IF(U50=0,"",ROUND(AA50/U50*100,1))</f>
        <v/>
      </c>
      <c r="AC50" s="27">
        <f>Y50-AA50</f>
        <v/>
      </c>
      <c r="AD50" s="26">
        <f>IF(U50=0,"",ROUND((Y50-AA50)/U50*100,1))</f>
        <v/>
      </c>
      <c r="AE50" s="33" t="inlineStr">
        <is>
          <t>NO TOTALS — list prints none; check page</t>
        </is>
      </c>
      <c r="AF50" s="29" t="inlineStr">
        <is>
          <t>https://stenius.com.br/wp-content/uploads/2026/07/EDITAL-1-RELACAO-DE-CREDORES-GRUPO-GE.pdf</t>
        </is>
      </c>
      <c r="AG50" s="28" t="inlineStr">
        <is>
          <t>p5 r25; p5 r26; p5 r27; p5 r28; p5 r29; p5 r30; p5 r31; p5 r32; p5 r33</t>
        </is>
      </c>
      <c r="AH50" s="28" t="inlineStr">
        <is>
          <t>p5: R$ 629.631,55; p5: R$ 919.663,17; p5: R$ 1.291.200,52; p5: R$ 3.671.894,34; p5: R$ 88.479,92; p5: R$ 131.967,11; p5: R$ 79.782,59; p5: R$ 54.000,00; p5: R$ 1.268.233,52</t>
        </is>
      </c>
      <c r="AI50" s="28" t="inlineStr">
        <is>
          <t>Debtor list (art. 51)</t>
        </is>
      </c>
      <c r="AJ50" s="28" t="inlineStr">
        <is>
          <t>2026-07-01</t>
        </is>
      </c>
      <c r="AK50" s="28" t="inlineStr">
        <is>
          <t>NONE FOUND</t>
        </is>
      </c>
      <c r="AL50" s="30" t="inlineStr">
        <is>
          <t>5164979-18.2026.8.09.0110</t>
        </is>
      </c>
      <c r="AM50" s="30" t="inlineStr">
        <is>
          <t>TJGO</t>
        </is>
      </c>
      <c r="AN50" s="30" t="inlineStr">
        <is>
          <t>ACTIVE</t>
        </is>
      </c>
      <c r="AO50" s="30" t="n">
        <v>2026</v>
      </c>
      <c r="AP50" s="30" t="inlineStr">
        <is>
          <t>live case, no plan document yet</t>
        </is>
      </c>
      <c r="AQ50" s="30" t="inlineStr"/>
      <c r="AR50" s="30" t="inlineStr">
        <is>
          <t>printed on the list (read twice)</t>
        </is>
      </c>
      <c r="AS50" s="30" t="inlineStr"/>
      <c r="AT50" s="30" t="inlineStr"/>
      <c r="AU50" s="30" t="inlineStr"/>
      <c r="AV50" s="30" t="inlineStr"/>
      <c r="AW50" s="31" t="inlineStr"/>
      <c r="AX50" s="30" t="inlineStr">
        <is>
          <t>MID-MARKET</t>
        </is>
      </c>
      <c r="AY50" s="30" t="inlineStr">
        <is>
          <t>37255049</t>
        </is>
      </c>
      <c r="AZ50" s="30" t="n">
        <v>9</v>
      </c>
      <c r="BA50" s="30" t="inlineStr">
        <is>
          <t>LIKELY_FINANCIAL_BY_NAME ROWS:p5r25,p5r26,p5r27,p5r28,p5r29,p5r30,p5r31,p5r32,p5r33 UNRECONCILED_SOURCE</t>
        </is>
      </c>
    </row>
    <row r="51">
      <c r="A51" s="16" t="inlineStr">
        <is>
          <t>ARAUJO FONTES PARTICIPACOES LTDA.</t>
        </is>
      </c>
      <c r="B51" s="17" t="n">
        <v>15143906.34</v>
      </c>
      <c r="C51" s="18" t="inlineStr">
        <is>
          <t>EGESA ENGENHARIA S/A (Consórcio ETDI)</t>
        </is>
      </c>
      <c r="D51" s="19" t="inlineStr">
        <is>
          <t>NEW</t>
        </is>
      </c>
      <c r="E51" s="20" t="inlineStr"/>
      <c r="F51" s="19" t="inlineStr"/>
      <c r="G51" s="20" t="inlineStr"/>
      <c r="H51" s="19" t="inlineStr"/>
      <c r="I51" s="21" t="inlineStr">
        <is>
          <t>Marcelo Araujo</t>
        </is>
      </c>
      <c r="J51" s="21" t="inlineStr">
        <is>
          <t>Partner / Co-Founder / Board Member</t>
        </is>
      </c>
      <c r="K51" s="21" t="inlineStr">
        <is>
          <t>(31) 2103-6000</t>
        </is>
      </c>
      <c r="L51" s="21" t="inlineStr">
        <is>
          <t>(31) 9324-2861</t>
        </is>
      </c>
      <c r="M51" s="21" t="inlineStr"/>
      <c r="N51" s="21" t="inlineStr">
        <is>
          <t>marcelo@afs.com.br</t>
        </is>
      </c>
      <c r="O51" s="21" t="inlineStr">
        <is>
          <t>alexandre.romanelli@afs.com.br</t>
        </is>
      </c>
      <c r="P51" s="21" t="inlineStr">
        <is>
          <t>Alexandre Romanelli</t>
        </is>
      </c>
      <c r="Q51" s="21" t="inlineStr">
        <is>
          <t>Partner at Araujo Fontes</t>
        </is>
      </c>
      <c r="R51" s="21" t="inlineStr"/>
      <c r="S51" s="21" t="inlineStr">
        <is>
          <t>alexandre.romanelli@afs.com.br</t>
        </is>
      </c>
      <c r="T51" s="21" t="inlineStr">
        <is>
          <t>DM verified email; VERIFY org: Araújo Fontes (M&amp;A advisory, MG) - not a credit desk; email verified by Apollo</t>
        </is>
      </c>
      <c r="U51" s="22" t="n">
        <v>15143906.34</v>
      </c>
      <c r="V51" s="32" t="inlineStr">
        <is>
          <t>U</t>
        </is>
      </c>
      <c r="W51" s="24">
        <f>IFERROR(VLOOKUP(V51,Assumptions!$A$7:$F$11,2,FALSE),0)</f>
        <v/>
      </c>
      <c r="X51" s="25">
        <f>IF(V51="A",MAX(1,IFERROR(VLOOKUP(V51,Assumptions!$A$7:$F$11,3,FALSE),3)+IFERROR(VLOOKUP(V51,Assumptions!$A$7:$F$11,4,FALSE),8)/2-MAX(0,IF(AO51="",0,YEAR(TODAY())-AO51)-IFERROR(VLOOKUP(V51,Assumptions!$A$7:$F$11,5,FALSE),1.5))),IFERROR(VLOOKUP(V51,Assumptions!$A$7:$F$11,5,FALSE),2.5)+IFERROR(VLOOKUP(V51,Assumptions!$A$7:$F$11,3,FALSE),3)+IFERROR(VLOOKUP(V51,Assumptions!$A$7:$F$11,4,FALSE),8)/2)</f>
        <v/>
      </c>
      <c r="Y51" s="22">
        <f>U51*W51/(1+Assumptions!$B$3)^X51</f>
        <v/>
      </c>
      <c r="Z51" s="26">
        <f>IF(U51=0,"",ROUND(Y51/U51*100,1))</f>
        <v/>
      </c>
      <c r="AA51" s="27">
        <f>Y51*Assumptions!$B$4</f>
        <v/>
      </c>
      <c r="AB51" s="26">
        <f>IF(U51=0,"",ROUND(AA51/U51*100,1))</f>
        <v/>
      </c>
      <c r="AC51" s="27">
        <f>Y51-AA51</f>
        <v/>
      </c>
      <c r="AD51" s="26">
        <f>IF(U51=0,"",ROUND((Y51-AA51)/U51*100,1))</f>
        <v/>
      </c>
      <c r="AE51" s="28" t="inlineStr">
        <is>
          <t>OK — totals reconciled</t>
        </is>
      </c>
      <c r="AF51" s="29" t="inlineStr">
        <is>
          <t>https://scalzilliaj.com.br/sgc/download.php?file=files/processo_documento/processo_documento09514021082025_1_.pdf&amp;nome=04 - Relação de credores das Recuperandas</t>
        </is>
      </c>
      <c r="AG51" s="28" t="inlineStr">
        <is>
          <t>p61 r1</t>
        </is>
      </c>
      <c r="AH51" s="28" t="inlineStr">
        <is>
          <t>p61: R$ 15.143.906,34</t>
        </is>
      </c>
      <c r="AI51" s="28" t="inlineStr">
        <is>
          <t>Debtor list (art. 51)</t>
        </is>
      </c>
      <c r="AJ51" s="28" t="inlineStr"/>
      <c r="AK51" s="28" t="inlineStr">
        <is>
          <t>NONE FOUND</t>
        </is>
      </c>
      <c r="AL51" s="30" t="inlineStr">
        <is>
          <t>(not printed)</t>
        </is>
      </c>
      <c r="AM51" s="30" t="inlineStr"/>
      <c r="AN51" s="30" t="inlineStr"/>
      <c r="AO51" s="30" t="inlineStr"/>
      <c r="AP51" s="30" t="inlineStr">
        <is>
          <t>RJ case number not identified on the document</t>
        </is>
      </c>
      <c r="AQ51" s="30" t="inlineStr"/>
      <c r="AR51" s="30" t="inlineStr">
        <is>
          <t>portal page title / URL — not printed on the list</t>
        </is>
      </c>
      <c r="AS51" s="30" t="inlineStr">
        <is>
          <t>BELO HORIZONTE</t>
        </is>
      </c>
      <c r="AT51" s="30" t="inlineStr">
        <is>
          <t>MG</t>
        </is>
      </c>
      <c r="AU51" s="30" t="inlineStr">
        <is>
          <t>Holdings de instituições não-financeiras</t>
        </is>
      </c>
      <c r="AV51" s="30" t="inlineStr">
        <is>
          <t>DEMAIS</t>
        </is>
      </c>
      <c r="AW51" s="31" t="n">
        <v>20606656</v>
      </c>
      <c r="AX51" s="30" t="inlineStr">
        <is>
          <t>MID-MARKET</t>
        </is>
      </c>
      <c r="AY51" s="30" t="inlineStr">
        <is>
          <t>38725768</t>
        </is>
      </c>
      <c r="AZ51" s="30" t="n">
        <v>1</v>
      </c>
      <c r="BA51" s="30" t="inlineStr">
        <is>
          <t>ROWS:p61r1 VALUE_COL:Valor_Atualizado CASE_NUMBER_CORRECTED</t>
        </is>
      </c>
    </row>
    <row r="52">
      <c r="A52" s="16" t="inlineStr">
        <is>
          <t>SICREDI EVOLUCAO - COOP CREDITO POUPANCA E INVESTIME NTO</t>
        </is>
      </c>
      <c r="B52" s="17" t="n">
        <v>7778971.39</v>
      </c>
      <c r="C52" s="18" t="inlineStr">
        <is>
          <t>GRUPO DIAGSON</t>
        </is>
      </c>
      <c r="D52" s="19" t="inlineStr">
        <is>
          <t>NEW</t>
        </is>
      </c>
      <c r="E52" s="20" t="inlineStr"/>
      <c r="F52" s="19" t="inlineStr"/>
      <c r="G52" s="20" t="inlineStr"/>
      <c r="H52" s="19" t="inlineStr"/>
      <c r="I52" s="21" t="inlineStr">
        <is>
          <t>Thuani Queiroz</t>
        </is>
      </c>
      <c r="J52" s="21" t="inlineStr">
        <is>
          <t>Assistente de Recuperação de Crédito</t>
        </is>
      </c>
      <c r="K52" s="21" t="inlineStr"/>
      <c r="L52" s="21" t="inlineStr"/>
      <c r="M52" s="21" t="inlineStr"/>
      <c r="N52" s="21" t="inlineStr"/>
      <c r="O52" s="21" t="inlineStr"/>
      <c r="P52" s="21" t="inlineStr">
        <is>
          <t>Edgleyson Cabral</t>
        </is>
      </c>
      <c r="Q52" s="21" t="inlineStr">
        <is>
          <t>Coordenador de Análise de Crédito</t>
        </is>
      </c>
      <c r="R52" s="21" t="inlineStr"/>
      <c r="S52" s="21" t="inlineStr"/>
      <c r="T52" s="21" t="inlineStr">
        <is>
          <t>no work email found in Apollo</t>
        </is>
      </c>
      <c r="U52" s="22" t="n">
        <v>7778971.39</v>
      </c>
      <c r="V52" s="23" t="inlineStr">
        <is>
          <t>B</t>
        </is>
      </c>
      <c r="W52" s="24">
        <f>IFERROR(VLOOKUP(V52,Assumptions!$A$7:$F$11,2,FALSE),0)</f>
        <v/>
      </c>
      <c r="X52" s="25">
        <f>IF(V52="A",MAX(1,IFERROR(VLOOKUP(V52,Assumptions!$A$7:$F$11,3,FALSE),3)+IFERROR(VLOOKUP(V52,Assumptions!$A$7:$F$11,4,FALSE),8)/2-MAX(0,IF(AO52="",0,YEAR(TODAY())-AO52)-IFERROR(VLOOKUP(V52,Assumptions!$A$7:$F$11,5,FALSE),1.5))),IFERROR(VLOOKUP(V52,Assumptions!$A$7:$F$11,5,FALSE),2.5)+IFERROR(VLOOKUP(V52,Assumptions!$A$7:$F$11,3,FALSE),3)+IFERROR(VLOOKUP(V52,Assumptions!$A$7:$F$11,4,FALSE),8)/2)</f>
        <v/>
      </c>
      <c r="Y52" s="22">
        <f>U52*W52/(1+Assumptions!$B$3)^X52</f>
        <v/>
      </c>
      <c r="Z52" s="26">
        <f>IF(U52=0,"",ROUND(Y52/U52*100,1))</f>
        <v/>
      </c>
      <c r="AA52" s="27">
        <f>Y52*Assumptions!$B$4</f>
        <v/>
      </c>
      <c r="AB52" s="26">
        <f>IF(U52=0,"",ROUND(AA52/U52*100,1))</f>
        <v/>
      </c>
      <c r="AC52" s="27">
        <f>Y52-AA52</f>
        <v/>
      </c>
      <c r="AD52" s="26">
        <f>IF(U52=0,"",ROUND((Y52-AA52)/U52*100,1))</f>
        <v/>
      </c>
      <c r="AE52" s="34" t="inlineStr">
        <is>
          <t>PARTIAL — class III reconciled, other classes not</t>
        </is>
      </c>
      <c r="AF52" s="29" t="inlineStr">
        <is>
          <t>https://lrflideres.com.br/wp-content/plugins/download-attachments/includes/download.php?id=7418</t>
        </is>
      </c>
      <c r="AG52" s="28" t="inlineStr">
        <is>
          <t>p2 r81</t>
        </is>
      </c>
      <c r="AH52" s="28" t="inlineStr">
        <is>
          <t>p2: R$ 7.778.971,39</t>
        </is>
      </c>
      <c r="AI52" s="28" t="inlineStr">
        <is>
          <t>Debtor list (art. 51)</t>
        </is>
      </c>
      <c r="AJ52" s="28" t="inlineStr">
        <is>
          <t>2026-07-28</t>
        </is>
      </c>
      <c r="AK52" s="28" t="inlineStr">
        <is>
          <t>NONE FOUND</t>
        </is>
      </c>
      <c r="AL52" s="30" t="inlineStr">
        <is>
          <t>0822279-56.2026.8.15.2001</t>
        </is>
      </c>
      <c r="AM52" s="30" t="inlineStr">
        <is>
          <t>TJPB</t>
        </is>
      </c>
      <c r="AN52" s="30" t="inlineStr">
        <is>
          <t>ACTIVE</t>
        </is>
      </c>
      <c r="AO52" s="30" t="n">
        <v>2026</v>
      </c>
      <c r="AP52" s="30" t="inlineStr">
        <is>
          <t>live case, no plan document yet</t>
        </is>
      </c>
      <c r="AQ52" s="30" t="inlineStr">
        <is>
          <t>00.149.703/0001-86</t>
        </is>
      </c>
      <c r="AR52" s="30" t="inlineStr">
        <is>
          <t>printed on the list (read twice)</t>
        </is>
      </c>
      <c r="AS52" s="30" t="inlineStr"/>
      <c r="AT52" s="30" t="inlineStr"/>
      <c r="AU52" s="30" t="inlineStr"/>
      <c r="AV52" s="30" t="inlineStr"/>
      <c r="AW52" s="31" t="inlineStr"/>
      <c r="AX52" s="30" t="inlineStr">
        <is>
          <t>MID-MARKET</t>
        </is>
      </c>
      <c r="AY52" s="30" t="inlineStr">
        <is>
          <t>35571249</t>
        </is>
      </c>
      <c r="AZ52" s="30" t="n">
        <v>1</v>
      </c>
      <c r="BA52" s="30" t="inlineStr">
        <is>
          <t>LIKELY_FINANCIAL_BY_NAME PARTIAL_DOC_CLASS_III_RECONCILED ROWS:p2r81</t>
        </is>
      </c>
    </row>
    <row r="53">
      <c r="A53" s="16" t="inlineStr">
        <is>
          <t>BANCO ITAUCARD S.A.</t>
        </is>
      </c>
      <c r="B53" s="17" t="n">
        <v>4133710.37</v>
      </c>
      <c r="C53" s="18" t="inlineStr">
        <is>
          <t>GRUPO 3E</t>
        </is>
      </c>
      <c r="D53" s="19" t="inlineStr">
        <is>
          <t>NEW</t>
        </is>
      </c>
      <c r="E53" s="20" t="inlineStr"/>
      <c r="F53" s="19" t="inlineStr"/>
      <c r="G53" s="20" t="inlineStr"/>
      <c r="H53" s="19" t="inlineStr"/>
      <c r="I53" s="21" t="inlineStr">
        <is>
          <t>RUBENS FOGLI NETTO</t>
        </is>
      </c>
      <c r="J53" s="21" t="inlineStr">
        <is>
          <t>Presidente (RFB partner)</t>
        </is>
      </c>
      <c r="K53" s="21" t="inlineStr">
        <is>
          <t>(11) 3003-4828</t>
        </is>
      </c>
      <c r="L53" s="21" t="inlineStr"/>
      <c r="M53" s="21" t="inlineStr"/>
      <c r="N53" s="21" t="inlineStr"/>
      <c r="O53" s="21" t="inlineStr"/>
      <c r="P53" s="21" t="inlineStr">
        <is>
          <t>ALBANO MANOEL ALMEIDA</t>
        </is>
      </c>
      <c r="Q53" s="21" t="inlineStr">
        <is>
          <t>Diretor (RFB partner)</t>
        </is>
      </c>
      <c r="R53" s="21" t="inlineStr"/>
      <c r="S53" s="21" t="inlineStr"/>
      <c r="T53" s="21" t="inlineStr">
        <is>
          <t>RFB partner (QSA); no Apollo match</t>
        </is>
      </c>
      <c r="U53" s="22" t="n">
        <v>4133710.37</v>
      </c>
      <c r="V53" s="35" t="inlineStr">
        <is>
          <t>A</t>
        </is>
      </c>
      <c r="W53" s="24">
        <f>IFERROR(VLOOKUP(V53,Assumptions!$A$7:$F$11,2,FALSE),0)</f>
        <v/>
      </c>
      <c r="X53" s="25">
        <f>IF(V53="A",MAX(1,IFERROR(VLOOKUP(V53,Assumptions!$A$7:$F$11,3,FALSE),3)+IFERROR(VLOOKUP(V53,Assumptions!$A$7:$F$11,4,FALSE),8)/2-MAX(0,IF(AO53="",0,YEAR(TODAY())-AO53)-IFERROR(VLOOKUP(V53,Assumptions!$A$7:$F$11,5,FALSE),1.5))),IFERROR(VLOOKUP(V53,Assumptions!$A$7:$F$11,5,FALSE),2.5)+IFERROR(VLOOKUP(V53,Assumptions!$A$7:$F$11,3,FALSE),3)+IFERROR(VLOOKUP(V53,Assumptions!$A$7:$F$11,4,FALSE),8)/2)</f>
        <v/>
      </c>
      <c r="Y53" s="22">
        <f>U53*W53/(1+Assumptions!$B$3)^X53</f>
        <v/>
      </c>
      <c r="Z53" s="26">
        <f>IF(U53=0,"",ROUND(Y53/U53*100,1))</f>
        <v/>
      </c>
      <c r="AA53" s="27">
        <f>Y53*Assumptions!$B$4</f>
        <v/>
      </c>
      <c r="AB53" s="26">
        <f>IF(U53=0,"",ROUND(AA53/U53*100,1))</f>
        <v/>
      </c>
      <c r="AC53" s="27">
        <f>Y53-AA53</f>
        <v/>
      </c>
      <c r="AD53" s="26">
        <f>IF(U53=0,"",ROUND((Y53-AA53)/U53*100,1))</f>
        <v/>
      </c>
      <c r="AE53" s="33" t="inlineStr">
        <is>
          <t>NO TOTALS — list prints none; check page</t>
        </is>
      </c>
      <c r="AF53" s="29" t="inlineStr">
        <is>
          <t>https://stenius.com.br/wp-content/uploads/2026/06/EDITAL-GRUPO-3E.pdf</t>
        </is>
      </c>
      <c r="AG53" s="28" t="inlineStr">
        <is>
          <t>p14 r64</t>
        </is>
      </c>
      <c r="AH53" s="28" t="inlineStr">
        <is>
          <t>p14: R$ 4.133.710,37</t>
        </is>
      </c>
      <c r="AI53" s="28" t="inlineStr">
        <is>
          <t>Debtor list (art. 51)</t>
        </is>
      </c>
      <c r="AJ53" s="28" t="inlineStr">
        <is>
          <t>2026-06-22</t>
        </is>
      </c>
      <c r="AK53" s="28" t="inlineStr">
        <is>
          <t>PLAN DOC FOUND</t>
        </is>
      </c>
      <c r="AL53" s="30" t="inlineStr">
        <is>
          <t>5341375-33.2026.8.09.0049</t>
        </is>
      </c>
      <c r="AM53" s="30" t="inlineStr">
        <is>
          <t>TJGO</t>
        </is>
      </c>
      <c r="AN53" s="30" t="inlineStr">
        <is>
          <t>ACTIVE</t>
        </is>
      </c>
      <c r="AO53" s="30" t="n">
        <v>2026</v>
      </c>
      <c r="AP53" s="30" t="inlineStr">
        <is>
          <t>plan/homologation document found</t>
        </is>
      </c>
      <c r="AQ53" s="30" t="inlineStr"/>
      <c r="AR53" s="30" t="inlineStr">
        <is>
          <t>printed on the list (read twice)</t>
        </is>
      </c>
      <c r="AS53" s="30" t="inlineStr">
        <is>
          <t>SAO PAULO</t>
        </is>
      </c>
      <c r="AT53" s="30" t="inlineStr">
        <is>
          <t>SP</t>
        </is>
      </c>
      <c r="AU53" s="30" t="inlineStr">
        <is>
          <t>Bancos múltiplos, sem carteira comercial</t>
        </is>
      </c>
      <c r="AV53" s="30" t="inlineStr">
        <is>
          <t>DEMAIS</t>
        </is>
      </c>
      <c r="AW53" s="31" t="n">
        <v>50000000</v>
      </c>
      <c r="AX53" s="30" t="inlineStr">
        <is>
          <t>MID-MARKET</t>
        </is>
      </c>
      <c r="AY53" s="30" t="inlineStr">
        <is>
          <t>17192451</t>
        </is>
      </c>
      <c r="AZ53" s="30" t="n">
        <v>1</v>
      </c>
      <c r="BA53" s="30" t="inlineStr">
        <is>
          <t>ROWS:p14r64 UNRECONCILED_SOURCE</t>
        </is>
      </c>
    </row>
    <row r="54">
      <c r="A54" s="16" t="inlineStr">
        <is>
          <t>COOPERATIVA DE CREDITO POUPANCA E INVESTIMENTO NOSSA TERRA SICREDI NOSSA TERRA PRSP</t>
        </is>
      </c>
      <c r="B54" s="17" t="n">
        <v>7666039.9</v>
      </c>
      <c r="C54" s="18" t="inlineStr">
        <is>
          <t>Cerealista Safrasul Ltda</t>
        </is>
      </c>
      <c r="D54" s="19" t="inlineStr">
        <is>
          <t>NEW</t>
        </is>
      </c>
      <c r="E54" s="20" t="inlineStr"/>
      <c r="F54" s="19" t="inlineStr"/>
      <c r="G54" s="20" t="inlineStr"/>
      <c r="H54" s="19" t="inlineStr"/>
      <c r="I54" s="21" t="inlineStr">
        <is>
          <t>Handrey Balbino</t>
        </is>
      </c>
      <c r="J54" s="21" t="inlineStr">
        <is>
          <t>Gerente de Ciclo de Crédito</t>
        </is>
      </c>
      <c r="K54" s="21" t="inlineStr"/>
      <c r="L54" s="21" t="inlineStr"/>
      <c r="M54" s="21" t="inlineStr"/>
      <c r="N54" s="21" t="inlineStr"/>
      <c r="O54" s="21" t="inlineStr"/>
      <c r="P54" s="21" t="inlineStr">
        <is>
          <t>Daniel Mieli</t>
        </is>
      </c>
      <c r="Q54" s="21" t="inlineStr">
        <is>
          <t>Coordenador de Ciclo de Crédito-SP</t>
        </is>
      </c>
      <c r="R54" s="21" t="inlineStr"/>
      <c r="S54" s="21" t="inlineStr"/>
      <c r="T54" s="21" t="inlineStr">
        <is>
          <t>no work email found in Apollo</t>
        </is>
      </c>
      <c r="U54" s="22" t="n">
        <v>7666039.9</v>
      </c>
      <c r="V54" s="23" t="inlineStr">
        <is>
          <t>B</t>
        </is>
      </c>
      <c r="W54" s="24">
        <f>IFERROR(VLOOKUP(V54,Assumptions!$A$7:$F$11,2,FALSE),0)</f>
        <v/>
      </c>
      <c r="X54" s="25">
        <f>IF(V54="A",MAX(1,IFERROR(VLOOKUP(V54,Assumptions!$A$7:$F$11,3,FALSE),3)+IFERROR(VLOOKUP(V54,Assumptions!$A$7:$F$11,4,FALSE),8)/2-MAX(0,IF(AO54="",0,YEAR(TODAY())-AO54)-IFERROR(VLOOKUP(V54,Assumptions!$A$7:$F$11,5,FALSE),1.5))),IFERROR(VLOOKUP(V54,Assumptions!$A$7:$F$11,5,FALSE),2.5)+IFERROR(VLOOKUP(V54,Assumptions!$A$7:$F$11,3,FALSE),3)+IFERROR(VLOOKUP(V54,Assumptions!$A$7:$F$11,4,FALSE),8)/2)</f>
        <v/>
      </c>
      <c r="Y54" s="22">
        <f>U54*W54/(1+Assumptions!$B$3)^X54</f>
        <v/>
      </c>
      <c r="Z54" s="26">
        <f>IF(U54=0,"",ROUND(Y54/U54*100,1))</f>
        <v/>
      </c>
      <c r="AA54" s="27">
        <f>Y54*Assumptions!$B$4</f>
        <v/>
      </c>
      <c r="AB54" s="26">
        <f>IF(U54=0,"",ROUND(AA54/U54*100,1))</f>
        <v/>
      </c>
      <c r="AC54" s="27">
        <f>Y54-AA54</f>
        <v/>
      </c>
      <c r="AD54" s="26">
        <f>IF(U54=0,"",ROUND((Y54-AA54)/U54*100,1))</f>
        <v/>
      </c>
      <c r="AE54" s="33" t="inlineStr">
        <is>
          <t>NO TOTALS — list prints none; check page</t>
        </is>
      </c>
      <c r="AF54" s="29" t="inlineStr">
        <is>
          <t>https://ajruiz.com.br/sites/default/files/public/arquivos-processos/2026-01/safrasul_relacao_de_credores_recuperanda.pdf</t>
        </is>
      </c>
      <c r="AG54" s="28" t="inlineStr">
        <is>
          <t>p8 r10; p8 r11; p8 r12; p8 r13</t>
        </is>
      </c>
      <c r="AH54" s="28" t="inlineStr">
        <is>
          <t>p8: R$ 5.000.000,00; p8: R$ 2.348.039,90; p8: R$ 288.000,00; p8: R$ 30.000,00</t>
        </is>
      </c>
      <c r="AI54" s="28" t="inlineStr">
        <is>
          <t>AJ list (art. 7 §2)</t>
        </is>
      </c>
      <c r="AJ54" s="28" t="inlineStr">
        <is>
          <t>2026-01-14</t>
        </is>
      </c>
      <c r="AK54" s="28" t="inlineStr">
        <is>
          <t>NONE FOUND</t>
        </is>
      </c>
      <c r="AL54" s="30" t="inlineStr">
        <is>
          <t>4000167-23.2025.8.26.0373</t>
        </is>
      </c>
      <c r="AM54" s="30" t="inlineStr">
        <is>
          <t>TJSP</t>
        </is>
      </c>
      <c r="AN54" s="30" t="inlineStr">
        <is>
          <t>ACTIVE</t>
        </is>
      </c>
      <c r="AO54" s="30" t="n">
        <v>2025</v>
      </c>
      <c r="AP54" s="30" t="inlineStr">
        <is>
          <t>live case, no plan document yet</t>
        </is>
      </c>
      <c r="AQ54" s="30" t="inlineStr"/>
      <c r="AR54" s="30" t="inlineStr">
        <is>
          <t>printed on the list (read twice)</t>
        </is>
      </c>
      <c r="AS54" s="30" t="inlineStr"/>
      <c r="AT54" s="30" t="inlineStr"/>
      <c r="AU54" s="30" t="inlineStr"/>
      <c r="AV54" s="30" t="inlineStr"/>
      <c r="AW54" s="31" t="inlineStr"/>
      <c r="AX54" s="30" t="inlineStr">
        <is>
          <t>MID-MARKET</t>
        </is>
      </c>
      <c r="AY54" s="30" t="inlineStr">
        <is>
          <t>81192106</t>
        </is>
      </c>
      <c r="AZ54" s="30" t="n">
        <v>4</v>
      </c>
      <c r="BA54" s="30" t="inlineStr">
        <is>
          <t>LIKELY_FINANCIAL_BY_NAME ROWS:p8r10,p8r11,p8r12,p8r13 UNRECONCILED_SOURCE</t>
        </is>
      </c>
    </row>
    <row r="55">
      <c r="A55" s="16" t="inlineStr">
        <is>
          <t>FINANCA FOMENTO MERCANTIL LTDA</t>
        </is>
      </c>
      <c r="B55" s="17" t="n">
        <v>7562593.19</v>
      </c>
      <c r="C55" s="18" t="inlineStr">
        <is>
          <t>GRUPO DIVINA</t>
        </is>
      </c>
      <c r="D55" s="19" t="inlineStr">
        <is>
          <t>NEW</t>
        </is>
      </c>
      <c r="E55" s="20" t="inlineStr"/>
      <c r="F55" s="19" t="inlineStr"/>
      <c r="G55" s="20" t="inlineStr"/>
      <c r="H55" s="19" t="inlineStr"/>
      <c r="I55" s="21" t="inlineStr"/>
      <c r="J55" s="21" t="inlineStr"/>
      <c r="K55" s="21" t="inlineStr"/>
      <c r="L55" s="21" t="inlineStr"/>
      <c r="M55" s="21" t="inlineStr"/>
      <c r="N55" s="21" t="inlineStr"/>
      <c r="O55" s="21" t="inlineStr"/>
      <c r="P55" s="21" t="inlineStr"/>
      <c r="Q55" s="21" t="inlineStr"/>
      <c r="R55" s="21" t="inlineStr"/>
      <c r="S55" s="21" t="inlineStr"/>
      <c r="T55" s="21" t="inlineStr">
        <is>
          <t>no named contact found</t>
        </is>
      </c>
      <c r="U55" s="22" t="n">
        <v>7562593.19</v>
      </c>
      <c r="V55" s="23" t="inlineStr">
        <is>
          <t>B</t>
        </is>
      </c>
      <c r="W55" s="24">
        <f>IFERROR(VLOOKUP(V55,Assumptions!$A$7:$F$11,2,FALSE),0)</f>
        <v/>
      </c>
      <c r="X55" s="25">
        <f>IF(V55="A",MAX(1,IFERROR(VLOOKUP(V55,Assumptions!$A$7:$F$11,3,FALSE),3)+IFERROR(VLOOKUP(V55,Assumptions!$A$7:$F$11,4,FALSE),8)/2-MAX(0,IF(AO55="",0,YEAR(TODAY())-AO55)-IFERROR(VLOOKUP(V55,Assumptions!$A$7:$F$11,5,FALSE),1.5))),IFERROR(VLOOKUP(V55,Assumptions!$A$7:$F$11,5,FALSE),2.5)+IFERROR(VLOOKUP(V55,Assumptions!$A$7:$F$11,3,FALSE),3)+IFERROR(VLOOKUP(V55,Assumptions!$A$7:$F$11,4,FALSE),8)/2)</f>
        <v/>
      </c>
      <c r="Y55" s="22">
        <f>U55*W55/(1+Assumptions!$B$3)^X55</f>
        <v/>
      </c>
      <c r="Z55" s="26">
        <f>IF(U55=0,"",ROUND(Y55/U55*100,1))</f>
        <v/>
      </c>
      <c r="AA55" s="27">
        <f>Y55*Assumptions!$B$4</f>
        <v/>
      </c>
      <c r="AB55" s="26">
        <f>IF(U55=0,"",ROUND(AA55/U55*100,1))</f>
        <v/>
      </c>
      <c r="AC55" s="27">
        <f>Y55-AA55</f>
        <v/>
      </c>
      <c r="AD55" s="26">
        <f>IF(U55=0,"",ROUND((Y55-AA55)/U55*100,1))</f>
        <v/>
      </c>
      <c r="AE55" s="34" t="inlineStr">
        <is>
          <t>PARTIAL — class III reconciled, other classes not</t>
        </is>
      </c>
      <c r="AF55" s="29" t="inlineStr">
        <is>
          <t>https://lrflideres.com.br/wp-content/plugins/download-attachments/includes/download.php?id=6252</t>
        </is>
      </c>
      <c r="AG55" s="28" t="inlineStr">
        <is>
          <t>p2 r41</t>
        </is>
      </c>
      <c r="AH55" s="28" t="inlineStr">
        <is>
          <t>p2: R$ 7.562.593,19</t>
        </is>
      </c>
      <c r="AI55" s="28" t="inlineStr">
        <is>
          <t>AJ list (art. 7 §2)</t>
        </is>
      </c>
      <c r="AJ55" s="28" t="inlineStr">
        <is>
          <t>2024-11-27</t>
        </is>
      </c>
      <c r="AK55" s="28" t="inlineStr">
        <is>
          <t>NONE FOUND</t>
        </is>
      </c>
      <c r="AL55" s="30" t="inlineStr">
        <is>
          <t>0000721-61.2024.8.17.2620</t>
        </is>
      </c>
      <c r="AM55" s="30" t="inlineStr">
        <is>
          <t>TJPE</t>
        </is>
      </c>
      <c r="AN55" s="30" t="inlineStr">
        <is>
          <t>ACTIVE</t>
        </is>
      </c>
      <c r="AO55" s="30" t="n">
        <v>2024</v>
      </c>
      <c r="AP55" s="30" t="inlineStr">
        <is>
          <t>live case, no plan document yet</t>
        </is>
      </c>
      <c r="AQ55" s="30" t="inlineStr">
        <is>
          <t>08.785.522/0001-58</t>
        </is>
      </c>
      <c r="AR55" s="30" t="inlineStr">
        <is>
          <t>printed on the list (read twice)</t>
        </is>
      </c>
      <c r="AS55" s="30" t="inlineStr"/>
      <c r="AT55" s="30" t="inlineStr"/>
      <c r="AU55" s="30" t="inlineStr"/>
      <c r="AV55" s="30" t="inlineStr"/>
      <c r="AW55" s="31" t="inlineStr"/>
      <c r="AX55" s="30" t="inlineStr">
        <is>
          <t>MID-MARKET</t>
        </is>
      </c>
      <c r="AY55" s="30" t="inlineStr">
        <is>
          <t>10860776</t>
        </is>
      </c>
      <c r="AZ55" s="30" t="n">
        <v>1</v>
      </c>
      <c r="BA55" s="30" t="inlineStr">
        <is>
          <t>LIKELY_FINANCIAL_BY_NAME PARTIAL_DOC_CLASS_III_RECONCILED ROWS:p2r41</t>
        </is>
      </c>
    </row>
    <row r="56">
      <c r="A56" s="16" t="inlineStr">
        <is>
          <t>BANCO C6 S.A.</t>
        </is>
      </c>
      <c r="B56" s="17" t="n">
        <v>7160294.01</v>
      </c>
      <c r="C56" s="18" t="inlineStr">
        <is>
          <t>GRUPO DP4</t>
        </is>
      </c>
      <c r="D56" s="19" t="inlineStr">
        <is>
          <t>NEW</t>
        </is>
      </c>
      <c r="E56" s="20" t="inlineStr"/>
      <c r="F56" s="19" t="inlineStr"/>
      <c r="G56" s="20" t="inlineStr"/>
      <c r="H56" s="19" t="inlineStr"/>
      <c r="I56" s="21" t="inlineStr">
        <is>
          <t>Camilla Moriki</t>
        </is>
      </c>
      <c r="J56" s="21" t="inlineStr">
        <is>
          <t>Gerente de Recuperação de Crédito | Reestruturação - Atacado</t>
        </is>
      </c>
      <c r="K56" s="21" t="inlineStr">
        <is>
          <t>(11) 2832-6000</t>
        </is>
      </c>
      <c r="L56" s="21" t="inlineStr"/>
      <c r="M56" s="21" t="inlineStr"/>
      <c r="N56" s="21" t="inlineStr">
        <is>
          <t>camilla.moriki@c6bank.com</t>
        </is>
      </c>
      <c r="O56" s="21" t="inlineStr">
        <is>
          <t>kevin.santana@c6bank.com</t>
        </is>
      </c>
      <c r="P56" s="21" t="inlineStr">
        <is>
          <t>Kevin Santana</t>
        </is>
      </c>
      <c r="Q56" s="21" t="inlineStr">
        <is>
          <t>Gerente de Estratégia de Recuperação de Crédito</t>
        </is>
      </c>
      <c r="R56" s="21" t="inlineStr"/>
      <c r="S56" s="21" t="inlineStr">
        <is>
          <t>kevin.santana@c6bank.com</t>
        </is>
      </c>
      <c r="T56" s="21" t="inlineStr">
        <is>
          <t>email verified by Apollo</t>
        </is>
      </c>
      <c r="U56" s="22" t="n">
        <v>7160294.01</v>
      </c>
      <c r="V56" s="23" t="inlineStr">
        <is>
          <t>B</t>
        </is>
      </c>
      <c r="W56" s="24">
        <f>IFERROR(VLOOKUP(V56,Assumptions!$A$7:$F$11,2,FALSE),0)</f>
        <v/>
      </c>
      <c r="X56" s="25">
        <f>IF(V56="A",MAX(1,IFERROR(VLOOKUP(V56,Assumptions!$A$7:$F$11,3,FALSE),3)+IFERROR(VLOOKUP(V56,Assumptions!$A$7:$F$11,4,FALSE),8)/2-MAX(0,IF(AO56="",0,YEAR(TODAY())-AO56)-IFERROR(VLOOKUP(V56,Assumptions!$A$7:$F$11,5,FALSE),1.5))),IFERROR(VLOOKUP(V56,Assumptions!$A$7:$F$11,5,FALSE),2.5)+IFERROR(VLOOKUP(V56,Assumptions!$A$7:$F$11,3,FALSE),3)+IFERROR(VLOOKUP(V56,Assumptions!$A$7:$F$11,4,FALSE),8)/2)</f>
        <v/>
      </c>
      <c r="Y56" s="22">
        <f>U56*W56/(1+Assumptions!$B$3)^X56</f>
        <v/>
      </c>
      <c r="Z56" s="26">
        <f>IF(U56=0,"",ROUND(Y56/U56*100,1))</f>
        <v/>
      </c>
      <c r="AA56" s="27">
        <f>Y56*Assumptions!$B$4</f>
        <v/>
      </c>
      <c r="AB56" s="26">
        <f>IF(U56=0,"",ROUND(AA56/U56*100,1))</f>
        <v/>
      </c>
      <c r="AC56" s="27">
        <f>Y56-AA56</f>
        <v/>
      </c>
      <c r="AD56" s="26">
        <f>IF(U56=0,"",ROUND((Y56-AA56)/U56*100,1))</f>
        <v/>
      </c>
      <c r="AE56" s="34" t="inlineStr">
        <is>
          <t>PARTIAL — class III reconciled, other classes not</t>
        </is>
      </c>
      <c r="AF56" s="29" t="inlineStr">
        <is>
          <t>https://marquesadmjudicial.com.br/sgc/download.php?file=files/processo_documento/processo_documento15293208032024_1_.pdf&amp;nome=Relação Nominal de Credores da AJ-Sintética</t>
        </is>
      </c>
      <c r="AG56" s="28" t="inlineStr">
        <is>
          <t>p20 r8</t>
        </is>
      </c>
      <c r="AH56" s="28" t="inlineStr">
        <is>
          <t>p20: R$ 7.160.294,01</t>
        </is>
      </c>
      <c r="AI56" s="28" t="inlineStr">
        <is>
          <t>AJ list (art. 7 §2)</t>
        </is>
      </c>
      <c r="AJ56" s="28" t="inlineStr">
        <is>
          <t>2023-03-02</t>
        </is>
      </c>
      <c r="AK56" s="28" t="inlineStr">
        <is>
          <t>NONE FOUND</t>
        </is>
      </c>
      <c r="AL56" s="30" t="inlineStr">
        <is>
          <t>0005010-98.2023.8.16.0001</t>
        </is>
      </c>
      <c r="AM56" s="30" t="inlineStr">
        <is>
          <t>TJPR</t>
        </is>
      </c>
      <c r="AN56" s="30" t="inlineStr">
        <is>
          <t>ACTIVE</t>
        </is>
      </c>
      <c r="AO56" s="30" t="n">
        <v>2023</v>
      </c>
      <c r="AP56" s="30" t="inlineStr">
        <is>
          <t>live case, no plan document yet</t>
        </is>
      </c>
      <c r="AQ56" s="30" t="inlineStr"/>
      <c r="AR56" s="30" t="inlineStr">
        <is>
          <t>printed on the list (read twice)</t>
        </is>
      </c>
      <c r="AS56" s="30" t="inlineStr">
        <is>
          <t>SAO PAULO</t>
        </is>
      </c>
      <c r="AT56" s="30" t="inlineStr">
        <is>
          <t>SP</t>
        </is>
      </c>
      <c r="AU56" s="30" t="inlineStr">
        <is>
          <t>Bancos múltiplos, com carteira comercial</t>
        </is>
      </c>
      <c r="AV56" s="30" t="inlineStr">
        <is>
          <t>DEMAIS</t>
        </is>
      </c>
      <c r="AW56" s="31" t="n">
        <v>1131957000</v>
      </c>
      <c r="AX56" s="30" t="inlineStr">
        <is>
          <t>LARGE CORP</t>
        </is>
      </c>
      <c r="AY56" s="30" t="inlineStr">
        <is>
          <t>31872495</t>
        </is>
      </c>
      <c r="AZ56" s="30" t="n">
        <v>1</v>
      </c>
      <c r="BA56" s="30" t="inlineStr">
        <is>
          <t>LIKELY_FINANCIAL_BY_NAME PARTIAL_DOC_CLASS_III_RECONCILED ROWS:p20r8</t>
        </is>
      </c>
    </row>
    <row r="57">
      <c r="A57" s="16" t="inlineStr">
        <is>
          <t>BANCO BRADESCO S.A.</t>
        </is>
      </c>
      <c r="B57" s="17" t="n">
        <v>6831802.56</v>
      </c>
      <c r="C57" s="18" t="inlineStr">
        <is>
          <t>GRUPO BE EIGHT</t>
        </is>
      </c>
      <c r="D57" s="19" t="inlineStr">
        <is>
          <t>NEW</t>
        </is>
      </c>
      <c r="E57" s="20" t="inlineStr"/>
      <c r="F57" s="19" t="inlineStr"/>
      <c r="G57" s="20" t="inlineStr"/>
      <c r="H57" s="19" t="inlineStr"/>
      <c r="I57" s="21" t="inlineStr">
        <is>
          <t>Marcela Martins</t>
        </is>
      </c>
      <c r="J57" s="21" t="inlineStr">
        <is>
          <t>Superintendente de Recuperação de Crédito - Canais e Operações</t>
        </is>
      </c>
      <c r="K57" s="21" t="inlineStr">
        <is>
          <t>(11) 3684-5122</t>
        </is>
      </c>
      <c r="L57" s="21" t="inlineStr"/>
      <c r="M57" s="21" t="inlineStr"/>
      <c r="N57" s="21" t="inlineStr"/>
      <c r="O57" s="21" t="inlineStr">
        <is>
          <t>sl@bradesco.com.br</t>
        </is>
      </c>
      <c r="P57" s="21" t="inlineStr">
        <is>
          <t>Luis S</t>
        </is>
      </c>
      <c r="Q57" s="21" t="inlineStr">
        <is>
          <t>DRC - Departamento de Recuperação de Crédito - Gerente de Reestruturação de Crédito</t>
        </is>
      </c>
      <c r="R57" s="21" t="inlineStr"/>
      <c r="S57" s="21" t="inlineStr">
        <is>
          <t>sl@bradesco.com.br</t>
        </is>
      </c>
      <c r="T57" s="21" t="inlineStr">
        <is>
          <t>no work email found in Apollo</t>
        </is>
      </c>
      <c r="U57" s="22" t="n">
        <v>6831802.56</v>
      </c>
      <c r="V57" s="23" t="inlineStr">
        <is>
          <t>B</t>
        </is>
      </c>
      <c r="W57" s="24">
        <f>IFERROR(VLOOKUP(V57,Assumptions!$A$7:$F$11,2,FALSE),0)</f>
        <v/>
      </c>
      <c r="X57" s="25">
        <f>IF(V57="A",MAX(1,IFERROR(VLOOKUP(V57,Assumptions!$A$7:$F$11,3,FALSE),3)+IFERROR(VLOOKUP(V57,Assumptions!$A$7:$F$11,4,FALSE),8)/2-MAX(0,IF(AO57="",0,YEAR(TODAY())-AO57)-IFERROR(VLOOKUP(V57,Assumptions!$A$7:$F$11,5,FALSE),1.5))),IFERROR(VLOOKUP(V57,Assumptions!$A$7:$F$11,5,FALSE),2.5)+IFERROR(VLOOKUP(V57,Assumptions!$A$7:$F$11,3,FALSE),3)+IFERROR(VLOOKUP(V57,Assumptions!$A$7:$F$11,4,FALSE),8)/2)</f>
        <v/>
      </c>
      <c r="Y57" s="22">
        <f>U57*W57/(1+Assumptions!$B$3)^X57</f>
        <v/>
      </c>
      <c r="Z57" s="26">
        <f>IF(U57=0,"",ROUND(Y57/U57*100,1))</f>
        <v/>
      </c>
      <c r="AA57" s="27">
        <f>Y57*Assumptions!$B$4</f>
        <v/>
      </c>
      <c r="AB57" s="26">
        <f>IF(U57=0,"",ROUND(AA57/U57*100,1))</f>
        <v/>
      </c>
      <c r="AC57" s="27">
        <f>Y57-AA57</f>
        <v/>
      </c>
      <c r="AD57" s="26">
        <f>IF(U57=0,"",ROUND((Y57-AA57)/U57*100,1))</f>
        <v/>
      </c>
      <c r="AE57" s="33" t="inlineStr">
        <is>
          <t>NO TOTALS — list prints none; check page</t>
        </is>
      </c>
      <c r="AF57" s="29" t="inlineStr">
        <is>
          <t>https://marquesadmjudicial.com.br/sgc/download.php?file=files/processo_documento/processo_documento09444722082025_1_.pdf&amp;nome=2° Edital - Relação de Credores AJ e PRJ</t>
        </is>
      </c>
      <c r="AG57" s="28" t="inlineStr">
        <is>
          <t>p2 r149</t>
        </is>
      </c>
      <c r="AH57" s="28" t="inlineStr">
        <is>
          <t>p2: R$ 6.831.802,56</t>
        </is>
      </c>
      <c r="AI57" s="28" t="inlineStr">
        <is>
          <t>AJ list (art. 7 §2)</t>
        </is>
      </c>
      <c r="AJ57" s="28" t="inlineStr">
        <is>
          <t>2025-04-08</t>
        </is>
      </c>
      <c r="AK57" s="28" t="inlineStr">
        <is>
          <t>NONE FOUND</t>
        </is>
      </c>
      <c r="AL57" s="30" t="inlineStr">
        <is>
          <t>0008897-71.2025.8.16.0017</t>
        </is>
      </c>
      <c r="AM57" s="30" t="inlineStr">
        <is>
          <t>TJPR</t>
        </is>
      </c>
      <c r="AN57" s="30" t="inlineStr">
        <is>
          <t>ACTIVE</t>
        </is>
      </c>
      <c r="AO57" s="30" t="n">
        <v>2025</v>
      </c>
      <c r="AP57" s="30" t="inlineStr">
        <is>
          <t>live case, no plan document yet</t>
        </is>
      </c>
      <c r="AQ57" s="30" t="inlineStr">
        <is>
          <t>02.790.680/0001-10</t>
        </is>
      </c>
      <c r="AR57" s="30" t="inlineStr">
        <is>
          <t>printed on the list (read twice)</t>
        </is>
      </c>
      <c r="AS57" s="30" t="inlineStr">
        <is>
          <t>OSASCO</t>
        </is>
      </c>
      <c r="AT57" s="30" t="inlineStr">
        <is>
          <t>SP</t>
        </is>
      </c>
      <c r="AU57" s="30" t="inlineStr">
        <is>
          <t>Bancos múltiplos, com carteira comercial</t>
        </is>
      </c>
      <c r="AV57" s="30" t="inlineStr">
        <is>
          <t>DEMAIS</t>
        </is>
      </c>
      <c r="AW57" s="31" t="n">
        <v>93770000000</v>
      </c>
      <c r="AX57" s="30" t="inlineStr">
        <is>
          <t>LARGE CORP</t>
        </is>
      </c>
      <c r="AY57" s="30" t="inlineStr">
        <is>
          <t>60746948</t>
        </is>
      </c>
      <c r="AZ57" s="30" t="n">
        <v>1</v>
      </c>
      <c r="BA57" s="30" t="inlineStr">
        <is>
          <t>LIKELY_FINANCIAL_BY_NAME ROWS:p2r149 UNRECONCILED_SOURCE</t>
        </is>
      </c>
    </row>
    <row r="58">
      <c r="A58" s="16" t="inlineStr">
        <is>
          <t>FUNDO DE INVESTIMENTO EM DIREITOS CREDITORIOS JPM III</t>
        </is>
      </c>
      <c r="B58" s="17" t="n">
        <v>6750000</v>
      </c>
      <c r="C58" s="18" t="inlineStr">
        <is>
          <t>GRUPO GLP</t>
        </is>
      </c>
      <c r="D58" s="19" t="inlineStr">
        <is>
          <t>NEW</t>
        </is>
      </c>
      <c r="E58" s="20" t="inlineStr"/>
      <c r="F58" s="19" t="inlineStr"/>
      <c r="G58" s="20" t="inlineStr"/>
      <c r="H58" s="19" t="inlineStr"/>
      <c r="I58" s="21" t="inlineStr">
        <is>
          <t>Gabriel Krauss</t>
        </is>
      </c>
      <c r="J58" s="21" t="inlineStr">
        <is>
          <t>Head | Negócios</t>
        </is>
      </c>
      <c r="K58" s="21" t="inlineStr"/>
      <c r="L58" s="21" t="inlineStr"/>
      <c r="M58" s="21" t="inlineStr"/>
      <c r="N58" s="21" t="inlineStr">
        <is>
          <t>gabriel@jpmfidc.com.br</t>
        </is>
      </c>
      <c r="O58" s="21" t="inlineStr">
        <is>
          <t>luana@jpmfidc.com.br</t>
        </is>
      </c>
      <c r="P58" s="21" t="inlineStr">
        <is>
          <t>Luana Candido</t>
        </is>
      </c>
      <c r="Q58" s="21" t="inlineStr">
        <is>
          <t>Coordenadora de Cobranças</t>
        </is>
      </c>
      <c r="R58" s="21" t="inlineStr"/>
      <c r="S58" s="21" t="inlineStr">
        <is>
          <t>luana@jpmfidc.com.br</t>
        </is>
      </c>
      <c r="T58" s="21" t="inlineStr">
        <is>
          <t>DM verified email; VERIFY org: JPM FIDC Crédito Empresarial (assumed same JPM as FIDC JPM III); email verified by Apollo</t>
        </is>
      </c>
      <c r="U58" s="22" t="n">
        <v>6750000</v>
      </c>
      <c r="V58" s="23" t="inlineStr">
        <is>
          <t>B</t>
        </is>
      </c>
      <c r="W58" s="24">
        <f>IFERROR(VLOOKUP(V58,Assumptions!$A$7:$F$11,2,FALSE),0)</f>
        <v/>
      </c>
      <c r="X58" s="25">
        <f>IF(V58="A",MAX(1,IFERROR(VLOOKUP(V58,Assumptions!$A$7:$F$11,3,FALSE),3)+IFERROR(VLOOKUP(V58,Assumptions!$A$7:$F$11,4,FALSE),8)/2-MAX(0,IF(AO58="",0,YEAR(TODAY())-AO58)-IFERROR(VLOOKUP(V58,Assumptions!$A$7:$F$11,5,FALSE),1.5))),IFERROR(VLOOKUP(V58,Assumptions!$A$7:$F$11,5,FALSE),2.5)+IFERROR(VLOOKUP(V58,Assumptions!$A$7:$F$11,3,FALSE),3)+IFERROR(VLOOKUP(V58,Assumptions!$A$7:$F$11,4,FALSE),8)/2)</f>
        <v/>
      </c>
      <c r="Y58" s="22">
        <f>U58*W58/(1+Assumptions!$B$3)^X58</f>
        <v/>
      </c>
      <c r="Z58" s="26">
        <f>IF(U58=0,"",ROUND(Y58/U58*100,1))</f>
        <v/>
      </c>
      <c r="AA58" s="27">
        <f>Y58*Assumptions!$B$4</f>
        <v/>
      </c>
      <c r="AB58" s="26">
        <f>IF(U58=0,"",ROUND(AA58/U58*100,1))</f>
        <v/>
      </c>
      <c r="AC58" s="27">
        <f>Y58-AA58</f>
        <v/>
      </c>
      <c r="AD58" s="26">
        <f>IF(U58=0,"",ROUND((Y58-AA58)/U58*100,1))</f>
        <v/>
      </c>
      <c r="AE58" s="28" t="inlineStr">
        <is>
          <t>OK — totals reconciled</t>
        </is>
      </c>
      <c r="AF58" s="29" t="inlineStr">
        <is>
          <t>https://recuperasolucoes.com/wp-content/plugins/download-attachments/includes/download.php?id=1597</t>
        </is>
      </c>
      <c r="AG58" s="28" t="inlineStr">
        <is>
          <t>p13 r14; p13 r16</t>
        </is>
      </c>
      <c r="AH58" s="28" t="inlineStr">
        <is>
          <t>p13: R$ 4.250.000,00; p13: R$ 2.500.000,00</t>
        </is>
      </c>
      <c r="AI58" s="28" t="inlineStr">
        <is>
          <t>Debtor list (art. 51)</t>
        </is>
      </c>
      <c r="AJ58" s="28" t="inlineStr">
        <is>
          <t>2026-05-21</t>
        </is>
      </c>
      <c r="AK58" s="28" t="inlineStr">
        <is>
          <t>NONE FOUND</t>
        </is>
      </c>
      <c r="AL58" s="30" t="inlineStr">
        <is>
          <t>0001639-09.2026.8.17.2810</t>
        </is>
      </c>
      <c r="AM58" s="30" t="inlineStr">
        <is>
          <t>TJPE</t>
        </is>
      </c>
      <c r="AN58" s="30" t="inlineStr">
        <is>
          <t>ACTIVE</t>
        </is>
      </c>
      <c r="AO58" s="30" t="n">
        <v>2026</v>
      </c>
      <c r="AP58" s="30" t="inlineStr">
        <is>
          <t>live case, no plan document yet</t>
        </is>
      </c>
      <c r="AQ58" s="30" t="inlineStr"/>
      <c r="AR58" s="30" t="inlineStr">
        <is>
          <t>printed on the list (read twice)</t>
        </is>
      </c>
      <c r="AS58" s="30" t="inlineStr"/>
      <c r="AT58" s="30" t="inlineStr"/>
      <c r="AU58" s="30" t="inlineStr"/>
      <c r="AV58" s="30" t="inlineStr"/>
      <c r="AW58" s="31" t="inlineStr"/>
      <c r="AX58" s="30" t="inlineStr">
        <is>
          <t>MID-MARKET</t>
        </is>
      </c>
      <c r="AY58" s="30" t="inlineStr">
        <is>
          <t>29720639</t>
        </is>
      </c>
      <c r="AZ58" s="30" t="n">
        <v>2</v>
      </c>
      <c r="BA58" s="30" t="inlineStr">
        <is>
          <t>LIKELY_FINANCIAL_BY_NAME ROWS:p13r14,p13r16</t>
        </is>
      </c>
    </row>
    <row r="59">
      <c r="A59" s="16" t="inlineStr">
        <is>
          <t>LIBRA II NP FUNDO DE INVESTIMENTO EM DIREITOS CREDITÓRIOS NÃO PADRONIZADOS MULTISSETORIAL</t>
        </is>
      </c>
      <c r="B59" s="17" t="n">
        <v>6738246.38</v>
      </c>
      <c r="C59" s="18" t="inlineStr">
        <is>
          <t>AZEPLAST INDÚSTRIA E COMÉRCIO LTDA</t>
        </is>
      </c>
      <c r="D59" s="19" t="inlineStr">
        <is>
          <t>NEW</t>
        </is>
      </c>
      <c r="E59" s="20" t="inlineStr"/>
      <c r="F59" s="19" t="inlineStr"/>
      <c r="G59" s="20" t="inlineStr"/>
      <c r="H59" s="19" t="inlineStr"/>
      <c r="I59" s="21" t="inlineStr"/>
      <c r="J59" s="21" t="inlineStr"/>
      <c r="K59" s="21" t="inlineStr"/>
      <c r="L59" s="21" t="inlineStr"/>
      <c r="M59" s="21" t="inlineStr"/>
      <c r="N59" s="21" t="inlineStr"/>
      <c r="O59" s="21" t="inlineStr"/>
      <c r="P59" s="21" t="inlineStr"/>
      <c r="Q59" s="21" t="inlineStr"/>
      <c r="R59" s="21" t="inlineStr"/>
      <c r="S59" s="21" t="inlineStr"/>
      <c r="T59" s="21" t="inlineStr">
        <is>
          <t>no named contact found</t>
        </is>
      </c>
      <c r="U59" s="22" t="n">
        <v>6738246.38</v>
      </c>
      <c r="V59" s="23" t="inlineStr">
        <is>
          <t>B</t>
        </is>
      </c>
      <c r="W59" s="24">
        <f>IFERROR(VLOOKUP(V59,Assumptions!$A$7:$F$11,2,FALSE),0)</f>
        <v/>
      </c>
      <c r="X59" s="25">
        <f>IF(V59="A",MAX(1,IFERROR(VLOOKUP(V59,Assumptions!$A$7:$F$11,3,FALSE),3)+IFERROR(VLOOKUP(V59,Assumptions!$A$7:$F$11,4,FALSE),8)/2-MAX(0,IF(AO59="",0,YEAR(TODAY())-AO59)-IFERROR(VLOOKUP(V59,Assumptions!$A$7:$F$11,5,FALSE),1.5))),IFERROR(VLOOKUP(V59,Assumptions!$A$7:$F$11,5,FALSE),2.5)+IFERROR(VLOOKUP(V59,Assumptions!$A$7:$F$11,3,FALSE),3)+IFERROR(VLOOKUP(V59,Assumptions!$A$7:$F$11,4,FALSE),8)/2)</f>
        <v/>
      </c>
      <c r="Y59" s="22">
        <f>U59*W59/(1+Assumptions!$B$3)^X59</f>
        <v/>
      </c>
      <c r="Z59" s="26">
        <f>IF(U59=0,"",ROUND(Y59/U59*100,1))</f>
        <v/>
      </c>
      <c r="AA59" s="27">
        <f>Y59*Assumptions!$B$4</f>
        <v/>
      </c>
      <c r="AB59" s="26">
        <f>IF(U59=0,"",ROUND(AA59/U59*100,1))</f>
        <v/>
      </c>
      <c r="AC59" s="27">
        <f>Y59-AA59</f>
        <v/>
      </c>
      <c r="AD59" s="26">
        <f>IF(U59=0,"",ROUND((Y59-AA59)/U59*100,1))</f>
        <v/>
      </c>
      <c r="AE59" s="34" t="inlineStr">
        <is>
          <t>PARTIAL — class III reconciled, other classes not</t>
        </is>
      </c>
      <c r="AF59" s="29" t="inlineStr">
        <is>
          <t>https://ajruiz.com.br/sites/default/files/public/arquivos-processos/2026-08/qgc_azeplast_julho_2026.pdf</t>
        </is>
      </c>
      <c r="AG59" s="28" t="inlineStr">
        <is>
          <t>p1 r38</t>
        </is>
      </c>
      <c r="AH59" s="28" t="inlineStr">
        <is>
          <t>p1: R$ 6.738.246,38</t>
        </is>
      </c>
      <c r="AI59" s="28" t="inlineStr">
        <is>
          <t>QGC (art. 18)</t>
        </is>
      </c>
      <c r="AJ59" s="28" t="inlineStr"/>
      <c r="AK59" s="28" t="inlineStr">
        <is>
          <t>NONE FOUND</t>
        </is>
      </c>
      <c r="AL59" s="30" t="inlineStr">
        <is>
          <t>5008793-34.2023.8.24.0019</t>
        </is>
      </c>
      <c r="AM59" s="30" t="inlineStr">
        <is>
          <t>TJSC</t>
        </is>
      </c>
      <c r="AN59" s="30" t="inlineStr">
        <is>
          <t>ACTIVE</t>
        </is>
      </c>
      <c r="AO59" s="30" t="n">
        <v>2023</v>
      </c>
      <c r="AP59" s="30" t="inlineStr">
        <is>
          <t>live case, no plan document yet</t>
        </is>
      </c>
      <c r="AQ59" s="30" t="inlineStr">
        <is>
          <t>05.378.317/0001-80</t>
        </is>
      </c>
      <c r="AR59" s="30" t="inlineStr">
        <is>
          <t>printed on the list (read twice)</t>
        </is>
      </c>
      <c r="AS59" s="30" t="inlineStr"/>
      <c r="AT59" s="30" t="inlineStr"/>
      <c r="AU59" s="30" t="inlineStr"/>
      <c r="AV59" s="30" t="inlineStr"/>
      <c r="AW59" s="31" t="inlineStr"/>
      <c r="AX59" s="30" t="inlineStr">
        <is>
          <t>MID-MARKET</t>
        </is>
      </c>
      <c r="AY59" s="30" t="inlineStr">
        <is>
          <t>18563847</t>
        </is>
      </c>
      <c r="AZ59" s="30" t="n">
        <v>1</v>
      </c>
      <c r="BA59" s="30" t="inlineStr">
        <is>
          <t>LIKELY_FINANCIAL_BY_NAME PARTIAL_DOC_CLASS_III_RECONCILED ROWS:p1r38</t>
        </is>
      </c>
    </row>
    <row r="60">
      <c r="A60" s="16" t="inlineStr">
        <is>
          <t>Banco Industrial do Brasil S.A.</t>
        </is>
      </c>
      <c r="B60" s="17" t="n">
        <v>3523132.32</v>
      </c>
      <c r="C60" s="18" t="inlineStr">
        <is>
          <t>GRUPO 3E</t>
        </is>
      </c>
      <c r="D60" s="19" t="inlineStr">
        <is>
          <t>NEW</t>
        </is>
      </c>
      <c r="E60" s="20" t="inlineStr"/>
      <c r="F60" s="19" t="inlineStr"/>
      <c r="G60" s="20" t="inlineStr"/>
      <c r="H60" s="19" t="inlineStr"/>
      <c r="I60" s="21" t="inlineStr">
        <is>
          <t>Eduardo Fernandes</t>
        </is>
      </c>
      <c r="J60" s="21" t="inlineStr">
        <is>
          <t>Gerente de Recuperação de Crédito</t>
        </is>
      </c>
      <c r="K60" s="21" t="inlineStr"/>
      <c r="L60" s="21" t="inlineStr"/>
      <c r="M60" s="21" t="inlineStr"/>
      <c r="N60" s="21" t="inlineStr">
        <is>
          <t>eduardo.fernandes@bancoindustrial.com.br</t>
        </is>
      </c>
      <c r="O60" s="21" t="inlineStr"/>
      <c r="P60" s="21" t="inlineStr"/>
      <c r="Q60" s="21" t="inlineStr"/>
      <c r="R60" s="21" t="inlineStr"/>
      <c r="S60" s="21" t="inlineStr"/>
      <c r="T60" s="21" t="inlineStr">
        <is>
          <t>email verified by Apollo</t>
        </is>
      </c>
      <c r="U60" s="22" t="n">
        <v>3523132.32</v>
      </c>
      <c r="V60" s="35" t="inlineStr">
        <is>
          <t>A</t>
        </is>
      </c>
      <c r="W60" s="24">
        <f>IFERROR(VLOOKUP(V60,Assumptions!$A$7:$F$11,2,FALSE),0)</f>
        <v/>
      </c>
      <c r="X60" s="25">
        <f>IF(V60="A",MAX(1,IFERROR(VLOOKUP(V60,Assumptions!$A$7:$F$11,3,FALSE),3)+IFERROR(VLOOKUP(V60,Assumptions!$A$7:$F$11,4,FALSE),8)/2-MAX(0,IF(AO60="",0,YEAR(TODAY())-AO60)-IFERROR(VLOOKUP(V60,Assumptions!$A$7:$F$11,5,FALSE),1.5))),IFERROR(VLOOKUP(V60,Assumptions!$A$7:$F$11,5,FALSE),2.5)+IFERROR(VLOOKUP(V60,Assumptions!$A$7:$F$11,3,FALSE),3)+IFERROR(VLOOKUP(V60,Assumptions!$A$7:$F$11,4,FALSE),8)/2)</f>
        <v/>
      </c>
      <c r="Y60" s="22">
        <f>U60*W60/(1+Assumptions!$B$3)^X60</f>
        <v/>
      </c>
      <c r="Z60" s="26">
        <f>IF(U60=0,"",ROUND(Y60/U60*100,1))</f>
        <v/>
      </c>
      <c r="AA60" s="27">
        <f>Y60*Assumptions!$B$4</f>
        <v/>
      </c>
      <c r="AB60" s="26">
        <f>IF(U60=0,"",ROUND(AA60/U60*100,1))</f>
        <v/>
      </c>
      <c r="AC60" s="27">
        <f>Y60-AA60</f>
        <v/>
      </c>
      <c r="AD60" s="26">
        <f>IF(U60=0,"",ROUND((Y60-AA60)/U60*100,1))</f>
        <v/>
      </c>
      <c r="AE60" s="33" t="inlineStr">
        <is>
          <t>NO TOTALS — list prints none; check page</t>
        </is>
      </c>
      <c r="AF60" s="29" t="inlineStr">
        <is>
          <t>https://stenius.com.br/wp-content/uploads/2026/06/EDITAL-GRUPO-3E.pdf</t>
        </is>
      </c>
      <c r="AG60" s="28" t="inlineStr">
        <is>
          <t>p10 r36</t>
        </is>
      </c>
      <c r="AH60" s="28" t="inlineStr">
        <is>
          <t>p10: R$ 3.523.132,32</t>
        </is>
      </c>
      <c r="AI60" s="28" t="inlineStr">
        <is>
          <t>Debtor list (art. 51)</t>
        </is>
      </c>
      <c r="AJ60" s="28" t="inlineStr">
        <is>
          <t>2026-06-22</t>
        </is>
      </c>
      <c r="AK60" s="28" t="inlineStr">
        <is>
          <t>PLAN DOC FOUND</t>
        </is>
      </c>
      <c r="AL60" s="30" t="inlineStr">
        <is>
          <t>5341375-33.2026.8.09.0049</t>
        </is>
      </c>
      <c r="AM60" s="30" t="inlineStr">
        <is>
          <t>TJGO</t>
        </is>
      </c>
      <c r="AN60" s="30" t="inlineStr">
        <is>
          <t>ACTIVE</t>
        </is>
      </c>
      <c r="AO60" s="30" t="n">
        <v>2026</v>
      </c>
      <c r="AP60" s="30" t="inlineStr">
        <is>
          <t>plan/homologation document found</t>
        </is>
      </c>
      <c r="AQ60" s="30" t="inlineStr"/>
      <c r="AR60" s="30" t="inlineStr">
        <is>
          <t>printed on the list (read twice)</t>
        </is>
      </c>
      <c r="AS60" s="30" t="inlineStr"/>
      <c r="AT60" s="30" t="inlineStr"/>
      <c r="AU60" s="30" t="inlineStr"/>
      <c r="AV60" s="30" t="inlineStr"/>
      <c r="AW60" s="31" t="inlineStr"/>
      <c r="AX60" s="30" t="inlineStr">
        <is>
          <t>MID-MARKET</t>
        </is>
      </c>
      <c r="AY60" s="30" t="inlineStr">
        <is>
          <t>31895683</t>
        </is>
      </c>
      <c r="AZ60" s="30" t="n">
        <v>1</v>
      </c>
      <c r="BA60" s="30" t="inlineStr">
        <is>
          <t>LIKELY_FINANCIAL_BY_NAME ROWS:p10r36 UNRECONCILED_SOURCE</t>
        </is>
      </c>
    </row>
    <row r="61">
      <c r="A61" s="16" t="inlineStr">
        <is>
          <t>SWISS RE CORPORATE SOLUTIONS BRASIL SEGUROS S.A.</t>
        </is>
      </c>
      <c r="B61" s="17" t="n">
        <v>12002084.64</v>
      </c>
      <c r="C61" s="18" t="inlineStr">
        <is>
          <t>EGESA ENGENHARIA S/A (Consórcio ETDI)</t>
        </is>
      </c>
      <c r="D61" s="19" t="inlineStr">
        <is>
          <t>NEW</t>
        </is>
      </c>
      <c r="E61" s="20" t="inlineStr"/>
      <c r="F61" s="19" t="inlineStr"/>
      <c r="G61" s="20" t="inlineStr"/>
      <c r="H61" s="19" t="inlineStr"/>
      <c r="I61" s="21" t="inlineStr">
        <is>
          <t>Djan Castro</t>
        </is>
      </c>
      <c r="J61" s="21" t="inlineStr">
        <is>
          <t>Legal Claims Manager</t>
        </is>
      </c>
      <c r="K61" s="21" t="inlineStr">
        <is>
          <t>(11) 3073-8000</t>
        </is>
      </c>
      <c r="L61" s="21" t="inlineStr">
        <is>
          <t>(11) 3073-8113</t>
        </is>
      </c>
      <c r="M61" s="21" t="inlineStr"/>
      <c r="N61" s="21" t="inlineStr">
        <is>
          <t>djan_castro@swissre.com</t>
        </is>
      </c>
      <c r="O61" s="21" t="inlineStr">
        <is>
          <t>beatriz_fazzio@swissre.com</t>
        </is>
      </c>
      <c r="P61" s="21" t="inlineStr">
        <is>
          <t>Beatriz Fazzio</t>
        </is>
      </c>
      <c r="Q61" s="21" t="inlineStr">
        <is>
          <t>Gerente Técnica de Seguro Garantia | Senior Underwriter Surety</t>
        </is>
      </c>
      <c r="R61" s="21" t="inlineStr"/>
      <c r="S61" s="21" t="inlineStr">
        <is>
          <t>beatriz_fazzio@swissre.com</t>
        </is>
      </c>
      <c r="T61" s="21" t="inlineStr">
        <is>
          <t>email verified by Apollo</t>
        </is>
      </c>
      <c r="U61" s="22" t="n">
        <v>12002084.64</v>
      </c>
      <c r="V61" s="32" t="inlineStr">
        <is>
          <t>U</t>
        </is>
      </c>
      <c r="W61" s="24">
        <f>IFERROR(VLOOKUP(V61,Assumptions!$A$7:$F$11,2,FALSE),0)</f>
        <v/>
      </c>
      <c r="X61" s="25">
        <f>IF(V61="A",MAX(1,IFERROR(VLOOKUP(V61,Assumptions!$A$7:$F$11,3,FALSE),3)+IFERROR(VLOOKUP(V61,Assumptions!$A$7:$F$11,4,FALSE),8)/2-MAX(0,IF(AO61="",0,YEAR(TODAY())-AO61)-IFERROR(VLOOKUP(V61,Assumptions!$A$7:$F$11,5,FALSE),1.5))),IFERROR(VLOOKUP(V61,Assumptions!$A$7:$F$11,5,FALSE),2.5)+IFERROR(VLOOKUP(V61,Assumptions!$A$7:$F$11,3,FALSE),3)+IFERROR(VLOOKUP(V61,Assumptions!$A$7:$F$11,4,FALSE),8)/2)</f>
        <v/>
      </c>
      <c r="Y61" s="22">
        <f>U61*W61/(1+Assumptions!$B$3)^X61</f>
        <v/>
      </c>
      <c r="Z61" s="26">
        <f>IF(U61=0,"",ROUND(Y61/U61*100,1))</f>
        <v/>
      </c>
      <c r="AA61" s="27">
        <f>Y61*Assumptions!$B$4</f>
        <v/>
      </c>
      <c r="AB61" s="26">
        <f>IF(U61=0,"",ROUND(AA61/U61*100,1))</f>
        <v/>
      </c>
      <c r="AC61" s="27">
        <f>Y61-AA61</f>
        <v/>
      </c>
      <c r="AD61" s="26">
        <f>IF(U61=0,"",ROUND((Y61-AA61)/U61*100,1))</f>
        <v/>
      </c>
      <c r="AE61" s="28" t="inlineStr">
        <is>
          <t>OK — totals reconciled</t>
        </is>
      </c>
      <c r="AF61" s="29" t="inlineStr">
        <is>
          <t>https://scalzilliaj.com.br/sgc/download.php?file=files/processo_documento/processo_documento09514021082025_1_.pdf&amp;nome=04 - Relação de credores das Recuperandas</t>
        </is>
      </c>
      <c r="AG61" s="28" t="inlineStr">
        <is>
          <t>p73 r16</t>
        </is>
      </c>
      <c r="AH61" s="28" t="inlineStr">
        <is>
          <t>p73: R$ 12.002.084,64</t>
        </is>
      </c>
      <c r="AI61" s="28" t="inlineStr">
        <is>
          <t>Debtor list (art. 51)</t>
        </is>
      </c>
      <c r="AJ61" s="28" t="inlineStr"/>
      <c r="AK61" s="28" t="inlineStr">
        <is>
          <t>NONE FOUND</t>
        </is>
      </c>
      <c r="AL61" s="30" t="inlineStr">
        <is>
          <t>(not printed)</t>
        </is>
      </c>
      <c r="AM61" s="30" t="inlineStr"/>
      <c r="AN61" s="30" t="inlineStr"/>
      <c r="AO61" s="30" t="inlineStr"/>
      <c r="AP61" s="30" t="inlineStr">
        <is>
          <t>RJ case number not identified on the document</t>
        </is>
      </c>
      <c r="AQ61" s="30" t="inlineStr"/>
      <c r="AR61" s="30" t="inlineStr">
        <is>
          <t>portal page title / URL — not printed on the list</t>
        </is>
      </c>
      <c r="AS61" s="30" t="inlineStr">
        <is>
          <t>SAO PAULO</t>
        </is>
      </c>
      <c r="AT61" s="30" t="inlineStr">
        <is>
          <t>SP</t>
        </is>
      </c>
      <c r="AU61" s="30" t="inlineStr">
        <is>
          <t>Sociedade seguradora de seguros não vida</t>
        </is>
      </c>
      <c r="AV61" s="30" t="inlineStr">
        <is>
          <t>DEMAIS</t>
        </is>
      </c>
      <c r="AW61" s="31" t="n">
        <v>906621100</v>
      </c>
      <c r="AX61" s="30" t="inlineStr">
        <is>
          <t>LARGE CORP</t>
        </is>
      </c>
      <c r="AY61" s="30" t="inlineStr">
        <is>
          <t>72145931</t>
        </is>
      </c>
      <c r="AZ61" s="30" t="n">
        <v>1</v>
      </c>
      <c r="BA61" s="30" t="inlineStr">
        <is>
          <t>LIKELY_FINANCIAL_BY_NAME ROWS:p73r16 VALUE_COL:Valor_Atualizado CASE_NUMBER_CORRECTED</t>
        </is>
      </c>
    </row>
    <row r="62">
      <c r="A62" s="16" t="inlineStr">
        <is>
          <t>BANCO DO BRASIL SA</t>
        </is>
      </c>
      <c r="B62" s="17" t="n">
        <v>6252701.01</v>
      </c>
      <c r="C62" s="18" t="inlineStr">
        <is>
          <t>GRUPO CATTAN</t>
        </is>
      </c>
      <c r="D62" s="19" t="inlineStr">
        <is>
          <t>NEW</t>
        </is>
      </c>
      <c r="E62" s="20" t="inlineStr"/>
      <c r="F62" s="19" t="inlineStr"/>
      <c r="G62" s="20" t="inlineStr"/>
      <c r="H62" s="19" t="inlineStr"/>
      <c r="I62" s="21" t="inlineStr">
        <is>
          <t>Thiago Cavichioli</t>
        </is>
      </c>
      <c r="J62" s="21" t="inlineStr">
        <is>
          <t>Gerente de Cobrança e Recuperação de Crédito</t>
        </is>
      </c>
      <c r="K62" s="21" t="inlineStr">
        <is>
          <t>(61) 3493-9002</t>
        </is>
      </c>
      <c r="L62" s="21" t="inlineStr"/>
      <c r="M62" s="21" t="inlineStr"/>
      <c r="N62" s="21" t="inlineStr">
        <is>
          <t>thiago.cavichioli@bb.com.br</t>
        </is>
      </c>
      <c r="O62" s="21" t="inlineStr">
        <is>
          <t>suelenmondador@bb.com.br</t>
        </is>
      </c>
      <c r="P62" s="21" t="inlineStr">
        <is>
          <t>Suelen Mondador</t>
        </is>
      </c>
      <c r="Q62" s="21" t="inlineStr">
        <is>
          <t>Gerente Especialista em Recuperação de Crédito</t>
        </is>
      </c>
      <c r="R62" s="21" t="inlineStr"/>
      <c r="S62" s="21" t="inlineStr">
        <is>
          <t>suelenmondador@bb.com.br</t>
        </is>
      </c>
      <c r="T62" s="21" t="inlineStr">
        <is>
          <t>email verified by Apollo</t>
        </is>
      </c>
      <c r="U62" s="22" t="n">
        <v>6252701.01</v>
      </c>
      <c r="V62" s="23" t="inlineStr">
        <is>
          <t>B</t>
        </is>
      </c>
      <c r="W62" s="24">
        <f>IFERROR(VLOOKUP(V62,Assumptions!$A$7:$F$11,2,FALSE),0)</f>
        <v/>
      </c>
      <c r="X62" s="25">
        <f>IF(V62="A",MAX(1,IFERROR(VLOOKUP(V62,Assumptions!$A$7:$F$11,3,FALSE),3)+IFERROR(VLOOKUP(V62,Assumptions!$A$7:$F$11,4,FALSE),8)/2-MAX(0,IF(AO62="",0,YEAR(TODAY())-AO62)-IFERROR(VLOOKUP(V62,Assumptions!$A$7:$F$11,5,FALSE),1.5))),IFERROR(VLOOKUP(V62,Assumptions!$A$7:$F$11,5,FALSE),2.5)+IFERROR(VLOOKUP(V62,Assumptions!$A$7:$F$11,3,FALSE),3)+IFERROR(VLOOKUP(V62,Assumptions!$A$7:$F$11,4,FALSE),8)/2)</f>
        <v/>
      </c>
      <c r="Y62" s="22">
        <f>U62*W62/(1+Assumptions!$B$3)^X62</f>
        <v/>
      </c>
      <c r="Z62" s="26">
        <f>IF(U62=0,"",ROUND(Y62/U62*100,1))</f>
        <v/>
      </c>
      <c r="AA62" s="27">
        <f>Y62*Assumptions!$B$4</f>
        <v/>
      </c>
      <c r="AB62" s="26">
        <f>IF(U62=0,"",ROUND(AA62/U62*100,1))</f>
        <v/>
      </c>
      <c r="AC62" s="27">
        <f>Y62-AA62</f>
        <v/>
      </c>
      <c r="AD62" s="26">
        <f>IF(U62=0,"",ROUND((Y62-AA62)/U62*100,1))</f>
        <v/>
      </c>
      <c r="AE62" s="34" t="inlineStr">
        <is>
          <t>PARTIAL — class III reconciled, other classes not</t>
        </is>
      </c>
      <c r="AF62" s="29" t="inlineStr">
        <is>
          <t>https://lrflideres.com.br/wp-content/plugins/download-attachments/includes/download.php?id=4023</t>
        </is>
      </c>
      <c r="AG62" s="28" t="inlineStr">
        <is>
          <t>p4 r56; p7 r77; p8 r82; p9 r58</t>
        </is>
      </c>
      <c r="AH62" s="28" t="inlineStr">
        <is>
          <t>p4: R$ 1.137.317,04; p7: R$ 3.511.725,73; p8: R$ 1.400.000,00; p9: R$ 203.658,24</t>
        </is>
      </c>
      <c r="AI62" s="28" t="inlineStr">
        <is>
          <t>Debtor list (art. 51)</t>
        </is>
      </c>
      <c r="AJ62" s="28" t="inlineStr"/>
      <c r="AK62" s="28" t="inlineStr">
        <is>
          <t>NONE FOUND</t>
        </is>
      </c>
      <c r="AL62" s="30" t="inlineStr">
        <is>
          <t>0002484-82.2022.8.17.2001</t>
        </is>
      </c>
      <c r="AM62" s="30" t="inlineStr">
        <is>
          <t>TJPE</t>
        </is>
      </c>
      <c r="AN62" s="30" t="inlineStr">
        <is>
          <t>ACTIVE</t>
        </is>
      </c>
      <c r="AO62" s="30" t="n">
        <v>2022</v>
      </c>
      <c r="AP62" s="30" t="inlineStr">
        <is>
          <t>live case, no plan document yet</t>
        </is>
      </c>
      <c r="AQ62" s="30" t="inlineStr"/>
      <c r="AR62" s="30" t="inlineStr">
        <is>
          <t>printed on the list (read twice)</t>
        </is>
      </c>
      <c r="AS62" s="30" t="inlineStr">
        <is>
          <t>BRASILIA</t>
        </is>
      </c>
      <c r="AT62" s="30" t="inlineStr">
        <is>
          <t>DF</t>
        </is>
      </c>
      <c r="AU62" s="30" t="inlineStr">
        <is>
          <t>Bancos múltiplos, com carteira comercial</t>
        </is>
      </c>
      <c r="AV62" s="30" t="inlineStr">
        <is>
          <t>DEMAIS</t>
        </is>
      </c>
      <c r="AW62" s="31" t="n">
        <v>120000000000</v>
      </c>
      <c r="AX62" s="30" t="inlineStr">
        <is>
          <t>LARGE CORP</t>
        </is>
      </c>
      <c r="AY62" s="30" t="inlineStr">
        <is>
          <t>00000000</t>
        </is>
      </c>
      <c r="AZ62" s="30" t="n">
        <v>4</v>
      </c>
      <c r="BA62" s="30" t="inlineStr">
        <is>
          <t>LIKELY_FINANCIAL_BY_NAME PARTIAL_DOC_CLASS_III_RECONCILED ROWS:p4r56,p7r77,p8r82,p9r58</t>
        </is>
      </c>
    </row>
    <row r="63">
      <c r="A63" s="16" t="inlineStr">
        <is>
          <t>BANCO DO BRASIL SA</t>
        </is>
      </c>
      <c r="B63" s="17" t="n">
        <v>11716157.97</v>
      </c>
      <c r="C63" s="37" t="inlineStr">
        <is>
          <t>(debtor not identified — see proof)</t>
        </is>
      </c>
      <c r="D63" s="19" t="inlineStr">
        <is>
          <t>NEW</t>
        </is>
      </c>
      <c r="E63" s="20" t="inlineStr"/>
      <c r="F63" s="19" t="inlineStr"/>
      <c r="G63" s="20" t="inlineStr"/>
      <c r="H63" s="19" t="inlineStr"/>
      <c r="I63" s="21" t="inlineStr">
        <is>
          <t>Thiago Cavichioli</t>
        </is>
      </c>
      <c r="J63" s="21" t="inlineStr">
        <is>
          <t>Gerente de Cobrança e Recuperação de Crédito</t>
        </is>
      </c>
      <c r="K63" s="21" t="inlineStr">
        <is>
          <t>(61) 3493-9002</t>
        </is>
      </c>
      <c r="L63" s="21" t="inlineStr"/>
      <c r="M63" s="21" t="inlineStr"/>
      <c r="N63" s="21" t="inlineStr">
        <is>
          <t>thiago.cavichioli@bb.com.br</t>
        </is>
      </c>
      <c r="O63" s="21" t="inlineStr">
        <is>
          <t>suelenmondador@bb.com.br</t>
        </is>
      </c>
      <c r="P63" s="21" t="inlineStr">
        <is>
          <t>Suelen Mondador</t>
        </is>
      </c>
      <c r="Q63" s="21" t="inlineStr">
        <is>
          <t>Gerente Especialista em Recuperação de Crédito</t>
        </is>
      </c>
      <c r="R63" s="21" t="inlineStr"/>
      <c r="S63" s="21" t="inlineStr">
        <is>
          <t>suelenmondador@bb.com.br</t>
        </is>
      </c>
      <c r="T63" s="21" t="inlineStr">
        <is>
          <t>email verified by Apollo</t>
        </is>
      </c>
      <c r="U63" s="22" t="n">
        <v>11716157.97</v>
      </c>
      <c r="V63" s="32" t="inlineStr">
        <is>
          <t>U</t>
        </is>
      </c>
      <c r="W63" s="24">
        <f>IFERROR(VLOOKUP(V63,Assumptions!$A$7:$F$11,2,FALSE),0)</f>
        <v/>
      </c>
      <c r="X63" s="25">
        <f>IF(V63="A",MAX(1,IFERROR(VLOOKUP(V63,Assumptions!$A$7:$F$11,3,FALSE),3)+IFERROR(VLOOKUP(V63,Assumptions!$A$7:$F$11,4,FALSE),8)/2-MAX(0,IF(AO63="",0,YEAR(TODAY())-AO63)-IFERROR(VLOOKUP(V63,Assumptions!$A$7:$F$11,5,FALSE),1.5))),IFERROR(VLOOKUP(V63,Assumptions!$A$7:$F$11,5,FALSE),2.5)+IFERROR(VLOOKUP(V63,Assumptions!$A$7:$F$11,3,FALSE),3)+IFERROR(VLOOKUP(V63,Assumptions!$A$7:$F$11,4,FALSE),8)/2)</f>
        <v/>
      </c>
      <c r="Y63" s="22">
        <f>U63*W63/(1+Assumptions!$B$3)^X63</f>
        <v/>
      </c>
      <c r="Z63" s="26">
        <f>IF(U63=0,"",ROUND(Y63/U63*100,1))</f>
        <v/>
      </c>
      <c r="AA63" s="27">
        <f>Y63*Assumptions!$B$4</f>
        <v/>
      </c>
      <c r="AB63" s="26">
        <f>IF(U63=0,"",ROUND(AA63/U63*100,1))</f>
        <v/>
      </c>
      <c r="AC63" s="27">
        <f>Y63-AA63</f>
        <v/>
      </c>
      <c r="AD63" s="26">
        <f>IF(U63=0,"",ROUND((Y63-AA63)/U63*100,1))</f>
        <v/>
      </c>
      <c r="AE63" s="28" t="inlineStr">
        <is>
          <t>OK — totals reconciled</t>
        </is>
      </c>
      <c r="AF63" s="29" t="inlineStr">
        <is>
          <t>https://ajruiz.com.br/sites/default/files/public/arquivos-processos/2023-11/4_relacao_de_credores_analitica_art._51_iii_da_lre.pdf</t>
        </is>
      </c>
      <c r="AG63" s="28" t="inlineStr">
        <is>
          <t>p2 r13</t>
        </is>
      </c>
      <c r="AH63" s="28" t="inlineStr">
        <is>
          <t>p2: R$ 11.716.157,97</t>
        </is>
      </c>
      <c r="AI63" s="28" t="inlineStr">
        <is>
          <t>Unclassified list</t>
        </is>
      </c>
      <c r="AJ63" s="28" t="inlineStr"/>
      <c r="AK63" s="28" t="inlineStr">
        <is>
          <t>NONE FOUND</t>
        </is>
      </c>
      <c r="AL63" s="30" t="inlineStr">
        <is>
          <t>(not printed)</t>
        </is>
      </c>
      <c r="AM63" s="30" t="inlineStr"/>
      <c r="AN63" s="30" t="inlineStr"/>
      <c r="AO63" s="30" t="inlineStr"/>
      <c r="AP63" s="30" t="inlineStr">
        <is>
          <t>RJ case number not identified on the document</t>
        </is>
      </c>
      <c r="AQ63" s="30" t="inlineStr"/>
      <c r="AR63" s="30" t="inlineStr">
        <is>
          <t>not identified</t>
        </is>
      </c>
      <c r="AS63" s="30" t="inlineStr">
        <is>
          <t>BRASILIA</t>
        </is>
      </c>
      <c r="AT63" s="30" t="inlineStr">
        <is>
          <t>DF</t>
        </is>
      </c>
      <c r="AU63" s="30" t="inlineStr">
        <is>
          <t>Bancos múltiplos, com carteira comercial</t>
        </is>
      </c>
      <c r="AV63" s="30" t="inlineStr">
        <is>
          <t>DEMAIS</t>
        </is>
      </c>
      <c r="AW63" s="31" t="n">
        <v>120000000000</v>
      </c>
      <c r="AX63" s="30" t="inlineStr">
        <is>
          <t>LARGE CORP</t>
        </is>
      </c>
      <c r="AY63" s="30" t="inlineStr">
        <is>
          <t>00000000</t>
        </is>
      </c>
      <c r="AZ63" s="30" t="n">
        <v>1</v>
      </c>
      <c r="BA63" s="30" t="inlineStr">
        <is>
          <t>ALT_VALUE:BANCOS ROWS:p2r13 VALUE_COL:Valor_Do_Crédito CASE_NUMBER_CORRECTED</t>
        </is>
      </c>
    </row>
    <row r="64">
      <c r="A64" s="16" t="inlineStr">
        <is>
          <t>BANCO DO BRASIL SA</t>
        </is>
      </c>
      <c r="B64" s="17" t="n">
        <v>2961832.77</v>
      </c>
      <c r="C64" s="18" t="inlineStr">
        <is>
          <t>JA SANTOS IMPORTACAO E EXPORTACAO DE FERRAMENTAS LTDA</t>
        </is>
      </c>
      <c r="D64" s="19" t="inlineStr">
        <is>
          <t>NEW</t>
        </is>
      </c>
      <c r="E64" s="20" t="inlineStr"/>
      <c r="F64" s="19" t="inlineStr"/>
      <c r="G64" s="20" t="inlineStr"/>
      <c r="H64" s="19" t="inlineStr"/>
      <c r="I64" s="21" t="inlineStr">
        <is>
          <t>Thiago Cavichioli</t>
        </is>
      </c>
      <c r="J64" s="21" t="inlineStr">
        <is>
          <t>Gerente de Cobrança e Recuperação de Crédito</t>
        </is>
      </c>
      <c r="K64" s="21" t="inlineStr">
        <is>
          <t>(61) 3493-9002</t>
        </is>
      </c>
      <c r="L64" s="21" t="inlineStr"/>
      <c r="M64" s="21" t="inlineStr"/>
      <c r="N64" s="21" t="inlineStr">
        <is>
          <t>thiago.cavichioli@bb.com.br</t>
        </is>
      </c>
      <c r="O64" s="21" t="inlineStr">
        <is>
          <t>suelenmondador@bb.com.br</t>
        </is>
      </c>
      <c r="P64" s="21" t="inlineStr">
        <is>
          <t>Suelen Mondador</t>
        </is>
      </c>
      <c r="Q64" s="21" t="inlineStr">
        <is>
          <t>Gerente Especialista em Recuperação de Crédito</t>
        </is>
      </c>
      <c r="R64" s="21" t="inlineStr"/>
      <c r="S64" s="21" t="inlineStr">
        <is>
          <t>suelenmondador@bb.com.br</t>
        </is>
      </c>
      <c r="T64" s="21" t="inlineStr">
        <is>
          <t>email verified by Apollo</t>
        </is>
      </c>
      <c r="U64" s="22" t="n">
        <v>2961832.77</v>
      </c>
      <c r="V64" s="35" t="inlineStr">
        <is>
          <t>A</t>
        </is>
      </c>
      <c r="W64" s="24">
        <f>IFERROR(VLOOKUP(V64,Assumptions!$A$7:$F$11,2,FALSE),0)</f>
        <v/>
      </c>
      <c r="X64" s="25">
        <f>IF(V64="A",MAX(1,IFERROR(VLOOKUP(V64,Assumptions!$A$7:$F$11,3,FALSE),3)+IFERROR(VLOOKUP(V64,Assumptions!$A$7:$F$11,4,FALSE),8)/2-MAX(0,IF(AO64="",0,YEAR(TODAY())-AO64)-IFERROR(VLOOKUP(V64,Assumptions!$A$7:$F$11,5,FALSE),1.5))),IFERROR(VLOOKUP(V64,Assumptions!$A$7:$F$11,5,FALSE),2.5)+IFERROR(VLOOKUP(V64,Assumptions!$A$7:$F$11,3,FALSE),3)+IFERROR(VLOOKUP(V64,Assumptions!$A$7:$F$11,4,FALSE),8)/2)</f>
        <v/>
      </c>
      <c r="Y64" s="22">
        <f>U64*W64/(1+Assumptions!$B$3)^X64</f>
        <v/>
      </c>
      <c r="Z64" s="26">
        <f>IF(U64=0,"",ROUND(Y64/U64*100,1))</f>
        <v/>
      </c>
      <c r="AA64" s="27">
        <f>Y64*Assumptions!$B$4</f>
        <v/>
      </c>
      <c r="AB64" s="26">
        <f>IF(U64=0,"",ROUND(AA64/U64*100,1))</f>
        <v/>
      </c>
      <c r="AC64" s="27">
        <f>Y64-AA64</f>
        <v/>
      </c>
      <c r="AD64" s="26">
        <f>IF(U64=0,"",ROUND((Y64-AA64)/U64*100,1))</f>
        <v/>
      </c>
      <c r="AE64" s="28" t="inlineStr">
        <is>
          <t>OK — totals reconciled</t>
        </is>
      </c>
      <c r="AF64" s="29" t="inlineStr">
        <is>
          <t>https://vivanteaj.com.br/wp-content/uploads/2024/11/1a-lista-de-credores-JA-Santos.pdf</t>
        </is>
      </c>
      <c r="AG64" s="28" t="inlineStr">
        <is>
          <t>p1 r3; p1 r4</t>
        </is>
      </c>
      <c r="AH64" s="28" t="inlineStr">
        <is>
          <t>p1: R$ 818.650,84; p1: R$ 2.143.181,93</t>
        </is>
      </c>
      <c r="AI64" s="28" t="inlineStr">
        <is>
          <t>Unclassified list</t>
        </is>
      </c>
      <c r="AJ64" s="28" t="inlineStr">
        <is>
          <t>2022-11-02</t>
        </is>
      </c>
      <c r="AK64" s="28" t="inlineStr">
        <is>
          <t>PLAN DOC FOUND</t>
        </is>
      </c>
      <c r="AL64" s="30" t="inlineStr">
        <is>
          <t>1018313-46.2024.8.26.0100</t>
        </is>
      </c>
      <c r="AM64" s="30" t="inlineStr">
        <is>
          <t>TJSP</t>
        </is>
      </c>
      <c r="AN64" s="30" t="inlineStr">
        <is>
          <t>ACTIVE</t>
        </is>
      </c>
      <c r="AO64" s="30" t="n">
        <v>2024</v>
      </c>
      <c r="AP64" s="30" t="inlineStr">
        <is>
          <t>plan/homologation document found</t>
        </is>
      </c>
      <c r="AQ64" s="30" t="inlineStr">
        <is>
          <t>15.408.785/0001-03</t>
        </is>
      </c>
      <c r="AR64" s="30" t="inlineStr">
        <is>
          <t>printed on the list (read twice)</t>
        </is>
      </c>
      <c r="AS64" s="30" t="inlineStr">
        <is>
          <t>BRASILIA</t>
        </is>
      </c>
      <c r="AT64" s="30" t="inlineStr">
        <is>
          <t>DF</t>
        </is>
      </c>
      <c r="AU64" s="30" t="inlineStr">
        <is>
          <t>Bancos múltiplos, com carteira comercial</t>
        </is>
      </c>
      <c r="AV64" s="30" t="inlineStr">
        <is>
          <t>DEMAIS</t>
        </is>
      </c>
      <c r="AW64" s="31" t="n">
        <v>120000000000</v>
      </c>
      <c r="AX64" s="30" t="inlineStr">
        <is>
          <t>LARGE CORP</t>
        </is>
      </c>
      <c r="AY64" s="30" t="inlineStr">
        <is>
          <t>00000000</t>
        </is>
      </c>
      <c r="AZ64" s="30" t="n">
        <v>2</v>
      </c>
      <c r="BA64" s="30" t="inlineStr">
        <is>
          <t>LIKELY_FINANCIAL_BY_NAME ROWS:p1r3,p1r4 VALUE_COL:Valor</t>
        </is>
      </c>
    </row>
    <row r="65">
      <c r="A65" s="16" t="inlineStr">
        <is>
          <t>BANCO DO BRASIL SA</t>
        </is>
      </c>
      <c r="B65" s="17" t="n">
        <v>5925881.1</v>
      </c>
      <c r="C65" s="18" t="inlineStr">
        <is>
          <t>Grupo Agromeal</t>
        </is>
      </c>
      <c r="D65" s="19" t="inlineStr">
        <is>
          <t>NEW</t>
        </is>
      </c>
      <c r="E65" s="20" t="inlineStr"/>
      <c r="F65" s="19" t="inlineStr"/>
      <c r="G65" s="20" t="inlineStr"/>
      <c r="H65" s="19" t="inlineStr"/>
      <c r="I65" s="21" t="inlineStr">
        <is>
          <t>Thiago Cavichioli</t>
        </is>
      </c>
      <c r="J65" s="21" t="inlineStr">
        <is>
          <t>Gerente de Cobrança e Recuperação de Crédito</t>
        </is>
      </c>
      <c r="K65" s="21" t="inlineStr">
        <is>
          <t>(61) 3493-9002</t>
        </is>
      </c>
      <c r="L65" s="21" t="inlineStr"/>
      <c r="M65" s="21" t="inlineStr"/>
      <c r="N65" s="21" t="inlineStr">
        <is>
          <t>thiago.cavichioli@bb.com.br</t>
        </is>
      </c>
      <c r="O65" s="21" t="inlineStr">
        <is>
          <t>suelenmondador@bb.com.br</t>
        </is>
      </c>
      <c r="P65" s="21" t="inlineStr">
        <is>
          <t>Suelen Mondador</t>
        </is>
      </c>
      <c r="Q65" s="21" t="inlineStr">
        <is>
          <t>Gerente Especialista em Recuperação de Crédito</t>
        </is>
      </c>
      <c r="R65" s="21" t="inlineStr"/>
      <c r="S65" s="21" t="inlineStr">
        <is>
          <t>suelenmondador@bb.com.br</t>
        </is>
      </c>
      <c r="T65" s="21" t="inlineStr">
        <is>
          <t>email verified by Apollo</t>
        </is>
      </c>
      <c r="U65" s="22" t="n">
        <v>5925881.1</v>
      </c>
      <c r="V65" s="23" t="inlineStr">
        <is>
          <t>B</t>
        </is>
      </c>
      <c r="W65" s="24">
        <f>IFERROR(VLOOKUP(V65,Assumptions!$A$7:$F$11,2,FALSE),0)</f>
        <v/>
      </c>
      <c r="X65" s="25">
        <f>IF(V65="A",MAX(1,IFERROR(VLOOKUP(V65,Assumptions!$A$7:$F$11,3,FALSE),3)+IFERROR(VLOOKUP(V65,Assumptions!$A$7:$F$11,4,FALSE),8)/2-MAX(0,IF(AO65="",0,YEAR(TODAY())-AO65)-IFERROR(VLOOKUP(V65,Assumptions!$A$7:$F$11,5,FALSE),1.5))),IFERROR(VLOOKUP(V65,Assumptions!$A$7:$F$11,5,FALSE),2.5)+IFERROR(VLOOKUP(V65,Assumptions!$A$7:$F$11,3,FALSE),3)+IFERROR(VLOOKUP(V65,Assumptions!$A$7:$F$11,4,FALSE),8)/2)</f>
        <v/>
      </c>
      <c r="Y65" s="22">
        <f>U65*W65/(1+Assumptions!$B$3)^X65</f>
        <v/>
      </c>
      <c r="Z65" s="26">
        <f>IF(U65=0,"",ROUND(Y65/U65*100,1))</f>
        <v/>
      </c>
      <c r="AA65" s="27">
        <f>Y65*Assumptions!$B$4</f>
        <v/>
      </c>
      <c r="AB65" s="26">
        <f>IF(U65=0,"",ROUND(AA65/U65*100,1))</f>
        <v/>
      </c>
      <c r="AC65" s="27">
        <f>Y65-AA65</f>
        <v/>
      </c>
      <c r="AD65" s="26">
        <f>IF(U65=0,"",ROUND((Y65-AA65)/U65*100,1))</f>
        <v/>
      </c>
      <c r="AE65" s="34" t="inlineStr">
        <is>
          <t>PARTIAL — class III reconciled, other classes not</t>
        </is>
      </c>
      <c r="AF65" s="29" t="inlineStr">
        <is>
          <t>https://marquesadmjudicial.com.br/sgc/download.php?file=files/processo_documento/processo_documento17040729052024_1_.pdf&amp;nome=Relação Nominal de Credores AJ-Sintética</t>
        </is>
      </c>
      <c r="AG65" s="28" t="inlineStr">
        <is>
          <t>p10 r3</t>
        </is>
      </c>
      <c r="AH65" s="28" t="inlineStr">
        <is>
          <t>p10: R$ 5.925.881,10</t>
        </is>
      </c>
      <c r="AI65" s="28" t="inlineStr">
        <is>
          <t>AJ list (art. 7 §2)</t>
        </is>
      </c>
      <c r="AJ65" s="28" t="inlineStr">
        <is>
          <t>2024-05-27</t>
        </is>
      </c>
      <c r="AK65" s="28" t="inlineStr">
        <is>
          <t>NONE FOUND</t>
        </is>
      </c>
      <c r="AL65" s="30" t="inlineStr">
        <is>
          <t>0003971-03.2023.8.16.0119</t>
        </is>
      </c>
      <c r="AM65" s="30" t="inlineStr">
        <is>
          <t>TJPR</t>
        </is>
      </c>
      <c r="AN65" s="30" t="inlineStr">
        <is>
          <t>ACTIVE</t>
        </is>
      </c>
      <c r="AO65" s="30" t="n">
        <v>2023</v>
      </c>
      <c r="AP65" s="30" t="inlineStr">
        <is>
          <t>live case, no plan document yet</t>
        </is>
      </c>
      <c r="AQ65" s="30" t="inlineStr">
        <is>
          <t>11.624.776/0001-07</t>
        </is>
      </c>
      <c r="AR65" s="30" t="inlineStr">
        <is>
          <t>printed on the list (read twice)</t>
        </is>
      </c>
      <c r="AS65" s="30" t="inlineStr">
        <is>
          <t>BRASILIA</t>
        </is>
      </c>
      <c r="AT65" s="30" t="inlineStr">
        <is>
          <t>DF</t>
        </is>
      </c>
      <c r="AU65" s="30" t="inlineStr">
        <is>
          <t>Bancos múltiplos, com carteira comercial</t>
        </is>
      </c>
      <c r="AV65" s="30" t="inlineStr">
        <is>
          <t>DEMAIS</t>
        </is>
      </c>
      <c r="AW65" s="31" t="n">
        <v>120000000000</v>
      </c>
      <c r="AX65" s="30" t="inlineStr">
        <is>
          <t>LARGE CORP</t>
        </is>
      </c>
      <c r="AY65" s="30" t="inlineStr">
        <is>
          <t>00000000</t>
        </is>
      </c>
      <c r="AZ65" s="30" t="n">
        <v>1</v>
      </c>
      <c r="BA65" s="30" t="inlineStr">
        <is>
          <t>LIKELY_FINANCIAL_BY_NAME PARTIAL_DOC_CLASS_III_RECONCILED ROWS:p10r3</t>
        </is>
      </c>
    </row>
    <row r="66">
      <c r="A66" s="16" t="inlineStr">
        <is>
          <t>FARM TECH IBBA I FIDC</t>
        </is>
      </c>
      <c r="B66" s="17" t="n">
        <v>5767665.6</v>
      </c>
      <c r="C66" s="18" t="inlineStr">
        <is>
          <t>SOJAL COMERCIAL AGRICOLA LTDA e OUTROS</t>
        </is>
      </c>
      <c r="D66" s="19" t="inlineStr">
        <is>
          <t>NEW</t>
        </is>
      </c>
      <c r="E66" s="20" t="inlineStr"/>
      <c r="F66" s="19" t="inlineStr"/>
      <c r="G66" s="20" t="inlineStr"/>
      <c r="H66" s="19" t="inlineStr"/>
      <c r="I66" s="21" t="inlineStr">
        <is>
          <t>Mariana Dotta</t>
        </is>
      </c>
      <c r="J66" s="21" t="inlineStr">
        <is>
          <t>Gerente de Crédito Médias e Grandes Empresas | Itaú BBA</t>
        </is>
      </c>
      <c r="K66" s="21" t="inlineStr"/>
      <c r="L66" s="21" t="inlineStr"/>
      <c r="M66" s="21" t="inlineStr"/>
      <c r="N66" s="21" t="inlineStr">
        <is>
          <t>mariana.dotta@itau.com.br</t>
        </is>
      </c>
      <c r="O66" s="21" t="inlineStr"/>
      <c r="P66" s="21" t="inlineStr">
        <is>
          <t>Flavia Rebelo</t>
        </is>
      </c>
      <c r="Q66" s="21" t="inlineStr">
        <is>
          <t>Analista de Crédito Senior Itaú BBA</t>
        </is>
      </c>
      <c r="R66" s="21" t="inlineStr"/>
      <c r="S66" s="21" t="inlineStr"/>
      <c r="T66" s="21" t="inlineStr">
        <is>
          <t>email verified by Apollo</t>
        </is>
      </c>
      <c r="U66" s="22" t="n">
        <v>5767665.6</v>
      </c>
      <c r="V66" s="23" t="inlineStr">
        <is>
          <t>B</t>
        </is>
      </c>
      <c r="W66" s="24">
        <f>IFERROR(VLOOKUP(V66,Assumptions!$A$7:$F$11,2,FALSE),0)</f>
        <v/>
      </c>
      <c r="X66" s="25">
        <f>IF(V66="A",MAX(1,IFERROR(VLOOKUP(V66,Assumptions!$A$7:$F$11,3,FALSE),3)+IFERROR(VLOOKUP(V66,Assumptions!$A$7:$F$11,4,FALSE),8)/2-MAX(0,IF(AO66="",0,YEAR(TODAY())-AO66)-IFERROR(VLOOKUP(V66,Assumptions!$A$7:$F$11,5,FALSE),1.5))),IFERROR(VLOOKUP(V66,Assumptions!$A$7:$F$11,5,FALSE),2.5)+IFERROR(VLOOKUP(V66,Assumptions!$A$7:$F$11,3,FALSE),3)+IFERROR(VLOOKUP(V66,Assumptions!$A$7:$F$11,4,FALSE),8)/2)</f>
        <v/>
      </c>
      <c r="Y66" s="22">
        <f>U66*W66/(1+Assumptions!$B$3)^X66</f>
        <v/>
      </c>
      <c r="Z66" s="26">
        <f>IF(U66=0,"",ROUND(Y66/U66*100,1))</f>
        <v/>
      </c>
      <c r="AA66" s="27">
        <f>Y66*Assumptions!$B$4</f>
        <v/>
      </c>
      <c r="AB66" s="26">
        <f>IF(U66=0,"",ROUND(AA66/U66*100,1))</f>
        <v/>
      </c>
      <c r="AC66" s="27">
        <f>Y66-AA66</f>
        <v/>
      </c>
      <c r="AD66" s="26">
        <f>IF(U66=0,"",ROUND((Y66-AA66)/U66*100,1))</f>
        <v/>
      </c>
      <c r="AE66" s="28" t="inlineStr">
        <is>
          <t>OK — totals reconciled</t>
        </is>
      </c>
      <c r="AF66" s="29" t="inlineStr">
        <is>
          <t>https://lrflideres.com.br/wp-content/plugins/download-attachments/includes/download.php?id=6879</t>
        </is>
      </c>
      <c r="AG66" s="28" t="inlineStr">
        <is>
          <t>p1 r13</t>
        </is>
      </c>
      <c r="AH66" s="28" t="inlineStr">
        <is>
          <t>p1: R$ 5.767.665,60</t>
        </is>
      </c>
      <c r="AI66" s="28" t="inlineStr">
        <is>
          <t>AJ list (art. 7 §2)</t>
        </is>
      </c>
      <c r="AJ66" s="28" t="inlineStr">
        <is>
          <t>2026-01-15</t>
        </is>
      </c>
      <c r="AK66" s="28" t="inlineStr">
        <is>
          <t>NONE FOUND</t>
        </is>
      </c>
      <c r="AL66" s="30" t="inlineStr">
        <is>
          <t>0804401-51.2025.8.14.0039</t>
        </is>
      </c>
      <c r="AM66" s="30" t="inlineStr">
        <is>
          <t>TJPA</t>
        </is>
      </c>
      <c r="AN66" s="30" t="inlineStr">
        <is>
          <t>ACTIVE</t>
        </is>
      </c>
      <c r="AO66" s="30" t="n">
        <v>2025</v>
      </c>
      <c r="AP66" s="30" t="inlineStr">
        <is>
          <t>live case, no plan document yet</t>
        </is>
      </c>
      <c r="AQ66" s="30" t="inlineStr">
        <is>
          <t>15.626.673/0003-90</t>
        </is>
      </c>
      <c r="AR66" s="30" t="inlineStr">
        <is>
          <t>printed on the list (read twice)</t>
        </is>
      </c>
      <c r="AS66" s="30" t="inlineStr"/>
      <c r="AT66" s="30" t="inlineStr"/>
      <c r="AU66" s="30" t="inlineStr"/>
      <c r="AV66" s="30" t="inlineStr"/>
      <c r="AW66" s="31" t="inlineStr"/>
      <c r="AX66" s="30" t="inlineStr">
        <is>
          <t>MID-MARKET</t>
        </is>
      </c>
      <c r="AY66" s="30" t="inlineStr">
        <is>
          <t>47151680</t>
        </is>
      </c>
      <c r="AZ66" s="30" t="n">
        <v>1</v>
      </c>
      <c r="BA66" s="30" t="inlineStr">
        <is>
          <t>LIKELY_FINANCIAL_BY_NAME MULTI_ROOT ROWS:p1r13</t>
        </is>
      </c>
    </row>
    <row r="67">
      <c r="A67" s="16" t="inlineStr">
        <is>
          <t>BANCO SANTANDER (BRASIL) S.A.</t>
        </is>
      </c>
      <c r="B67" s="17" t="n">
        <v>5767145.07</v>
      </c>
      <c r="C67" s="18" t="inlineStr">
        <is>
          <t>Cerealista Safrasul Ltda</t>
        </is>
      </c>
      <c r="D67" s="19" t="inlineStr">
        <is>
          <t>NEW</t>
        </is>
      </c>
      <c r="E67" s="20" t="inlineStr"/>
      <c r="F67" s="19" t="inlineStr"/>
      <c r="G67" s="20" t="inlineStr"/>
      <c r="H67" s="19" t="inlineStr"/>
      <c r="I67" s="21" t="inlineStr">
        <is>
          <t>Igor Puertas</t>
        </is>
      </c>
      <c r="J67" s="21" t="inlineStr">
        <is>
          <t>Distressed Assets | NPL</t>
        </is>
      </c>
      <c r="K67" s="21" t="inlineStr">
        <is>
          <t>(11) 4004-3535</t>
        </is>
      </c>
      <c r="L67" s="21" t="inlineStr"/>
      <c r="M67" s="21" t="inlineStr"/>
      <c r="N67" s="21" t="inlineStr">
        <is>
          <t>igor.puertas@santander.com.br</t>
        </is>
      </c>
      <c r="O67" s="21" t="inlineStr">
        <is>
          <t>antonio.pequeno.junior@santander.com.br</t>
        </is>
      </c>
      <c r="P67" s="21" t="inlineStr">
        <is>
          <t>Antonio Junior</t>
        </is>
      </c>
      <c r="Q67" s="21" t="inlineStr">
        <is>
          <t>Superintendente Recuperação de Crédito</t>
        </is>
      </c>
      <c r="R67" s="21" t="inlineStr"/>
      <c r="S67" s="21" t="inlineStr">
        <is>
          <t>antonio.pequeno.junior@santander.com.br</t>
        </is>
      </c>
      <c r="T67" s="21" t="inlineStr">
        <is>
          <t>email verified by Apollo</t>
        </is>
      </c>
      <c r="U67" s="22" t="n">
        <v>5767145.07</v>
      </c>
      <c r="V67" s="23" t="inlineStr">
        <is>
          <t>B</t>
        </is>
      </c>
      <c r="W67" s="24">
        <f>IFERROR(VLOOKUP(V67,Assumptions!$A$7:$F$11,2,FALSE),0)</f>
        <v/>
      </c>
      <c r="X67" s="25">
        <f>IF(V67="A",MAX(1,IFERROR(VLOOKUP(V67,Assumptions!$A$7:$F$11,3,FALSE),3)+IFERROR(VLOOKUP(V67,Assumptions!$A$7:$F$11,4,FALSE),8)/2-MAX(0,IF(AO67="",0,YEAR(TODAY())-AO67)-IFERROR(VLOOKUP(V67,Assumptions!$A$7:$F$11,5,FALSE),1.5))),IFERROR(VLOOKUP(V67,Assumptions!$A$7:$F$11,5,FALSE),2.5)+IFERROR(VLOOKUP(V67,Assumptions!$A$7:$F$11,3,FALSE),3)+IFERROR(VLOOKUP(V67,Assumptions!$A$7:$F$11,4,FALSE),8)/2)</f>
        <v/>
      </c>
      <c r="Y67" s="22">
        <f>U67*W67/(1+Assumptions!$B$3)^X67</f>
        <v/>
      </c>
      <c r="Z67" s="26">
        <f>IF(U67=0,"",ROUND(Y67/U67*100,1))</f>
        <v/>
      </c>
      <c r="AA67" s="27">
        <f>Y67*Assumptions!$B$4</f>
        <v/>
      </c>
      <c r="AB67" s="26">
        <f>IF(U67=0,"",ROUND(AA67/U67*100,1))</f>
        <v/>
      </c>
      <c r="AC67" s="27">
        <f>Y67-AA67</f>
        <v/>
      </c>
      <c r="AD67" s="26">
        <f>IF(U67=0,"",ROUND((Y67-AA67)/U67*100,1))</f>
        <v/>
      </c>
      <c r="AE67" s="33" t="inlineStr">
        <is>
          <t>NO TOTALS — list prints none; check page</t>
        </is>
      </c>
      <c r="AF67" s="29" t="inlineStr">
        <is>
          <t>https://ajruiz.com.br/sites/default/files/public/arquivos-processos/2026-01/safrasul_relacao_de_credores_recuperanda.pdf</t>
        </is>
      </c>
      <c r="AG67" s="28" t="inlineStr">
        <is>
          <t>p8 r25; p8 r26; p8 r27; p8 r28; p8 r29; p8 r30</t>
        </is>
      </c>
      <c r="AH67" s="28" t="inlineStr">
        <is>
          <t>p8: R$ 2.243.930,13; p8: R$ 2.083.333,35; p8: R$ 489.881,59; p8: R$ 200.000,00; p8: R$ 500.000,00; p8: R$ 250.000,00</t>
        </is>
      </c>
      <c r="AI67" s="28" t="inlineStr">
        <is>
          <t>AJ list (art. 7 §2)</t>
        </is>
      </c>
      <c r="AJ67" s="28" t="inlineStr">
        <is>
          <t>2026-01-14</t>
        </is>
      </c>
      <c r="AK67" s="28" t="inlineStr">
        <is>
          <t>NONE FOUND</t>
        </is>
      </c>
      <c r="AL67" s="30" t="inlineStr">
        <is>
          <t>4000167-23.2025.8.26.0373</t>
        </is>
      </c>
      <c r="AM67" s="30" t="inlineStr">
        <is>
          <t>TJSP</t>
        </is>
      </c>
      <c r="AN67" s="30" t="inlineStr">
        <is>
          <t>ACTIVE</t>
        </is>
      </c>
      <c r="AO67" s="30" t="n">
        <v>2025</v>
      </c>
      <c r="AP67" s="30" t="inlineStr">
        <is>
          <t>live case, no plan document yet</t>
        </is>
      </c>
      <c r="AQ67" s="30" t="inlineStr"/>
      <c r="AR67" s="30" t="inlineStr">
        <is>
          <t>printed on the list (read twice)</t>
        </is>
      </c>
      <c r="AS67" s="30" t="inlineStr">
        <is>
          <t>SAO PAULO</t>
        </is>
      </c>
      <c r="AT67" s="30" t="inlineStr">
        <is>
          <t>SP</t>
        </is>
      </c>
      <c r="AU67" s="30" t="inlineStr">
        <is>
          <t>Bancos múltiplos, com carteira comercial</t>
        </is>
      </c>
      <c r="AV67" s="30" t="inlineStr">
        <is>
          <t>DEMAIS</t>
        </is>
      </c>
      <c r="AW67" s="31" t="n">
        <v>65000000000</v>
      </c>
      <c r="AX67" s="30" t="inlineStr">
        <is>
          <t>LARGE CORP</t>
        </is>
      </c>
      <c r="AY67" s="30" t="inlineStr">
        <is>
          <t>90400888</t>
        </is>
      </c>
      <c r="AZ67" s="30" t="n">
        <v>6</v>
      </c>
      <c r="BA67" s="30" t="inlineStr">
        <is>
          <t>LIKELY_FINANCIAL_BY_NAME ROWS:p8r25,p8r26,p8r27,p8r28,p8r29,p8r30 UNRECONCILED_SOURCE</t>
        </is>
      </c>
    </row>
    <row r="68">
      <c r="A68" s="16" t="inlineStr">
        <is>
          <t>BANCO SOFISA S.A.</t>
        </is>
      </c>
      <c r="B68" s="17" t="n">
        <v>5733764.93</v>
      </c>
      <c r="C68" s="18" t="inlineStr">
        <is>
          <t>Grupo Conduscabos</t>
        </is>
      </c>
      <c r="D68" s="19" t="inlineStr">
        <is>
          <t>NEW</t>
        </is>
      </c>
      <c r="E68" s="20" t="inlineStr"/>
      <c r="F68" s="19" t="inlineStr"/>
      <c r="G68" s="20" t="inlineStr"/>
      <c r="H68" s="19" t="inlineStr"/>
      <c r="I68" s="21" t="inlineStr">
        <is>
          <t>Tiago Hendo</t>
        </is>
      </c>
      <c r="J68" s="21" t="inlineStr">
        <is>
          <t>Gerente de Reestruturação de Crédito</t>
        </is>
      </c>
      <c r="K68" s="21" t="inlineStr">
        <is>
          <t>(11) 3176-5500</t>
        </is>
      </c>
      <c r="L68" s="21" t="inlineStr"/>
      <c r="M68" s="21" t="inlineStr"/>
      <c r="N68" s="21" t="inlineStr"/>
      <c r="O68" s="21" t="inlineStr">
        <is>
          <t>rnurnberg@sofisa.com.br</t>
        </is>
      </c>
      <c r="P68" s="21" t="inlineStr">
        <is>
          <t>Rafael Nurnberg</t>
        </is>
      </c>
      <c r="Q68" s="21" t="inlineStr">
        <is>
          <t>Superintendente Executivo de Crédito e Cobrança Varejo (PF e PJ)</t>
        </is>
      </c>
      <c r="R68" s="21" t="inlineStr"/>
      <c r="S68" s="21" t="inlineStr">
        <is>
          <t>rnurnberg@sofisa.com.br</t>
        </is>
      </c>
      <c r="T68" s="21" t="inlineStr">
        <is>
          <t>no work email found in Apollo</t>
        </is>
      </c>
      <c r="U68" s="22" t="n">
        <v>5733764.93</v>
      </c>
      <c r="V68" s="23" t="inlineStr">
        <is>
          <t>B</t>
        </is>
      </c>
      <c r="W68" s="24">
        <f>IFERROR(VLOOKUP(V68,Assumptions!$A$7:$F$11,2,FALSE),0)</f>
        <v/>
      </c>
      <c r="X68" s="25">
        <f>IF(V68="A",MAX(1,IFERROR(VLOOKUP(V68,Assumptions!$A$7:$F$11,3,FALSE),3)+IFERROR(VLOOKUP(V68,Assumptions!$A$7:$F$11,4,FALSE),8)/2-MAX(0,IF(AO68="",0,YEAR(TODAY())-AO68)-IFERROR(VLOOKUP(V68,Assumptions!$A$7:$F$11,5,FALSE),1.5))),IFERROR(VLOOKUP(V68,Assumptions!$A$7:$F$11,5,FALSE),2.5)+IFERROR(VLOOKUP(V68,Assumptions!$A$7:$F$11,3,FALSE),3)+IFERROR(VLOOKUP(V68,Assumptions!$A$7:$F$11,4,FALSE),8)/2)</f>
        <v/>
      </c>
      <c r="Y68" s="22">
        <f>U68*W68/(1+Assumptions!$B$3)^X68</f>
        <v/>
      </c>
      <c r="Z68" s="26">
        <f>IF(U68=0,"",ROUND(Y68/U68*100,1))</f>
        <v/>
      </c>
      <c r="AA68" s="27">
        <f>Y68*Assumptions!$B$4</f>
        <v/>
      </c>
      <c r="AB68" s="26">
        <f>IF(U68=0,"",ROUND(AA68/U68*100,1))</f>
        <v/>
      </c>
      <c r="AC68" s="27">
        <f>Y68-AA68</f>
        <v/>
      </c>
      <c r="AD68" s="26">
        <f>IF(U68=0,"",ROUND((Y68-AA68)/U68*100,1))</f>
        <v/>
      </c>
      <c r="AE68" s="33" t="inlineStr">
        <is>
          <t>NO TOTALS — list prints none; check page</t>
        </is>
      </c>
      <c r="AF68" s="29" t="inlineStr">
        <is>
          <t>https://assistjud.com.br/wp-content/uploads/elementor/forms/65098c80a5824.pdf</t>
        </is>
      </c>
      <c r="AG68" s="28" t="inlineStr">
        <is>
          <t>p5 r13</t>
        </is>
      </c>
      <c r="AH68" s="28" t="inlineStr">
        <is>
          <t>p5: R$ 5.733.764,93</t>
        </is>
      </c>
      <c r="AI68" s="28" t="inlineStr">
        <is>
          <t>AJ list (art. 7 §2)</t>
        </is>
      </c>
      <c r="AJ68" s="28" t="inlineStr">
        <is>
          <t>2023-09-18</t>
        </is>
      </c>
      <c r="AK68" s="28" t="inlineStr">
        <is>
          <t>NONE FOUND</t>
        </is>
      </c>
      <c r="AL68" s="30" t="inlineStr">
        <is>
          <t>8005129-09.2023.8.05.0039</t>
        </is>
      </c>
      <c r="AM68" s="30" t="inlineStr">
        <is>
          <t>TJBA</t>
        </is>
      </c>
      <c r="AN68" s="30" t="inlineStr">
        <is>
          <t>ACTIVE</t>
        </is>
      </c>
      <c r="AO68" s="30" t="n">
        <v>2023</v>
      </c>
      <c r="AP68" s="30" t="inlineStr">
        <is>
          <t>live case, no plan document yet</t>
        </is>
      </c>
      <c r="AQ68" s="30" t="inlineStr"/>
      <c r="AR68" s="30" t="inlineStr">
        <is>
          <t>printed on the list (read twice)</t>
        </is>
      </c>
      <c r="AS68" s="30" t="inlineStr">
        <is>
          <t>SAO PAULO</t>
        </is>
      </c>
      <c r="AT68" s="30" t="inlineStr">
        <is>
          <t>SP</t>
        </is>
      </c>
      <c r="AU68" s="30" t="inlineStr">
        <is>
          <t>Bancos múltiplos, com carteira comercial</t>
        </is>
      </c>
      <c r="AV68" s="30" t="inlineStr">
        <is>
          <t>DEMAIS</t>
        </is>
      </c>
      <c r="AW68" s="31" t="n">
        <v>1021700100</v>
      </c>
      <c r="AX68" s="30" t="inlineStr">
        <is>
          <t>LARGE CORP</t>
        </is>
      </c>
      <c r="AY68" s="30" t="inlineStr">
        <is>
          <t>60889128</t>
        </is>
      </c>
      <c r="AZ68" s="30" t="n">
        <v>1</v>
      </c>
      <c r="BA68" s="30" t="inlineStr">
        <is>
          <t>LIKELY_FINANCIAL_BY_NAME ROWS:p5r13 UNRECONCILED_SOURCE VALUE_COL:Valor_Do_Crédito_2º_Edital_De_Credores</t>
        </is>
      </c>
    </row>
    <row r="69">
      <c r="A69" s="16" t="inlineStr">
        <is>
          <t>BANCO BRADESCO S.A.</t>
        </is>
      </c>
      <c r="B69" s="17" t="n">
        <v>5470219.17</v>
      </c>
      <c r="C69" s="18" t="inlineStr">
        <is>
          <t>GRUPO ADLIM</t>
        </is>
      </c>
      <c r="D69" s="19" t="inlineStr">
        <is>
          <t>NEW</t>
        </is>
      </c>
      <c r="E69" s="20" t="inlineStr"/>
      <c r="F69" s="19" t="inlineStr"/>
      <c r="G69" s="20" t="inlineStr"/>
      <c r="H69" s="19" t="inlineStr"/>
      <c r="I69" s="21" t="inlineStr">
        <is>
          <t>Marcela Martins</t>
        </is>
      </c>
      <c r="J69" s="21" t="inlineStr">
        <is>
          <t>Superintendente de Recuperação de Crédito - Canais e Operações</t>
        </is>
      </c>
      <c r="K69" s="21" t="inlineStr">
        <is>
          <t>(11) 3684-5122</t>
        </is>
      </c>
      <c r="L69" s="21" t="inlineStr"/>
      <c r="M69" s="21" t="inlineStr"/>
      <c r="N69" s="21" t="inlineStr"/>
      <c r="O69" s="21" t="inlineStr">
        <is>
          <t>sl@bradesco.com.br</t>
        </is>
      </c>
      <c r="P69" s="21" t="inlineStr">
        <is>
          <t>Luis S</t>
        </is>
      </c>
      <c r="Q69" s="21" t="inlineStr">
        <is>
          <t>DRC - Departamento de Recuperação de Crédito - Gerente de Reestruturação de Crédito</t>
        </is>
      </c>
      <c r="R69" s="21" t="inlineStr"/>
      <c r="S69" s="21" t="inlineStr">
        <is>
          <t>sl@bradesco.com.br</t>
        </is>
      </c>
      <c r="T69" s="21" t="inlineStr">
        <is>
          <t>no work email found in Apollo</t>
        </is>
      </c>
      <c r="U69" s="22" t="n">
        <v>5470219.17</v>
      </c>
      <c r="V69" s="23" t="inlineStr">
        <is>
          <t>B</t>
        </is>
      </c>
      <c r="W69" s="24">
        <f>IFERROR(VLOOKUP(V69,Assumptions!$A$7:$F$11,2,FALSE),0)</f>
        <v/>
      </c>
      <c r="X69" s="25">
        <f>IF(V69="A",MAX(1,IFERROR(VLOOKUP(V69,Assumptions!$A$7:$F$11,3,FALSE),3)+IFERROR(VLOOKUP(V69,Assumptions!$A$7:$F$11,4,FALSE),8)/2-MAX(0,IF(AO69="",0,YEAR(TODAY())-AO69)-IFERROR(VLOOKUP(V69,Assumptions!$A$7:$F$11,5,FALSE),1.5))),IFERROR(VLOOKUP(V69,Assumptions!$A$7:$F$11,5,FALSE),2.5)+IFERROR(VLOOKUP(V69,Assumptions!$A$7:$F$11,3,FALSE),3)+IFERROR(VLOOKUP(V69,Assumptions!$A$7:$F$11,4,FALSE),8)/2)</f>
        <v/>
      </c>
      <c r="Y69" s="22">
        <f>U69*W69/(1+Assumptions!$B$3)^X69</f>
        <v/>
      </c>
      <c r="Z69" s="26">
        <f>IF(U69=0,"",ROUND(Y69/U69*100,1))</f>
        <v/>
      </c>
      <c r="AA69" s="27">
        <f>Y69*Assumptions!$B$4</f>
        <v/>
      </c>
      <c r="AB69" s="26">
        <f>IF(U69=0,"",ROUND(AA69/U69*100,1))</f>
        <v/>
      </c>
      <c r="AC69" s="27">
        <f>Y69-AA69</f>
        <v/>
      </c>
      <c r="AD69" s="26">
        <f>IF(U69=0,"",ROUND((Y69-AA69)/U69*100,1))</f>
        <v/>
      </c>
      <c r="AE69" s="34" t="inlineStr">
        <is>
          <t>PARTIAL — class III reconciled, other classes not</t>
        </is>
      </c>
      <c r="AF69" s="29" t="inlineStr">
        <is>
          <t>https://lrflideres.com.br/wp-content/plugins/download-attachments/includes/download.php?id=6051</t>
        </is>
      </c>
      <c r="AG69" s="28" t="inlineStr">
        <is>
          <t>p66 r68; p97 r20</t>
        </is>
      </c>
      <c r="AH69" s="28" t="inlineStr">
        <is>
          <t>p66: R$ 3928863,43; p97: R$ 1541355,74</t>
        </is>
      </c>
      <c r="AI69" s="28" t="inlineStr">
        <is>
          <t>AJ list (art. 7 §2)</t>
        </is>
      </c>
      <c r="AJ69" s="28" t="inlineStr">
        <is>
          <t>2024-08-12</t>
        </is>
      </c>
      <c r="AK69" s="28" t="inlineStr">
        <is>
          <t>NONE FOUND</t>
        </is>
      </c>
      <c r="AL69" s="30" t="inlineStr">
        <is>
          <t>0019761-43.2024.8.17.2001</t>
        </is>
      </c>
      <c r="AM69" s="30" t="inlineStr">
        <is>
          <t>TJPE</t>
        </is>
      </c>
      <c r="AN69" s="30" t="inlineStr">
        <is>
          <t>ACTIVE</t>
        </is>
      </c>
      <c r="AO69" s="30" t="n">
        <v>2024</v>
      </c>
      <c r="AP69" s="30" t="inlineStr">
        <is>
          <t>live case, no plan document yet</t>
        </is>
      </c>
      <c r="AQ69" s="30" t="inlineStr"/>
      <c r="AR69" s="30" t="inlineStr">
        <is>
          <t>printed on the list (read twice)</t>
        </is>
      </c>
      <c r="AS69" s="30" t="inlineStr">
        <is>
          <t>OSASCO</t>
        </is>
      </c>
      <c r="AT69" s="30" t="inlineStr">
        <is>
          <t>SP</t>
        </is>
      </c>
      <c r="AU69" s="30" t="inlineStr">
        <is>
          <t>Bancos múltiplos, com carteira comercial</t>
        </is>
      </c>
      <c r="AV69" s="30" t="inlineStr">
        <is>
          <t>DEMAIS</t>
        </is>
      </c>
      <c r="AW69" s="31" t="n">
        <v>93770000000</v>
      </c>
      <c r="AX69" s="30" t="inlineStr">
        <is>
          <t>LARGE CORP</t>
        </is>
      </c>
      <c r="AY69" s="30" t="inlineStr">
        <is>
          <t>60746948</t>
        </is>
      </c>
      <c r="AZ69" s="30" t="n">
        <v>2</v>
      </c>
      <c r="BA69" s="30" t="inlineStr">
        <is>
          <t>LIKELY_FINANCIAL_BY_NAME PARTIAL_DOC_CLASS_III_RECONCILED ROWS:p66r68,p97r20</t>
        </is>
      </c>
    </row>
    <row r="70">
      <c r="A70" s="16" t="inlineStr">
        <is>
          <t>BANCO DO NORDESTE DO BRASIL SA</t>
        </is>
      </c>
      <c r="B70" s="17" t="n">
        <v>5413142.01</v>
      </c>
      <c r="C70" s="18" t="inlineStr">
        <is>
          <t>Grupo Arruda (ARRUDA &amp; MELO REPRESENTACAO DE ALIMENTOS E BEBIDAS LTDA, ARRUDA &amp; MELO COMERCIO E DISTRIBUICAO DE ALIMENTOS E BEBIDAS LTDA, ARRUDA &amp; MELO COMERCIO E DISTRIBUICAO DE ALIMENTOS E BEBIDAS DA BAHIA LTDA)</t>
        </is>
      </c>
      <c r="D70" s="19" t="inlineStr">
        <is>
          <t>NEW</t>
        </is>
      </c>
      <c r="E70" s="20" t="inlineStr"/>
      <c r="F70" s="19" t="inlineStr"/>
      <c r="G70" s="20" t="inlineStr"/>
      <c r="H70" s="19" t="inlineStr"/>
      <c r="I70" s="21" t="inlineStr">
        <is>
          <t>Layslan Medeiros</t>
        </is>
      </c>
      <c r="J70" s="21" t="inlineStr">
        <is>
          <t>Gerente Executivo Operacional e de Recuperação de Crédito</t>
        </is>
      </c>
      <c r="K70" s="21" t="inlineStr">
        <is>
          <t>(85) 3299-3000</t>
        </is>
      </c>
      <c r="L70" s="21" t="inlineStr"/>
      <c r="M70" s="21" t="inlineStr"/>
      <c r="N70" s="21" t="inlineStr"/>
      <c r="O70" s="21" t="inlineStr">
        <is>
          <t>alexsander@bnb.gov.br</t>
        </is>
      </c>
      <c r="P70" s="21" t="inlineStr">
        <is>
          <t>Alexsander Farias</t>
        </is>
      </c>
      <c r="Q70" s="21" t="inlineStr">
        <is>
          <t>Gerente de Recuperação de Crédito</t>
        </is>
      </c>
      <c r="R70" s="21" t="inlineStr"/>
      <c r="S70" s="21" t="inlineStr">
        <is>
          <t>alexsander@bnb.gov.br</t>
        </is>
      </c>
      <c r="T70" s="21" t="inlineStr">
        <is>
          <t>no work email found in Apollo</t>
        </is>
      </c>
      <c r="U70" s="22" t="n">
        <v>5413142.01</v>
      </c>
      <c r="V70" s="23" t="inlineStr">
        <is>
          <t>B</t>
        </is>
      </c>
      <c r="W70" s="24">
        <f>IFERROR(VLOOKUP(V70,Assumptions!$A$7:$F$11,2,FALSE),0)</f>
        <v/>
      </c>
      <c r="X70" s="25">
        <f>IF(V70="A",MAX(1,IFERROR(VLOOKUP(V70,Assumptions!$A$7:$F$11,3,FALSE),3)+IFERROR(VLOOKUP(V70,Assumptions!$A$7:$F$11,4,FALSE),8)/2-MAX(0,IF(AO70="",0,YEAR(TODAY())-AO70)-IFERROR(VLOOKUP(V70,Assumptions!$A$7:$F$11,5,FALSE),1.5))),IFERROR(VLOOKUP(V70,Assumptions!$A$7:$F$11,5,FALSE),2.5)+IFERROR(VLOOKUP(V70,Assumptions!$A$7:$F$11,3,FALSE),3)+IFERROR(VLOOKUP(V70,Assumptions!$A$7:$F$11,4,FALSE),8)/2)</f>
        <v/>
      </c>
      <c r="Y70" s="22">
        <f>U70*W70/(1+Assumptions!$B$3)^X70</f>
        <v/>
      </c>
      <c r="Z70" s="26">
        <f>IF(U70=0,"",ROUND(Y70/U70*100,1))</f>
        <v/>
      </c>
      <c r="AA70" s="27">
        <f>Y70*Assumptions!$B$4</f>
        <v/>
      </c>
      <c r="AB70" s="26">
        <f>IF(U70=0,"",ROUND(AA70/U70*100,1))</f>
        <v/>
      </c>
      <c r="AC70" s="27">
        <f>Y70-AA70</f>
        <v/>
      </c>
      <c r="AD70" s="26">
        <f>IF(U70=0,"",ROUND((Y70-AA70)/U70*100,1))</f>
        <v/>
      </c>
      <c r="AE70" s="28" t="inlineStr">
        <is>
          <t>OK — totals reconciled</t>
        </is>
      </c>
      <c r="AF70" s="29" t="inlineStr">
        <is>
          <t>https://diligence.adm.br/wp-content/uploads/2025/06/Edital-1a-Lista-de-Credores.pdf</t>
        </is>
      </c>
      <c r="AG70" s="28" t="inlineStr">
        <is>
          <t>p5 r66</t>
        </is>
      </c>
      <c r="AH70" s="28" t="inlineStr">
        <is>
          <t>p5: R$ 5.413.142,01</t>
        </is>
      </c>
      <c r="AI70" s="28" t="inlineStr">
        <is>
          <t>Debtor list (art. 51)</t>
        </is>
      </c>
      <c r="AJ70" s="28" t="inlineStr">
        <is>
          <t>2025-06-10</t>
        </is>
      </c>
      <c r="AK70" s="28" t="inlineStr">
        <is>
          <t>NONE FOUND</t>
        </is>
      </c>
      <c r="AL70" s="30" t="inlineStr">
        <is>
          <t>0008526-45.2025.8.17.2001</t>
        </is>
      </c>
      <c r="AM70" s="30" t="inlineStr">
        <is>
          <t>TJPE</t>
        </is>
      </c>
      <c r="AN70" s="30" t="inlineStr">
        <is>
          <t>ACTIVE</t>
        </is>
      </c>
      <c r="AO70" s="30" t="n">
        <v>2025</v>
      </c>
      <c r="AP70" s="30" t="inlineStr">
        <is>
          <t>live case, no plan document yet</t>
        </is>
      </c>
      <c r="AQ70" s="30" t="inlineStr"/>
      <c r="AR70" s="30" t="inlineStr">
        <is>
          <t>printed on the list (read twice)</t>
        </is>
      </c>
      <c r="AS70" s="30" t="inlineStr">
        <is>
          <t>FORTALEZA</t>
        </is>
      </c>
      <c r="AT70" s="30" t="inlineStr">
        <is>
          <t>CE</t>
        </is>
      </c>
      <c r="AU70" s="30" t="inlineStr">
        <is>
          <t>Bancos múltiplos, com carteira comercial</t>
        </is>
      </c>
      <c r="AV70" s="30" t="inlineStr">
        <is>
          <t>DEMAIS</t>
        </is>
      </c>
      <c r="AW70" s="31" t="n">
        <v>15139032000</v>
      </c>
      <c r="AX70" s="30" t="inlineStr">
        <is>
          <t>LARGE CORP</t>
        </is>
      </c>
      <c r="AY70" s="30" t="inlineStr">
        <is>
          <t>07237373</t>
        </is>
      </c>
      <c r="AZ70" s="30" t="n">
        <v>1</v>
      </c>
      <c r="BA70" s="30" t="inlineStr">
        <is>
          <t>LIKELY_FINANCIAL_BY_NAME ROWS:p5r66</t>
        </is>
      </c>
    </row>
    <row r="71">
      <c r="A71" s="16" t="inlineStr">
        <is>
          <t>GCD ADMINISTRADORA DE CARTOES DE CREDITO LTDA</t>
        </is>
      </c>
      <c r="B71" s="17" t="n">
        <v>5397872.9</v>
      </c>
      <c r="C71" s="18" t="inlineStr">
        <is>
          <t>GRUPO CATTAN</t>
        </is>
      </c>
      <c r="D71" s="19" t="inlineStr">
        <is>
          <t>NEW</t>
        </is>
      </c>
      <c r="E71" s="20" t="inlineStr"/>
      <c r="F71" s="19" t="inlineStr"/>
      <c r="G71" s="20" t="inlineStr"/>
      <c r="H71" s="19" t="inlineStr"/>
      <c r="I71" s="21" t="inlineStr">
        <is>
          <t>FERNANDO MELO CATAO</t>
        </is>
      </c>
      <c r="J71" s="21" t="inlineStr">
        <is>
          <t>Sócio-Administrador (RFB partner)</t>
        </is>
      </c>
      <c r="K71" s="21" t="inlineStr">
        <is>
          <t>(81) 3032-8400</t>
        </is>
      </c>
      <c r="L71" s="21" t="inlineStr">
        <is>
          <t>(81) 8814-1100</t>
        </is>
      </c>
      <c r="M71" s="21" t="inlineStr"/>
      <c r="N71" s="21" t="inlineStr"/>
      <c r="O71" s="21" t="inlineStr"/>
      <c r="P71" s="21" t="inlineStr"/>
      <c r="Q71" s="21" t="inlineStr"/>
      <c r="R71" s="21" t="inlineStr"/>
      <c r="S71" s="21" t="inlineStr"/>
      <c r="T71" s="21" t="inlineStr">
        <is>
          <t>RFB partner (QSA); no Apollo match</t>
        </is>
      </c>
      <c r="U71" s="22" t="n">
        <v>5397872.9</v>
      </c>
      <c r="V71" s="23" t="inlineStr">
        <is>
          <t>B</t>
        </is>
      </c>
      <c r="W71" s="24">
        <f>IFERROR(VLOOKUP(V71,Assumptions!$A$7:$F$11,2,FALSE),0)</f>
        <v/>
      </c>
      <c r="X71" s="25">
        <f>IF(V71="A",MAX(1,IFERROR(VLOOKUP(V71,Assumptions!$A$7:$F$11,3,FALSE),3)+IFERROR(VLOOKUP(V71,Assumptions!$A$7:$F$11,4,FALSE),8)/2-MAX(0,IF(AO71="",0,YEAR(TODAY())-AO71)-IFERROR(VLOOKUP(V71,Assumptions!$A$7:$F$11,5,FALSE),1.5))),IFERROR(VLOOKUP(V71,Assumptions!$A$7:$F$11,5,FALSE),2.5)+IFERROR(VLOOKUP(V71,Assumptions!$A$7:$F$11,3,FALSE),3)+IFERROR(VLOOKUP(V71,Assumptions!$A$7:$F$11,4,FALSE),8)/2)</f>
        <v/>
      </c>
      <c r="Y71" s="22">
        <f>U71*W71/(1+Assumptions!$B$3)^X71</f>
        <v/>
      </c>
      <c r="Z71" s="26">
        <f>IF(U71=0,"",ROUND(Y71/U71*100,1))</f>
        <v/>
      </c>
      <c r="AA71" s="27">
        <f>Y71*Assumptions!$B$4</f>
        <v/>
      </c>
      <c r="AB71" s="26">
        <f>IF(U71=0,"",ROUND(AA71/U71*100,1))</f>
        <v/>
      </c>
      <c r="AC71" s="27">
        <f>Y71-AA71</f>
        <v/>
      </c>
      <c r="AD71" s="26">
        <f>IF(U71=0,"",ROUND((Y71-AA71)/U71*100,1))</f>
        <v/>
      </c>
      <c r="AE71" s="34" t="inlineStr">
        <is>
          <t>PARTIAL — class III reconciled, other classes not</t>
        </is>
      </c>
      <c r="AF71" s="29" t="inlineStr">
        <is>
          <t>https://lrflideres.com.br/wp-content/plugins/download-attachments/includes/download.php?id=4023</t>
        </is>
      </c>
      <c r="AG71" s="28" t="inlineStr">
        <is>
          <t>p4 r73; p7 r97; p9 r71</t>
        </is>
      </c>
      <c r="AH71" s="28" t="inlineStr">
        <is>
          <t>p4: R$ 480.000,00; p7: R$ 4.717.872,90; p9: R$ 200.000,00</t>
        </is>
      </c>
      <c r="AI71" s="28" t="inlineStr">
        <is>
          <t>Debtor list (art. 51)</t>
        </is>
      </c>
      <c r="AJ71" s="28" t="inlineStr"/>
      <c r="AK71" s="28" t="inlineStr">
        <is>
          <t>NONE FOUND</t>
        </is>
      </c>
      <c r="AL71" s="30" t="inlineStr">
        <is>
          <t>0002484-82.2022.8.17.2001</t>
        </is>
      </c>
      <c r="AM71" s="30" t="inlineStr">
        <is>
          <t>TJPE</t>
        </is>
      </c>
      <c r="AN71" s="30" t="inlineStr">
        <is>
          <t>ACTIVE</t>
        </is>
      </c>
      <c r="AO71" s="30" t="n">
        <v>2022</v>
      </c>
      <c r="AP71" s="30" t="inlineStr">
        <is>
          <t>live case, no plan document yet</t>
        </is>
      </c>
      <c r="AQ71" s="30" t="inlineStr"/>
      <c r="AR71" s="30" t="inlineStr">
        <is>
          <t>printed on the list (read twice)</t>
        </is>
      </c>
      <c r="AS71" s="30" t="inlineStr">
        <is>
          <t>RECIFE</t>
        </is>
      </c>
      <c r="AT71" s="30" t="inlineStr">
        <is>
          <t>PE</t>
        </is>
      </c>
      <c r="AU71" s="30" t="inlineStr">
        <is>
          <t>Outras atividades auxiliares dos serviços financeiros não especificadas anteriormente</t>
        </is>
      </c>
      <c r="AV71" s="30" t="inlineStr">
        <is>
          <t>DEMAIS</t>
        </is>
      </c>
      <c r="AW71" s="31" t="n">
        <v>2000000</v>
      </c>
      <c r="AX71" s="30" t="inlineStr">
        <is>
          <t>MID-MARKET</t>
        </is>
      </c>
      <c r="AY71" s="30" t="inlineStr">
        <is>
          <t>32193199</t>
        </is>
      </c>
      <c r="AZ71" s="30" t="n">
        <v>3</v>
      </c>
      <c r="BA71" s="30" t="inlineStr">
        <is>
          <t>PARTIAL_DOC_CLASS_III_RECONCILED ROWS:p4r73,p7r97,p9r71</t>
        </is>
      </c>
    </row>
    <row r="72">
      <c r="A72" s="16" t="inlineStr">
        <is>
          <t>BANCO BOCOM BBM S.A.</t>
        </is>
      </c>
      <c r="B72" s="17" t="n">
        <v>5372374.77</v>
      </c>
      <c r="C72" s="18" t="inlineStr">
        <is>
          <t>GRUPO DP4</t>
        </is>
      </c>
      <c r="D72" s="19" t="inlineStr">
        <is>
          <t>NEW</t>
        </is>
      </c>
      <c r="E72" s="20" t="inlineStr"/>
      <c r="F72" s="19" t="inlineStr"/>
      <c r="G72" s="20" t="inlineStr"/>
      <c r="H72" s="19" t="inlineStr"/>
      <c r="I72" s="21" t="inlineStr">
        <is>
          <t>Rodrigo Caleiro</t>
        </is>
      </c>
      <c r="J72" s="21" t="inlineStr">
        <is>
          <t>Credit Manager | Large Corporate</t>
        </is>
      </c>
      <c r="K72" s="21" t="inlineStr">
        <is>
          <t>(71) 3243-2666</t>
        </is>
      </c>
      <c r="L72" s="21" t="inlineStr"/>
      <c r="M72" s="21" t="inlineStr"/>
      <c r="N72" s="21" t="inlineStr">
        <is>
          <t>rodrigocaleiro@bocombbm.com.br</t>
        </is>
      </c>
      <c r="O72" s="21" t="inlineStr">
        <is>
          <t>thaynafranca@bocombbm.com.br</t>
        </is>
      </c>
      <c r="P72" s="21" t="inlineStr">
        <is>
          <t>Thayna Franca</t>
        </is>
      </c>
      <c r="Q72" s="21" t="inlineStr">
        <is>
          <t>Analista de Controle de Crédito</t>
        </is>
      </c>
      <c r="R72" s="21" t="inlineStr"/>
      <c r="S72" s="21" t="inlineStr">
        <is>
          <t>thaynafranca@bocombbm.com.br</t>
        </is>
      </c>
      <c r="T72" s="21" t="inlineStr">
        <is>
          <t>email verified by Apollo</t>
        </is>
      </c>
      <c r="U72" s="22" t="n">
        <v>5372374.77</v>
      </c>
      <c r="V72" s="23" t="inlineStr">
        <is>
          <t>B</t>
        </is>
      </c>
      <c r="W72" s="24">
        <f>IFERROR(VLOOKUP(V72,Assumptions!$A$7:$F$11,2,FALSE),0)</f>
        <v/>
      </c>
      <c r="X72" s="25">
        <f>IF(V72="A",MAX(1,IFERROR(VLOOKUP(V72,Assumptions!$A$7:$F$11,3,FALSE),3)+IFERROR(VLOOKUP(V72,Assumptions!$A$7:$F$11,4,FALSE),8)/2-MAX(0,IF(AO72="",0,YEAR(TODAY())-AO72)-IFERROR(VLOOKUP(V72,Assumptions!$A$7:$F$11,5,FALSE),1.5))),IFERROR(VLOOKUP(V72,Assumptions!$A$7:$F$11,5,FALSE),2.5)+IFERROR(VLOOKUP(V72,Assumptions!$A$7:$F$11,3,FALSE),3)+IFERROR(VLOOKUP(V72,Assumptions!$A$7:$F$11,4,FALSE),8)/2)</f>
        <v/>
      </c>
      <c r="Y72" s="22">
        <f>U72*W72/(1+Assumptions!$B$3)^X72</f>
        <v/>
      </c>
      <c r="Z72" s="26">
        <f>IF(U72=0,"",ROUND(Y72/U72*100,1))</f>
        <v/>
      </c>
      <c r="AA72" s="27">
        <f>Y72*Assumptions!$B$4</f>
        <v/>
      </c>
      <c r="AB72" s="26">
        <f>IF(U72=0,"",ROUND(AA72/U72*100,1))</f>
        <v/>
      </c>
      <c r="AC72" s="27">
        <f>Y72-AA72</f>
        <v/>
      </c>
      <c r="AD72" s="26">
        <f>IF(U72=0,"",ROUND((Y72-AA72)/U72*100,1))</f>
        <v/>
      </c>
      <c r="AE72" s="34" t="inlineStr">
        <is>
          <t>PARTIAL — class III reconciled, other classes not</t>
        </is>
      </c>
      <c r="AF72" s="29" t="inlineStr">
        <is>
          <t>https://marquesadmjudicial.com.br/sgc/download.php?file=files/processo_documento/processo_documento15293208032024_1_.pdf&amp;nome=Relação Nominal de Credores da AJ-Sintética</t>
        </is>
      </c>
      <c r="AG72" s="28" t="inlineStr">
        <is>
          <t>p20 r6</t>
        </is>
      </c>
      <c r="AH72" s="28" t="inlineStr">
        <is>
          <t>p20: R$ 5.372.374,77</t>
        </is>
      </c>
      <c r="AI72" s="28" t="inlineStr">
        <is>
          <t>AJ list (art. 7 §2)</t>
        </is>
      </c>
      <c r="AJ72" s="28" t="inlineStr">
        <is>
          <t>2023-03-02</t>
        </is>
      </c>
      <c r="AK72" s="28" t="inlineStr">
        <is>
          <t>NONE FOUND</t>
        </is>
      </c>
      <c r="AL72" s="30" t="inlineStr">
        <is>
          <t>0005010-98.2023.8.16.0001</t>
        </is>
      </c>
      <c r="AM72" s="30" t="inlineStr">
        <is>
          <t>TJPR</t>
        </is>
      </c>
      <c r="AN72" s="30" t="inlineStr">
        <is>
          <t>ACTIVE</t>
        </is>
      </c>
      <c r="AO72" s="30" t="n">
        <v>2023</v>
      </c>
      <c r="AP72" s="30" t="inlineStr">
        <is>
          <t>live case, no plan document yet</t>
        </is>
      </c>
      <c r="AQ72" s="30" t="inlineStr"/>
      <c r="AR72" s="30" t="inlineStr">
        <is>
          <t>printed on the list (read twice)</t>
        </is>
      </c>
      <c r="AS72" s="30" t="inlineStr">
        <is>
          <t>SALVADOR</t>
        </is>
      </c>
      <c r="AT72" s="30" t="inlineStr">
        <is>
          <t>BA</t>
        </is>
      </c>
      <c r="AU72" s="30" t="inlineStr">
        <is>
          <t>Bancos múltiplos, com carteira comercial</t>
        </is>
      </c>
      <c r="AV72" s="30" t="inlineStr">
        <is>
          <t>DEMAIS</t>
        </is>
      </c>
      <c r="AW72" s="31" t="n">
        <v>469300380</v>
      </c>
      <c r="AX72" s="30" t="inlineStr">
        <is>
          <t>LARGE CORP</t>
        </is>
      </c>
      <c r="AY72" s="30" t="inlineStr">
        <is>
          <t>15114366</t>
        </is>
      </c>
      <c r="AZ72" s="30" t="n">
        <v>1</v>
      </c>
      <c r="BA72" s="30" t="inlineStr">
        <is>
          <t>LIKELY_FINANCIAL_BY_NAME PARTIAL_DOC_CLASS_III_RECONCILED ROWS:p20r6</t>
        </is>
      </c>
    </row>
    <row r="73">
      <c r="A73" s="16" t="inlineStr">
        <is>
          <t>CAIXA ECONOMICA FEDERAL</t>
        </is>
      </c>
      <c r="B73" s="17" t="n">
        <v>5341268.62</v>
      </c>
      <c r="C73" s="18" t="inlineStr">
        <is>
          <t>GRUPO DIAGSON</t>
        </is>
      </c>
      <c r="D73" s="19" t="inlineStr">
        <is>
          <t>NEW</t>
        </is>
      </c>
      <c r="E73" s="20" t="inlineStr"/>
      <c r="F73" s="19" t="inlineStr"/>
      <c r="G73" s="20" t="inlineStr"/>
      <c r="H73" s="19" t="inlineStr"/>
      <c r="I73" s="21" t="inlineStr">
        <is>
          <t>Livia Serikaku</t>
        </is>
      </c>
      <c r="J73" s="21" t="inlineStr">
        <is>
          <t>Gerente de Clientes e Negócios | Recuperação de Crédito</t>
        </is>
      </c>
      <c r="K73" s="21" t="inlineStr">
        <is>
          <t>(00) 4004-0104</t>
        </is>
      </c>
      <c r="L73" s="21" t="inlineStr"/>
      <c r="M73" s="21" t="inlineStr"/>
      <c r="N73" s="21" t="inlineStr"/>
      <c r="O73" s="21" t="inlineStr"/>
      <c r="P73" s="21" t="inlineStr">
        <is>
          <t>Rodolfo Trevizan</t>
        </is>
      </c>
      <c r="Q73" s="21" t="inlineStr">
        <is>
          <t>Investment Banking | Distressed Assets | Project Finance</t>
        </is>
      </c>
      <c r="R73" s="21" t="inlineStr"/>
      <c r="S73" s="21" t="inlineStr"/>
      <c r="T73" s="21" t="inlineStr">
        <is>
          <t>no work email found in Apollo</t>
        </is>
      </c>
      <c r="U73" s="22" t="n">
        <v>5341268.62</v>
      </c>
      <c r="V73" s="23" t="inlineStr">
        <is>
          <t>B</t>
        </is>
      </c>
      <c r="W73" s="24">
        <f>IFERROR(VLOOKUP(V73,Assumptions!$A$7:$F$11,2,FALSE),0)</f>
        <v/>
      </c>
      <c r="X73" s="25">
        <f>IF(V73="A",MAX(1,IFERROR(VLOOKUP(V73,Assumptions!$A$7:$F$11,3,FALSE),3)+IFERROR(VLOOKUP(V73,Assumptions!$A$7:$F$11,4,FALSE),8)/2-MAX(0,IF(AO73="",0,YEAR(TODAY())-AO73)-IFERROR(VLOOKUP(V73,Assumptions!$A$7:$F$11,5,FALSE),1.5))),IFERROR(VLOOKUP(V73,Assumptions!$A$7:$F$11,5,FALSE),2.5)+IFERROR(VLOOKUP(V73,Assumptions!$A$7:$F$11,3,FALSE),3)+IFERROR(VLOOKUP(V73,Assumptions!$A$7:$F$11,4,FALSE),8)/2)</f>
        <v/>
      </c>
      <c r="Y73" s="22">
        <f>U73*W73/(1+Assumptions!$B$3)^X73</f>
        <v/>
      </c>
      <c r="Z73" s="26">
        <f>IF(U73=0,"",ROUND(Y73/U73*100,1))</f>
        <v/>
      </c>
      <c r="AA73" s="27">
        <f>Y73*Assumptions!$B$4</f>
        <v/>
      </c>
      <c r="AB73" s="26">
        <f>IF(U73=0,"",ROUND(AA73/U73*100,1))</f>
        <v/>
      </c>
      <c r="AC73" s="27">
        <f>Y73-AA73</f>
        <v/>
      </c>
      <c r="AD73" s="26">
        <f>IF(U73=0,"",ROUND((Y73-AA73)/U73*100,1))</f>
        <v/>
      </c>
      <c r="AE73" s="34" t="inlineStr">
        <is>
          <t>PARTIAL — class III reconciled, other classes not</t>
        </is>
      </c>
      <c r="AF73" s="29" t="inlineStr">
        <is>
          <t>https://lrflideres.com.br/wp-content/plugins/download-attachments/includes/download.php?id=7418</t>
        </is>
      </c>
      <c r="AG73" s="28" t="inlineStr">
        <is>
          <t>p2 r44</t>
        </is>
      </c>
      <c r="AH73" s="28" t="inlineStr">
        <is>
          <t>p2: R$ 5.341.268,62</t>
        </is>
      </c>
      <c r="AI73" s="28" t="inlineStr">
        <is>
          <t>Debtor list (art. 51)</t>
        </is>
      </c>
      <c r="AJ73" s="28" t="inlineStr">
        <is>
          <t>2026-07-28</t>
        </is>
      </c>
      <c r="AK73" s="28" t="inlineStr">
        <is>
          <t>NONE FOUND</t>
        </is>
      </c>
      <c r="AL73" s="30" t="inlineStr">
        <is>
          <t>0822279-56.2026.8.15.2001</t>
        </is>
      </c>
      <c r="AM73" s="30" t="inlineStr">
        <is>
          <t>TJPB</t>
        </is>
      </c>
      <c r="AN73" s="30" t="inlineStr">
        <is>
          <t>ACTIVE</t>
        </is>
      </c>
      <c r="AO73" s="30" t="n">
        <v>2026</v>
      </c>
      <c r="AP73" s="30" t="inlineStr">
        <is>
          <t>live case, no plan document yet</t>
        </is>
      </c>
      <c r="AQ73" s="30" t="inlineStr">
        <is>
          <t>00.149.703/0001-86</t>
        </is>
      </c>
      <c r="AR73" s="30" t="inlineStr">
        <is>
          <t>printed on the list (read twice)</t>
        </is>
      </c>
      <c r="AS73" s="30" t="inlineStr">
        <is>
          <t>BRASILIA</t>
        </is>
      </c>
      <c r="AT73" s="30" t="inlineStr">
        <is>
          <t>DF</t>
        </is>
      </c>
      <c r="AU73" s="30" t="inlineStr">
        <is>
          <t>Caixas econômicas</t>
        </is>
      </c>
      <c r="AV73" s="30" t="inlineStr">
        <is>
          <t>DEMAIS</t>
        </is>
      </c>
      <c r="AW73" s="31" t="n">
        <v>105300000000</v>
      </c>
      <c r="AX73" s="30" t="inlineStr">
        <is>
          <t>LARGE CORP</t>
        </is>
      </c>
      <c r="AY73" s="30" t="inlineStr">
        <is>
          <t>00360305</t>
        </is>
      </c>
      <c r="AZ73" s="30" t="n">
        <v>1</v>
      </c>
      <c r="BA73" s="30" t="inlineStr">
        <is>
          <t>LIKELY_FINANCIAL_BY_NAME PARTIAL_DOC_CLASS_III_RECONCILED ROWS:p2r44</t>
        </is>
      </c>
    </row>
    <row r="74">
      <c r="A74" s="16" t="inlineStr">
        <is>
          <t>ITAU UNIBANCO S.A.</t>
        </is>
      </c>
      <c r="B74" s="17" t="n">
        <v>5337705.09</v>
      </c>
      <c r="C74" s="18" t="inlineStr">
        <is>
          <t>Grupo Arruda (ARRUDA &amp; MELO REPRESENTACAO DE ALIMENTOS E BEBIDAS LTDA, ARRUDA &amp; MELO COMERCIO E DISTRIBUICAO DE ALIMENTOS E BEBIDAS LTDA, ARRUDA &amp; MELO COMERCIO E DISTRIBUICAO DE ALIMENTOS E BEBIDAS DA BAHIA LTDA)</t>
        </is>
      </c>
      <c r="D74" s="19" t="inlineStr">
        <is>
          <t>NEW</t>
        </is>
      </c>
      <c r="E74" s="20" t="inlineStr"/>
      <c r="F74" s="19" t="inlineStr"/>
      <c r="G74" s="20" t="inlineStr"/>
      <c r="H74" s="19" t="inlineStr"/>
      <c r="I74" s="21" t="inlineStr">
        <is>
          <t>Murilo Gigliucci</t>
        </is>
      </c>
      <c r="J74" s="21" t="inlineStr">
        <is>
          <t>Superintendente de Reestruturação de Crédito</t>
        </is>
      </c>
      <c r="K74" s="21" t="inlineStr">
        <is>
          <t>(11) 3003-4828</t>
        </is>
      </c>
      <c r="L74" s="21" t="inlineStr"/>
      <c r="M74" s="21" t="inlineStr"/>
      <c r="N74" s="21" t="inlineStr">
        <is>
          <t>murilo.gigliucci@itau-unibanco.com.br</t>
        </is>
      </c>
      <c r="O74" s="21" t="inlineStr">
        <is>
          <t>pedro.ornellas-geronimo@itau-unibanco.com.br</t>
        </is>
      </c>
      <c r="P74" s="21" t="inlineStr">
        <is>
          <t>Pedro Ornellas</t>
        </is>
      </c>
      <c r="Q74" s="21" t="inlineStr">
        <is>
          <t>Superintendente de Recuperação de Crédito</t>
        </is>
      </c>
      <c r="R74" s="21" t="inlineStr"/>
      <c r="S74" s="21" t="inlineStr">
        <is>
          <t>pedro.ornellas-geronimo@itau-unibanco.com.br</t>
        </is>
      </c>
      <c r="T74" s="21" t="inlineStr">
        <is>
          <t>email verified by Apollo</t>
        </is>
      </c>
      <c r="U74" s="22" t="n">
        <v>5337705.09</v>
      </c>
      <c r="V74" s="23" t="inlineStr">
        <is>
          <t>B</t>
        </is>
      </c>
      <c r="W74" s="24">
        <f>IFERROR(VLOOKUP(V74,Assumptions!$A$7:$F$11,2,FALSE),0)</f>
        <v/>
      </c>
      <c r="X74" s="25">
        <f>IF(V74="A",MAX(1,IFERROR(VLOOKUP(V74,Assumptions!$A$7:$F$11,3,FALSE),3)+IFERROR(VLOOKUP(V74,Assumptions!$A$7:$F$11,4,FALSE),8)/2-MAX(0,IF(AO74="",0,YEAR(TODAY())-AO74)-IFERROR(VLOOKUP(V74,Assumptions!$A$7:$F$11,5,FALSE),1.5))),IFERROR(VLOOKUP(V74,Assumptions!$A$7:$F$11,5,FALSE),2.5)+IFERROR(VLOOKUP(V74,Assumptions!$A$7:$F$11,3,FALSE),3)+IFERROR(VLOOKUP(V74,Assumptions!$A$7:$F$11,4,FALSE),8)/2)</f>
        <v/>
      </c>
      <c r="Y74" s="22">
        <f>U74*W74/(1+Assumptions!$B$3)^X74</f>
        <v/>
      </c>
      <c r="Z74" s="26">
        <f>IF(U74=0,"",ROUND(Y74/U74*100,1))</f>
        <v/>
      </c>
      <c r="AA74" s="27">
        <f>Y74*Assumptions!$B$4</f>
        <v/>
      </c>
      <c r="AB74" s="26">
        <f>IF(U74=0,"",ROUND(AA74/U74*100,1))</f>
        <v/>
      </c>
      <c r="AC74" s="27">
        <f>Y74-AA74</f>
        <v/>
      </c>
      <c r="AD74" s="26">
        <f>IF(U74=0,"",ROUND((Y74-AA74)/U74*100,1))</f>
        <v/>
      </c>
      <c r="AE74" s="28" t="inlineStr">
        <is>
          <t>OK — totals reconciled</t>
        </is>
      </c>
      <c r="AF74" s="29" t="inlineStr">
        <is>
          <t>https://diligence.adm.br/wp-content/uploads/2025/06/Edital-1a-Lista-de-Credores.pdf</t>
        </is>
      </c>
      <c r="AG74" s="28" t="inlineStr">
        <is>
          <t>p5 r56</t>
        </is>
      </c>
      <c r="AH74" s="28" t="inlineStr">
        <is>
          <t>p5: R$ 5.337.705,09</t>
        </is>
      </c>
      <c r="AI74" s="28" t="inlineStr">
        <is>
          <t>Debtor list (art. 51)</t>
        </is>
      </c>
      <c r="AJ74" s="28" t="inlineStr">
        <is>
          <t>2025-06-10</t>
        </is>
      </c>
      <c r="AK74" s="28" t="inlineStr">
        <is>
          <t>NONE FOUND</t>
        </is>
      </c>
      <c r="AL74" s="30" t="inlineStr">
        <is>
          <t>0008526-45.2025.8.17.2001</t>
        </is>
      </c>
      <c r="AM74" s="30" t="inlineStr">
        <is>
          <t>TJPE</t>
        </is>
      </c>
      <c r="AN74" s="30" t="inlineStr">
        <is>
          <t>ACTIVE</t>
        </is>
      </c>
      <c r="AO74" s="30" t="n">
        <v>2025</v>
      </c>
      <c r="AP74" s="30" t="inlineStr">
        <is>
          <t>live case, no plan document yet</t>
        </is>
      </c>
      <c r="AQ74" s="30" t="inlineStr"/>
      <c r="AR74" s="30" t="inlineStr">
        <is>
          <t>printed on the list (read twice)</t>
        </is>
      </c>
      <c r="AS74" s="30" t="inlineStr">
        <is>
          <t>SAO PAULO</t>
        </is>
      </c>
      <c r="AT74" s="30" t="inlineStr">
        <is>
          <t>SP</t>
        </is>
      </c>
      <c r="AU74" s="30" t="inlineStr">
        <is>
          <t>Bancos comerciais</t>
        </is>
      </c>
      <c r="AV74" s="30" t="inlineStr">
        <is>
          <t>DEMAIS</t>
        </is>
      </c>
      <c r="AW74" s="31" t="n">
        <v>76200000000</v>
      </c>
      <c r="AX74" s="30" t="inlineStr">
        <is>
          <t>LARGE CORP</t>
        </is>
      </c>
      <c r="AY74" s="30" t="inlineStr">
        <is>
          <t>60701190</t>
        </is>
      </c>
      <c r="AZ74" s="30" t="n">
        <v>1</v>
      </c>
      <c r="BA74" s="30" t="inlineStr">
        <is>
          <t>LIKELY_FINANCIAL_BY_NAME ROWS:p5r56</t>
        </is>
      </c>
    </row>
    <row r="75">
      <c r="A75" s="16" t="inlineStr">
        <is>
          <t>BANCO BRADESCO S.A.</t>
        </is>
      </c>
      <c r="B75" s="17" t="n">
        <v>4951238.73</v>
      </c>
      <c r="C75" s="18" t="inlineStr">
        <is>
          <t>GRUPO ECONÔMICO FAEL (GRUPO FAEL)</t>
        </is>
      </c>
      <c r="D75" s="19" t="inlineStr">
        <is>
          <t>NEW</t>
        </is>
      </c>
      <c r="E75" s="20" t="inlineStr"/>
      <c r="F75" s="19" t="inlineStr"/>
      <c r="G75" s="20" t="inlineStr"/>
      <c r="H75" s="19" t="inlineStr"/>
      <c r="I75" s="21" t="inlineStr">
        <is>
          <t>Marcela Martins</t>
        </is>
      </c>
      <c r="J75" s="21" t="inlineStr">
        <is>
          <t>Superintendente de Recuperação de Crédito - Canais e Operações</t>
        </is>
      </c>
      <c r="K75" s="21" t="inlineStr">
        <is>
          <t>(11) 3684-5122</t>
        </is>
      </c>
      <c r="L75" s="21" t="inlineStr"/>
      <c r="M75" s="21" t="inlineStr"/>
      <c r="N75" s="21" t="inlineStr"/>
      <c r="O75" s="21" t="inlineStr">
        <is>
          <t>sl@bradesco.com.br</t>
        </is>
      </c>
      <c r="P75" s="21" t="inlineStr">
        <is>
          <t>Luis S</t>
        </is>
      </c>
      <c r="Q75" s="21" t="inlineStr">
        <is>
          <t>DRC - Departamento de Recuperação de Crédito - Gerente de Reestruturação de Crédito</t>
        </is>
      </c>
      <c r="R75" s="21" t="inlineStr"/>
      <c r="S75" s="21" t="inlineStr">
        <is>
          <t>sl@bradesco.com.br</t>
        </is>
      </c>
      <c r="T75" s="21" t="inlineStr">
        <is>
          <t>no work email found in Apollo</t>
        </is>
      </c>
      <c r="U75" s="22" t="n">
        <v>4951238.73</v>
      </c>
      <c r="V75" s="23" t="inlineStr">
        <is>
          <t>B</t>
        </is>
      </c>
      <c r="W75" s="24">
        <f>IFERROR(VLOOKUP(V75,Assumptions!$A$7:$F$11,2,FALSE),0)</f>
        <v/>
      </c>
      <c r="X75" s="25">
        <f>IF(V75="A",MAX(1,IFERROR(VLOOKUP(V75,Assumptions!$A$7:$F$11,3,FALSE),3)+IFERROR(VLOOKUP(V75,Assumptions!$A$7:$F$11,4,FALSE),8)/2-MAX(0,IF(AO75="",0,YEAR(TODAY())-AO75)-IFERROR(VLOOKUP(V75,Assumptions!$A$7:$F$11,5,FALSE),1.5))),IFERROR(VLOOKUP(V75,Assumptions!$A$7:$F$11,5,FALSE),2.5)+IFERROR(VLOOKUP(V75,Assumptions!$A$7:$F$11,3,FALSE),3)+IFERROR(VLOOKUP(V75,Assumptions!$A$7:$F$11,4,FALSE),8)/2)</f>
        <v/>
      </c>
      <c r="Y75" s="22">
        <f>U75*W75/(1+Assumptions!$B$3)^X75</f>
        <v/>
      </c>
      <c r="Z75" s="26">
        <f>IF(U75=0,"",ROUND(Y75/U75*100,1))</f>
        <v/>
      </c>
      <c r="AA75" s="27">
        <f>Y75*Assumptions!$B$4</f>
        <v/>
      </c>
      <c r="AB75" s="26">
        <f>IF(U75=0,"",ROUND(AA75/U75*100,1))</f>
        <v/>
      </c>
      <c r="AC75" s="27">
        <f>Y75-AA75</f>
        <v/>
      </c>
      <c r="AD75" s="26">
        <f>IF(U75=0,"",ROUND((Y75-AA75)/U75*100,1))</f>
        <v/>
      </c>
      <c r="AE75" s="33" t="inlineStr">
        <is>
          <t>NO TOTALS — list prints none; check page</t>
        </is>
      </c>
      <c r="AF75" s="29" t="inlineStr">
        <is>
          <t>https://stenius.com.br/wp-content/uploads/2026/06/EDITAL-GRUPO-FAEL.pdf</t>
        </is>
      </c>
      <c r="AG75" s="28" t="inlineStr">
        <is>
          <t>p1 r1</t>
        </is>
      </c>
      <c r="AH75" s="28" t="inlineStr">
        <is>
          <t>p1: R$ 4.951.238,73</t>
        </is>
      </c>
      <c r="AI75" s="28" t="inlineStr">
        <is>
          <t>AJ list (art. 7 §2)</t>
        </is>
      </c>
      <c r="AJ75" s="28" t="inlineStr">
        <is>
          <t>2026-06-30</t>
        </is>
      </c>
      <c r="AK75" s="28" t="inlineStr">
        <is>
          <t>NONE FOUND</t>
        </is>
      </c>
      <c r="AL75" s="30" t="inlineStr">
        <is>
          <t>5264228-81.2025.8.09.0172</t>
        </is>
      </c>
      <c r="AM75" s="30" t="inlineStr">
        <is>
          <t>TJGO</t>
        </is>
      </c>
      <c r="AN75" s="30" t="inlineStr">
        <is>
          <t>ACTIVE</t>
        </is>
      </c>
      <c r="AO75" s="30" t="n">
        <v>2025</v>
      </c>
      <c r="AP75" s="30" t="inlineStr">
        <is>
          <t>live case, no plan document yet</t>
        </is>
      </c>
      <c r="AQ75" s="30" t="inlineStr"/>
      <c r="AR75" s="30" t="inlineStr">
        <is>
          <t>printed on the list (read twice)</t>
        </is>
      </c>
      <c r="AS75" s="30" t="inlineStr">
        <is>
          <t>OSASCO</t>
        </is>
      </c>
      <c r="AT75" s="30" t="inlineStr">
        <is>
          <t>SP</t>
        </is>
      </c>
      <c r="AU75" s="30" t="inlineStr">
        <is>
          <t>Bancos múltiplos, com carteira comercial</t>
        </is>
      </c>
      <c r="AV75" s="30" t="inlineStr">
        <is>
          <t>DEMAIS</t>
        </is>
      </c>
      <c r="AW75" s="31" t="n">
        <v>93770000000</v>
      </c>
      <c r="AX75" s="30" t="inlineStr">
        <is>
          <t>LARGE CORP</t>
        </is>
      </c>
      <c r="AY75" s="30" t="inlineStr">
        <is>
          <t>60746948</t>
        </is>
      </c>
      <c r="AZ75" s="30" t="n">
        <v>1</v>
      </c>
      <c r="BA75" s="30" t="inlineStr">
        <is>
          <t>NAME_MISSING ROWS:p1r1 UNRECONCILED_SOURCE VALUE_COL:Valor_Do_Crédito</t>
        </is>
      </c>
    </row>
    <row r="76">
      <c r="A76" s="16" t="inlineStr">
        <is>
          <t>CAIXA ECONOMICA FEDERAL</t>
        </is>
      </c>
      <c r="B76" s="17" t="n">
        <v>4902057.29</v>
      </c>
      <c r="C76" s="18" t="inlineStr">
        <is>
          <t>GRUPO IMPLASVERDE</t>
        </is>
      </c>
      <c r="D76" s="19" t="inlineStr">
        <is>
          <t>NEW</t>
        </is>
      </c>
      <c r="E76" s="20" t="inlineStr"/>
      <c r="F76" s="19" t="inlineStr"/>
      <c r="G76" s="20" t="inlineStr"/>
      <c r="H76" s="19" t="inlineStr"/>
      <c r="I76" s="21" t="inlineStr">
        <is>
          <t>Livia Serikaku</t>
        </is>
      </c>
      <c r="J76" s="21" t="inlineStr">
        <is>
          <t>Gerente de Clientes e Negócios | Recuperação de Crédito</t>
        </is>
      </c>
      <c r="K76" s="21" t="inlineStr">
        <is>
          <t>(00) 4004-0104</t>
        </is>
      </c>
      <c r="L76" s="21" t="inlineStr"/>
      <c r="M76" s="21" t="inlineStr"/>
      <c r="N76" s="21" t="inlineStr"/>
      <c r="O76" s="21" t="inlineStr"/>
      <c r="P76" s="21" t="inlineStr">
        <is>
          <t>Rodolfo Trevizan</t>
        </is>
      </c>
      <c r="Q76" s="21" t="inlineStr">
        <is>
          <t>Investment Banking | Distressed Assets | Project Finance</t>
        </is>
      </c>
      <c r="R76" s="21" t="inlineStr"/>
      <c r="S76" s="21" t="inlineStr"/>
      <c r="T76" s="21" t="inlineStr">
        <is>
          <t>no work email found in Apollo</t>
        </is>
      </c>
      <c r="U76" s="22" t="n">
        <v>4902057.29</v>
      </c>
      <c r="V76" s="23" t="inlineStr">
        <is>
          <t>B</t>
        </is>
      </c>
      <c r="W76" s="24">
        <f>IFERROR(VLOOKUP(V76,Assumptions!$A$7:$F$11,2,FALSE),0)</f>
        <v/>
      </c>
      <c r="X76" s="25">
        <f>IF(V76="A",MAX(1,IFERROR(VLOOKUP(V76,Assumptions!$A$7:$F$11,3,FALSE),3)+IFERROR(VLOOKUP(V76,Assumptions!$A$7:$F$11,4,FALSE),8)/2-MAX(0,IF(AO76="",0,YEAR(TODAY())-AO76)-IFERROR(VLOOKUP(V76,Assumptions!$A$7:$F$11,5,FALSE),1.5))),IFERROR(VLOOKUP(V76,Assumptions!$A$7:$F$11,5,FALSE),2.5)+IFERROR(VLOOKUP(V76,Assumptions!$A$7:$F$11,3,FALSE),3)+IFERROR(VLOOKUP(V76,Assumptions!$A$7:$F$11,4,FALSE),8)/2)</f>
        <v/>
      </c>
      <c r="Y76" s="22">
        <f>U76*W76/(1+Assumptions!$B$3)^X76</f>
        <v/>
      </c>
      <c r="Z76" s="26">
        <f>IF(U76=0,"",ROUND(Y76/U76*100,1))</f>
        <v/>
      </c>
      <c r="AA76" s="27">
        <f>Y76*Assumptions!$B$4</f>
        <v/>
      </c>
      <c r="AB76" s="26">
        <f>IF(U76=0,"",ROUND(AA76/U76*100,1))</f>
        <v/>
      </c>
      <c r="AC76" s="27">
        <f>Y76-AA76</f>
        <v/>
      </c>
      <c r="AD76" s="26">
        <f>IF(U76=0,"",ROUND((Y76-AA76)/U76*100,1))</f>
        <v/>
      </c>
      <c r="AE76" s="28" t="inlineStr">
        <is>
          <t>OK — totals reconciled</t>
        </is>
      </c>
      <c r="AF76" s="29" t="inlineStr">
        <is>
          <t>http://recuperacaojudicial.squarespace.com/s/LISTA-DE-CREDORES-CONSOLIDADA-ATE-04102024.pdf</t>
        </is>
      </c>
      <c r="AG76" s="28" t="inlineStr">
        <is>
          <t>p6 r10; p8 r10</t>
        </is>
      </c>
      <c r="AH76" s="28" t="inlineStr">
        <is>
          <t>p6: R$ 4.155.025,49; p8: R$ 747.031,80</t>
        </is>
      </c>
      <c r="AI76" s="28" t="inlineStr">
        <is>
          <t>AJ list (art. 7 §2)</t>
        </is>
      </c>
      <c r="AJ76" s="28" t="inlineStr">
        <is>
          <t>2024-10-04</t>
        </is>
      </c>
      <c r="AK76" s="28" t="inlineStr">
        <is>
          <t>NONE FOUND</t>
        </is>
      </c>
      <c r="AL76" s="30" t="inlineStr">
        <is>
          <t>0800778-16.2023.8.20.5104</t>
        </is>
      </c>
      <c r="AM76" s="30" t="inlineStr">
        <is>
          <t>TJRN</t>
        </is>
      </c>
      <c r="AN76" s="30" t="inlineStr">
        <is>
          <t>ACTIVE</t>
        </is>
      </c>
      <c r="AO76" s="30" t="n">
        <v>2023</v>
      </c>
      <c r="AP76" s="30" t="inlineStr">
        <is>
          <t>live case, no plan document yet</t>
        </is>
      </c>
      <c r="AQ76" s="30" t="inlineStr"/>
      <c r="AR76" s="30" t="inlineStr">
        <is>
          <t>printed on the list (read twice)</t>
        </is>
      </c>
      <c r="AS76" s="30" t="inlineStr">
        <is>
          <t>BRASILIA</t>
        </is>
      </c>
      <c r="AT76" s="30" t="inlineStr">
        <is>
          <t>DF</t>
        </is>
      </c>
      <c r="AU76" s="30" t="inlineStr">
        <is>
          <t>Caixas econômicas</t>
        </is>
      </c>
      <c r="AV76" s="30" t="inlineStr">
        <is>
          <t>DEMAIS</t>
        </is>
      </c>
      <c r="AW76" s="31" t="n">
        <v>105300000000</v>
      </c>
      <c r="AX76" s="30" t="inlineStr">
        <is>
          <t>LARGE CORP</t>
        </is>
      </c>
      <c r="AY76" s="30" t="inlineStr">
        <is>
          <t>00360305</t>
        </is>
      </c>
      <c r="AZ76" s="30" t="n">
        <v>2</v>
      </c>
      <c r="BA76" s="30" t="inlineStr">
        <is>
          <t>LIKELY_FINANCIAL_BY_NAME ROWS:p6r10,p8r10 VALUE_COL:Valor_Do_Crédito</t>
        </is>
      </c>
    </row>
    <row r="77">
      <c r="A77" s="16" t="inlineStr">
        <is>
          <t>BANCO DO BRASIL SA</t>
        </is>
      </c>
      <c r="B77" s="17" t="n">
        <v>4749717.54</v>
      </c>
      <c r="C77" s="18" t="inlineStr">
        <is>
          <t>GRUPO IMPLASVERDE</t>
        </is>
      </c>
      <c r="D77" s="19" t="inlineStr">
        <is>
          <t>NEW</t>
        </is>
      </c>
      <c r="E77" s="20" t="inlineStr"/>
      <c r="F77" s="19" t="inlineStr"/>
      <c r="G77" s="20" t="inlineStr"/>
      <c r="H77" s="19" t="inlineStr"/>
      <c r="I77" s="21" t="inlineStr">
        <is>
          <t>Thiago Cavichioli</t>
        </is>
      </c>
      <c r="J77" s="21" t="inlineStr">
        <is>
          <t>Gerente de Cobrança e Recuperação de Crédito</t>
        </is>
      </c>
      <c r="K77" s="21" t="inlineStr">
        <is>
          <t>(61) 3493-9002</t>
        </is>
      </c>
      <c r="L77" s="21" t="inlineStr"/>
      <c r="M77" s="21" t="inlineStr"/>
      <c r="N77" s="21" t="inlineStr">
        <is>
          <t>thiago.cavichioli@bb.com.br</t>
        </is>
      </c>
      <c r="O77" s="21" t="inlineStr">
        <is>
          <t>suelenmondador@bb.com.br</t>
        </is>
      </c>
      <c r="P77" s="21" t="inlineStr">
        <is>
          <t>Suelen Mondador</t>
        </is>
      </c>
      <c r="Q77" s="21" t="inlineStr">
        <is>
          <t>Gerente Especialista em Recuperação de Crédito</t>
        </is>
      </c>
      <c r="R77" s="21" t="inlineStr"/>
      <c r="S77" s="21" t="inlineStr">
        <is>
          <t>suelenmondador@bb.com.br</t>
        </is>
      </c>
      <c r="T77" s="21" t="inlineStr">
        <is>
          <t>email verified by Apollo</t>
        </is>
      </c>
      <c r="U77" s="22" t="n">
        <v>4749717.54</v>
      </c>
      <c r="V77" s="23" t="inlineStr">
        <is>
          <t>B</t>
        </is>
      </c>
      <c r="W77" s="24">
        <f>IFERROR(VLOOKUP(V77,Assumptions!$A$7:$F$11,2,FALSE),0)</f>
        <v/>
      </c>
      <c r="X77" s="25">
        <f>IF(V77="A",MAX(1,IFERROR(VLOOKUP(V77,Assumptions!$A$7:$F$11,3,FALSE),3)+IFERROR(VLOOKUP(V77,Assumptions!$A$7:$F$11,4,FALSE),8)/2-MAX(0,IF(AO77="",0,YEAR(TODAY())-AO77)-IFERROR(VLOOKUP(V77,Assumptions!$A$7:$F$11,5,FALSE),1.5))),IFERROR(VLOOKUP(V77,Assumptions!$A$7:$F$11,5,FALSE),2.5)+IFERROR(VLOOKUP(V77,Assumptions!$A$7:$F$11,3,FALSE),3)+IFERROR(VLOOKUP(V77,Assumptions!$A$7:$F$11,4,FALSE),8)/2)</f>
        <v/>
      </c>
      <c r="Y77" s="22">
        <f>U77*W77/(1+Assumptions!$B$3)^X77</f>
        <v/>
      </c>
      <c r="Z77" s="26">
        <f>IF(U77=0,"",ROUND(Y77/U77*100,1))</f>
        <v/>
      </c>
      <c r="AA77" s="27">
        <f>Y77*Assumptions!$B$4</f>
        <v/>
      </c>
      <c r="AB77" s="26">
        <f>IF(U77=0,"",ROUND(AA77/U77*100,1))</f>
        <v/>
      </c>
      <c r="AC77" s="27">
        <f>Y77-AA77</f>
        <v/>
      </c>
      <c r="AD77" s="26">
        <f>IF(U77=0,"",ROUND((Y77-AA77)/U77*100,1))</f>
        <v/>
      </c>
      <c r="AE77" s="28" t="inlineStr">
        <is>
          <t>OK — totals reconciled</t>
        </is>
      </c>
      <c r="AF77" s="29" t="inlineStr">
        <is>
          <t>http://recuperacaojudicial.squarespace.com/s/LISTA-DE-CREDORES-CONSOLIDADA-ATE-04102024.pdf</t>
        </is>
      </c>
      <c r="AG77" s="28" t="inlineStr">
        <is>
          <t>p6 r4; p8 r6</t>
        </is>
      </c>
      <c r="AH77" s="28" t="inlineStr">
        <is>
          <t>p6: R$ 3.894.882,35; p8: R$ 854.835,19</t>
        </is>
      </c>
      <c r="AI77" s="28" t="inlineStr">
        <is>
          <t>AJ list (art. 7 §2)</t>
        </is>
      </c>
      <c r="AJ77" s="28" t="inlineStr">
        <is>
          <t>2024-10-04</t>
        </is>
      </c>
      <c r="AK77" s="28" t="inlineStr">
        <is>
          <t>NONE FOUND</t>
        </is>
      </c>
      <c r="AL77" s="30" t="inlineStr">
        <is>
          <t>0800778-16.2023.8.20.5104</t>
        </is>
      </c>
      <c r="AM77" s="30" t="inlineStr">
        <is>
          <t>TJRN</t>
        </is>
      </c>
      <c r="AN77" s="30" t="inlineStr">
        <is>
          <t>ACTIVE</t>
        </is>
      </c>
      <c r="AO77" s="30" t="n">
        <v>2023</v>
      </c>
      <c r="AP77" s="30" t="inlineStr">
        <is>
          <t>live case, no plan document yet</t>
        </is>
      </c>
      <c r="AQ77" s="30" t="inlineStr"/>
      <c r="AR77" s="30" t="inlineStr">
        <is>
          <t>printed on the list (read twice)</t>
        </is>
      </c>
      <c r="AS77" s="30" t="inlineStr">
        <is>
          <t>BRASILIA</t>
        </is>
      </c>
      <c r="AT77" s="30" t="inlineStr">
        <is>
          <t>DF</t>
        </is>
      </c>
      <c r="AU77" s="30" t="inlineStr">
        <is>
          <t>Bancos múltiplos, com carteira comercial</t>
        </is>
      </c>
      <c r="AV77" s="30" t="inlineStr">
        <is>
          <t>DEMAIS</t>
        </is>
      </c>
      <c r="AW77" s="31" t="n">
        <v>120000000000</v>
      </c>
      <c r="AX77" s="30" t="inlineStr">
        <is>
          <t>LARGE CORP</t>
        </is>
      </c>
      <c r="AY77" s="30" t="inlineStr">
        <is>
          <t>00000000</t>
        </is>
      </c>
      <c r="AZ77" s="30" t="n">
        <v>2</v>
      </c>
      <c r="BA77" s="30" t="inlineStr">
        <is>
          <t>LIKELY_FINANCIAL_BY_NAME ROWS:p6r4,p8r6 VALUE_COL:Valor_Do_Crédito</t>
        </is>
      </c>
    </row>
    <row r="78">
      <c r="A78" s="16" t="inlineStr">
        <is>
          <t>BANCO DO BRASIL SA</t>
        </is>
      </c>
      <c r="B78" s="17" t="n">
        <v>4719186.39</v>
      </c>
      <c r="C78" s="18" t="inlineStr">
        <is>
          <t>GRUPO D&amp;D</t>
        </is>
      </c>
      <c r="D78" s="19" t="inlineStr">
        <is>
          <t>NEW</t>
        </is>
      </c>
      <c r="E78" s="20" t="inlineStr"/>
      <c r="F78" s="19" t="inlineStr"/>
      <c r="G78" s="20" t="inlineStr"/>
      <c r="H78" s="19" t="inlineStr"/>
      <c r="I78" s="21" t="inlineStr">
        <is>
          <t>Thiago Cavichioli</t>
        </is>
      </c>
      <c r="J78" s="21" t="inlineStr">
        <is>
          <t>Gerente de Cobrança e Recuperação de Crédito</t>
        </is>
      </c>
      <c r="K78" s="21" t="inlineStr">
        <is>
          <t>(61) 3493-9002</t>
        </is>
      </c>
      <c r="L78" s="21" t="inlineStr"/>
      <c r="M78" s="21" t="inlineStr"/>
      <c r="N78" s="21" t="inlineStr">
        <is>
          <t>thiago.cavichioli@bb.com.br</t>
        </is>
      </c>
      <c r="O78" s="21" t="inlineStr">
        <is>
          <t>suelenmondador@bb.com.br</t>
        </is>
      </c>
      <c r="P78" s="21" t="inlineStr">
        <is>
          <t>Suelen Mondador</t>
        </is>
      </c>
      <c r="Q78" s="21" t="inlineStr">
        <is>
          <t>Gerente Especialista em Recuperação de Crédito</t>
        </is>
      </c>
      <c r="R78" s="21" t="inlineStr"/>
      <c r="S78" s="21" t="inlineStr">
        <is>
          <t>suelenmondador@bb.com.br</t>
        </is>
      </c>
      <c r="T78" s="21" t="inlineStr">
        <is>
          <t>email verified by Apollo</t>
        </is>
      </c>
      <c r="U78" s="22" t="n">
        <v>4719186.39</v>
      </c>
      <c r="V78" s="23" t="inlineStr">
        <is>
          <t>B</t>
        </is>
      </c>
      <c r="W78" s="24">
        <f>IFERROR(VLOOKUP(V78,Assumptions!$A$7:$F$11,2,FALSE),0)</f>
        <v/>
      </c>
      <c r="X78" s="25">
        <f>IF(V78="A",MAX(1,IFERROR(VLOOKUP(V78,Assumptions!$A$7:$F$11,3,FALSE),3)+IFERROR(VLOOKUP(V78,Assumptions!$A$7:$F$11,4,FALSE),8)/2-MAX(0,IF(AO78="",0,YEAR(TODAY())-AO78)-IFERROR(VLOOKUP(V78,Assumptions!$A$7:$F$11,5,FALSE),1.5))),IFERROR(VLOOKUP(V78,Assumptions!$A$7:$F$11,5,FALSE),2.5)+IFERROR(VLOOKUP(V78,Assumptions!$A$7:$F$11,3,FALSE),3)+IFERROR(VLOOKUP(V78,Assumptions!$A$7:$F$11,4,FALSE),8)/2)</f>
        <v/>
      </c>
      <c r="Y78" s="22">
        <f>U78*W78/(1+Assumptions!$B$3)^X78</f>
        <v/>
      </c>
      <c r="Z78" s="26">
        <f>IF(U78=0,"",ROUND(Y78/U78*100,1))</f>
        <v/>
      </c>
      <c r="AA78" s="27">
        <f>Y78*Assumptions!$B$4</f>
        <v/>
      </c>
      <c r="AB78" s="26">
        <f>IF(U78=0,"",ROUND(AA78/U78*100,1))</f>
        <v/>
      </c>
      <c r="AC78" s="27">
        <f>Y78-AA78</f>
        <v/>
      </c>
      <c r="AD78" s="26">
        <f>IF(U78=0,"",ROUND((Y78-AA78)/U78*100,1))</f>
        <v/>
      </c>
      <c r="AE78" s="34" t="inlineStr">
        <is>
          <t>PARTIAL — class III reconciled, other classes not</t>
        </is>
      </c>
      <c r="AF78" s="29" t="inlineStr">
        <is>
          <t>https://marquesadmjudicial.com.br/sgc/download.php?file=files/processo_documento/processo_documento20014127022025_1_.pdf&amp;nome=Relação Nominal de Credores</t>
        </is>
      </c>
      <c r="AG78" s="28" t="inlineStr">
        <is>
          <t>p4 r8</t>
        </is>
      </c>
      <c r="AH78" s="28" t="inlineStr">
        <is>
          <t>p4: R$ 4.719.186,39</t>
        </is>
      </c>
      <c r="AI78" s="28" t="inlineStr">
        <is>
          <t>AJ list (art. 7 §2)</t>
        </is>
      </c>
      <c r="AJ78" s="28" t="inlineStr">
        <is>
          <t>2024-11-08</t>
        </is>
      </c>
      <c r="AK78" s="28" t="inlineStr">
        <is>
          <t>NONE FOUND</t>
        </is>
      </c>
      <c r="AL78" s="30" t="inlineStr">
        <is>
          <t>0001943-40.2024.8.16.0115</t>
        </is>
      </c>
      <c r="AM78" s="30" t="inlineStr">
        <is>
          <t>TJPR</t>
        </is>
      </c>
      <c r="AN78" s="30" t="inlineStr">
        <is>
          <t>ACTIVE</t>
        </is>
      </c>
      <c r="AO78" s="30" t="n">
        <v>2024</v>
      </c>
      <c r="AP78" s="30" t="inlineStr">
        <is>
          <t>live case, no plan document yet</t>
        </is>
      </c>
      <c r="AQ78" s="30" t="inlineStr"/>
      <c r="AR78" s="30" t="inlineStr">
        <is>
          <t>printed on the list (read twice)</t>
        </is>
      </c>
      <c r="AS78" s="30" t="inlineStr">
        <is>
          <t>BRASILIA</t>
        </is>
      </c>
      <c r="AT78" s="30" t="inlineStr">
        <is>
          <t>DF</t>
        </is>
      </c>
      <c r="AU78" s="30" t="inlineStr">
        <is>
          <t>Bancos múltiplos, com carteira comercial</t>
        </is>
      </c>
      <c r="AV78" s="30" t="inlineStr">
        <is>
          <t>DEMAIS</t>
        </is>
      </c>
      <c r="AW78" s="31" t="n">
        <v>120000000000</v>
      </c>
      <c r="AX78" s="30" t="inlineStr">
        <is>
          <t>LARGE CORP</t>
        </is>
      </c>
      <c r="AY78" s="30" t="inlineStr">
        <is>
          <t>00000000</t>
        </is>
      </c>
      <c r="AZ78" s="30" t="n">
        <v>1</v>
      </c>
      <c r="BA78" s="30" t="inlineStr">
        <is>
          <t>LIKELY_FINANCIAL_BY_NAME PARTIAL_DOC_CLASS_III_RECONCILED ROWS:p4r8</t>
        </is>
      </c>
    </row>
    <row r="79">
      <c r="A79" s="16" t="inlineStr">
        <is>
          <t>BANCO SAFRA S A</t>
        </is>
      </c>
      <c r="B79" s="17" t="n">
        <v>4717582.89</v>
      </c>
      <c r="C79" s="18" t="inlineStr">
        <is>
          <t>GRUPO CATTAN</t>
        </is>
      </c>
      <c r="D79" s="19" t="inlineStr">
        <is>
          <t>NEW</t>
        </is>
      </c>
      <c r="E79" s="20" t="inlineStr"/>
      <c r="F79" s="19" t="inlineStr"/>
      <c r="G79" s="20" t="inlineStr"/>
      <c r="H79" s="19" t="inlineStr"/>
      <c r="I79" s="21" t="inlineStr">
        <is>
          <t>Vanessa Biotti</t>
        </is>
      </c>
      <c r="J79" s="21" t="inlineStr">
        <is>
          <t>Gerente de Recuperação de Crédito</t>
        </is>
      </c>
      <c r="K79" s="21" t="inlineStr">
        <is>
          <t>(11) 3175-7575</t>
        </is>
      </c>
      <c r="L79" s="21" t="inlineStr"/>
      <c r="M79" s="21" t="inlineStr"/>
      <c r="N79" s="21" t="inlineStr">
        <is>
          <t>vanessa.biotti@safra.com.br</t>
        </is>
      </c>
      <c r="O79" s="21" t="inlineStr">
        <is>
          <t>rodrigo.anjos@safra.com.br</t>
        </is>
      </c>
      <c r="P79" s="21" t="inlineStr">
        <is>
          <t>Rodrigo Anjos</t>
        </is>
      </c>
      <c r="Q79" s="21" t="inlineStr">
        <is>
          <t>Advogado Sênior - Jurídico Contencioso - Recuperação de Crédito - NPL</t>
        </is>
      </c>
      <c r="R79" s="21" t="inlineStr"/>
      <c r="S79" s="21" t="inlineStr">
        <is>
          <t>rodrigo.anjos@safra.com.br</t>
        </is>
      </c>
      <c r="T79" s="21" t="inlineStr">
        <is>
          <t>email verified by Apollo</t>
        </is>
      </c>
      <c r="U79" s="22" t="n">
        <v>4717582.89</v>
      </c>
      <c r="V79" s="23" t="inlineStr">
        <is>
          <t>B</t>
        </is>
      </c>
      <c r="W79" s="24">
        <f>IFERROR(VLOOKUP(V79,Assumptions!$A$7:$F$11,2,FALSE),0)</f>
        <v/>
      </c>
      <c r="X79" s="25">
        <f>IF(V79="A",MAX(1,IFERROR(VLOOKUP(V79,Assumptions!$A$7:$F$11,3,FALSE),3)+IFERROR(VLOOKUP(V79,Assumptions!$A$7:$F$11,4,FALSE),8)/2-MAX(0,IF(AO79="",0,YEAR(TODAY())-AO79)-IFERROR(VLOOKUP(V79,Assumptions!$A$7:$F$11,5,FALSE),1.5))),IFERROR(VLOOKUP(V79,Assumptions!$A$7:$F$11,5,FALSE),2.5)+IFERROR(VLOOKUP(V79,Assumptions!$A$7:$F$11,3,FALSE),3)+IFERROR(VLOOKUP(V79,Assumptions!$A$7:$F$11,4,FALSE),8)/2)</f>
        <v/>
      </c>
      <c r="Y79" s="22">
        <f>U79*W79/(1+Assumptions!$B$3)^X79</f>
        <v/>
      </c>
      <c r="Z79" s="26">
        <f>IF(U79=0,"",ROUND(Y79/U79*100,1))</f>
        <v/>
      </c>
      <c r="AA79" s="27">
        <f>Y79*Assumptions!$B$4</f>
        <v/>
      </c>
      <c r="AB79" s="26">
        <f>IF(U79=0,"",ROUND(AA79/U79*100,1))</f>
        <v/>
      </c>
      <c r="AC79" s="27">
        <f>Y79-AA79</f>
        <v/>
      </c>
      <c r="AD79" s="26">
        <f>IF(U79=0,"",ROUND((Y79-AA79)/U79*100,1))</f>
        <v/>
      </c>
      <c r="AE79" s="34" t="inlineStr">
        <is>
          <t>PARTIAL — class III reconciled, other classes not</t>
        </is>
      </c>
      <c r="AF79" s="29" t="inlineStr">
        <is>
          <t>https://lrflideres.com.br/wp-content/plugins/download-attachments/includes/download.php?id=4023</t>
        </is>
      </c>
      <c r="AG79" s="28" t="inlineStr">
        <is>
          <t>p7 r79</t>
        </is>
      </c>
      <c r="AH79" s="28" t="inlineStr">
        <is>
          <t>p7: R$ 4.717.582,89</t>
        </is>
      </c>
      <c r="AI79" s="28" t="inlineStr">
        <is>
          <t>Debtor list (art. 51)</t>
        </is>
      </c>
      <c r="AJ79" s="28" t="inlineStr"/>
      <c r="AK79" s="28" t="inlineStr">
        <is>
          <t>NONE FOUND</t>
        </is>
      </c>
      <c r="AL79" s="30" t="inlineStr">
        <is>
          <t>0002484-82.2022.8.17.2001</t>
        </is>
      </c>
      <c r="AM79" s="30" t="inlineStr">
        <is>
          <t>TJPE</t>
        </is>
      </c>
      <c r="AN79" s="30" t="inlineStr">
        <is>
          <t>ACTIVE</t>
        </is>
      </c>
      <c r="AO79" s="30" t="n">
        <v>2022</v>
      </c>
      <c r="AP79" s="30" t="inlineStr">
        <is>
          <t>live case, no plan document yet</t>
        </is>
      </c>
      <c r="AQ79" s="30" t="inlineStr"/>
      <c r="AR79" s="30" t="inlineStr">
        <is>
          <t>printed on the list (read twice)</t>
        </is>
      </c>
      <c r="AS79" s="30" t="inlineStr">
        <is>
          <t>SAO PAULO</t>
        </is>
      </c>
      <c r="AT79" s="30" t="inlineStr">
        <is>
          <t>SP</t>
        </is>
      </c>
      <c r="AU79" s="30" t="inlineStr">
        <is>
          <t>Bancos múltiplos, com carteira comercial</t>
        </is>
      </c>
      <c r="AV79" s="30" t="inlineStr">
        <is>
          <t>DEMAIS</t>
        </is>
      </c>
      <c r="AW79" s="31" t="n">
        <v>13924903000</v>
      </c>
      <c r="AX79" s="30" t="inlineStr">
        <is>
          <t>LARGE CORP</t>
        </is>
      </c>
      <c r="AY79" s="30" t="inlineStr">
        <is>
          <t>58160789</t>
        </is>
      </c>
      <c r="AZ79" s="30" t="n">
        <v>1</v>
      </c>
      <c r="BA79" s="30" t="inlineStr">
        <is>
          <t>LIKELY_FINANCIAL_BY_NAME PARTIAL_DOC_CLASS_III_RECONCILED ROWS:p7r79</t>
        </is>
      </c>
    </row>
    <row r="80">
      <c r="A80" s="16" t="inlineStr">
        <is>
          <t>ITAU UNIBANCO S.A.</t>
        </is>
      </c>
      <c r="B80" s="17" t="n">
        <v>4610725.19</v>
      </c>
      <c r="C80" s="18" t="inlineStr">
        <is>
          <t>GRUPO ADLIM</t>
        </is>
      </c>
      <c r="D80" s="19" t="inlineStr">
        <is>
          <t>NEW</t>
        </is>
      </c>
      <c r="E80" s="20" t="inlineStr"/>
      <c r="F80" s="19" t="inlineStr"/>
      <c r="G80" s="20" t="inlineStr"/>
      <c r="H80" s="19" t="inlineStr"/>
      <c r="I80" s="21" t="inlineStr">
        <is>
          <t>Murilo Gigliucci</t>
        </is>
      </c>
      <c r="J80" s="21" t="inlineStr">
        <is>
          <t>Superintendente de Reestruturação de Crédito</t>
        </is>
      </c>
      <c r="K80" s="21" t="inlineStr">
        <is>
          <t>(11) 3003-4828</t>
        </is>
      </c>
      <c r="L80" s="21" t="inlineStr"/>
      <c r="M80" s="21" t="inlineStr"/>
      <c r="N80" s="21" t="inlineStr">
        <is>
          <t>murilo.gigliucci@itau-unibanco.com.br</t>
        </is>
      </c>
      <c r="O80" s="21" t="inlineStr">
        <is>
          <t>pedro.ornellas-geronimo@itau-unibanco.com.br</t>
        </is>
      </c>
      <c r="P80" s="21" t="inlineStr">
        <is>
          <t>Pedro Ornellas</t>
        </is>
      </c>
      <c r="Q80" s="21" t="inlineStr">
        <is>
          <t>Superintendente de Recuperação de Crédito</t>
        </is>
      </c>
      <c r="R80" s="21" t="inlineStr"/>
      <c r="S80" s="21" t="inlineStr">
        <is>
          <t>pedro.ornellas-geronimo@itau-unibanco.com.br</t>
        </is>
      </c>
      <c r="T80" s="21" t="inlineStr">
        <is>
          <t>email verified by Apollo</t>
        </is>
      </c>
      <c r="U80" s="22" t="n">
        <v>4610725.19</v>
      </c>
      <c r="V80" s="23" t="inlineStr">
        <is>
          <t>B</t>
        </is>
      </c>
      <c r="W80" s="24">
        <f>IFERROR(VLOOKUP(V80,Assumptions!$A$7:$F$11,2,FALSE),0)</f>
        <v/>
      </c>
      <c r="X80" s="25">
        <f>IF(V80="A",MAX(1,IFERROR(VLOOKUP(V80,Assumptions!$A$7:$F$11,3,FALSE),3)+IFERROR(VLOOKUP(V80,Assumptions!$A$7:$F$11,4,FALSE),8)/2-MAX(0,IF(AO80="",0,YEAR(TODAY())-AO80)-IFERROR(VLOOKUP(V80,Assumptions!$A$7:$F$11,5,FALSE),1.5))),IFERROR(VLOOKUP(V80,Assumptions!$A$7:$F$11,5,FALSE),2.5)+IFERROR(VLOOKUP(V80,Assumptions!$A$7:$F$11,3,FALSE),3)+IFERROR(VLOOKUP(V80,Assumptions!$A$7:$F$11,4,FALSE),8)/2)</f>
        <v/>
      </c>
      <c r="Y80" s="22">
        <f>U80*W80/(1+Assumptions!$B$3)^X80</f>
        <v/>
      </c>
      <c r="Z80" s="26">
        <f>IF(U80=0,"",ROUND(Y80/U80*100,1))</f>
        <v/>
      </c>
      <c r="AA80" s="27">
        <f>Y80*Assumptions!$B$4</f>
        <v/>
      </c>
      <c r="AB80" s="26">
        <f>IF(U80=0,"",ROUND(AA80/U80*100,1))</f>
        <v/>
      </c>
      <c r="AC80" s="27">
        <f>Y80-AA80</f>
        <v/>
      </c>
      <c r="AD80" s="26">
        <f>IF(U80=0,"",ROUND((Y80-AA80)/U80*100,1))</f>
        <v/>
      </c>
      <c r="AE80" s="34" t="inlineStr">
        <is>
          <t>PARTIAL — class III reconciled, other classes not</t>
        </is>
      </c>
      <c r="AF80" s="29" t="inlineStr">
        <is>
          <t>https://lrflideres.com.br/wp-content/plugins/download-attachments/includes/download.php?id=6051</t>
        </is>
      </c>
      <c r="AG80" s="28" t="inlineStr">
        <is>
          <t>p67 r21</t>
        </is>
      </c>
      <c r="AH80" s="28" t="inlineStr">
        <is>
          <t>p67: R$ 4610725,19</t>
        </is>
      </c>
      <c r="AI80" s="28" t="inlineStr">
        <is>
          <t>AJ list (art. 7 §2)</t>
        </is>
      </c>
      <c r="AJ80" s="28" t="inlineStr">
        <is>
          <t>2024-08-12</t>
        </is>
      </c>
      <c r="AK80" s="28" t="inlineStr">
        <is>
          <t>NONE FOUND</t>
        </is>
      </c>
      <c r="AL80" s="30" t="inlineStr">
        <is>
          <t>0019761-43.2024.8.17.2001</t>
        </is>
      </c>
      <c r="AM80" s="30" t="inlineStr">
        <is>
          <t>TJPE</t>
        </is>
      </c>
      <c r="AN80" s="30" t="inlineStr">
        <is>
          <t>ACTIVE</t>
        </is>
      </c>
      <c r="AO80" s="30" t="n">
        <v>2024</v>
      </c>
      <c r="AP80" s="30" t="inlineStr">
        <is>
          <t>live case, no plan document yet</t>
        </is>
      </c>
      <c r="AQ80" s="30" t="inlineStr"/>
      <c r="AR80" s="30" t="inlineStr">
        <is>
          <t>printed on the list (read twice)</t>
        </is>
      </c>
      <c r="AS80" s="30" t="inlineStr">
        <is>
          <t>SAO PAULO</t>
        </is>
      </c>
      <c r="AT80" s="30" t="inlineStr">
        <is>
          <t>SP</t>
        </is>
      </c>
      <c r="AU80" s="30" t="inlineStr">
        <is>
          <t>Bancos comerciais</t>
        </is>
      </c>
      <c r="AV80" s="30" t="inlineStr">
        <is>
          <t>DEMAIS</t>
        </is>
      </c>
      <c r="AW80" s="31" t="n">
        <v>76200000000</v>
      </c>
      <c r="AX80" s="30" t="inlineStr">
        <is>
          <t>LARGE CORP</t>
        </is>
      </c>
      <c r="AY80" s="30" t="inlineStr">
        <is>
          <t>60701190</t>
        </is>
      </c>
      <c r="AZ80" s="30" t="n">
        <v>1</v>
      </c>
      <c r="BA80" s="30" t="inlineStr">
        <is>
          <t>LIKELY_FINANCIAL_BY_NAME PARTIAL_DOC_CLASS_III_RECONCILED ROWS:p67r21</t>
        </is>
      </c>
    </row>
    <row r="81">
      <c r="A81" s="16" t="inlineStr">
        <is>
          <t>CAIXA ECONOMICA FEDERAL</t>
        </is>
      </c>
      <c r="B81" s="17" t="n">
        <v>4585036.12</v>
      </c>
      <c r="C81" s="18" t="inlineStr">
        <is>
          <t>Grupo Conduscabos</t>
        </is>
      </c>
      <c r="D81" s="19" t="inlineStr">
        <is>
          <t>NEW</t>
        </is>
      </c>
      <c r="E81" s="20" t="inlineStr"/>
      <c r="F81" s="19" t="inlineStr"/>
      <c r="G81" s="20" t="inlineStr"/>
      <c r="H81" s="19" t="inlineStr"/>
      <c r="I81" s="21" t="inlineStr">
        <is>
          <t>Livia Serikaku</t>
        </is>
      </c>
      <c r="J81" s="21" t="inlineStr">
        <is>
          <t>Gerente de Clientes e Negócios | Recuperação de Crédito</t>
        </is>
      </c>
      <c r="K81" s="21" t="inlineStr">
        <is>
          <t>(00) 4004-0104</t>
        </is>
      </c>
      <c r="L81" s="21" t="inlineStr"/>
      <c r="M81" s="21" t="inlineStr"/>
      <c r="N81" s="21" t="inlineStr"/>
      <c r="O81" s="21" t="inlineStr"/>
      <c r="P81" s="21" t="inlineStr">
        <is>
          <t>Rodolfo Trevizan</t>
        </is>
      </c>
      <c r="Q81" s="21" t="inlineStr">
        <is>
          <t>Investment Banking | Distressed Assets | Project Finance</t>
        </is>
      </c>
      <c r="R81" s="21" t="inlineStr"/>
      <c r="S81" s="21" t="inlineStr"/>
      <c r="T81" s="21" t="inlineStr">
        <is>
          <t>no work email found in Apollo</t>
        </is>
      </c>
      <c r="U81" s="22" t="n">
        <v>4585036.12</v>
      </c>
      <c r="V81" s="23" t="inlineStr">
        <is>
          <t>B</t>
        </is>
      </c>
      <c r="W81" s="24">
        <f>IFERROR(VLOOKUP(V81,Assumptions!$A$7:$F$11,2,FALSE),0)</f>
        <v/>
      </c>
      <c r="X81" s="25">
        <f>IF(V81="A",MAX(1,IFERROR(VLOOKUP(V81,Assumptions!$A$7:$F$11,3,FALSE),3)+IFERROR(VLOOKUP(V81,Assumptions!$A$7:$F$11,4,FALSE),8)/2-MAX(0,IF(AO81="",0,YEAR(TODAY())-AO81)-IFERROR(VLOOKUP(V81,Assumptions!$A$7:$F$11,5,FALSE),1.5))),IFERROR(VLOOKUP(V81,Assumptions!$A$7:$F$11,5,FALSE),2.5)+IFERROR(VLOOKUP(V81,Assumptions!$A$7:$F$11,3,FALSE),3)+IFERROR(VLOOKUP(V81,Assumptions!$A$7:$F$11,4,FALSE),8)/2)</f>
        <v/>
      </c>
      <c r="Y81" s="22">
        <f>U81*W81/(1+Assumptions!$B$3)^X81</f>
        <v/>
      </c>
      <c r="Z81" s="26">
        <f>IF(U81=0,"",ROUND(Y81/U81*100,1))</f>
        <v/>
      </c>
      <c r="AA81" s="27">
        <f>Y81*Assumptions!$B$4</f>
        <v/>
      </c>
      <c r="AB81" s="26">
        <f>IF(U81=0,"",ROUND(AA81/U81*100,1))</f>
        <v/>
      </c>
      <c r="AC81" s="27">
        <f>Y81-AA81</f>
        <v/>
      </c>
      <c r="AD81" s="26">
        <f>IF(U81=0,"",ROUND((Y81-AA81)/U81*100,1))</f>
        <v/>
      </c>
      <c r="AE81" s="33" t="inlineStr">
        <is>
          <t>NO TOTALS — list prints none; check page</t>
        </is>
      </c>
      <c r="AF81" s="29" t="inlineStr">
        <is>
          <t>https://assistjud.com.br/wp-content/uploads/elementor/forms/65098c80a5824.pdf</t>
        </is>
      </c>
      <c r="AG81" s="28" t="inlineStr">
        <is>
          <t>p6 r3; p17 r8</t>
        </is>
      </c>
      <c r="AH81" s="28" t="inlineStr">
        <is>
          <t>p6: R$ 2.911.118,12; p17: R$ 1.673.918,00</t>
        </is>
      </c>
      <c r="AI81" s="28" t="inlineStr">
        <is>
          <t>AJ list (art. 7 §2)</t>
        </is>
      </c>
      <c r="AJ81" s="28" t="inlineStr">
        <is>
          <t>2023-09-18</t>
        </is>
      </c>
      <c r="AK81" s="28" t="inlineStr">
        <is>
          <t>NONE FOUND</t>
        </is>
      </c>
      <c r="AL81" s="30" t="inlineStr">
        <is>
          <t>8005129-09.2023.8.05.0039</t>
        </is>
      </c>
      <c r="AM81" s="30" t="inlineStr">
        <is>
          <t>TJBA</t>
        </is>
      </c>
      <c r="AN81" s="30" t="inlineStr">
        <is>
          <t>ACTIVE</t>
        </is>
      </c>
      <c r="AO81" s="30" t="n">
        <v>2023</v>
      </c>
      <c r="AP81" s="30" t="inlineStr">
        <is>
          <t>live case, no plan document yet</t>
        </is>
      </c>
      <c r="AQ81" s="30" t="inlineStr"/>
      <c r="AR81" s="30" t="inlineStr">
        <is>
          <t>printed on the list (read twice)</t>
        </is>
      </c>
      <c r="AS81" s="30" t="inlineStr">
        <is>
          <t>BRASILIA</t>
        </is>
      </c>
      <c r="AT81" s="30" t="inlineStr">
        <is>
          <t>DF</t>
        </is>
      </c>
      <c r="AU81" s="30" t="inlineStr">
        <is>
          <t>Caixas econômicas</t>
        </is>
      </c>
      <c r="AV81" s="30" t="inlineStr">
        <is>
          <t>DEMAIS</t>
        </is>
      </c>
      <c r="AW81" s="31" t="n">
        <v>105300000000</v>
      </c>
      <c r="AX81" s="30" t="inlineStr">
        <is>
          <t>LARGE CORP</t>
        </is>
      </c>
      <c r="AY81" s="30" t="inlineStr">
        <is>
          <t>00360305</t>
        </is>
      </c>
      <c r="AZ81" s="30" t="n">
        <v>2</v>
      </c>
      <c r="BA81" s="30" t="inlineStr">
        <is>
          <t>LIKELY_FINANCIAL_BY_NAME ROWS:p6r3,p17r8 UNRECONCILED_SOURCE VALUE_COL:Valor_Do_Crédito_2º_Edital_De_Credores</t>
        </is>
      </c>
    </row>
    <row r="82">
      <c r="A82" s="16" t="inlineStr">
        <is>
          <t>CAIXA ECONOMICA FEDERAL</t>
        </is>
      </c>
      <c r="B82" s="17" t="n">
        <v>4561019.96</v>
      </c>
      <c r="C82" s="18" t="inlineStr">
        <is>
          <t>GRUPO DIVINA</t>
        </is>
      </c>
      <c r="D82" s="19" t="inlineStr">
        <is>
          <t>NEW</t>
        </is>
      </c>
      <c r="E82" s="20" t="inlineStr"/>
      <c r="F82" s="19" t="inlineStr"/>
      <c r="G82" s="20" t="inlineStr"/>
      <c r="H82" s="19" t="inlineStr"/>
      <c r="I82" s="21" t="inlineStr">
        <is>
          <t>Livia Serikaku</t>
        </is>
      </c>
      <c r="J82" s="21" t="inlineStr">
        <is>
          <t>Gerente de Clientes e Negócios | Recuperação de Crédito</t>
        </is>
      </c>
      <c r="K82" s="21" t="inlineStr">
        <is>
          <t>(00) 4004-0104</t>
        </is>
      </c>
      <c r="L82" s="21" t="inlineStr"/>
      <c r="M82" s="21" t="inlineStr"/>
      <c r="N82" s="21" t="inlineStr"/>
      <c r="O82" s="21" t="inlineStr"/>
      <c r="P82" s="21" t="inlineStr">
        <is>
          <t>Rodolfo Trevizan</t>
        </is>
      </c>
      <c r="Q82" s="21" t="inlineStr">
        <is>
          <t>Investment Banking | Distressed Assets | Project Finance</t>
        </is>
      </c>
      <c r="R82" s="21" t="inlineStr"/>
      <c r="S82" s="21" t="inlineStr"/>
      <c r="T82" s="21" t="inlineStr">
        <is>
          <t>no work email found in Apollo</t>
        </is>
      </c>
      <c r="U82" s="22" t="n">
        <v>4561019.96</v>
      </c>
      <c r="V82" s="23" t="inlineStr">
        <is>
          <t>B</t>
        </is>
      </c>
      <c r="W82" s="24">
        <f>IFERROR(VLOOKUP(V82,Assumptions!$A$7:$F$11,2,FALSE),0)</f>
        <v/>
      </c>
      <c r="X82" s="25">
        <f>IF(V82="A",MAX(1,IFERROR(VLOOKUP(V82,Assumptions!$A$7:$F$11,3,FALSE),3)+IFERROR(VLOOKUP(V82,Assumptions!$A$7:$F$11,4,FALSE),8)/2-MAX(0,IF(AO82="",0,YEAR(TODAY())-AO82)-IFERROR(VLOOKUP(V82,Assumptions!$A$7:$F$11,5,FALSE),1.5))),IFERROR(VLOOKUP(V82,Assumptions!$A$7:$F$11,5,FALSE),2.5)+IFERROR(VLOOKUP(V82,Assumptions!$A$7:$F$11,3,FALSE),3)+IFERROR(VLOOKUP(V82,Assumptions!$A$7:$F$11,4,FALSE),8)/2)</f>
        <v/>
      </c>
      <c r="Y82" s="22">
        <f>U82*W82/(1+Assumptions!$B$3)^X82</f>
        <v/>
      </c>
      <c r="Z82" s="26">
        <f>IF(U82=0,"",ROUND(Y82/U82*100,1))</f>
        <v/>
      </c>
      <c r="AA82" s="27">
        <f>Y82*Assumptions!$B$4</f>
        <v/>
      </c>
      <c r="AB82" s="26">
        <f>IF(U82=0,"",ROUND(AA82/U82*100,1))</f>
        <v/>
      </c>
      <c r="AC82" s="27">
        <f>Y82-AA82</f>
        <v/>
      </c>
      <c r="AD82" s="26">
        <f>IF(U82=0,"",ROUND((Y82-AA82)/U82*100,1))</f>
        <v/>
      </c>
      <c r="AE82" s="34" t="inlineStr">
        <is>
          <t>PARTIAL — class III reconciled, other classes not</t>
        </is>
      </c>
      <c r="AF82" s="29" t="inlineStr">
        <is>
          <t>https://lrflideres.com.br/wp-content/plugins/download-attachments/includes/download.php?id=6252</t>
        </is>
      </c>
      <c r="AG82" s="28" t="inlineStr">
        <is>
          <t>p2 r15; p2 r24</t>
        </is>
      </c>
      <c r="AH82" s="28" t="inlineStr">
        <is>
          <t>p2: R$ 3.112.473,02; p2: R$ 1.448.546,94</t>
        </is>
      </c>
      <c r="AI82" s="28" t="inlineStr">
        <is>
          <t>AJ list (art. 7 §2)</t>
        </is>
      </c>
      <c r="AJ82" s="28" t="inlineStr">
        <is>
          <t>2024-11-27</t>
        </is>
      </c>
      <c r="AK82" s="28" t="inlineStr">
        <is>
          <t>NONE FOUND</t>
        </is>
      </c>
      <c r="AL82" s="30" t="inlineStr">
        <is>
          <t>0000721-61.2024.8.17.2620</t>
        </is>
      </c>
      <c r="AM82" s="30" t="inlineStr">
        <is>
          <t>TJPE</t>
        </is>
      </c>
      <c r="AN82" s="30" t="inlineStr">
        <is>
          <t>ACTIVE</t>
        </is>
      </c>
      <c r="AO82" s="30" t="n">
        <v>2024</v>
      </c>
      <c r="AP82" s="30" t="inlineStr">
        <is>
          <t>live case, no plan document yet</t>
        </is>
      </c>
      <c r="AQ82" s="30" t="inlineStr">
        <is>
          <t>08.785.522/0001-58</t>
        </is>
      </c>
      <c r="AR82" s="30" t="inlineStr">
        <is>
          <t>printed on the list (read twice)</t>
        </is>
      </c>
      <c r="AS82" s="30" t="inlineStr">
        <is>
          <t>BRASILIA</t>
        </is>
      </c>
      <c r="AT82" s="30" t="inlineStr">
        <is>
          <t>DF</t>
        </is>
      </c>
      <c r="AU82" s="30" t="inlineStr">
        <is>
          <t>Caixas econômicas</t>
        </is>
      </c>
      <c r="AV82" s="30" t="inlineStr">
        <is>
          <t>DEMAIS</t>
        </is>
      </c>
      <c r="AW82" s="31" t="n">
        <v>105300000000</v>
      </c>
      <c r="AX82" s="30" t="inlineStr">
        <is>
          <t>LARGE CORP</t>
        </is>
      </c>
      <c r="AY82" s="30" t="inlineStr">
        <is>
          <t>00360305</t>
        </is>
      </c>
      <c r="AZ82" s="30" t="n">
        <v>2</v>
      </c>
      <c r="BA82" s="30" t="inlineStr">
        <is>
          <t>LIKELY_FINANCIAL_BY_NAME PARTIAL_DOC_CLASS_III_RECONCILED ROWS:p2r15,p2r24</t>
        </is>
      </c>
    </row>
    <row r="83">
      <c r="A83" s="16" t="inlineStr">
        <is>
          <t>BANCO COOPERATIVO SICOOB S.A.</t>
        </is>
      </c>
      <c r="B83" s="17" t="n">
        <v>2389491.93</v>
      </c>
      <c r="C83" s="18" t="inlineStr">
        <is>
          <t>GRUPO 3E</t>
        </is>
      </c>
      <c r="D83" s="19" t="inlineStr">
        <is>
          <t>NEW</t>
        </is>
      </c>
      <c r="E83" s="20" t="inlineStr"/>
      <c r="F83" s="19" t="inlineStr"/>
      <c r="G83" s="20" t="inlineStr"/>
      <c r="H83" s="19" t="inlineStr"/>
      <c r="I83" s="21" t="inlineStr">
        <is>
          <t>Mauricio Reis</t>
        </is>
      </c>
      <c r="J83" s="21" t="inlineStr">
        <is>
          <t>Superintendente de Operações e Produtos de Crédito, Consórcios, Cobrança e de Recuperação de Ativos</t>
        </is>
      </c>
      <c r="K83" s="21" t="inlineStr">
        <is>
          <t>(61) 3217-5200</t>
        </is>
      </c>
      <c r="L83" s="21" t="inlineStr"/>
      <c r="M83" s="21" t="inlineStr"/>
      <c r="N83" s="21" t="inlineStr">
        <is>
          <t>mauricio.reis@sicoob.com.br</t>
        </is>
      </c>
      <c r="O83" s="21" t="inlineStr"/>
      <c r="P83" s="21" t="inlineStr">
        <is>
          <t>ANTONIO CANDIDO VILACA JUNIOR</t>
        </is>
      </c>
      <c r="Q83" s="21" t="inlineStr">
        <is>
          <t>Diretor (RFB partner)</t>
        </is>
      </c>
      <c r="R83" s="21" t="inlineStr"/>
      <c r="S83" s="21" t="inlineStr"/>
      <c r="T83" s="21" t="inlineStr">
        <is>
          <t>email verified by Apollo</t>
        </is>
      </c>
      <c r="U83" s="22" t="n">
        <v>2389491.93</v>
      </c>
      <c r="V83" s="35" t="inlineStr">
        <is>
          <t>A</t>
        </is>
      </c>
      <c r="W83" s="24">
        <f>IFERROR(VLOOKUP(V83,Assumptions!$A$7:$F$11,2,FALSE),0)</f>
        <v/>
      </c>
      <c r="X83" s="25">
        <f>IF(V83="A",MAX(1,IFERROR(VLOOKUP(V83,Assumptions!$A$7:$F$11,3,FALSE),3)+IFERROR(VLOOKUP(V83,Assumptions!$A$7:$F$11,4,FALSE),8)/2-MAX(0,IF(AO83="",0,YEAR(TODAY())-AO83)-IFERROR(VLOOKUP(V83,Assumptions!$A$7:$F$11,5,FALSE),1.5))),IFERROR(VLOOKUP(V83,Assumptions!$A$7:$F$11,5,FALSE),2.5)+IFERROR(VLOOKUP(V83,Assumptions!$A$7:$F$11,3,FALSE),3)+IFERROR(VLOOKUP(V83,Assumptions!$A$7:$F$11,4,FALSE),8)/2)</f>
        <v/>
      </c>
      <c r="Y83" s="22">
        <f>U83*W83/(1+Assumptions!$B$3)^X83</f>
        <v/>
      </c>
      <c r="Z83" s="26">
        <f>IF(U83=0,"",ROUND(Y83/U83*100,1))</f>
        <v/>
      </c>
      <c r="AA83" s="27">
        <f>Y83*Assumptions!$B$4</f>
        <v/>
      </c>
      <c r="AB83" s="26">
        <f>IF(U83=0,"",ROUND(AA83/U83*100,1))</f>
        <v/>
      </c>
      <c r="AC83" s="27">
        <f>Y83-AA83</f>
        <v/>
      </c>
      <c r="AD83" s="26">
        <f>IF(U83=0,"",ROUND((Y83-AA83)/U83*100,1))</f>
        <v/>
      </c>
      <c r="AE83" s="33" t="inlineStr">
        <is>
          <t>NO TOTALS — list prints none; check page</t>
        </is>
      </c>
      <c r="AF83" s="29" t="inlineStr">
        <is>
          <t>https://stenius.com.br/wp-content/uploads/2026/06/EDITAL-GRUPO-3E.pdf</t>
        </is>
      </c>
      <c r="AG83" s="28" t="inlineStr">
        <is>
          <t>p10 r33</t>
        </is>
      </c>
      <c r="AH83" s="28" t="inlineStr">
        <is>
          <t>p10: R$ 2.389.491,93</t>
        </is>
      </c>
      <c r="AI83" s="28" t="inlineStr">
        <is>
          <t>Debtor list (art. 51)</t>
        </is>
      </c>
      <c r="AJ83" s="28" t="inlineStr">
        <is>
          <t>2026-06-22</t>
        </is>
      </c>
      <c r="AK83" s="28" t="inlineStr">
        <is>
          <t>PLAN DOC FOUND</t>
        </is>
      </c>
      <c r="AL83" s="30" t="inlineStr">
        <is>
          <t>5341375-33.2026.8.09.0049</t>
        </is>
      </c>
      <c r="AM83" s="30" t="inlineStr">
        <is>
          <t>TJGO</t>
        </is>
      </c>
      <c r="AN83" s="30" t="inlineStr">
        <is>
          <t>ACTIVE</t>
        </is>
      </c>
      <c r="AO83" s="30" t="n">
        <v>2026</v>
      </c>
      <c r="AP83" s="30" t="inlineStr">
        <is>
          <t>plan/homologation document found</t>
        </is>
      </c>
      <c r="AQ83" s="30" t="inlineStr"/>
      <c r="AR83" s="30" t="inlineStr">
        <is>
          <t>printed on the list (read twice)</t>
        </is>
      </c>
      <c r="AS83" s="30" t="inlineStr">
        <is>
          <t>BRASILIA</t>
        </is>
      </c>
      <c r="AT83" s="30" t="inlineStr">
        <is>
          <t>DF</t>
        </is>
      </c>
      <c r="AU83" s="30" t="inlineStr">
        <is>
          <t>Bancos cooperativos</t>
        </is>
      </c>
      <c r="AV83" s="30" t="inlineStr">
        <is>
          <t>DEMAIS</t>
        </is>
      </c>
      <c r="AW83" s="31" t="n">
        <v>6198490000</v>
      </c>
      <c r="AX83" s="30" t="inlineStr">
        <is>
          <t>LARGE CORP</t>
        </is>
      </c>
      <c r="AY83" s="30" t="inlineStr">
        <is>
          <t>02038232</t>
        </is>
      </c>
      <c r="AZ83" s="30" t="n">
        <v>1</v>
      </c>
      <c r="BA83" s="30" t="inlineStr">
        <is>
          <t>LIKELY_FINANCIAL_BY_NAME ROWS:p10r33 UNRECONCILED_SOURCE</t>
        </is>
      </c>
    </row>
    <row r="84">
      <c r="A84" s="16" t="inlineStr">
        <is>
          <t>BANCO DO BRASIL SA</t>
        </is>
      </c>
      <c r="B84" s="17" t="n">
        <v>4441128</v>
      </c>
      <c r="C84" s="18" t="inlineStr">
        <is>
          <t>GRUPO FOREST</t>
        </is>
      </c>
      <c r="D84" s="19" t="inlineStr">
        <is>
          <t>NEW</t>
        </is>
      </c>
      <c r="E84" s="20" t="inlineStr"/>
      <c r="F84" s="19" t="inlineStr"/>
      <c r="G84" s="20" t="inlineStr"/>
      <c r="H84" s="19" t="inlineStr"/>
      <c r="I84" s="21" t="inlineStr">
        <is>
          <t>Thiago Cavichioli</t>
        </is>
      </c>
      <c r="J84" s="21" t="inlineStr">
        <is>
          <t>Gerente de Cobrança e Recuperação de Crédito</t>
        </is>
      </c>
      <c r="K84" s="21" t="inlineStr">
        <is>
          <t>(61) 3493-9002</t>
        </is>
      </c>
      <c r="L84" s="21" t="inlineStr"/>
      <c r="M84" s="21" t="inlineStr"/>
      <c r="N84" s="21" t="inlineStr">
        <is>
          <t>thiago.cavichioli@bb.com.br</t>
        </is>
      </c>
      <c r="O84" s="21" t="inlineStr">
        <is>
          <t>suelenmondador@bb.com.br</t>
        </is>
      </c>
      <c r="P84" s="21" t="inlineStr">
        <is>
          <t>Suelen Mondador</t>
        </is>
      </c>
      <c r="Q84" s="21" t="inlineStr">
        <is>
          <t>Gerente Especialista em Recuperação de Crédito</t>
        </is>
      </c>
      <c r="R84" s="21" t="inlineStr"/>
      <c r="S84" s="21" t="inlineStr">
        <is>
          <t>suelenmondador@bb.com.br</t>
        </is>
      </c>
      <c r="T84" s="21" t="inlineStr">
        <is>
          <t>email verified by Apollo</t>
        </is>
      </c>
      <c r="U84" s="22" t="n">
        <v>4441128</v>
      </c>
      <c r="V84" s="23" t="inlineStr">
        <is>
          <t>B</t>
        </is>
      </c>
      <c r="W84" s="24">
        <f>IFERROR(VLOOKUP(V84,Assumptions!$A$7:$F$11,2,FALSE),0)</f>
        <v/>
      </c>
      <c r="X84" s="25">
        <f>IF(V84="A",MAX(1,IFERROR(VLOOKUP(V84,Assumptions!$A$7:$F$11,3,FALSE),3)+IFERROR(VLOOKUP(V84,Assumptions!$A$7:$F$11,4,FALSE),8)/2-MAX(0,IF(AO84="",0,YEAR(TODAY())-AO84)-IFERROR(VLOOKUP(V84,Assumptions!$A$7:$F$11,5,FALSE),1.5))),IFERROR(VLOOKUP(V84,Assumptions!$A$7:$F$11,5,FALSE),2.5)+IFERROR(VLOOKUP(V84,Assumptions!$A$7:$F$11,3,FALSE),3)+IFERROR(VLOOKUP(V84,Assumptions!$A$7:$F$11,4,FALSE),8)/2)</f>
        <v/>
      </c>
      <c r="Y84" s="22">
        <f>U84*W84/(1+Assumptions!$B$3)^X84</f>
        <v/>
      </c>
      <c r="Z84" s="26">
        <f>IF(U84=0,"",ROUND(Y84/U84*100,1))</f>
        <v/>
      </c>
      <c r="AA84" s="27">
        <f>Y84*Assumptions!$B$4</f>
        <v/>
      </c>
      <c r="AB84" s="26">
        <f>IF(U84=0,"",ROUND(AA84/U84*100,1))</f>
        <v/>
      </c>
      <c r="AC84" s="27">
        <f>Y84-AA84</f>
        <v/>
      </c>
      <c r="AD84" s="26">
        <f>IF(U84=0,"",ROUND((Y84-AA84)/U84*100,1))</f>
        <v/>
      </c>
      <c r="AE84" s="33" t="inlineStr">
        <is>
          <t>NO TOTALS — list prints none; check page</t>
        </is>
      </c>
      <c r="AF84" s="29" t="inlineStr">
        <is>
          <t>https://administradorajudicialgs.com.br/wp-content/uploads/2025/09/relacao-de-credores-forest-sa.pdf</t>
        </is>
      </c>
      <c r="AG84" s="28" t="inlineStr">
        <is>
          <t>p12 r2</t>
        </is>
      </c>
      <c r="AH84" s="28" t="inlineStr">
        <is>
          <t>p12: R$ 4.441.128,00</t>
        </is>
      </c>
      <c r="AI84" s="28" t="inlineStr">
        <is>
          <t>AJ list (art. 7 §2)</t>
        </is>
      </c>
      <c r="AJ84" s="28" t="inlineStr">
        <is>
          <t>2025-08-01</t>
        </is>
      </c>
      <c r="AK84" s="28" t="inlineStr">
        <is>
          <t>NONE FOUND</t>
        </is>
      </c>
      <c r="AL84" s="30" t="inlineStr">
        <is>
          <t>0026395-77.2025.8.16.0019</t>
        </is>
      </c>
      <c r="AM84" s="30" t="inlineStr">
        <is>
          <t>TJPR</t>
        </is>
      </c>
      <c r="AN84" s="30" t="inlineStr">
        <is>
          <t>ACTIVE</t>
        </is>
      </c>
      <c r="AO84" s="30" t="n">
        <v>2025</v>
      </c>
      <c r="AP84" s="30" t="inlineStr">
        <is>
          <t>live case, no plan document yet</t>
        </is>
      </c>
      <c r="AQ84" s="30" t="inlineStr">
        <is>
          <t>07.155.032/0001-05</t>
        </is>
      </c>
      <c r="AR84" s="30" t="inlineStr">
        <is>
          <t>printed on the list (read twice)</t>
        </is>
      </c>
      <c r="AS84" s="30" t="inlineStr">
        <is>
          <t>BRASILIA</t>
        </is>
      </c>
      <c r="AT84" s="30" t="inlineStr">
        <is>
          <t>DF</t>
        </is>
      </c>
      <c r="AU84" s="30" t="inlineStr">
        <is>
          <t>Bancos múltiplos, com carteira comercial</t>
        </is>
      </c>
      <c r="AV84" s="30" t="inlineStr">
        <is>
          <t>DEMAIS</t>
        </is>
      </c>
      <c r="AW84" s="31" t="n">
        <v>120000000000</v>
      </c>
      <c r="AX84" s="30" t="inlineStr">
        <is>
          <t>LARGE CORP</t>
        </is>
      </c>
      <c r="AY84" s="30" t="inlineStr">
        <is>
          <t>00000000</t>
        </is>
      </c>
      <c r="AZ84" s="30" t="n">
        <v>1</v>
      </c>
      <c r="BA84" s="30" t="inlineStr">
        <is>
          <t>LIKELY_FINANCIAL_BY_NAME LONG_CHUNK MULTI_ROOT ROWS:p12r2 UNRECONCILED_SOURCE CASE_NUMBER_CORRECTED</t>
        </is>
      </c>
    </row>
    <row r="85">
      <c r="A85" s="16" t="inlineStr">
        <is>
          <t>BB ADMINISTRADORA DE CONSORCIOS S.A.</t>
        </is>
      </c>
      <c r="B85" s="17" t="n">
        <v>2343402.47</v>
      </c>
      <c r="C85" s="18" t="inlineStr">
        <is>
          <t>GRUPO 3E</t>
        </is>
      </c>
      <c r="D85" s="19" t="inlineStr">
        <is>
          <t>NEW</t>
        </is>
      </c>
      <c r="E85" s="20" t="inlineStr"/>
      <c r="F85" s="19" t="inlineStr"/>
      <c r="G85" s="20" t="inlineStr"/>
      <c r="H85" s="19" t="inlineStr"/>
      <c r="I85" s="21" t="inlineStr">
        <is>
          <t>RENATO BARRETO DE SOUZA</t>
        </is>
      </c>
      <c r="J85" s="21" t="inlineStr">
        <is>
          <t>Presidente (RFB partner)</t>
        </is>
      </c>
      <c r="K85" s="21" t="inlineStr">
        <is>
          <t>(61) 3493-9002</t>
        </is>
      </c>
      <c r="L85" s="21" t="inlineStr">
        <is>
          <t>(61) 3493-1118</t>
        </is>
      </c>
      <c r="M85" s="21" t="inlineStr"/>
      <c r="N85" s="21" t="inlineStr"/>
      <c r="O85" s="21" t="inlineStr"/>
      <c r="P85" s="21" t="inlineStr">
        <is>
          <t>JEAN MICHEL MOURA DA CAMARA</t>
        </is>
      </c>
      <c r="Q85" s="21" t="inlineStr">
        <is>
          <t>Diretor (RFB partner)</t>
        </is>
      </c>
      <c r="R85" s="21" t="inlineStr"/>
      <c r="S85" s="21" t="inlineStr"/>
      <c r="T85" s="21" t="inlineStr">
        <is>
          <t>RFB partner (QSA); no Apollo match</t>
        </is>
      </c>
      <c r="U85" s="22" t="n">
        <v>2343402.47</v>
      </c>
      <c r="V85" s="35" t="inlineStr">
        <is>
          <t>A</t>
        </is>
      </c>
      <c r="W85" s="24">
        <f>IFERROR(VLOOKUP(V85,Assumptions!$A$7:$F$11,2,FALSE),0)</f>
        <v/>
      </c>
      <c r="X85" s="25">
        <f>IF(V85="A",MAX(1,IFERROR(VLOOKUP(V85,Assumptions!$A$7:$F$11,3,FALSE),3)+IFERROR(VLOOKUP(V85,Assumptions!$A$7:$F$11,4,FALSE),8)/2-MAX(0,IF(AO85="",0,YEAR(TODAY())-AO85)-IFERROR(VLOOKUP(V85,Assumptions!$A$7:$F$11,5,FALSE),1.5))),IFERROR(VLOOKUP(V85,Assumptions!$A$7:$F$11,5,FALSE),2.5)+IFERROR(VLOOKUP(V85,Assumptions!$A$7:$F$11,3,FALSE),3)+IFERROR(VLOOKUP(V85,Assumptions!$A$7:$F$11,4,FALSE),8)/2)</f>
        <v/>
      </c>
      <c r="Y85" s="22">
        <f>U85*W85/(1+Assumptions!$B$3)^X85</f>
        <v/>
      </c>
      <c r="Z85" s="26">
        <f>IF(U85=0,"",ROUND(Y85/U85*100,1))</f>
        <v/>
      </c>
      <c r="AA85" s="27">
        <f>Y85*Assumptions!$B$4</f>
        <v/>
      </c>
      <c r="AB85" s="26">
        <f>IF(U85=0,"",ROUND(AA85/U85*100,1))</f>
        <v/>
      </c>
      <c r="AC85" s="27">
        <f>Y85-AA85</f>
        <v/>
      </c>
      <c r="AD85" s="26">
        <f>IF(U85=0,"",ROUND((Y85-AA85)/U85*100,1))</f>
        <v/>
      </c>
      <c r="AE85" s="33" t="inlineStr">
        <is>
          <t>NO TOTALS — list prints none; check page</t>
        </is>
      </c>
      <c r="AF85" s="29" t="inlineStr">
        <is>
          <t>https://stenius.com.br/wp-content/uploads/2026/06/EDITAL-GRUPO-3E.pdf</t>
        </is>
      </c>
      <c r="AG85" s="28" t="inlineStr">
        <is>
          <t>p10 r46</t>
        </is>
      </c>
      <c r="AH85" s="28" t="inlineStr">
        <is>
          <t>p10: R$ 2.343.402,47</t>
        </is>
      </c>
      <c r="AI85" s="28" t="inlineStr">
        <is>
          <t>Debtor list (art. 51)</t>
        </is>
      </c>
      <c r="AJ85" s="28" t="inlineStr">
        <is>
          <t>2026-06-22</t>
        </is>
      </c>
      <c r="AK85" s="28" t="inlineStr">
        <is>
          <t>PLAN DOC FOUND</t>
        </is>
      </c>
      <c r="AL85" s="30" t="inlineStr">
        <is>
          <t>5341375-33.2026.8.09.0049</t>
        </is>
      </c>
      <c r="AM85" s="30" t="inlineStr">
        <is>
          <t>TJGO</t>
        </is>
      </c>
      <c r="AN85" s="30" t="inlineStr">
        <is>
          <t>ACTIVE</t>
        </is>
      </c>
      <c r="AO85" s="30" t="n">
        <v>2026</v>
      </c>
      <c r="AP85" s="30" t="inlineStr">
        <is>
          <t>plan/homologation document found</t>
        </is>
      </c>
      <c r="AQ85" s="30" t="inlineStr"/>
      <c r="AR85" s="30" t="inlineStr">
        <is>
          <t>printed on the list (read twice)</t>
        </is>
      </c>
      <c r="AS85" s="30" t="inlineStr">
        <is>
          <t>BRASILIA</t>
        </is>
      </c>
      <c r="AT85" s="30" t="inlineStr">
        <is>
          <t>DF</t>
        </is>
      </c>
      <c r="AU85" s="30" t="inlineStr">
        <is>
          <t>Administração de consórcios para aquisição de bens e direitos</t>
        </is>
      </c>
      <c r="AV85" s="30" t="inlineStr">
        <is>
          <t>DEMAIS</t>
        </is>
      </c>
      <c r="AW85" s="31" t="n">
        <v>727543400</v>
      </c>
      <c r="AX85" s="30" t="inlineStr">
        <is>
          <t>LARGE CORP</t>
        </is>
      </c>
      <c r="AY85" s="30" t="inlineStr">
        <is>
          <t>06043050</t>
        </is>
      </c>
      <c r="AZ85" s="30" t="n">
        <v>1</v>
      </c>
      <c r="BA85" s="30" t="inlineStr">
        <is>
          <t>ROWS:p10r46 UNRECONCILED_SOURCE</t>
        </is>
      </c>
    </row>
    <row r="86">
      <c r="A86" s="16" t="inlineStr">
        <is>
          <t>CAIXA ECONOMICA FEDERAL</t>
        </is>
      </c>
      <c r="B86" s="17" t="n">
        <v>4362147.27</v>
      </c>
      <c r="C86" s="18" t="inlineStr">
        <is>
          <t>REAL DISTRIBUIDORA ÚNICA RIO COMÉRCIO DE REFRIGERAÇÃO LTDA.</t>
        </is>
      </c>
      <c r="D86" s="19" t="inlineStr">
        <is>
          <t>NEW</t>
        </is>
      </c>
      <c r="E86" s="20" t="inlineStr"/>
      <c r="F86" s="19" t="inlineStr"/>
      <c r="G86" s="20" t="inlineStr"/>
      <c r="H86" s="19" t="inlineStr"/>
      <c r="I86" s="21" t="inlineStr">
        <is>
          <t>Livia Serikaku</t>
        </is>
      </c>
      <c r="J86" s="21" t="inlineStr">
        <is>
          <t>Gerente de Clientes e Negócios | Recuperação de Crédito</t>
        </is>
      </c>
      <c r="K86" s="21" t="inlineStr">
        <is>
          <t>(00) 4004-0104</t>
        </is>
      </c>
      <c r="L86" s="21" t="inlineStr"/>
      <c r="M86" s="21" t="inlineStr"/>
      <c r="N86" s="21" t="inlineStr"/>
      <c r="O86" s="21" t="inlineStr"/>
      <c r="P86" s="21" t="inlineStr">
        <is>
          <t>Rodolfo Trevizan</t>
        </is>
      </c>
      <c r="Q86" s="21" t="inlineStr">
        <is>
          <t>Investment Banking | Distressed Assets | Project Finance</t>
        </is>
      </c>
      <c r="R86" s="21" t="inlineStr"/>
      <c r="S86" s="21" t="inlineStr"/>
      <c r="T86" s="21" t="inlineStr">
        <is>
          <t>no work email found in Apollo</t>
        </is>
      </c>
      <c r="U86" s="22" t="n">
        <v>4362147.27</v>
      </c>
      <c r="V86" s="23" t="inlineStr">
        <is>
          <t>B</t>
        </is>
      </c>
      <c r="W86" s="24">
        <f>IFERROR(VLOOKUP(V86,Assumptions!$A$7:$F$11,2,FALSE),0)</f>
        <v/>
      </c>
      <c r="X86" s="25">
        <f>IF(V86="A",MAX(1,IFERROR(VLOOKUP(V86,Assumptions!$A$7:$F$11,3,FALSE),3)+IFERROR(VLOOKUP(V86,Assumptions!$A$7:$F$11,4,FALSE),8)/2-MAX(0,IF(AO86="",0,YEAR(TODAY())-AO86)-IFERROR(VLOOKUP(V86,Assumptions!$A$7:$F$11,5,FALSE),1.5))),IFERROR(VLOOKUP(V86,Assumptions!$A$7:$F$11,5,FALSE),2.5)+IFERROR(VLOOKUP(V86,Assumptions!$A$7:$F$11,3,FALSE),3)+IFERROR(VLOOKUP(V86,Assumptions!$A$7:$F$11,4,FALSE),8)/2)</f>
        <v/>
      </c>
      <c r="Y86" s="22">
        <f>U86*W86/(1+Assumptions!$B$3)^X86</f>
        <v/>
      </c>
      <c r="Z86" s="26">
        <f>IF(U86=0,"",ROUND(Y86/U86*100,1))</f>
        <v/>
      </c>
      <c r="AA86" s="27">
        <f>Y86*Assumptions!$B$4</f>
        <v/>
      </c>
      <c r="AB86" s="26">
        <f>IF(U86=0,"",ROUND(AA86/U86*100,1))</f>
        <v/>
      </c>
      <c r="AC86" s="27">
        <f>Y86-AA86</f>
        <v/>
      </c>
      <c r="AD86" s="26">
        <f>IF(U86=0,"",ROUND((Y86-AA86)/U86*100,1))</f>
        <v/>
      </c>
      <c r="AE86" s="28" t="inlineStr">
        <is>
          <t>OK — totals reconciled</t>
        </is>
      </c>
      <c r="AF86" s="29" t="inlineStr">
        <is>
          <t>https://inova-aj.com.br/wp-content/uploads/2026/08/1a-Relacao-de-Credores-Real.pdf</t>
        </is>
      </c>
      <c r="AG86" s="28" t="inlineStr">
        <is>
          <t>p1 r19</t>
        </is>
      </c>
      <c r="AH86" s="28" t="inlineStr">
        <is>
          <t>p1: R$ 4.362.147,27</t>
        </is>
      </c>
      <c r="AI86" s="28" t="inlineStr">
        <is>
          <t>AJ list (art. 7 §2)</t>
        </is>
      </c>
      <c r="AJ86" s="28" t="inlineStr">
        <is>
          <t>2023-06-05</t>
        </is>
      </c>
      <c r="AK86" s="28" t="inlineStr">
        <is>
          <t>NONE FOUND</t>
        </is>
      </c>
      <c r="AL86" s="30" t="inlineStr">
        <is>
          <t>0873061-47.2023.8.19.0001</t>
        </is>
      </c>
      <c r="AM86" s="30" t="inlineStr">
        <is>
          <t>TJRJ</t>
        </is>
      </c>
      <c r="AN86" s="30" t="inlineStr"/>
      <c r="AO86" s="30" t="n">
        <v>2023</v>
      </c>
      <c r="AP86" s="30" t="inlineStr">
        <is>
          <t>live case, no plan document yet</t>
        </is>
      </c>
      <c r="AQ86" s="30" t="inlineStr"/>
      <c r="AR86" s="30" t="inlineStr">
        <is>
          <t>printed on the list (read twice)</t>
        </is>
      </c>
      <c r="AS86" s="30" t="inlineStr">
        <is>
          <t>BRASILIA</t>
        </is>
      </c>
      <c r="AT86" s="30" t="inlineStr">
        <is>
          <t>DF</t>
        </is>
      </c>
      <c r="AU86" s="30" t="inlineStr">
        <is>
          <t>Caixas econômicas</t>
        </is>
      </c>
      <c r="AV86" s="30" t="inlineStr">
        <is>
          <t>DEMAIS</t>
        </is>
      </c>
      <c r="AW86" s="31" t="n">
        <v>105300000000</v>
      </c>
      <c r="AX86" s="30" t="inlineStr">
        <is>
          <t>LARGE CORP</t>
        </is>
      </c>
      <c r="AY86" s="30" t="inlineStr">
        <is>
          <t>00360305</t>
        </is>
      </c>
      <c r="AZ86" s="30" t="n">
        <v>1</v>
      </c>
      <c r="BA86" s="30" t="inlineStr">
        <is>
          <t>ALT_VALUE:R$3.171.752,40 ROWS:p1r19</t>
        </is>
      </c>
    </row>
    <row r="87">
      <c r="A87" s="16" t="inlineStr">
        <is>
          <t>CAIXA ECONOMICA FEDERAL</t>
        </is>
      </c>
      <c r="B87" s="17" t="n">
        <v>4312799.65</v>
      </c>
      <c r="C87" s="18" t="inlineStr">
        <is>
          <t>Cerealista Safrasul Ltda</t>
        </is>
      </c>
      <c r="D87" s="19" t="inlineStr">
        <is>
          <t>NEW</t>
        </is>
      </c>
      <c r="E87" s="20" t="inlineStr"/>
      <c r="F87" s="19" t="inlineStr"/>
      <c r="G87" s="20" t="inlineStr"/>
      <c r="H87" s="19" t="inlineStr"/>
      <c r="I87" s="21" t="inlineStr">
        <is>
          <t>Livia Serikaku</t>
        </is>
      </c>
      <c r="J87" s="21" t="inlineStr">
        <is>
          <t>Gerente de Clientes e Negócios | Recuperação de Crédito</t>
        </is>
      </c>
      <c r="K87" s="21" t="inlineStr">
        <is>
          <t>(00) 4004-0104</t>
        </is>
      </c>
      <c r="L87" s="21" t="inlineStr"/>
      <c r="M87" s="21" t="inlineStr"/>
      <c r="N87" s="21" t="inlineStr"/>
      <c r="O87" s="21" t="inlineStr"/>
      <c r="P87" s="21" t="inlineStr">
        <is>
          <t>Rodolfo Trevizan</t>
        </is>
      </c>
      <c r="Q87" s="21" t="inlineStr">
        <is>
          <t>Investment Banking | Distressed Assets | Project Finance</t>
        </is>
      </c>
      <c r="R87" s="21" t="inlineStr"/>
      <c r="S87" s="21" t="inlineStr"/>
      <c r="T87" s="21" t="inlineStr">
        <is>
          <t>no work email found in Apollo</t>
        </is>
      </c>
      <c r="U87" s="22" t="n">
        <v>4312799.65</v>
      </c>
      <c r="V87" s="23" t="inlineStr">
        <is>
          <t>B</t>
        </is>
      </c>
      <c r="W87" s="24">
        <f>IFERROR(VLOOKUP(V87,Assumptions!$A$7:$F$11,2,FALSE),0)</f>
        <v/>
      </c>
      <c r="X87" s="25">
        <f>IF(V87="A",MAX(1,IFERROR(VLOOKUP(V87,Assumptions!$A$7:$F$11,3,FALSE),3)+IFERROR(VLOOKUP(V87,Assumptions!$A$7:$F$11,4,FALSE),8)/2-MAX(0,IF(AO87="",0,YEAR(TODAY())-AO87)-IFERROR(VLOOKUP(V87,Assumptions!$A$7:$F$11,5,FALSE),1.5))),IFERROR(VLOOKUP(V87,Assumptions!$A$7:$F$11,5,FALSE),2.5)+IFERROR(VLOOKUP(V87,Assumptions!$A$7:$F$11,3,FALSE),3)+IFERROR(VLOOKUP(V87,Assumptions!$A$7:$F$11,4,FALSE),8)/2)</f>
        <v/>
      </c>
      <c r="Y87" s="22">
        <f>U87*W87/(1+Assumptions!$B$3)^X87</f>
        <v/>
      </c>
      <c r="Z87" s="26">
        <f>IF(U87=0,"",ROUND(Y87/U87*100,1))</f>
        <v/>
      </c>
      <c r="AA87" s="27">
        <f>Y87*Assumptions!$B$4</f>
        <v/>
      </c>
      <c r="AB87" s="26">
        <f>IF(U87=0,"",ROUND(AA87/U87*100,1))</f>
        <v/>
      </c>
      <c r="AC87" s="27">
        <f>Y87-AA87</f>
        <v/>
      </c>
      <c r="AD87" s="26">
        <f>IF(U87=0,"",ROUND((Y87-AA87)/U87*100,1))</f>
        <v/>
      </c>
      <c r="AE87" s="33" t="inlineStr">
        <is>
          <t>NO TOTALS — list prints none; check page</t>
        </is>
      </c>
      <c r="AF87" s="29" t="inlineStr">
        <is>
          <t>https://ajruiz.com.br/sites/default/files/public/arquivos-processos/2026-01/safrasul_relacao_de_credores_recuperanda.pdf</t>
        </is>
      </c>
      <c r="AG87" s="28" t="inlineStr">
        <is>
          <t>p8 r20</t>
        </is>
      </c>
      <c r="AH87" s="28" t="inlineStr">
        <is>
          <t>p8: R$ 4.312.799,65</t>
        </is>
      </c>
      <c r="AI87" s="28" t="inlineStr">
        <is>
          <t>AJ list (art. 7 §2)</t>
        </is>
      </c>
      <c r="AJ87" s="28" t="inlineStr">
        <is>
          <t>2026-01-14</t>
        </is>
      </c>
      <c r="AK87" s="28" t="inlineStr">
        <is>
          <t>NONE FOUND</t>
        </is>
      </c>
      <c r="AL87" s="30" t="inlineStr">
        <is>
          <t>4000167-23.2025.8.26.0373</t>
        </is>
      </c>
      <c r="AM87" s="30" t="inlineStr">
        <is>
          <t>TJSP</t>
        </is>
      </c>
      <c r="AN87" s="30" t="inlineStr">
        <is>
          <t>ACTIVE</t>
        </is>
      </c>
      <c r="AO87" s="30" t="n">
        <v>2025</v>
      </c>
      <c r="AP87" s="30" t="inlineStr">
        <is>
          <t>live case, no plan document yet</t>
        </is>
      </c>
      <c r="AQ87" s="30" t="inlineStr"/>
      <c r="AR87" s="30" t="inlineStr">
        <is>
          <t>printed on the list (read twice)</t>
        </is>
      </c>
      <c r="AS87" s="30" t="inlineStr">
        <is>
          <t>BRASILIA</t>
        </is>
      </c>
      <c r="AT87" s="30" t="inlineStr">
        <is>
          <t>DF</t>
        </is>
      </c>
      <c r="AU87" s="30" t="inlineStr">
        <is>
          <t>Caixas econômicas</t>
        </is>
      </c>
      <c r="AV87" s="30" t="inlineStr">
        <is>
          <t>DEMAIS</t>
        </is>
      </c>
      <c r="AW87" s="31" t="n">
        <v>105300000000</v>
      </c>
      <c r="AX87" s="30" t="inlineStr">
        <is>
          <t>LARGE CORP</t>
        </is>
      </c>
      <c r="AY87" s="30" t="inlineStr">
        <is>
          <t>00360305</t>
        </is>
      </c>
      <c r="AZ87" s="30" t="n">
        <v>1</v>
      </c>
      <c r="BA87" s="30" t="inlineStr">
        <is>
          <t>LIKELY_FINANCIAL_BY_NAME ROWS:p8r20 UNRECONCILED_SOURCE</t>
        </is>
      </c>
    </row>
    <row r="88">
      <c r="A88" s="16" t="inlineStr">
        <is>
          <t>SCANIA BANCO S.A.</t>
        </is>
      </c>
      <c r="B88" s="17" t="n">
        <v>2297915.55</v>
      </c>
      <c r="C88" s="18" t="inlineStr">
        <is>
          <t>GRUPO 3E</t>
        </is>
      </c>
      <c r="D88" s="19" t="inlineStr">
        <is>
          <t>NEW</t>
        </is>
      </c>
      <c r="E88" s="20" t="inlineStr"/>
      <c r="F88" s="19" t="inlineStr"/>
      <c r="G88" s="20" t="inlineStr"/>
      <c r="H88" s="19" t="inlineStr"/>
      <c r="I88" s="21" t="inlineStr">
        <is>
          <t>Anilton Marchetti</t>
        </is>
      </c>
      <c r="J88" s="21" t="inlineStr">
        <is>
          <t>Gerente Regional Scania Banco</t>
        </is>
      </c>
      <c r="K88" s="21" t="inlineStr">
        <is>
          <t>(11) 3214-0820</t>
        </is>
      </c>
      <c r="L88" s="21" t="inlineStr"/>
      <c r="M88" s="21" t="inlineStr"/>
      <c r="N88" s="21" t="inlineStr">
        <is>
          <t>anilton.marchetti@scania.com</t>
        </is>
      </c>
      <c r="O88" s="21" t="inlineStr">
        <is>
          <t>vanessa.calegari@scania.com</t>
        </is>
      </c>
      <c r="P88" s="21" t="inlineStr">
        <is>
          <t>Vanessa Calegari</t>
        </is>
      </c>
      <c r="Q88" s="21" t="inlineStr">
        <is>
          <t>Analista Financeiro Sênior/Scania Banco S/A</t>
        </is>
      </c>
      <c r="R88" s="21" t="inlineStr"/>
      <c r="S88" s="21" t="inlineStr">
        <is>
          <t>vanessa.calegari@scania.com</t>
        </is>
      </c>
      <c r="T88" s="21" t="inlineStr">
        <is>
          <t>email verified by Apollo</t>
        </is>
      </c>
      <c r="U88" s="22" t="n">
        <v>2297915.55</v>
      </c>
      <c r="V88" s="35" t="inlineStr">
        <is>
          <t>A</t>
        </is>
      </c>
      <c r="W88" s="24">
        <f>IFERROR(VLOOKUP(V88,Assumptions!$A$7:$F$11,2,FALSE),0)</f>
        <v/>
      </c>
      <c r="X88" s="25">
        <f>IF(V88="A",MAX(1,IFERROR(VLOOKUP(V88,Assumptions!$A$7:$F$11,3,FALSE),3)+IFERROR(VLOOKUP(V88,Assumptions!$A$7:$F$11,4,FALSE),8)/2-MAX(0,IF(AO88="",0,YEAR(TODAY())-AO88)-IFERROR(VLOOKUP(V88,Assumptions!$A$7:$F$11,5,FALSE),1.5))),IFERROR(VLOOKUP(V88,Assumptions!$A$7:$F$11,5,FALSE),2.5)+IFERROR(VLOOKUP(V88,Assumptions!$A$7:$F$11,3,FALSE),3)+IFERROR(VLOOKUP(V88,Assumptions!$A$7:$F$11,4,FALSE),8)/2)</f>
        <v/>
      </c>
      <c r="Y88" s="22">
        <f>U88*W88/(1+Assumptions!$B$3)^X88</f>
        <v/>
      </c>
      <c r="Z88" s="26">
        <f>IF(U88=0,"",ROUND(Y88/U88*100,1))</f>
        <v/>
      </c>
      <c r="AA88" s="27">
        <f>Y88*Assumptions!$B$4</f>
        <v/>
      </c>
      <c r="AB88" s="26">
        <f>IF(U88=0,"",ROUND(AA88/U88*100,1))</f>
        <v/>
      </c>
      <c r="AC88" s="27">
        <f>Y88-AA88</f>
        <v/>
      </c>
      <c r="AD88" s="26">
        <f>IF(U88=0,"",ROUND((Y88-AA88)/U88*100,1))</f>
        <v/>
      </c>
      <c r="AE88" s="33" t="inlineStr">
        <is>
          <t>NO TOTALS — list prints none; check page</t>
        </is>
      </c>
      <c r="AF88" s="29" t="inlineStr">
        <is>
          <t>https://stenius.com.br/wp-content/uploads/2026/06/EDITAL-GRUPO-3E.pdf</t>
        </is>
      </c>
      <c r="AG88" s="28" t="inlineStr">
        <is>
          <t>p17 r55</t>
        </is>
      </c>
      <c r="AH88" s="28" t="inlineStr">
        <is>
          <t>p17: R$ 2.297.915,55</t>
        </is>
      </c>
      <c r="AI88" s="28" t="inlineStr">
        <is>
          <t>Debtor list (art. 51)</t>
        </is>
      </c>
      <c r="AJ88" s="28" t="inlineStr">
        <is>
          <t>2026-06-22</t>
        </is>
      </c>
      <c r="AK88" s="28" t="inlineStr">
        <is>
          <t>PLAN DOC FOUND</t>
        </is>
      </c>
      <c r="AL88" s="30" t="inlineStr">
        <is>
          <t>5341375-33.2026.8.09.0049</t>
        </is>
      </c>
      <c r="AM88" s="30" t="inlineStr">
        <is>
          <t>TJGO</t>
        </is>
      </c>
      <c r="AN88" s="30" t="inlineStr">
        <is>
          <t>ACTIVE</t>
        </is>
      </c>
      <c r="AO88" s="30" t="n">
        <v>2026</v>
      </c>
      <c r="AP88" s="30" t="inlineStr">
        <is>
          <t>plan/homologation document found</t>
        </is>
      </c>
      <c r="AQ88" s="30" t="inlineStr"/>
      <c r="AR88" s="30" t="inlineStr">
        <is>
          <t>printed on the list (read twice)</t>
        </is>
      </c>
      <c r="AS88" s="30" t="inlineStr">
        <is>
          <t>SAO BERNARDO DO CAMPO</t>
        </is>
      </c>
      <c r="AT88" s="30" t="inlineStr">
        <is>
          <t>SP</t>
        </is>
      </c>
      <c r="AU88" s="30" t="inlineStr">
        <is>
          <t>Bancos múltiplos, sem carteira comercial</t>
        </is>
      </c>
      <c r="AV88" s="30" t="inlineStr">
        <is>
          <t>DEMAIS</t>
        </is>
      </c>
      <c r="AW88" s="31" t="n">
        <v>710000000</v>
      </c>
      <c r="AX88" s="30" t="inlineStr">
        <is>
          <t>LARGE CORP</t>
        </is>
      </c>
      <c r="AY88" s="30" t="inlineStr">
        <is>
          <t>11417016</t>
        </is>
      </c>
      <c r="AZ88" s="30" t="n">
        <v>1</v>
      </c>
      <c r="BA88" s="30" t="inlineStr">
        <is>
          <t>LIKELY_FINANCIAL_BY_NAME ROWS:p17r55 UNRECONCILED_SOURCE</t>
        </is>
      </c>
    </row>
    <row r="89">
      <c r="A89" s="16" t="inlineStr">
        <is>
          <t>ITAU UNIBANCO S.A.</t>
        </is>
      </c>
      <c r="B89" s="17" t="n">
        <v>4228442.28</v>
      </c>
      <c r="C89" s="18" t="inlineStr">
        <is>
          <t>REAL DISTRIBUIDORA ÚNICA RIO COMÉRCIO DE REFRIGERAÇÃO LTDA.</t>
        </is>
      </c>
      <c r="D89" s="19" t="inlineStr">
        <is>
          <t>NEW</t>
        </is>
      </c>
      <c r="E89" s="20" t="inlineStr"/>
      <c r="F89" s="19" t="inlineStr"/>
      <c r="G89" s="20" t="inlineStr"/>
      <c r="H89" s="19" t="inlineStr"/>
      <c r="I89" s="21" t="inlineStr">
        <is>
          <t>Murilo Gigliucci</t>
        </is>
      </c>
      <c r="J89" s="21" t="inlineStr">
        <is>
          <t>Superintendente de Reestruturação de Crédito</t>
        </is>
      </c>
      <c r="K89" s="21" t="inlineStr">
        <is>
          <t>(11) 3003-4828</t>
        </is>
      </c>
      <c r="L89" s="21" t="inlineStr"/>
      <c r="M89" s="21" t="inlineStr"/>
      <c r="N89" s="21" t="inlineStr">
        <is>
          <t>murilo.gigliucci@itau-unibanco.com.br</t>
        </is>
      </c>
      <c r="O89" s="21" t="inlineStr">
        <is>
          <t>pedro.ornellas-geronimo@itau-unibanco.com.br</t>
        </is>
      </c>
      <c r="P89" s="21" t="inlineStr">
        <is>
          <t>Pedro Ornellas</t>
        </is>
      </c>
      <c r="Q89" s="21" t="inlineStr">
        <is>
          <t>Superintendente de Recuperação de Crédito</t>
        </is>
      </c>
      <c r="R89" s="21" t="inlineStr"/>
      <c r="S89" s="21" t="inlineStr">
        <is>
          <t>pedro.ornellas-geronimo@itau-unibanco.com.br</t>
        </is>
      </c>
      <c r="T89" s="21" t="inlineStr">
        <is>
          <t>email verified by Apollo</t>
        </is>
      </c>
      <c r="U89" s="22" t="n">
        <v>4228442.28</v>
      </c>
      <c r="V89" s="23" t="inlineStr">
        <is>
          <t>B</t>
        </is>
      </c>
      <c r="W89" s="24">
        <f>IFERROR(VLOOKUP(V89,Assumptions!$A$7:$F$11,2,FALSE),0)</f>
        <v/>
      </c>
      <c r="X89" s="25">
        <f>IF(V89="A",MAX(1,IFERROR(VLOOKUP(V89,Assumptions!$A$7:$F$11,3,FALSE),3)+IFERROR(VLOOKUP(V89,Assumptions!$A$7:$F$11,4,FALSE),8)/2-MAX(0,IF(AO89="",0,YEAR(TODAY())-AO89)-IFERROR(VLOOKUP(V89,Assumptions!$A$7:$F$11,5,FALSE),1.5))),IFERROR(VLOOKUP(V89,Assumptions!$A$7:$F$11,5,FALSE),2.5)+IFERROR(VLOOKUP(V89,Assumptions!$A$7:$F$11,3,FALSE),3)+IFERROR(VLOOKUP(V89,Assumptions!$A$7:$F$11,4,FALSE),8)/2)</f>
        <v/>
      </c>
      <c r="Y89" s="22">
        <f>U89*W89/(1+Assumptions!$B$3)^X89</f>
        <v/>
      </c>
      <c r="Z89" s="26">
        <f>IF(U89=0,"",ROUND(Y89/U89*100,1))</f>
        <v/>
      </c>
      <c r="AA89" s="27">
        <f>Y89*Assumptions!$B$4</f>
        <v/>
      </c>
      <c r="AB89" s="26">
        <f>IF(U89=0,"",ROUND(AA89/U89*100,1))</f>
        <v/>
      </c>
      <c r="AC89" s="27">
        <f>Y89-AA89</f>
        <v/>
      </c>
      <c r="AD89" s="26">
        <f>IF(U89=0,"",ROUND((Y89-AA89)/U89*100,1))</f>
        <v/>
      </c>
      <c r="AE89" s="28" t="inlineStr">
        <is>
          <t>OK — totals reconciled</t>
        </is>
      </c>
      <c r="AF89" s="29" t="inlineStr">
        <is>
          <t>https://inova-aj.com.br/wp-content/uploads/2026/08/1a-Relacao-de-Credores-Real.pdf</t>
        </is>
      </c>
      <c r="AG89" s="28" t="inlineStr">
        <is>
          <t>p1 r15</t>
        </is>
      </c>
      <c r="AH89" s="28" t="inlineStr">
        <is>
          <t>p1: R$ 4.228.442,28</t>
        </is>
      </c>
      <c r="AI89" s="28" t="inlineStr">
        <is>
          <t>AJ list (art. 7 §2)</t>
        </is>
      </c>
      <c r="AJ89" s="28" t="inlineStr">
        <is>
          <t>2023-06-05</t>
        </is>
      </c>
      <c r="AK89" s="28" t="inlineStr">
        <is>
          <t>NONE FOUND</t>
        </is>
      </c>
      <c r="AL89" s="30" t="inlineStr">
        <is>
          <t>0873061-47.2023.8.19.0001</t>
        </is>
      </c>
      <c r="AM89" s="30" t="inlineStr">
        <is>
          <t>TJRJ</t>
        </is>
      </c>
      <c r="AN89" s="30" t="inlineStr"/>
      <c r="AO89" s="30" t="n">
        <v>2023</v>
      </c>
      <c r="AP89" s="30" t="inlineStr">
        <is>
          <t>live case, no plan document yet</t>
        </is>
      </c>
      <c r="AQ89" s="30" t="inlineStr"/>
      <c r="AR89" s="30" t="inlineStr">
        <is>
          <t>printed on the list (read twice)</t>
        </is>
      </c>
      <c r="AS89" s="30" t="inlineStr">
        <is>
          <t>SAO PAULO</t>
        </is>
      </c>
      <c r="AT89" s="30" t="inlineStr">
        <is>
          <t>SP</t>
        </is>
      </c>
      <c r="AU89" s="30" t="inlineStr">
        <is>
          <t>Bancos comerciais</t>
        </is>
      </c>
      <c r="AV89" s="30" t="inlineStr">
        <is>
          <t>DEMAIS</t>
        </is>
      </c>
      <c r="AW89" s="31" t="n">
        <v>76200000000</v>
      </c>
      <c r="AX89" s="30" t="inlineStr">
        <is>
          <t>LARGE CORP</t>
        </is>
      </c>
      <c r="AY89" s="30" t="inlineStr">
        <is>
          <t>60701190</t>
        </is>
      </c>
      <c r="AZ89" s="30" t="n">
        <v>1</v>
      </c>
      <c r="BA89" s="30" t="inlineStr">
        <is>
          <t>ALT_VALUE:R$3.074.534,42 ROWS:p1r15</t>
        </is>
      </c>
    </row>
    <row r="90">
      <c r="A90" s="16" t="inlineStr">
        <is>
          <t>Banco Guanabara S.A.</t>
        </is>
      </c>
      <c r="B90" s="17" t="n">
        <v>4227912.66</v>
      </c>
      <c r="C90" s="18" t="inlineStr">
        <is>
          <t>GRUPO DP4</t>
        </is>
      </c>
      <c r="D90" s="19" t="inlineStr">
        <is>
          <t>NEW</t>
        </is>
      </c>
      <c r="E90" s="20" t="inlineStr"/>
      <c r="F90" s="19" t="inlineStr"/>
      <c r="G90" s="20" t="inlineStr"/>
      <c r="H90" s="19" t="inlineStr"/>
      <c r="I90" s="21" t="inlineStr">
        <is>
          <t>Bianca Marinho</t>
        </is>
      </c>
      <c r="J90" s="21" t="inlineStr">
        <is>
          <t>Senior Lawyer</t>
        </is>
      </c>
      <c r="K90" s="21" t="inlineStr"/>
      <c r="L90" s="21" t="inlineStr"/>
      <c r="M90" s="21" t="inlineStr"/>
      <c r="N90" s="21" t="inlineStr">
        <is>
          <t>bianca.marinho@bancoguanabara.com.br</t>
        </is>
      </c>
      <c r="O90" s="21" t="inlineStr">
        <is>
          <t>andressa.nogueira@bancoguanabara.com.br</t>
        </is>
      </c>
      <c r="P90" s="21" t="inlineStr">
        <is>
          <t>Andressa Nogueira</t>
        </is>
      </c>
      <c r="Q90" s="21" t="inlineStr">
        <is>
          <t>Gerente de Contratos e Controle de Garantias</t>
        </is>
      </c>
      <c r="R90" s="21" t="inlineStr"/>
      <c r="S90" s="21" t="inlineStr">
        <is>
          <t>andressa.nogueira@bancoguanabara.com.br</t>
        </is>
      </c>
      <c r="T90" s="21" t="inlineStr">
        <is>
          <t>email verified by Apollo</t>
        </is>
      </c>
      <c r="U90" s="22" t="n">
        <v>4227912.66</v>
      </c>
      <c r="V90" s="23" t="inlineStr">
        <is>
          <t>B</t>
        </is>
      </c>
      <c r="W90" s="24">
        <f>IFERROR(VLOOKUP(V90,Assumptions!$A$7:$F$11,2,FALSE),0)</f>
        <v/>
      </c>
      <c r="X90" s="25">
        <f>IF(V90="A",MAX(1,IFERROR(VLOOKUP(V90,Assumptions!$A$7:$F$11,3,FALSE),3)+IFERROR(VLOOKUP(V90,Assumptions!$A$7:$F$11,4,FALSE),8)/2-MAX(0,IF(AO90="",0,YEAR(TODAY())-AO90)-IFERROR(VLOOKUP(V90,Assumptions!$A$7:$F$11,5,FALSE),1.5))),IFERROR(VLOOKUP(V90,Assumptions!$A$7:$F$11,5,FALSE),2.5)+IFERROR(VLOOKUP(V90,Assumptions!$A$7:$F$11,3,FALSE),3)+IFERROR(VLOOKUP(V90,Assumptions!$A$7:$F$11,4,FALSE),8)/2)</f>
        <v/>
      </c>
      <c r="Y90" s="22">
        <f>U90*W90/(1+Assumptions!$B$3)^X90</f>
        <v/>
      </c>
      <c r="Z90" s="26">
        <f>IF(U90=0,"",ROUND(Y90/U90*100,1))</f>
        <v/>
      </c>
      <c r="AA90" s="27">
        <f>Y90*Assumptions!$B$4</f>
        <v/>
      </c>
      <c r="AB90" s="26">
        <f>IF(U90=0,"",ROUND(AA90/U90*100,1))</f>
        <v/>
      </c>
      <c r="AC90" s="27">
        <f>Y90-AA90</f>
        <v/>
      </c>
      <c r="AD90" s="26">
        <f>IF(U90=0,"",ROUND((Y90-AA90)/U90*100,1))</f>
        <v/>
      </c>
      <c r="AE90" s="34" t="inlineStr">
        <is>
          <t>PARTIAL — class III reconciled, other classes not</t>
        </is>
      </c>
      <c r="AF90" s="29" t="inlineStr">
        <is>
          <t>https://marquesadmjudicial.com.br/sgc/download.php?file=files/processo_documento/processo_documento15293208032024_1_.pdf&amp;nome=Relação Nominal de Credores da AJ-Sintética</t>
        </is>
      </c>
      <c r="AG90" s="28" t="inlineStr">
        <is>
          <t>p21 r2</t>
        </is>
      </c>
      <c r="AH90" s="28" t="inlineStr">
        <is>
          <t>p21: R$ 4.227.912,66</t>
        </is>
      </c>
      <c r="AI90" s="28" t="inlineStr">
        <is>
          <t>AJ list (art. 7 §2)</t>
        </is>
      </c>
      <c r="AJ90" s="28" t="inlineStr">
        <is>
          <t>2023-03-02</t>
        </is>
      </c>
      <c r="AK90" s="28" t="inlineStr">
        <is>
          <t>NONE FOUND</t>
        </is>
      </c>
      <c r="AL90" s="30" t="inlineStr">
        <is>
          <t>0005010-98.2023.8.16.0001</t>
        </is>
      </c>
      <c r="AM90" s="30" t="inlineStr">
        <is>
          <t>TJPR</t>
        </is>
      </c>
      <c r="AN90" s="30" t="inlineStr">
        <is>
          <t>ACTIVE</t>
        </is>
      </c>
      <c r="AO90" s="30" t="n">
        <v>2023</v>
      </c>
      <c r="AP90" s="30" t="inlineStr">
        <is>
          <t>live case, no plan document yet</t>
        </is>
      </c>
      <c r="AQ90" s="30" t="inlineStr"/>
      <c r="AR90" s="30" t="inlineStr">
        <is>
          <t>printed on the list (read twice)</t>
        </is>
      </c>
      <c r="AS90" s="30" t="inlineStr"/>
      <c r="AT90" s="30" t="inlineStr"/>
      <c r="AU90" s="30" t="inlineStr"/>
      <c r="AV90" s="30" t="inlineStr"/>
      <c r="AW90" s="31" t="inlineStr"/>
      <c r="AX90" s="30" t="inlineStr">
        <is>
          <t>MID-MARKET</t>
        </is>
      </c>
      <c r="AY90" s="30" t="inlineStr">
        <is>
          <t>31880826</t>
        </is>
      </c>
      <c r="AZ90" s="30" t="n">
        <v>1</v>
      </c>
      <c r="BA90" s="30" t="inlineStr">
        <is>
          <t>LIKELY_FINANCIAL_BY_NAME PARTIAL_DOC_CLASS_III_RECONCILED ROWS:p21r2</t>
        </is>
      </c>
    </row>
    <row r="91">
      <c r="A91" s="16" t="inlineStr">
        <is>
          <t>BANCO VOLKSWAGEN S.A.</t>
        </is>
      </c>
      <c r="B91" s="17" t="n">
        <v>2266536.35</v>
      </c>
      <c r="C91" s="18" t="inlineStr">
        <is>
          <t>GRUPO 3E</t>
        </is>
      </c>
      <c r="D91" s="19" t="inlineStr">
        <is>
          <t>NEW</t>
        </is>
      </c>
      <c r="E91" s="20" t="inlineStr"/>
      <c r="F91" s="19" t="inlineStr"/>
      <c r="G91" s="20" t="inlineStr"/>
      <c r="H91" s="19" t="inlineStr"/>
      <c r="I91" s="21" t="inlineStr">
        <is>
          <t>Andreia Mancine</t>
        </is>
      </c>
      <c r="J91" s="21" t="inlineStr">
        <is>
          <t>Senior Credit Analyst</t>
        </is>
      </c>
      <c r="K91" s="21" t="inlineStr"/>
      <c r="L91" s="21" t="inlineStr"/>
      <c r="M91" s="21" t="inlineStr"/>
      <c r="N91" s="21" t="inlineStr"/>
      <c r="O91" s="21" t="inlineStr">
        <is>
          <t>correa.carlos@hcosta.com.br</t>
        </is>
      </c>
      <c r="P91" s="21" t="inlineStr">
        <is>
          <t>Carlos Correa</t>
        </is>
      </c>
      <c r="Q91" s="21" t="inlineStr">
        <is>
          <t>Negociador de Crédito Banco Volkswagen</t>
        </is>
      </c>
      <c r="R91" s="21" t="inlineStr"/>
      <c r="S91" s="21" t="inlineStr">
        <is>
          <t>correa.carlos@hcosta.com.br</t>
        </is>
      </c>
      <c r="T91" s="21" t="inlineStr">
        <is>
          <t>no work email found in Apollo</t>
        </is>
      </c>
      <c r="U91" s="22" t="n">
        <v>2266536.35</v>
      </c>
      <c r="V91" s="35" t="inlineStr">
        <is>
          <t>A</t>
        </is>
      </c>
      <c r="W91" s="24">
        <f>IFERROR(VLOOKUP(V91,Assumptions!$A$7:$F$11,2,FALSE),0)</f>
        <v/>
      </c>
      <c r="X91" s="25">
        <f>IF(V91="A",MAX(1,IFERROR(VLOOKUP(V91,Assumptions!$A$7:$F$11,3,FALSE),3)+IFERROR(VLOOKUP(V91,Assumptions!$A$7:$F$11,4,FALSE),8)/2-MAX(0,IF(AO91="",0,YEAR(TODAY())-AO91)-IFERROR(VLOOKUP(V91,Assumptions!$A$7:$F$11,5,FALSE),1.5))),IFERROR(VLOOKUP(V91,Assumptions!$A$7:$F$11,5,FALSE),2.5)+IFERROR(VLOOKUP(V91,Assumptions!$A$7:$F$11,3,FALSE),3)+IFERROR(VLOOKUP(V91,Assumptions!$A$7:$F$11,4,FALSE),8)/2)</f>
        <v/>
      </c>
      <c r="Y91" s="22">
        <f>U91*W91/(1+Assumptions!$B$3)^X91</f>
        <v/>
      </c>
      <c r="Z91" s="26">
        <f>IF(U91=0,"",ROUND(Y91/U91*100,1))</f>
        <v/>
      </c>
      <c r="AA91" s="27">
        <f>Y91*Assumptions!$B$4</f>
        <v/>
      </c>
      <c r="AB91" s="26">
        <f>IF(U91=0,"",ROUND(AA91/U91*100,1))</f>
        <v/>
      </c>
      <c r="AC91" s="27">
        <f>Y91-AA91</f>
        <v/>
      </c>
      <c r="AD91" s="26">
        <f>IF(U91=0,"",ROUND((Y91-AA91)/U91*100,1))</f>
        <v/>
      </c>
      <c r="AE91" s="33" t="inlineStr">
        <is>
          <t>NO TOTALS — list prints none; check page</t>
        </is>
      </c>
      <c r="AF91" s="29" t="inlineStr">
        <is>
          <t>https://stenius.com.br/wp-content/uploads/2026/06/EDITAL-GRUPO-3E.pdf</t>
        </is>
      </c>
      <c r="AG91" s="28" t="inlineStr">
        <is>
          <t>p10 r40</t>
        </is>
      </c>
      <c r="AH91" s="28" t="inlineStr">
        <is>
          <t>p10: R$ 2.266.536,35</t>
        </is>
      </c>
      <c r="AI91" s="28" t="inlineStr">
        <is>
          <t>Debtor list (art. 51)</t>
        </is>
      </c>
      <c r="AJ91" s="28" t="inlineStr">
        <is>
          <t>2026-06-22</t>
        </is>
      </c>
      <c r="AK91" s="28" t="inlineStr">
        <is>
          <t>PLAN DOC FOUND</t>
        </is>
      </c>
      <c r="AL91" s="30" t="inlineStr">
        <is>
          <t>5341375-33.2026.8.09.0049</t>
        </is>
      </c>
      <c r="AM91" s="30" t="inlineStr">
        <is>
          <t>TJGO</t>
        </is>
      </c>
      <c r="AN91" s="30" t="inlineStr">
        <is>
          <t>ACTIVE</t>
        </is>
      </c>
      <c r="AO91" s="30" t="n">
        <v>2026</v>
      </c>
      <c r="AP91" s="30" t="inlineStr">
        <is>
          <t>plan/homologation document found</t>
        </is>
      </c>
      <c r="AQ91" s="30" t="inlineStr"/>
      <c r="AR91" s="30" t="inlineStr">
        <is>
          <t>printed on the list (read twice)</t>
        </is>
      </c>
      <c r="AS91" s="30" t="inlineStr">
        <is>
          <t>SAO PAULO</t>
        </is>
      </c>
      <c r="AT91" s="30" t="inlineStr">
        <is>
          <t>SP</t>
        </is>
      </c>
      <c r="AU91" s="30" t="inlineStr">
        <is>
          <t>Bancos múltiplos, sem carteira comercial</t>
        </is>
      </c>
      <c r="AV91" s="30" t="inlineStr">
        <is>
          <t>DEMAIS</t>
        </is>
      </c>
      <c r="AW91" s="31" t="n">
        <v>3948970500</v>
      </c>
      <c r="AX91" s="30" t="inlineStr">
        <is>
          <t>LARGE CORP</t>
        </is>
      </c>
      <c r="AY91" s="30" t="inlineStr">
        <is>
          <t>59109165</t>
        </is>
      </c>
      <c r="AZ91" s="30" t="n">
        <v>1</v>
      </c>
      <c r="BA91" s="30" t="inlineStr">
        <is>
          <t>LIKELY_FINANCIAL_BY_NAME ROWS:p10r40 UNRECONCILED_SOURCE</t>
        </is>
      </c>
    </row>
    <row r="92">
      <c r="A92" s="16" t="inlineStr">
        <is>
          <t>BANCO SOFISA S.A.</t>
        </is>
      </c>
      <c r="B92" s="17" t="n">
        <v>4204523.67</v>
      </c>
      <c r="C92" s="18" t="inlineStr">
        <is>
          <t>REAL DISTRIBUIDORA ÚNICA RIO COMÉRCIO DE REFRIGERAÇÃO LTDA.</t>
        </is>
      </c>
      <c r="D92" s="19" t="inlineStr">
        <is>
          <t>NEW</t>
        </is>
      </c>
      <c r="E92" s="20" t="inlineStr"/>
      <c r="F92" s="19" t="inlineStr"/>
      <c r="G92" s="20" t="inlineStr"/>
      <c r="H92" s="19" t="inlineStr"/>
      <c r="I92" s="21" t="inlineStr">
        <is>
          <t>Tiago Hendo</t>
        </is>
      </c>
      <c r="J92" s="21" t="inlineStr">
        <is>
          <t>Gerente de Reestruturação de Crédito</t>
        </is>
      </c>
      <c r="K92" s="21" t="inlineStr">
        <is>
          <t>(11) 3176-5500</t>
        </is>
      </c>
      <c r="L92" s="21" t="inlineStr"/>
      <c r="M92" s="21" t="inlineStr"/>
      <c r="N92" s="21" t="inlineStr"/>
      <c r="O92" s="21" t="inlineStr">
        <is>
          <t>rnurnberg@sofisa.com.br</t>
        </is>
      </c>
      <c r="P92" s="21" t="inlineStr">
        <is>
          <t>Rafael Nurnberg</t>
        </is>
      </c>
      <c r="Q92" s="21" t="inlineStr">
        <is>
          <t>Superintendente Executivo de Crédito e Cobrança Varejo (PF e PJ)</t>
        </is>
      </c>
      <c r="R92" s="21" t="inlineStr"/>
      <c r="S92" s="21" t="inlineStr">
        <is>
          <t>rnurnberg@sofisa.com.br</t>
        </is>
      </c>
      <c r="T92" s="21" t="inlineStr">
        <is>
          <t>no work email found in Apollo</t>
        </is>
      </c>
      <c r="U92" s="22" t="n">
        <v>4204523.67</v>
      </c>
      <c r="V92" s="23" t="inlineStr">
        <is>
          <t>B</t>
        </is>
      </c>
      <c r="W92" s="24">
        <f>IFERROR(VLOOKUP(V92,Assumptions!$A$7:$F$11,2,FALSE),0)</f>
        <v/>
      </c>
      <c r="X92" s="25">
        <f>IF(V92="A",MAX(1,IFERROR(VLOOKUP(V92,Assumptions!$A$7:$F$11,3,FALSE),3)+IFERROR(VLOOKUP(V92,Assumptions!$A$7:$F$11,4,FALSE),8)/2-MAX(0,IF(AO92="",0,YEAR(TODAY())-AO92)-IFERROR(VLOOKUP(V92,Assumptions!$A$7:$F$11,5,FALSE),1.5))),IFERROR(VLOOKUP(V92,Assumptions!$A$7:$F$11,5,FALSE),2.5)+IFERROR(VLOOKUP(V92,Assumptions!$A$7:$F$11,3,FALSE),3)+IFERROR(VLOOKUP(V92,Assumptions!$A$7:$F$11,4,FALSE),8)/2)</f>
        <v/>
      </c>
      <c r="Y92" s="22">
        <f>U92*W92/(1+Assumptions!$B$3)^X92</f>
        <v/>
      </c>
      <c r="Z92" s="26">
        <f>IF(U92=0,"",ROUND(Y92/U92*100,1))</f>
        <v/>
      </c>
      <c r="AA92" s="27">
        <f>Y92*Assumptions!$B$4</f>
        <v/>
      </c>
      <c r="AB92" s="26">
        <f>IF(U92=0,"",ROUND(AA92/U92*100,1))</f>
        <v/>
      </c>
      <c r="AC92" s="27">
        <f>Y92-AA92</f>
        <v/>
      </c>
      <c r="AD92" s="26">
        <f>IF(U92=0,"",ROUND((Y92-AA92)/U92*100,1))</f>
        <v/>
      </c>
      <c r="AE92" s="28" t="inlineStr">
        <is>
          <t>OK — totals reconciled</t>
        </is>
      </c>
      <c r="AF92" s="29" t="inlineStr">
        <is>
          <t>https://inova-aj.com.br/wp-content/uploads/2026/08/1a-Relacao-de-Credores-Real.pdf</t>
        </is>
      </c>
      <c r="AG92" s="28" t="inlineStr">
        <is>
          <t>p1 r16</t>
        </is>
      </c>
      <c r="AH92" s="28" t="inlineStr">
        <is>
          <t>p1: R$ 4.204.523,67</t>
        </is>
      </c>
      <c r="AI92" s="28" t="inlineStr">
        <is>
          <t>AJ list (art. 7 §2)</t>
        </is>
      </c>
      <c r="AJ92" s="28" t="inlineStr">
        <is>
          <t>2023-06-05</t>
        </is>
      </c>
      <c r="AK92" s="28" t="inlineStr">
        <is>
          <t>NONE FOUND</t>
        </is>
      </c>
      <c r="AL92" s="30" t="inlineStr">
        <is>
          <t>0873061-47.2023.8.19.0001</t>
        </is>
      </c>
      <c r="AM92" s="30" t="inlineStr">
        <is>
          <t>TJRJ</t>
        </is>
      </c>
      <c r="AN92" s="30" t="inlineStr"/>
      <c r="AO92" s="30" t="n">
        <v>2023</v>
      </c>
      <c r="AP92" s="30" t="inlineStr">
        <is>
          <t>live case, no plan document yet</t>
        </is>
      </c>
      <c r="AQ92" s="30" t="inlineStr"/>
      <c r="AR92" s="30" t="inlineStr">
        <is>
          <t>printed on the list (read twice)</t>
        </is>
      </c>
      <c r="AS92" s="30" t="inlineStr">
        <is>
          <t>SAO PAULO</t>
        </is>
      </c>
      <c r="AT92" s="30" t="inlineStr">
        <is>
          <t>SP</t>
        </is>
      </c>
      <c r="AU92" s="30" t="inlineStr">
        <is>
          <t>Bancos múltiplos, com carteira comercial</t>
        </is>
      </c>
      <c r="AV92" s="30" t="inlineStr">
        <is>
          <t>DEMAIS</t>
        </is>
      </c>
      <c r="AW92" s="31" t="n">
        <v>1021700100</v>
      </c>
      <c r="AX92" s="30" t="inlineStr">
        <is>
          <t>LARGE CORP</t>
        </is>
      </c>
      <c r="AY92" s="30" t="inlineStr">
        <is>
          <t>60889128</t>
        </is>
      </c>
      <c r="AZ92" s="30" t="n">
        <v>1</v>
      </c>
      <c r="BA92" s="30" t="inlineStr">
        <is>
          <t>ALT_VALUE:R$3.057.143,01 ROWS:p1r16</t>
        </is>
      </c>
    </row>
    <row r="93">
      <c r="A93" s="16" t="inlineStr">
        <is>
          <t>CARGILL BIOENERGIA LTDA.</t>
        </is>
      </c>
      <c r="B93" s="17" t="n">
        <v>4173329</v>
      </c>
      <c r="C93" s="37" t="inlineStr">
        <is>
          <t>(debtor not identified — see proof)</t>
        </is>
      </c>
      <c r="D93" s="19" t="inlineStr">
        <is>
          <t>NEW</t>
        </is>
      </c>
      <c r="E93" s="20" t="inlineStr"/>
      <c r="F93" s="19" t="inlineStr"/>
      <c r="G93" s="20" t="inlineStr"/>
      <c r="H93" s="19" t="inlineStr"/>
      <c r="I93" s="21" t="inlineStr">
        <is>
          <t>CARLOS RODRIGUES DA CUNHA JUNIOR</t>
        </is>
      </c>
      <c r="J93" s="21" t="inlineStr">
        <is>
          <t>Administrador (RFB partner)</t>
        </is>
      </c>
      <c r="K93" s="21" t="inlineStr">
        <is>
          <t>(64) 9999-9415</t>
        </is>
      </c>
      <c r="L93" s="21" t="inlineStr"/>
      <c r="M93" s="21" t="inlineStr"/>
      <c r="N93" s="21" t="inlineStr"/>
      <c r="O93" s="21" t="inlineStr"/>
      <c r="P93" s="21" t="inlineStr">
        <is>
          <t>JOSE WILLAMS DA SILVA LUZ</t>
        </is>
      </c>
      <c r="Q93" s="21" t="inlineStr">
        <is>
          <t>Administrador (RFB partner)</t>
        </is>
      </c>
      <c r="R93" s="21" t="inlineStr"/>
      <c r="S93" s="21" t="inlineStr"/>
      <c r="T93" s="21" t="inlineStr">
        <is>
          <t>RFB partner (QSA); no Apollo match</t>
        </is>
      </c>
      <c r="U93" s="22" t="n">
        <v>4173329</v>
      </c>
      <c r="V93" s="23" t="inlineStr">
        <is>
          <t>B</t>
        </is>
      </c>
      <c r="W93" s="24">
        <f>IFERROR(VLOOKUP(V93,Assumptions!$A$7:$F$11,2,FALSE),0)</f>
        <v/>
      </c>
      <c r="X93" s="25">
        <f>IF(V93="A",MAX(1,IFERROR(VLOOKUP(V93,Assumptions!$A$7:$F$11,3,FALSE),3)+IFERROR(VLOOKUP(V93,Assumptions!$A$7:$F$11,4,FALSE),8)/2-MAX(0,IF(AO93="",0,YEAR(TODAY())-AO93)-IFERROR(VLOOKUP(V93,Assumptions!$A$7:$F$11,5,FALSE),1.5))),IFERROR(VLOOKUP(V93,Assumptions!$A$7:$F$11,5,FALSE),2.5)+IFERROR(VLOOKUP(V93,Assumptions!$A$7:$F$11,3,FALSE),3)+IFERROR(VLOOKUP(V93,Assumptions!$A$7:$F$11,4,FALSE),8)/2)</f>
        <v/>
      </c>
      <c r="Y93" s="22">
        <f>U93*W93/(1+Assumptions!$B$3)^X93</f>
        <v/>
      </c>
      <c r="Z93" s="26">
        <f>IF(U93=0,"",ROUND(Y93/U93*100,1))</f>
        <v/>
      </c>
      <c r="AA93" s="27">
        <f>Y93*Assumptions!$B$4</f>
        <v/>
      </c>
      <c r="AB93" s="26">
        <f>IF(U93=0,"",ROUND(AA93/U93*100,1))</f>
        <v/>
      </c>
      <c r="AC93" s="27">
        <f>Y93-AA93</f>
        <v/>
      </c>
      <c r="AD93" s="26">
        <f>IF(U93=0,"",ROUND((Y93-AA93)/U93*100,1))</f>
        <v/>
      </c>
      <c r="AE93" s="33" t="inlineStr">
        <is>
          <t>NO TOTALS — list prints none; check page</t>
        </is>
      </c>
      <c r="AF93" s="29" t="inlineStr">
        <is>
          <t>https://scalzilliaj.com.br/sgc/download.php?file=files/processo_documento/processo_documento11421222052026_1_.pdf&amp;nome=08. Lista de credores do edital do art. 52, §1º da LREF</t>
        </is>
      </c>
      <c r="AG93" s="28" t="inlineStr">
        <is>
          <t>p3 r8</t>
        </is>
      </c>
      <c r="AH93" s="28" t="inlineStr">
        <is>
          <t>p3: R$ 4.173.329,00</t>
        </is>
      </c>
      <c r="AI93" s="28" t="inlineStr">
        <is>
          <t>Unclassified list</t>
        </is>
      </c>
      <c r="AJ93" s="28" t="inlineStr"/>
      <c r="AK93" s="28" t="inlineStr">
        <is>
          <t>NONE FOUND</t>
        </is>
      </c>
      <c r="AL93" s="30" t="inlineStr">
        <is>
          <t>5011369-81.2026.8.09.0093</t>
        </is>
      </c>
      <c r="AM93" s="30" t="inlineStr">
        <is>
          <t>TJGO</t>
        </is>
      </c>
      <c r="AN93" s="30" t="inlineStr">
        <is>
          <t>ACTIVE</t>
        </is>
      </c>
      <c r="AO93" s="30" t="n">
        <v>2026</v>
      </c>
      <c r="AP93" s="30" t="inlineStr">
        <is>
          <t>live case, no plan document yet</t>
        </is>
      </c>
      <c r="AQ93" s="30" t="inlineStr"/>
      <c r="AR93" s="30" t="inlineStr">
        <is>
          <t>not identified</t>
        </is>
      </c>
      <c r="AS93" s="30" t="inlineStr">
        <is>
          <t>SAO PAULO</t>
        </is>
      </c>
      <c r="AT93" s="30" t="inlineStr">
        <is>
          <t>SP</t>
        </is>
      </c>
      <c r="AU93" s="30" t="inlineStr">
        <is>
          <t>Holdings de instituições não-financeiras</t>
        </is>
      </c>
      <c r="AV93" s="30" t="inlineStr">
        <is>
          <t>DEMAIS</t>
        </is>
      </c>
      <c r="AW93" s="31" t="n">
        <v>453631260</v>
      </c>
      <c r="AX93" s="30" t="inlineStr">
        <is>
          <t>MID-MARKET</t>
        </is>
      </c>
      <c r="AY93" s="30" t="inlineStr">
        <is>
          <t>10249419</t>
        </is>
      </c>
      <c r="AZ93" s="30" t="n">
        <v>1</v>
      </c>
      <c r="BA93" s="30" t="inlineStr">
        <is>
          <t>ROWS:p3r8 UNRECONCILED_SOURCE</t>
        </is>
      </c>
    </row>
    <row r="94">
      <c r="A94" s="16" t="inlineStr">
        <is>
          <t>2.7 SICOOB CREDIAUC</t>
        </is>
      </c>
      <c r="B94" s="17" t="n">
        <v>4127569.13</v>
      </c>
      <c r="C94" s="18" t="inlineStr">
        <is>
          <t>SUINOCULTURA KUNZLER</t>
        </is>
      </c>
      <c r="D94" s="19" t="inlineStr">
        <is>
          <t>NEW</t>
        </is>
      </c>
      <c r="E94" s="20" t="inlineStr"/>
      <c r="F94" s="19" t="inlineStr"/>
      <c r="G94" s="20" t="inlineStr"/>
      <c r="H94" s="19" t="inlineStr"/>
      <c r="I94" s="21" t="inlineStr">
        <is>
          <t>Simone Grando</t>
        </is>
      </c>
      <c r="J94" s="21" t="inlineStr">
        <is>
          <t>Superintedente de Ciclo de Crédito</t>
        </is>
      </c>
      <c r="K94" s="21" t="inlineStr"/>
      <c r="L94" s="21" t="inlineStr"/>
      <c r="M94" s="21" t="inlineStr"/>
      <c r="N94" s="21" t="inlineStr"/>
      <c r="O94" s="21" t="inlineStr"/>
      <c r="P94" s="21" t="inlineStr">
        <is>
          <t>Lauro Donadel</t>
        </is>
      </c>
      <c r="Q94" s="21" t="inlineStr">
        <is>
          <t>Especialista de Recuperação de Ativo</t>
        </is>
      </c>
      <c r="R94" s="21" t="inlineStr"/>
      <c r="S94" s="21" t="inlineStr"/>
      <c r="T94" s="21" t="inlineStr">
        <is>
          <t>no work email found in Apollo</t>
        </is>
      </c>
      <c r="U94" s="22" t="n">
        <v>4127569.13</v>
      </c>
      <c r="V94" s="23" t="inlineStr">
        <is>
          <t>B</t>
        </is>
      </c>
      <c r="W94" s="24">
        <f>IFERROR(VLOOKUP(V94,Assumptions!$A$7:$F$11,2,FALSE),0)</f>
        <v/>
      </c>
      <c r="X94" s="25">
        <f>IF(V94="A",MAX(1,IFERROR(VLOOKUP(V94,Assumptions!$A$7:$F$11,3,FALSE),3)+IFERROR(VLOOKUP(V94,Assumptions!$A$7:$F$11,4,FALSE),8)/2-MAX(0,IF(AO94="",0,YEAR(TODAY())-AO94)-IFERROR(VLOOKUP(V94,Assumptions!$A$7:$F$11,5,FALSE),1.5))),IFERROR(VLOOKUP(V94,Assumptions!$A$7:$F$11,5,FALSE),2.5)+IFERROR(VLOOKUP(V94,Assumptions!$A$7:$F$11,3,FALSE),3)+IFERROR(VLOOKUP(V94,Assumptions!$A$7:$F$11,4,FALSE),8)/2)</f>
        <v/>
      </c>
      <c r="Y94" s="22">
        <f>U94*W94/(1+Assumptions!$B$3)^X94</f>
        <v/>
      </c>
      <c r="Z94" s="26">
        <f>IF(U94=0,"",ROUND(Y94/U94*100,1))</f>
        <v/>
      </c>
      <c r="AA94" s="27">
        <f>Y94*Assumptions!$B$4</f>
        <v/>
      </c>
      <c r="AB94" s="26">
        <f>IF(U94=0,"",ROUND(AA94/U94*100,1))</f>
        <v/>
      </c>
      <c r="AC94" s="27">
        <f>Y94-AA94</f>
        <v/>
      </c>
      <c r="AD94" s="26">
        <f>IF(U94=0,"",ROUND((Y94-AA94)/U94*100,1))</f>
        <v/>
      </c>
      <c r="AE94" s="33" t="inlineStr">
        <is>
          <t>NO TOTALS — list prints none; check page</t>
        </is>
      </c>
      <c r="AF94" s="29" t="inlineStr">
        <is>
          <t>https://rlg-aj.com.br/wp-content/uploads/2024/11/07.-Relação-de-credores.pdf</t>
        </is>
      </c>
      <c r="AG94" s="28" t="inlineStr">
        <is>
          <t>p1 r13; p1 r14; p1 r15; p1 r16; p1 r17; p1 r18</t>
        </is>
      </c>
      <c r="AH94" s="28" t="inlineStr">
        <is>
          <t>p1: R$ 323.651,16; p1: R$ 907.705,56; p1: R$ 211.127,26; p1: R$ 137.183,48; p1: R$ 1.245.578,71; p1: R$ 1.302.322,96</t>
        </is>
      </c>
      <c r="AI94" s="28" t="inlineStr">
        <is>
          <t>Unclassified list</t>
        </is>
      </c>
      <c r="AJ94" s="28" t="inlineStr"/>
      <c r="AK94" s="28" t="inlineStr">
        <is>
          <t>NONE FOUND</t>
        </is>
      </c>
      <c r="AL94" s="30" t="inlineStr">
        <is>
          <t>5009149-92.2024.8.24.0019</t>
        </is>
      </c>
      <c r="AM94" s="30" t="inlineStr">
        <is>
          <t>TJSC</t>
        </is>
      </c>
      <c r="AN94" s="30" t="inlineStr">
        <is>
          <t>ACTIVE</t>
        </is>
      </c>
      <c r="AO94" s="30" t="n">
        <v>2024</v>
      </c>
      <c r="AP94" s="30" t="inlineStr">
        <is>
          <t>live case, no plan document yet</t>
        </is>
      </c>
      <c r="AQ94" s="30" t="inlineStr">
        <is>
          <t>55.365.447/0001-56</t>
        </is>
      </c>
      <c r="AR94" s="30" t="inlineStr">
        <is>
          <t>printed on the list (read twice)</t>
        </is>
      </c>
      <c r="AS94" s="30" t="inlineStr"/>
      <c r="AT94" s="30" t="inlineStr"/>
      <c r="AU94" s="30" t="inlineStr"/>
      <c r="AV94" s="30" t="inlineStr"/>
      <c r="AW94" s="31" t="inlineStr"/>
      <c r="AX94" s="30" t="inlineStr">
        <is>
          <t>MID-MARKET</t>
        </is>
      </c>
      <c r="AY94" s="30" t="inlineStr">
        <is>
          <t>78840071</t>
        </is>
      </c>
      <c r="AZ94" s="30" t="n">
        <v>6</v>
      </c>
      <c r="BA94" s="30" t="inlineStr">
        <is>
          <t>LIKELY_FINANCIAL_BY_NAME ROWS:p1r13,p1r14,p1r15,p1r16,p1r17,p1r18 UNRECONCILED_SOURCE</t>
        </is>
      </c>
    </row>
    <row r="95">
      <c r="A95" s="16" t="inlineStr">
        <is>
          <t>AMFI DIGITAL ASSETS LTDA</t>
        </is>
      </c>
      <c r="B95" s="17" t="n">
        <v>4122689.25</v>
      </c>
      <c r="C95" s="18" t="inlineStr">
        <is>
          <t>CENTURY CONSTRUÇÕES COMÉRCIO E SERVIÇOS LTDA.</t>
        </is>
      </c>
      <c r="D95" s="19" t="inlineStr">
        <is>
          <t>NEW</t>
        </is>
      </c>
      <c r="E95" s="20" t="inlineStr"/>
      <c r="F95" s="19" t="inlineStr"/>
      <c r="G95" s="20" t="inlineStr"/>
      <c r="H95" s="19" t="inlineStr"/>
      <c r="I95" s="21" t="inlineStr">
        <is>
          <t>Silvio Signori</t>
        </is>
      </c>
      <c r="J95" s="21" t="inlineStr">
        <is>
          <t>Diretor de Riscos &amp; Operações</t>
        </is>
      </c>
      <c r="K95" s="21" t="inlineStr">
        <is>
          <t>(11) 1111-1111</t>
        </is>
      </c>
      <c r="L95" s="21" t="inlineStr"/>
      <c r="M95" s="21" t="inlineStr"/>
      <c r="N95" s="21" t="inlineStr">
        <is>
          <t>silvio@amfi.finance</t>
        </is>
      </c>
      <c r="O95" s="21" t="inlineStr">
        <is>
          <t>fabiano.ferreira@amfi.finance</t>
        </is>
      </c>
      <c r="P95" s="21" t="inlineStr">
        <is>
          <t>Fabiano Ferreira</t>
        </is>
      </c>
      <c r="Q95" s="21" t="inlineStr">
        <is>
          <t>Legal and Regulatory Director</t>
        </is>
      </c>
      <c r="R95" s="21" t="inlineStr"/>
      <c r="S95" s="21" t="inlineStr">
        <is>
          <t>fabiano.ferreira@amfi.finance</t>
        </is>
      </c>
      <c r="T95" s="21" t="inlineStr">
        <is>
          <t>email verified by Apollo</t>
        </is>
      </c>
      <c r="U95" s="22" t="n">
        <v>4122689.25</v>
      </c>
      <c r="V95" s="23" t="inlineStr">
        <is>
          <t>B</t>
        </is>
      </c>
      <c r="W95" s="24">
        <f>IFERROR(VLOOKUP(V95,Assumptions!$A$7:$F$11,2,FALSE),0)</f>
        <v/>
      </c>
      <c r="X95" s="25">
        <f>IF(V95="A",MAX(1,IFERROR(VLOOKUP(V95,Assumptions!$A$7:$F$11,3,FALSE),3)+IFERROR(VLOOKUP(V95,Assumptions!$A$7:$F$11,4,FALSE),8)/2-MAX(0,IF(AO95="",0,YEAR(TODAY())-AO95)-IFERROR(VLOOKUP(V95,Assumptions!$A$7:$F$11,5,FALSE),1.5))),IFERROR(VLOOKUP(V95,Assumptions!$A$7:$F$11,5,FALSE),2.5)+IFERROR(VLOOKUP(V95,Assumptions!$A$7:$F$11,3,FALSE),3)+IFERROR(VLOOKUP(V95,Assumptions!$A$7:$F$11,4,FALSE),8)/2)</f>
        <v/>
      </c>
      <c r="Y95" s="22">
        <f>U95*W95/(1+Assumptions!$B$3)^X95</f>
        <v/>
      </c>
      <c r="Z95" s="26">
        <f>IF(U95=0,"",ROUND(Y95/U95*100,1))</f>
        <v/>
      </c>
      <c r="AA95" s="27">
        <f>Y95*Assumptions!$B$4</f>
        <v/>
      </c>
      <c r="AB95" s="26">
        <f>IF(U95=0,"",ROUND(AA95/U95*100,1))</f>
        <v/>
      </c>
      <c r="AC95" s="27">
        <f>Y95-AA95</f>
        <v/>
      </c>
      <c r="AD95" s="26">
        <f>IF(U95=0,"",ROUND((Y95-AA95)/U95*100,1))</f>
        <v/>
      </c>
      <c r="AE95" s="33" t="inlineStr">
        <is>
          <t>NO TOTALS — list prints none; check page</t>
        </is>
      </c>
      <c r="AF95" s="29" t="inlineStr">
        <is>
          <t>https://ativosajce.com.br/admin/download.php?file=files/processo_documento/processo_documento16022716122025_1_.pdf&amp;nome=Relação de credores - art. 52, §1º da Lei 11.101/05 - 15/12/2025</t>
        </is>
      </c>
      <c r="AG95" s="28" t="inlineStr">
        <is>
          <t>p2 r5</t>
        </is>
      </c>
      <c r="AH95" s="28" t="inlineStr">
        <is>
          <t>p2: R$ 4.122.689,25</t>
        </is>
      </c>
      <c r="AI95" s="28" t="inlineStr">
        <is>
          <t>Unclassified list</t>
        </is>
      </c>
      <c r="AJ95" s="28" t="inlineStr"/>
      <c r="AK95" s="28" t="inlineStr">
        <is>
          <t>NONE FOUND</t>
        </is>
      </c>
      <c r="AL95" s="30" t="inlineStr">
        <is>
          <t>4054599-35.2025.8.26.0100</t>
        </is>
      </c>
      <c r="AM95" s="30" t="inlineStr">
        <is>
          <t>TJSP</t>
        </is>
      </c>
      <c r="AN95" s="30" t="inlineStr">
        <is>
          <t>ACTIVE</t>
        </is>
      </c>
      <c r="AO95" s="30" t="n">
        <v>2025</v>
      </c>
      <c r="AP95" s="30" t="inlineStr">
        <is>
          <t>live case, no plan document yet</t>
        </is>
      </c>
      <c r="AQ95" s="30" t="inlineStr">
        <is>
          <t>03.299.563/0001-10</t>
        </is>
      </c>
      <c r="AR95" s="30" t="inlineStr">
        <is>
          <t>printed on the list (read twice)</t>
        </is>
      </c>
      <c r="AS95" s="30" t="inlineStr">
        <is>
          <t>SAO PAULO</t>
        </is>
      </c>
      <c r="AT95" s="30" t="inlineStr">
        <is>
          <t>SP</t>
        </is>
      </c>
      <c r="AU95" s="30" t="inlineStr">
        <is>
          <t>Holdings de instituições não-financeiras</t>
        </is>
      </c>
      <c r="AV95" s="30" t="inlineStr">
        <is>
          <t>DEMAIS</t>
        </is>
      </c>
      <c r="AW95" s="31" t="n">
        <v>1000</v>
      </c>
      <c r="AX95" s="30" t="inlineStr">
        <is>
          <t>MID-MARKET</t>
        </is>
      </c>
      <c r="AY95" s="30" t="inlineStr">
        <is>
          <t>46542000</t>
        </is>
      </c>
      <c r="AZ95" s="30" t="n">
        <v>1</v>
      </c>
      <c r="BA95" s="30" t="inlineStr">
        <is>
          <t>ROWS:p2r5 UNRECONCILED_SOURCE VALUE_COL:Valor</t>
        </is>
      </c>
    </row>
    <row r="96">
      <c r="A96" s="16" t="inlineStr">
        <is>
          <t>COOPERATIVA DE ECONOMIA E CRÉDITO MÚTUO UNICRED PONTO CAPITAL</t>
        </is>
      </c>
      <c r="B96" s="17" t="n">
        <v>4069396.91</v>
      </c>
      <c r="C96" s="18" t="inlineStr">
        <is>
          <t>GRUPO DIVINA</t>
        </is>
      </c>
      <c r="D96" s="19" t="inlineStr">
        <is>
          <t>NEW</t>
        </is>
      </c>
      <c r="E96" s="20" t="inlineStr"/>
      <c r="F96" s="19" t="inlineStr"/>
      <c r="G96" s="20" t="inlineStr"/>
      <c r="H96" s="19" t="inlineStr"/>
      <c r="I96" s="21" t="inlineStr">
        <is>
          <t>Luciano Martins</t>
        </is>
      </c>
      <c r="J96" s="21" t="inlineStr">
        <is>
          <t>Operations Manager</t>
        </is>
      </c>
      <c r="K96" s="21" t="inlineStr"/>
      <c r="L96" s="21" t="inlineStr"/>
      <c r="M96" s="21" t="inlineStr"/>
      <c r="N96" s="21" t="inlineStr"/>
      <c r="O96" s="21" t="inlineStr"/>
      <c r="P96" s="21" t="inlineStr">
        <is>
          <t>Rodrigo Tenorio</t>
        </is>
      </c>
      <c r="Q96" s="21" t="inlineStr">
        <is>
          <t>Manager pj</t>
        </is>
      </c>
      <c r="R96" s="21" t="inlineStr"/>
      <c r="S96" s="21" t="inlineStr"/>
      <c r="T96" s="21" t="inlineStr">
        <is>
          <t>no work email found in Apollo</t>
        </is>
      </c>
      <c r="U96" s="22" t="n">
        <v>4069396.91</v>
      </c>
      <c r="V96" s="23" t="inlineStr">
        <is>
          <t>B</t>
        </is>
      </c>
      <c r="W96" s="24">
        <f>IFERROR(VLOOKUP(V96,Assumptions!$A$7:$F$11,2,FALSE),0)</f>
        <v/>
      </c>
      <c r="X96" s="25">
        <f>IF(V96="A",MAX(1,IFERROR(VLOOKUP(V96,Assumptions!$A$7:$F$11,3,FALSE),3)+IFERROR(VLOOKUP(V96,Assumptions!$A$7:$F$11,4,FALSE),8)/2-MAX(0,IF(AO96="",0,YEAR(TODAY())-AO96)-IFERROR(VLOOKUP(V96,Assumptions!$A$7:$F$11,5,FALSE),1.5))),IFERROR(VLOOKUP(V96,Assumptions!$A$7:$F$11,5,FALSE),2.5)+IFERROR(VLOOKUP(V96,Assumptions!$A$7:$F$11,3,FALSE),3)+IFERROR(VLOOKUP(V96,Assumptions!$A$7:$F$11,4,FALSE),8)/2)</f>
        <v/>
      </c>
      <c r="Y96" s="22">
        <f>U96*W96/(1+Assumptions!$B$3)^X96</f>
        <v/>
      </c>
      <c r="Z96" s="26">
        <f>IF(U96=0,"",ROUND(Y96/U96*100,1))</f>
        <v/>
      </c>
      <c r="AA96" s="27">
        <f>Y96*Assumptions!$B$4</f>
        <v/>
      </c>
      <c r="AB96" s="26">
        <f>IF(U96=0,"",ROUND(AA96/U96*100,1))</f>
        <v/>
      </c>
      <c r="AC96" s="27">
        <f>Y96-AA96</f>
        <v/>
      </c>
      <c r="AD96" s="26">
        <f>IF(U96=0,"",ROUND((Y96-AA96)/U96*100,1))</f>
        <v/>
      </c>
      <c r="AE96" s="34" t="inlineStr">
        <is>
          <t>PARTIAL — class III reconciled, other classes not</t>
        </is>
      </c>
      <c r="AF96" s="29" t="inlineStr">
        <is>
          <t>https://lrflideres.com.br/wp-content/plugins/download-attachments/includes/download.php?id=6252</t>
        </is>
      </c>
      <c r="AG96" s="28" t="inlineStr">
        <is>
          <t>p2 r31</t>
        </is>
      </c>
      <c r="AH96" s="28" t="inlineStr">
        <is>
          <t>p2: R$ 4.069.396,91</t>
        </is>
      </c>
      <c r="AI96" s="28" t="inlineStr">
        <is>
          <t>AJ list (art. 7 §2)</t>
        </is>
      </c>
      <c r="AJ96" s="28" t="inlineStr">
        <is>
          <t>2024-11-27</t>
        </is>
      </c>
      <c r="AK96" s="28" t="inlineStr">
        <is>
          <t>NONE FOUND</t>
        </is>
      </c>
      <c r="AL96" s="30" t="inlineStr">
        <is>
          <t>0000721-61.2024.8.17.2620</t>
        </is>
      </c>
      <c r="AM96" s="30" t="inlineStr">
        <is>
          <t>TJPE</t>
        </is>
      </c>
      <c r="AN96" s="30" t="inlineStr">
        <is>
          <t>ACTIVE</t>
        </is>
      </c>
      <c r="AO96" s="30" t="n">
        <v>2024</v>
      </c>
      <c r="AP96" s="30" t="inlineStr">
        <is>
          <t>live case, no plan document yet</t>
        </is>
      </c>
      <c r="AQ96" s="30" t="inlineStr">
        <is>
          <t>08.785.522/0001-58</t>
        </is>
      </c>
      <c r="AR96" s="30" t="inlineStr">
        <is>
          <t>printed on the list (read twice)</t>
        </is>
      </c>
      <c r="AS96" s="30" t="inlineStr"/>
      <c r="AT96" s="30" t="inlineStr"/>
      <c r="AU96" s="30" t="inlineStr"/>
      <c r="AV96" s="30" t="inlineStr"/>
      <c r="AW96" s="31" t="inlineStr"/>
      <c r="AX96" s="30" t="inlineStr">
        <is>
          <t>MID-MARKET</t>
        </is>
      </c>
      <c r="AY96" s="30" t="inlineStr">
        <is>
          <t>02641032</t>
        </is>
      </c>
      <c r="AZ96" s="30" t="n">
        <v>1</v>
      </c>
      <c r="BA96" s="30" t="inlineStr">
        <is>
          <t>LIKELY_FINANCIAL_BY_NAME PARTIAL_DOC_CLASS_III_RECONCILED ROWS:p2r31</t>
        </is>
      </c>
    </row>
    <row r="97">
      <c r="A97" s="16" t="inlineStr">
        <is>
          <t>BANCO BRADESCO FINANCIAMENTOS S.A.</t>
        </is>
      </c>
      <c r="B97" s="17" t="n">
        <v>7186584.64</v>
      </c>
      <c r="C97" s="37" t="inlineStr">
        <is>
          <t>(debtor not identified — see proof)</t>
        </is>
      </c>
      <c r="D97" s="19" t="inlineStr">
        <is>
          <t>NEW</t>
        </is>
      </c>
      <c r="E97" s="20" t="inlineStr"/>
      <c r="F97" s="19" t="inlineStr"/>
      <c r="G97" s="20" t="inlineStr"/>
      <c r="H97" s="19" t="inlineStr"/>
      <c r="I97" s="21" t="inlineStr">
        <is>
          <t>Sonia Ramos</t>
        </is>
      </c>
      <c r="J97" s="21" t="inlineStr">
        <is>
          <t>Gerente de Estratégias e Recuperação de Crédito</t>
        </is>
      </c>
      <c r="K97" s="21" t="inlineStr">
        <is>
          <t>(11) 5506-7717</t>
        </is>
      </c>
      <c r="L97" s="21" t="inlineStr"/>
      <c r="M97" s="21" t="inlineStr"/>
      <c r="N97" s="21" t="inlineStr"/>
      <c r="O97" s="21" t="inlineStr"/>
      <c r="P97" s="21" t="inlineStr">
        <is>
          <t>Viviane Melquiades</t>
        </is>
      </c>
      <c r="Q97" s="21" t="inlineStr">
        <is>
          <t>Credit Recovery Agency</t>
        </is>
      </c>
      <c r="R97" s="21" t="inlineStr"/>
      <c r="S97" s="21" t="inlineStr"/>
      <c r="T97" s="21" t="inlineStr">
        <is>
          <t>no work email found in Apollo</t>
        </is>
      </c>
      <c r="U97" s="22" t="n">
        <v>7186584.64</v>
      </c>
      <c r="V97" s="32" t="inlineStr">
        <is>
          <t>U</t>
        </is>
      </c>
      <c r="W97" s="24">
        <f>IFERROR(VLOOKUP(V97,Assumptions!$A$7:$F$11,2,FALSE),0)</f>
        <v/>
      </c>
      <c r="X97" s="25">
        <f>IF(V97="A",MAX(1,IFERROR(VLOOKUP(V97,Assumptions!$A$7:$F$11,3,FALSE),3)+IFERROR(VLOOKUP(V97,Assumptions!$A$7:$F$11,4,FALSE),8)/2-MAX(0,IF(AO97="",0,YEAR(TODAY())-AO97)-IFERROR(VLOOKUP(V97,Assumptions!$A$7:$F$11,5,FALSE),1.5))),IFERROR(VLOOKUP(V97,Assumptions!$A$7:$F$11,5,FALSE),2.5)+IFERROR(VLOOKUP(V97,Assumptions!$A$7:$F$11,3,FALSE),3)+IFERROR(VLOOKUP(V97,Assumptions!$A$7:$F$11,4,FALSE),8)/2)</f>
        <v/>
      </c>
      <c r="Y97" s="22">
        <f>U97*W97/(1+Assumptions!$B$3)^X97</f>
        <v/>
      </c>
      <c r="Z97" s="26">
        <f>IF(U97=0,"",ROUND(Y97/U97*100,1))</f>
        <v/>
      </c>
      <c r="AA97" s="27">
        <f>Y97*Assumptions!$B$4</f>
        <v/>
      </c>
      <c r="AB97" s="26">
        <f>IF(U97=0,"",ROUND(AA97/U97*100,1))</f>
        <v/>
      </c>
      <c r="AC97" s="27">
        <f>Y97-AA97</f>
        <v/>
      </c>
      <c r="AD97" s="26">
        <f>IF(U97=0,"",ROUND((Y97-AA97)/U97*100,1))</f>
        <v/>
      </c>
      <c r="AE97" s="28" t="inlineStr">
        <is>
          <t>OK — totals reconciled</t>
        </is>
      </c>
      <c r="AF97" s="29" t="inlineStr">
        <is>
          <t>https://ajruiz.com.br/sites/default/files/public/arquivos-processos/2023-11/4_relacao_de_credores_analitica_art._51_iii_da_lre.pdf</t>
        </is>
      </c>
      <c r="AG97" s="28" t="inlineStr">
        <is>
          <t>p2 r12</t>
        </is>
      </c>
      <c r="AH97" s="28" t="inlineStr">
        <is>
          <t>p2: R$ 7.186.584,64</t>
        </is>
      </c>
      <c r="AI97" s="28" t="inlineStr">
        <is>
          <t>Unclassified list</t>
        </is>
      </c>
      <c r="AJ97" s="28" t="inlineStr"/>
      <c r="AK97" s="28" t="inlineStr">
        <is>
          <t>NONE FOUND</t>
        </is>
      </c>
      <c r="AL97" s="30" t="inlineStr">
        <is>
          <t>(not printed)</t>
        </is>
      </c>
      <c r="AM97" s="30" t="inlineStr"/>
      <c r="AN97" s="30" t="inlineStr"/>
      <c r="AO97" s="30" t="inlineStr"/>
      <c r="AP97" s="30" t="inlineStr">
        <is>
          <t>RJ case number not identified on the document</t>
        </is>
      </c>
      <c r="AQ97" s="30" t="inlineStr"/>
      <c r="AR97" s="30" t="inlineStr">
        <is>
          <t>not identified</t>
        </is>
      </c>
      <c r="AS97" s="30" t="inlineStr">
        <is>
          <t>OSASCO</t>
        </is>
      </c>
      <c r="AT97" s="30" t="inlineStr">
        <is>
          <t>SP</t>
        </is>
      </c>
      <c r="AU97" s="30" t="inlineStr">
        <is>
          <t>Bancos múltiplos, com carteira comercial</t>
        </is>
      </c>
      <c r="AV97" s="30" t="inlineStr">
        <is>
          <t>DEMAIS</t>
        </is>
      </c>
      <c r="AW97" s="31" t="n">
        <v>499300000</v>
      </c>
      <c r="AX97" s="30" t="inlineStr">
        <is>
          <t>LARGE CORP</t>
        </is>
      </c>
      <c r="AY97" s="30" t="inlineStr">
        <is>
          <t>07207996</t>
        </is>
      </c>
      <c r="AZ97" s="30" t="n">
        <v>1</v>
      </c>
      <c r="BA97" s="30" t="inlineStr">
        <is>
          <t>ALT_VALUE:BANCOS ROWS:p2r12 VALUE_COL:Valor_Do_Crédito CASE_NUMBER_CORRECTED</t>
        </is>
      </c>
    </row>
    <row r="98">
      <c r="A98" s="16" t="inlineStr">
        <is>
          <t>BANCO SANTANDER (BRASIL) S.A.</t>
        </is>
      </c>
      <c r="B98" s="17" t="n">
        <v>3777366.43</v>
      </c>
      <c r="C98" s="18" t="inlineStr">
        <is>
          <t>GRUPO CEAM</t>
        </is>
      </c>
      <c r="D98" s="19" t="inlineStr">
        <is>
          <t>NEW</t>
        </is>
      </c>
      <c r="E98" s="20" t="inlineStr"/>
      <c r="F98" s="19" t="inlineStr"/>
      <c r="G98" s="20" t="inlineStr"/>
      <c r="H98" s="19" t="inlineStr"/>
      <c r="I98" s="21" t="inlineStr">
        <is>
          <t>Igor Puertas</t>
        </is>
      </c>
      <c r="J98" s="21" t="inlineStr">
        <is>
          <t>Distressed Assets | NPL</t>
        </is>
      </c>
      <c r="K98" s="21" t="inlineStr">
        <is>
          <t>(11) 4004-3535</t>
        </is>
      </c>
      <c r="L98" s="21" t="inlineStr"/>
      <c r="M98" s="21" t="inlineStr"/>
      <c r="N98" s="21" t="inlineStr">
        <is>
          <t>igor.puertas@santander.com.br</t>
        </is>
      </c>
      <c r="O98" s="21" t="inlineStr">
        <is>
          <t>antonio.pequeno.junior@santander.com.br</t>
        </is>
      </c>
      <c r="P98" s="21" t="inlineStr">
        <is>
          <t>Antonio Junior</t>
        </is>
      </c>
      <c r="Q98" s="21" t="inlineStr">
        <is>
          <t>Superintendente Recuperação de Crédito</t>
        </is>
      </c>
      <c r="R98" s="21" t="inlineStr"/>
      <c r="S98" s="21" t="inlineStr">
        <is>
          <t>antonio.pequeno.junior@santander.com.br</t>
        </is>
      </c>
      <c r="T98" s="21" t="inlineStr">
        <is>
          <t>email verified by Apollo</t>
        </is>
      </c>
      <c r="U98" s="22" t="n">
        <v>3777366.43</v>
      </c>
      <c r="V98" s="23" t="inlineStr">
        <is>
          <t>B</t>
        </is>
      </c>
      <c r="W98" s="24">
        <f>IFERROR(VLOOKUP(V98,Assumptions!$A$7:$F$11,2,FALSE),0)</f>
        <v/>
      </c>
      <c r="X98" s="25">
        <f>IF(V98="A",MAX(1,IFERROR(VLOOKUP(V98,Assumptions!$A$7:$F$11,3,FALSE),3)+IFERROR(VLOOKUP(V98,Assumptions!$A$7:$F$11,4,FALSE),8)/2-MAX(0,IF(AO98="",0,YEAR(TODAY())-AO98)-IFERROR(VLOOKUP(V98,Assumptions!$A$7:$F$11,5,FALSE),1.5))),IFERROR(VLOOKUP(V98,Assumptions!$A$7:$F$11,5,FALSE),2.5)+IFERROR(VLOOKUP(V98,Assumptions!$A$7:$F$11,3,FALSE),3)+IFERROR(VLOOKUP(V98,Assumptions!$A$7:$F$11,4,FALSE),8)/2)</f>
        <v/>
      </c>
      <c r="Y98" s="22">
        <f>U98*W98/(1+Assumptions!$B$3)^X98</f>
        <v/>
      </c>
      <c r="Z98" s="26">
        <f>IF(U98=0,"",ROUND(Y98/U98*100,1))</f>
        <v/>
      </c>
      <c r="AA98" s="27">
        <f>Y98*Assumptions!$B$4</f>
        <v/>
      </c>
      <c r="AB98" s="26">
        <f>IF(U98=0,"",ROUND(AA98/U98*100,1))</f>
        <v/>
      </c>
      <c r="AC98" s="27">
        <f>Y98-AA98</f>
        <v/>
      </c>
      <c r="AD98" s="26">
        <f>IF(U98=0,"",ROUND((Y98-AA98)/U98*100,1))</f>
        <v/>
      </c>
      <c r="AE98" s="28" t="inlineStr">
        <is>
          <t>OK — totals reconciled</t>
        </is>
      </c>
      <c r="AF98" s="29" t="inlineStr">
        <is>
          <t>https://recuperasolucoes.com/wp-content/plugins/download-attachments/includes/download.php?id=1492</t>
        </is>
      </c>
      <c r="AG98" s="28" t="inlineStr">
        <is>
          <t>p5 r53</t>
        </is>
      </c>
      <c r="AH98" s="28" t="inlineStr">
        <is>
          <t>p5: R$ 3.777.366,43</t>
        </is>
      </c>
      <c r="AI98" s="28" t="inlineStr">
        <is>
          <t>AJ list (art. 7 §2)</t>
        </is>
      </c>
      <c r="AJ98" s="28" t="inlineStr">
        <is>
          <t>2025-09-12</t>
        </is>
      </c>
      <c r="AK98" s="28" t="inlineStr">
        <is>
          <t>NONE FOUND</t>
        </is>
      </c>
      <c r="AL98" s="30" t="inlineStr">
        <is>
          <t>0133628-14.2024.8.17.2001</t>
        </is>
      </c>
      <c r="AM98" s="30" t="inlineStr">
        <is>
          <t>TJPE</t>
        </is>
      </c>
      <c r="AN98" s="30" t="inlineStr">
        <is>
          <t>ACTIVE</t>
        </is>
      </c>
      <c r="AO98" s="30" t="n">
        <v>2024</v>
      </c>
      <c r="AP98" s="30" t="inlineStr">
        <is>
          <t>live case, no plan document yet</t>
        </is>
      </c>
      <c r="AQ98" s="30" t="inlineStr">
        <is>
          <t>32.525.567/0001-78</t>
        </is>
      </c>
      <c r="AR98" s="30" t="inlineStr">
        <is>
          <t>printed on the list (read twice)</t>
        </is>
      </c>
      <c r="AS98" s="30" t="inlineStr">
        <is>
          <t>SAO PAULO</t>
        </is>
      </c>
      <c r="AT98" s="30" t="inlineStr">
        <is>
          <t>SP</t>
        </is>
      </c>
      <c r="AU98" s="30" t="inlineStr">
        <is>
          <t>Bancos múltiplos, com carteira comercial</t>
        </is>
      </c>
      <c r="AV98" s="30" t="inlineStr">
        <is>
          <t>DEMAIS</t>
        </is>
      </c>
      <c r="AW98" s="31" t="n">
        <v>65000000000</v>
      </c>
      <c r="AX98" s="30" t="inlineStr">
        <is>
          <t>LARGE CORP</t>
        </is>
      </c>
      <c r="AY98" s="30" t="inlineStr">
        <is>
          <t>90400888</t>
        </is>
      </c>
      <c r="AZ98" s="30" t="n">
        <v>1</v>
      </c>
      <c r="BA98" s="30" t="inlineStr">
        <is>
          <t>LIKELY_FINANCIAL_BY_NAME ROWS:p5r53</t>
        </is>
      </c>
    </row>
    <row r="99">
      <c r="A99" s="16" t="inlineStr">
        <is>
          <t>BANCO SAFRA S A</t>
        </is>
      </c>
      <c r="B99" s="17" t="n">
        <v>3718575.71</v>
      </c>
      <c r="C99" s="18" t="inlineStr">
        <is>
          <t>Grupo Agromeal</t>
        </is>
      </c>
      <c r="D99" s="19" t="inlineStr">
        <is>
          <t>NEW</t>
        </is>
      </c>
      <c r="E99" s="20" t="inlineStr"/>
      <c r="F99" s="19" t="inlineStr"/>
      <c r="G99" s="20" t="inlineStr"/>
      <c r="H99" s="19" t="inlineStr"/>
      <c r="I99" s="21" t="inlineStr">
        <is>
          <t>Vanessa Biotti</t>
        </is>
      </c>
      <c r="J99" s="21" t="inlineStr">
        <is>
          <t>Gerente de Recuperação de Crédito</t>
        </is>
      </c>
      <c r="K99" s="21" t="inlineStr">
        <is>
          <t>(11) 3175-7575</t>
        </is>
      </c>
      <c r="L99" s="21" t="inlineStr"/>
      <c r="M99" s="21" t="inlineStr"/>
      <c r="N99" s="21" t="inlineStr">
        <is>
          <t>vanessa.biotti@safra.com.br</t>
        </is>
      </c>
      <c r="O99" s="21" t="inlineStr">
        <is>
          <t>rodrigo.anjos@safra.com.br</t>
        </is>
      </c>
      <c r="P99" s="21" t="inlineStr">
        <is>
          <t>Rodrigo Anjos</t>
        </is>
      </c>
      <c r="Q99" s="21" t="inlineStr">
        <is>
          <t>Advogado Sênior - Jurídico Contencioso - Recuperação de Crédito - NPL</t>
        </is>
      </c>
      <c r="R99" s="21" t="inlineStr"/>
      <c r="S99" s="21" t="inlineStr">
        <is>
          <t>rodrigo.anjos@safra.com.br</t>
        </is>
      </c>
      <c r="T99" s="21" t="inlineStr">
        <is>
          <t>email verified by Apollo</t>
        </is>
      </c>
      <c r="U99" s="22" t="n">
        <v>3718575.71</v>
      </c>
      <c r="V99" s="23" t="inlineStr">
        <is>
          <t>B</t>
        </is>
      </c>
      <c r="W99" s="24">
        <f>IFERROR(VLOOKUP(V99,Assumptions!$A$7:$F$11,2,FALSE),0)</f>
        <v/>
      </c>
      <c r="X99" s="25">
        <f>IF(V99="A",MAX(1,IFERROR(VLOOKUP(V99,Assumptions!$A$7:$F$11,3,FALSE),3)+IFERROR(VLOOKUP(V99,Assumptions!$A$7:$F$11,4,FALSE),8)/2-MAX(0,IF(AO99="",0,YEAR(TODAY())-AO99)-IFERROR(VLOOKUP(V99,Assumptions!$A$7:$F$11,5,FALSE),1.5))),IFERROR(VLOOKUP(V99,Assumptions!$A$7:$F$11,5,FALSE),2.5)+IFERROR(VLOOKUP(V99,Assumptions!$A$7:$F$11,3,FALSE),3)+IFERROR(VLOOKUP(V99,Assumptions!$A$7:$F$11,4,FALSE),8)/2)</f>
        <v/>
      </c>
      <c r="Y99" s="22">
        <f>U99*W99/(1+Assumptions!$B$3)^X99</f>
        <v/>
      </c>
      <c r="Z99" s="26">
        <f>IF(U99=0,"",ROUND(Y99/U99*100,1))</f>
        <v/>
      </c>
      <c r="AA99" s="27">
        <f>Y99*Assumptions!$B$4</f>
        <v/>
      </c>
      <c r="AB99" s="26">
        <f>IF(U99=0,"",ROUND(AA99/U99*100,1))</f>
        <v/>
      </c>
      <c r="AC99" s="27">
        <f>Y99-AA99</f>
        <v/>
      </c>
      <c r="AD99" s="26">
        <f>IF(U99=0,"",ROUND((Y99-AA99)/U99*100,1))</f>
        <v/>
      </c>
      <c r="AE99" s="34" t="inlineStr">
        <is>
          <t>PARTIAL — class III reconciled, other classes not</t>
        </is>
      </c>
      <c r="AF99" s="29" t="inlineStr">
        <is>
          <t>https://marquesadmjudicial.com.br/sgc/download.php?file=files/processo_documento/processo_documento17040729052024_1_.pdf&amp;nome=Relação Nominal de Credores AJ-Sintética</t>
        </is>
      </c>
      <c r="AG99" s="28" t="inlineStr">
        <is>
          <t>p10 r5</t>
        </is>
      </c>
      <c r="AH99" s="28" t="inlineStr">
        <is>
          <t>p10: R$ 3.718.575,71</t>
        </is>
      </c>
      <c r="AI99" s="28" t="inlineStr">
        <is>
          <t>AJ list (art. 7 §2)</t>
        </is>
      </c>
      <c r="AJ99" s="28" t="inlineStr">
        <is>
          <t>2024-05-27</t>
        </is>
      </c>
      <c r="AK99" s="28" t="inlineStr">
        <is>
          <t>NONE FOUND</t>
        </is>
      </c>
      <c r="AL99" s="30" t="inlineStr">
        <is>
          <t>0003971-03.2023.8.16.0119</t>
        </is>
      </c>
      <c r="AM99" s="30" t="inlineStr">
        <is>
          <t>TJPR</t>
        </is>
      </c>
      <c r="AN99" s="30" t="inlineStr">
        <is>
          <t>ACTIVE</t>
        </is>
      </c>
      <c r="AO99" s="30" t="n">
        <v>2023</v>
      </c>
      <c r="AP99" s="30" t="inlineStr">
        <is>
          <t>live case, no plan document yet</t>
        </is>
      </c>
      <c r="AQ99" s="30" t="inlineStr">
        <is>
          <t>11.624.776/0001-07</t>
        </is>
      </c>
      <c r="AR99" s="30" t="inlineStr">
        <is>
          <t>printed on the list (read twice)</t>
        </is>
      </c>
      <c r="AS99" s="30" t="inlineStr">
        <is>
          <t>SAO PAULO</t>
        </is>
      </c>
      <c r="AT99" s="30" t="inlineStr">
        <is>
          <t>SP</t>
        </is>
      </c>
      <c r="AU99" s="30" t="inlineStr">
        <is>
          <t>Bancos múltiplos, com carteira comercial</t>
        </is>
      </c>
      <c r="AV99" s="30" t="inlineStr">
        <is>
          <t>DEMAIS</t>
        </is>
      </c>
      <c r="AW99" s="31" t="n">
        <v>13924903000</v>
      </c>
      <c r="AX99" s="30" t="inlineStr">
        <is>
          <t>LARGE CORP</t>
        </is>
      </c>
      <c r="AY99" s="30" t="inlineStr">
        <is>
          <t>58160789</t>
        </is>
      </c>
      <c r="AZ99" s="30" t="n">
        <v>1</v>
      </c>
      <c r="BA99" s="30" t="inlineStr">
        <is>
          <t>LIKELY_FINANCIAL_BY_NAME PARTIAL_DOC_CLASS_III_RECONCILED ROWS:p10r5</t>
        </is>
      </c>
    </row>
    <row r="100">
      <c r="A100" s="16" t="inlineStr">
        <is>
          <t>BANCO NACIONAL DE DESENVOLVIMENTO ECONOMICO E SOCIAL</t>
        </is>
      </c>
      <c r="B100" s="17" t="n">
        <v>14441558.6</v>
      </c>
      <c r="C100" s="18" t="inlineStr">
        <is>
          <t>GRUPO ARNON DE MELLO</t>
        </is>
      </c>
      <c r="D100" s="19" t="inlineStr">
        <is>
          <t>NEW</t>
        </is>
      </c>
      <c r="E100" s="20" t="inlineStr"/>
      <c r="F100" s="19" t="inlineStr"/>
      <c r="G100" s="20" t="inlineStr"/>
      <c r="H100" s="19" t="inlineStr"/>
      <c r="I100" s="21" t="inlineStr">
        <is>
          <t>Paulo Almeida</t>
        </is>
      </c>
      <c r="J100" s="21" t="inlineStr">
        <is>
          <t>Distressed Debt</t>
        </is>
      </c>
      <c r="K100" s="21" t="inlineStr"/>
      <c r="L100" s="21" t="inlineStr"/>
      <c r="M100" s="21" t="inlineStr"/>
      <c r="N100" s="21" t="inlineStr"/>
      <c r="O100" s="21" t="inlineStr"/>
      <c r="P100" s="21" t="inlineStr"/>
      <c r="Q100" s="21" t="inlineStr"/>
      <c r="R100" s="21" t="inlineStr"/>
      <c r="S100" s="21" t="inlineStr"/>
      <c r="T100" s="21" t="inlineStr">
        <is>
          <t>no work email found in Apollo</t>
        </is>
      </c>
      <c r="U100" s="22" t="n">
        <v>14441558.6</v>
      </c>
      <c r="V100" s="38" t="inlineStr">
        <is>
          <t>C</t>
        </is>
      </c>
      <c r="W100" s="24">
        <f>IFERROR(VLOOKUP(V100,Assumptions!$A$7:$F$11,2,FALSE),0)</f>
        <v/>
      </c>
      <c r="X100" s="25">
        <f>IF(V100="A",MAX(1,IFERROR(VLOOKUP(V100,Assumptions!$A$7:$F$11,3,FALSE),3)+IFERROR(VLOOKUP(V100,Assumptions!$A$7:$F$11,4,FALSE),8)/2-MAX(0,IF(AO100="",0,YEAR(TODAY())-AO100)-IFERROR(VLOOKUP(V100,Assumptions!$A$7:$F$11,5,FALSE),1.5))),IFERROR(VLOOKUP(V100,Assumptions!$A$7:$F$11,5,FALSE),2.5)+IFERROR(VLOOKUP(V100,Assumptions!$A$7:$F$11,3,FALSE),3)+IFERROR(VLOOKUP(V100,Assumptions!$A$7:$F$11,4,FALSE),8)/2)</f>
        <v/>
      </c>
      <c r="Y100" s="22">
        <f>U100*W100/(1+Assumptions!$B$3)^X100</f>
        <v/>
      </c>
      <c r="Z100" s="26">
        <f>IF(U100=0,"",ROUND(Y100/U100*100,1))</f>
        <v/>
      </c>
      <c r="AA100" s="27">
        <f>Y100*Assumptions!$B$4</f>
        <v/>
      </c>
      <c r="AB100" s="26">
        <f>IF(U100=0,"",ROUND(AA100/U100*100,1))</f>
        <v/>
      </c>
      <c r="AC100" s="27">
        <f>Y100-AA100</f>
        <v/>
      </c>
      <c r="AD100" s="26">
        <f>IF(U100=0,"",ROUND((Y100-AA100)/U100*100,1))</f>
        <v/>
      </c>
      <c r="AE100" s="33" t="inlineStr">
        <is>
          <t>NO TOTALS — list prints none; check page</t>
        </is>
      </c>
      <c r="AF100" s="29" t="inlineStr">
        <is>
          <t>https://recuperacaojudicial.squarespace.com/s/RJ-Grupo-Arnon-de-Melo-Lista-de-Credores-Consolidada-abril-2022.pdf</t>
        </is>
      </c>
      <c r="AG100" s="28" t="inlineStr">
        <is>
          <t>p7 r21</t>
        </is>
      </c>
      <c r="AH100" s="28" t="inlineStr">
        <is>
          <t>p7: R$ 14.441.558,60</t>
        </is>
      </c>
      <c r="AI100" s="28" t="inlineStr">
        <is>
          <t>AJ list (art. 7 §2)</t>
        </is>
      </c>
      <c r="AJ100" s="28" t="inlineStr"/>
      <c r="AK100" s="28" t="inlineStr">
        <is>
          <t>NONE FOUND</t>
        </is>
      </c>
      <c r="AL100" s="30" t="inlineStr">
        <is>
          <t>0700256-03.2019.8.02.0066</t>
        </is>
      </c>
      <c r="AM100" s="30" t="inlineStr">
        <is>
          <t>TJAL</t>
        </is>
      </c>
      <c r="AN100" s="30" t="inlineStr"/>
      <c r="AO100" s="30" t="n">
        <v>2019</v>
      </c>
      <c r="AP100" s="30" t="inlineStr">
        <is>
          <t>7y since filing, no plan document</t>
        </is>
      </c>
      <c r="AQ100" s="30" t="inlineStr">
        <is>
          <t>12.503.801/0001-59</t>
        </is>
      </c>
      <c r="AR100" s="30" t="inlineStr">
        <is>
          <t>printed on the list (read twice)</t>
        </is>
      </c>
      <c r="AS100" s="30" t="inlineStr"/>
      <c r="AT100" s="30" t="inlineStr"/>
      <c r="AU100" s="30" t="inlineStr"/>
      <c r="AV100" s="30" t="inlineStr"/>
      <c r="AW100" s="31" t="inlineStr"/>
      <c r="AX100" s="30" t="inlineStr">
        <is>
          <t>MID-MARKET</t>
        </is>
      </c>
      <c r="AY100" s="30" t="inlineStr">
        <is>
          <t>33657248</t>
        </is>
      </c>
      <c r="AZ100" s="30" t="n">
        <v>1</v>
      </c>
      <c r="BA100" s="30" t="inlineStr">
        <is>
          <t>LIKELY_FINANCIAL_BY_NAME ROWS:p7r21 UNRECONCILED_SOURCE</t>
        </is>
      </c>
    </row>
    <row r="101">
      <c r="A101" s="16" t="inlineStr">
        <is>
          <t>BRADESCO SAUDE S/A</t>
        </is>
      </c>
      <c r="B101" s="17" t="n">
        <v>6917473.54</v>
      </c>
      <c r="C101" s="18" t="inlineStr">
        <is>
          <t>EGESA ENGENHARIA S/A (Consórcio ETDI)</t>
        </is>
      </c>
      <c r="D101" s="19" t="inlineStr">
        <is>
          <t>NEW</t>
        </is>
      </c>
      <c r="E101" s="20" t="inlineStr"/>
      <c r="F101" s="19" t="inlineStr"/>
      <c r="G101" s="20" t="inlineStr"/>
      <c r="H101" s="19" t="inlineStr"/>
      <c r="I101" s="21" t="inlineStr">
        <is>
          <t>Mariana Sbano</t>
        </is>
      </c>
      <c r="J101" s="21" t="inlineStr">
        <is>
          <t>Legal Coordinator</t>
        </is>
      </c>
      <c r="K101" s="21" t="inlineStr">
        <is>
          <t>(21) 2503-1111</t>
        </is>
      </c>
      <c r="L101" s="21" t="inlineStr"/>
      <c r="M101" s="21" t="inlineStr"/>
      <c r="N101" s="21" t="inlineStr"/>
      <c r="O101" s="21" t="inlineStr">
        <is>
          <t>carla.cordeiro@bradescosaude.com.br</t>
        </is>
      </c>
      <c r="P101" s="21" t="inlineStr">
        <is>
          <t>Carla Cordeiro</t>
        </is>
      </c>
      <c r="Q101" s="21" t="inlineStr">
        <is>
          <t>Suporte Jurídico</t>
        </is>
      </c>
      <c r="R101" s="21" t="inlineStr"/>
      <c r="S101" s="21" t="inlineStr">
        <is>
          <t>carla.cordeiro@bradescosaude.com.br</t>
        </is>
      </c>
      <c r="T101" s="21" t="inlineStr">
        <is>
          <t>no work email found in Apollo</t>
        </is>
      </c>
      <c r="U101" s="22" t="n">
        <v>6917473.54</v>
      </c>
      <c r="V101" s="32" t="inlineStr">
        <is>
          <t>U</t>
        </is>
      </c>
      <c r="W101" s="24">
        <f>IFERROR(VLOOKUP(V101,Assumptions!$A$7:$F$11,2,FALSE),0)</f>
        <v/>
      </c>
      <c r="X101" s="25">
        <f>IF(V101="A",MAX(1,IFERROR(VLOOKUP(V101,Assumptions!$A$7:$F$11,3,FALSE),3)+IFERROR(VLOOKUP(V101,Assumptions!$A$7:$F$11,4,FALSE),8)/2-MAX(0,IF(AO101="",0,YEAR(TODAY())-AO101)-IFERROR(VLOOKUP(V101,Assumptions!$A$7:$F$11,5,FALSE),1.5))),IFERROR(VLOOKUP(V101,Assumptions!$A$7:$F$11,5,FALSE),2.5)+IFERROR(VLOOKUP(V101,Assumptions!$A$7:$F$11,3,FALSE),3)+IFERROR(VLOOKUP(V101,Assumptions!$A$7:$F$11,4,FALSE),8)/2)</f>
        <v/>
      </c>
      <c r="Y101" s="22">
        <f>U101*W101/(1+Assumptions!$B$3)^X101</f>
        <v/>
      </c>
      <c r="Z101" s="26">
        <f>IF(U101=0,"",ROUND(Y101/U101*100,1))</f>
        <v/>
      </c>
      <c r="AA101" s="27">
        <f>Y101*Assumptions!$B$4</f>
        <v/>
      </c>
      <c r="AB101" s="26">
        <f>IF(U101=0,"",ROUND(AA101/U101*100,1))</f>
        <v/>
      </c>
      <c r="AC101" s="27">
        <f>Y101-AA101</f>
        <v/>
      </c>
      <c r="AD101" s="26">
        <f>IF(U101=0,"",ROUND((Y101-AA101)/U101*100,1))</f>
        <v/>
      </c>
      <c r="AE101" s="28" t="inlineStr">
        <is>
          <t>OK — totals reconciled</t>
        </is>
      </c>
      <c r="AF101" s="29" t="inlineStr">
        <is>
          <t>https://scalzilliaj.com.br/sgc/download.php?file=files/processo_documento/processo_documento09514021082025_1_.pdf&amp;nome=04 - Relação de credores das Recuperandas</t>
        </is>
      </c>
      <c r="AG101" s="28" t="inlineStr">
        <is>
          <t>p63 r12</t>
        </is>
      </c>
      <c r="AH101" s="28" t="inlineStr">
        <is>
          <t>p63: R$ 6.917.473,54</t>
        </is>
      </c>
      <c r="AI101" s="28" t="inlineStr">
        <is>
          <t>Debtor list (art. 51)</t>
        </is>
      </c>
      <c r="AJ101" s="28" t="inlineStr"/>
      <c r="AK101" s="28" t="inlineStr">
        <is>
          <t>NONE FOUND</t>
        </is>
      </c>
      <c r="AL101" s="30" t="inlineStr">
        <is>
          <t>(not printed)</t>
        </is>
      </c>
      <c r="AM101" s="30" t="inlineStr"/>
      <c r="AN101" s="30" t="inlineStr"/>
      <c r="AO101" s="30" t="inlineStr"/>
      <c r="AP101" s="30" t="inlineStr">
        <is>
          <t>RJ case number not identified on the document</t>
        </is>
      </c>
      <c r="AQ101" s="30" t="inlineStr"/>
      <c r="AR101" s="30" t="inlineStr">
        <is>
          <t>portal page title / URL — not printed on the list</t>
        </is>
      </c>
      <c r="AS101" s="30" t="inlineStr">
        <is>
          <t>RIO DE JANEIRO</t>
        </is>
      </c>
      <c r="AT101" s="30" t="inlineStr">
        <is>
          <t>RJ</t>
        </is>
      </c>
      <c r="AU101" s="30" t="inlineStr">
        <is>
          <t>Sociedade seguradora de seguros saúde</t>
        </is>
      </c>
      <c r="AV101" s="30" t="inlineStr">
        <is>
          <t>DEMAIS</t>
        </is>
      </c>
      <c r="AW101" s="31" t="n">
        <v>4400199000</v>
      </c>
      <c r="AX101" s="30" t="inlineStr">
        <is>
          <t>LARGE CORP</t>
        </is>
      </c>
      <c r="AY101" s="30" t="inlineStr">
        <is>
          <t>92693118</t>
        </is>
      </c>
      <c r="AZ101" s="30" t="n">
        <v>1</v>
      </c>
      <c r="BA101" s="30" t="inlineStr">
        <is>
          <t>LIKELY_FINANCIAL_BY_NAME ROWS:p63r12 VALUE_COL:Valor_Atualizado CASE_NUMBER_CORRECTED</t>
        </is>
      </c>
    </row>
    <row r="102">
      <c r="A102" s="16" t="inlineStr">
        <is>
          <t>BANCO BRADESCO S.A.</t>
        </is>
      </c>
      <c r="B102" s="17" t="n">
        <v>14366044.44</v>
      </c>
      <c r="C102" s="18" t="inlineStr">
        <is>
          <t>FORMAPLAN FORMAS PLANEJADAS INDÚSTRIA E COMÉRCIO LTDA</t>
        </is>
      </c>
      <c r="D102" s="19" t="inlineStr">
        <is>
          <t>NEW</t>
        </is>
      </c>
      <c r="E102" s="20" t="inlineStr"/>
      <c r="F102" s="19" t="inlineStr"/>
      <c r="G102" s="20" t="inlineStr"/>
      <c r="H102" s="19" t="inlineStr"/>
      <c r="I102" s="21" t="inlineStr">
        <is>
          <t>Marcela Martins</t>
        </is>
      </c>
      <c r="J102" s="21" t="inlineStr">
        <is>
          <t>Superintendente de Recuperação de Crédito - Canais e Operações</t>
        </is>
      </c>
      <c r="K102" s="21" t="inlineStr">
        <is>
          <t>(11) 3684-5122</t>
        </is>
      </c>
      <c r="L102" s="21" t="inlineStr"/>
      <c r="M102" s="21" t="inlineStr"/>
      <c r="N102" s="21" t="inlineStr"/>
      <c r="O102" s="21" t="inlineStr">
        <is>
          <t>sl@bradesco.com.br</t>
        </is>
      </c>
      <c r="P102" s="21" t="inlineStr">
        <is>
          <t>Luis S</t>
        </is>
      </c>
      <c r="Q102" s="21" t="inlineStr">
        <is>
          <t>DRC - Departamento de Recuperação de Crédito - Gerente de Reestruturação de Crédito</t>
        </is>
      </c>
      <c r="R102" s="21" t="inlineStr"/>
      <c r="S102" s="21" t="inlineStr">
        <is>
          <t>sl@bradesco.com.br</t>
        </is>
      </c>
      <c r="T102" s="21" t="inlineStr">
        <is>
          <t>no work email found in Apollo</t>
        </is>
      </c>
      <c r="U102" s="22" t="n">
        <v>14366044.44</v>
      </c>
      <c r="V102" s="38" t="inlineStr">
        <is>
          <t>C</t>
        </is>
      </c>
      <c r="W102" s="24">
        <f>IFERROR(VLOOKUP(V102,Assumptions!$A$7:$F$11,2,FALSE),0)</f>
        <v/>
      </c>
      <c r="X102" s="25">
        <f>IF(V102="A",MAX(1,IFERROR(VLOOKUP(V102,Assumptions!$A$7:$F$11,3,FALSE),3)+IFERROR(VLOOKUP(V102,Assumptions!$A$7:$F$11,4,FALSE),8)/2-MAX(0,IF(AO102="",0,YEAR(TODAY())-AO102)-IFERROR(VLOOKUP(V102,Assumptions!$A$7:$F$11,5,FALSE),1.5))),IFERROR(VLOOKUP(V102,Assumptions!$A$7:$F$11,5,FALSE),2.5)+IFERROR(VLOOKUP(V102,Assumptions!$A$7:$F$11,3,FALSE),3)+IFERROR(VLOOKUP(V102,Assumptions!$A$7:$F$11,4,FALSE),8)/2)</f>
        <v/>
      </c>
      <c r="Y102" s="22">
        <f>U102*W102/(1+Assumptions!$B$3)^X102</f>
        <v/>
      </c>
      <c r="Z102" s="26">
        <f>IF(U102=0,"",ROUND(Y102/U102*100,1))</f>
        <v/>
      </c>
      <c r="AA102" s="27">
        <f>Y102*Assumptions!$B$4</f>
        <v/>
      </c>
      <c r="AB102" s="26">
        <f>IF(U102=0,"",ROUND(AA102/U102*100,1))</f>
        <v/>
      </c>
      <c r="AC102" s="27">
        <f>Y102-AA102</f>
        <v/>
      </c>
      <c r="AD102" s="26">
        <f>IF(U102=0,"",ROUND((Y102-AA102)/U102*100,1))</f>
        <v/>
      </c>
      <c r="AE102" s="34" t="inlineStr">
        <is>
          <t>PARTIAL — class III reconciled, other classes not</t>
        </is>
      </c>
      <c r="AF102" s="29" t="inlineStr">
        <is>
          <t>https://marquesadmjudicial.com.br/sgc/download.php?file=files/processo_documento/processo_documento15232121112024_1_.pdf&amp;nome=Relação de Credores</t>
        </is>
      </c>
      <c r="AG102" s="28" t="inlineStr">
        <is>
          <t>p13 r7</t>
        </is>
      </c>
      <c r="AH102" s="28" t="inlineStr">
        <is>
          <t>p13: R$ 14.366.044,44</t>
        </is>
      </c>
      <c r="AI102" s="28" t="inlineStr">
        <is>
          <t>AJ list (art. 7 §2)</t>
        </is>
      </c>
      <c r="AJ102" s="28" t="inlineStr">
        <is>
          <t>2021-01-22</t>
        </is>
      </c>
      <c r="AK102" s="28" t="inlineStr">
        <is>
          <t>NONE FOUND</t>
        </is>
      </c>
      <c r="AL102" s="30" t="inlineStr">
        <is>
          <t>0000410-68.2021.8.16.0174</t>
        </is>
      </c>
      <c r="AM102" s="30" t="inlineStr">
        <is>
          <t>TJPR</t>
        </is>
      </c>
      <c r="AN102" s="30" t="inlineStr">
        <is>
          <t>ACTIVE</t>
        </is>
      </c>
      <c r="AO102" s="30" t="n">
        <v>2021</v>
      </c>
      <c r="AP102" s="30" t="inlineStr">
        <is>
          <t>5y since filing, no plan document</t>
        </is>
      </c>
      <c r="AQ102" s="30" t="inlineStr">
        <is>
          <t>00.262.371/0001-41</t>
        </is>
      </c>
      <c r="AR102" s="30" t="inlineStr">
        <is>
          <t>printed on the list (read twice)</t>
        </is>
      </c>
      <c r="AS102" s="30" t="inlineStr">
        <is>
          <t>OSASCO</t>
        </is>
      </c>
      <c r="AT102" s="30" t="inlineStr">
        <is>
          <t>SP</t>
        </is>
      </c>
      <c r="AU102" s="30" t="inlineStr">
        <is>
          <t>Bancos múltiplos, com carteira comercial</t>
        </is>
      </c>
      <c r="AV102" s="30" t="inlineStr">
        <is>
          <t>DEMAIS</t>
        </is>
      </c>
      <c r="AW102" s="31" t="n">
        <v>93770000000</v>
      </c>
      <c r="AX102" s="30" t="inlineStr">
        <is>
          <t>LARGE CORP</t>
        </is>
      </c>
      <c r="AY102" s="30" t="inlineStr">
        <is>
          <t>60746948</t>
        </is>
      </c>
      <c r="AZ102" s="30" t="n">
        <v>1</v>
      </c>
      <c r="BA102" s="30" t="inlineStr">
        <is>
          <t>LIKELY_FINANCIAL_BY_NAME PARTIAL_DOC_CLASS_III_RECONCILED ROWS:p13r7</t>
        </is>
      </c>
    </row>
    <row r="103">
      <c r="A103" s="16" t="inlineStr">
        <is>
          <t>FAIRFAX BRASIL SEGUROS CORPORATIVOS SA</t>
        </is>
      </c>
      <c r="B103" s="17" t="n">
        <v>3663129.51</v>
      </c>
      <c r="C103" s="18" t="inlineStr">
        <is>
          <t>Grupo Rech</t>
        </is>
      </c>
      <c r="D103" s="19" t="inlineStr">
        <is>
          <t>NEW</t>
        </is>
      </c>
      <c r="E103" s="20" t="inlineStr"/>
      <c r="F103" s="19" t="inlineStr"/>
      <c r="G103" s="20" t="inlineStr"/>
      <c r="H103" s="19" t="inlineStr"/>
      <c r="I103" s="21" t="inlineStr">
        <is>
          <t>Adonai Mello</t>
        </is>
      </c>
      <c r="J103" s="21" t="inlineStr">
        <is>
          <t>Analista de Sinistros na Fairfax Brasil Seguros Corporativos</t>
        </is>
      </c>
      <c r="K103" s="21" t="inlineStr">
        <is>
          <t>(11) 3041-3023</t>
        </is>
      </c>
      <c r="L103" s="21" t="inlineStr">
        <is>
          <t>(11) 3041-3023</t>
        </is>
      </c>
      <c r="M103" s="21" t="inlineStr"/>
      <c r="N103" s="21" t="inlineStr">
        <is>
          <t>adonai.mello@fairfax.com.br</t>
        </is>
      </c>
      <c r="O103" s="21" t="inlineStr"/>
      <c r="P103" s="21" t="inlineStr">
        <is>
          <t>HERON RICARDO PARRON</t>
        </is>
      </c>
      <c r="Q103" s="21" t="inlineStr">
        <is>
          <t>Diretor (RFB partner)</t>
        </is>
      </c>
      <c r="R103" s="21" t="inlineStr"/>
      <c r="S103" s="21" t="inlineStr"/>
      <c r="T103" s="21" t="inlineStr">
        <is>
          <t>email is pattern-guessed, not verified</t>
        </is>
      </c>
      <c r="U103" s="22" t="n">
        <v>3663129.51</v>
      </c>
      <c r="V103" s="23" t="inlineStr">
        <is>
          <t>B</t>
        </is>
      </c>
      <c r="W103" s="24">
        <f>IFERROR(VLOOKUP(V103,Assumptions!$A$7:$F$11,2,FALSE),0)</f>
        <v/>
      </c>
      <c r="X103" s="25">
        <f>IF(V103="A",MAX(1,IFERROR(VLOOKUP(V103,Assumptions!$A$7:$F$11,3,FALSE),3)+IFERROR(VLOOKUP(V103,Assumptions!$A$7:$F$11,4,FALSE),8)/2-MAX(0,IF(AO103="",0,YEAR(TODAY())-AO103)-IFERROR(VLOOKUP(V103,Assumptions!$A$7:$F$11,5,FALSE),1.5))),IFERROR(VLOOKUP(V103,Assumptions!$A$7:$F$11,5,FALSE),2.5)+IFERROR(VLOOKUP(V103,Assumptions!$A$7:$F$11,3,FALSE),3)+IFERROR(VLOOKUP(V103,Assumptions!$A$7:$F$11,4,FALSE),8)/2)</f>
        <v/>
      </c>
      <c r="Y103" s="22">
        <f>U103*W103/(1+Assumptions!$B$3)^X103</f>
        <v/>
      </c>
      <c r="Z103" s="26">
        <f>IF(U103=0,"",ROUND(Y103/U103*100,1))</f>
        <v/>
      </c>
      <c r="AA103" s="27">
        <f>Y103*Assumptions!$B$4</f>
        <v/>
      </c>
      <c r="AB103" s="26">
        <f>IF(U103=0,"",ROUND(AA103/U103*100,1))</f>
        <v/>
      </c>
      <c r="AC103" s="27">
        <f>Y103-AA103</f>
        <v/>
      </c>
      <c r="AD103" s="26">
        <f>IF(U103=0,"",ROUND((Y103-AA103)/U103*100,1))</f>
        <v/>
      </c>
      <c r="AE103" s="36" t="inlineStr">
        <is>
          <t>CHECK — source is not a statutory creditor list</t>
        </is>
      </c>
      <c r="AF103" s="29" t="inlineStr">
        <is>
          <t>https://credibilita.com.br/wp-content/uploads/2025/09/Relacao-Credores-29.04.2026.pdf</t>
        </is>
      </c>
      <c r="AG103" s="28" t="inlineStr">
        <is>
          <t>p1 r22</t>
        </is>
      </c>
      <c r="AH103" s="28" t="inlineStr">
        <is>
          <t>p1: R$ 3.663.129,51</t>
        </is>
      </c>
      <c r="AI103" s="28" t="inlineStr">
        <is>
          <t>Quorum list — NOT an art. 7/51 list</t>
        </is>
      </c>
      <c r="AJ103" s="28" t="inlineStr"/>
      <c r="AK103" s="28" t="inlineStr">
        <is>
          <t>NONE FOUND</t>
        </is>
      </c>
      <c r="AL103" s="30" t="inlineStr">
        <is>
          <t>5057720-48.2025.8.24.0023</t>
        </is>
      </c>
      <c r="AM103" s="30" t="inlineStr">
        <is>
          <t>TJSC</t>
        </is>
      </c>
      <c r="AN103" s="30" t="inlineStr"/>
      <c r="AO103" s="30" t="n">
        <v>2025</v>
      </c>
      <c r="AP103" s="30" t="inlineStr">
        <is>
          <t>live case, no plan document yet</t>
        </is>
      </c>
      <c r="AQ103" s="30" t="inlineStr"/>
      <c r="AR103" s="30" t="inlineStr">
        <is>
          <t>portal page title / URL — not printed on the list</t>
        </is>
      </c>
      <c r="AS103" s="30" t="inlineStr">
        <is>
          <t>SAO PAULO</t>
        </is>
      </c>
      <c r="AT103" s="30" t="inlineStr">
        <is>
          <t>SP</t>
        </is>
      </c>
      <c r="AU103" s="30" t="inlineStr">
        <is>
          <t>Sociedade seguradora de seguros não vida</t>
        </is>
      </c>
      <c r="AV103" s="30" t="inlineStr">
        <is>
          <t>DEMAIS</t>
        </is>
      </c>
      <c r="AW103" s="31" t="n">
        <v>551585700</v>
      </c>
      <c r="AX103" s="30" t="inlineStr">
        <is>
          <t>LARGE CORP</t>
        </is>
      </c>
      <c r="AY103" s="30" t="inlineStr">
        <is>
          <t>10793428</t>
        </is>
      </c>
      <c r="AZ103" s="30" t="n">
        <v>1</v>
      </c>
      <c r="BA103" s="30" t="inlineStr">
        <is>
          <t>ROWS:p1r22 UNRECONCILED_SOURCE VALUE_COL:Valor_Após_Analise CASE_NUMBER_CORRECTED</t>
        </is>
      </c>
    </row>
    <row r="104">
      <c r="A104" s="16" t="inlineStr">
        <is>
          <t>Gavea Securitizadora S.A.</t>
        </is>
      </c>
      <c r="B104" s="17" t="n">
        <v>3660943.81</v>
      </c>
      <c r="C104" s="18" t="inlineStr">
        <is>
          <t>GRUPO DP4</t>
        </is>
      </c>
      <c r="D104" s="19" t="inlineStr">
        <is>
          <t>NEW</t>
        </is>
      </c>
      <c r="E104" s="20" t="inlineStr"/>
      <c r="F104" s="19" t="inlineStr"/>
      <c r="G104" s="20" t="inlineStr"/>
      <c r="H104" s="19" t="inlineStr"/>
      <c r="I104" s="21" t="inlineStr">
        <is>
          <t>Elisangela Mattioli</t>
        </is>
      </c>
      <c r="J104" s="21" t="inlineStr">
        <is>
          <t>Senior Credit Analyst</t>
        </is>
      </c>
      <c r="K104" s="21" t="inlineStr"/>
      <c r="L104" s="21" t="inlineStr"/>
      <c r="M104" s="21" t="inlineStr"/>
      <c r="N104" s="21" t="inlineStr"/>
      <c r="O104" s="21" t="inlineStr"/>
      <c r="P104" s="21" t="inlineStr">
        <is>
          <t>Kilsilene Sul</t>
        </is>
      </c>
      <c r="Q104" s="21" t="inlineStr">
        <is>
          <t>Collection Assistant</t>
        </is>
      </c>
      <c r="R104" s="21" t="inlineStr"/>
      <c r="S104" s="21" t="inlineStr"/>
      <c r="T104" s="21" t="inlineStr">
        <is>
          <t>no work email found in Apollo</t>
        </is>
      </c>
      <c r="U104" s="22" t="n">
        <v>3660943.81</v>
      </c>
      <c r="V104" s="23" t="inlineStr">
        <is>
          <t>B</t>
        </is>
      </c>
      <c r="W104" s="24">
        <f>IFERROR(VLOOKUP(V104,Assumptions!$A$7:$F$11,2,FALSE),0)</f>
        <v/>
      </c>
      <c r="X104" s="25">
        <f>IF(V104="A",MAX(1,IFERROR(VLOOKUP(V104,Assumptions!$A$7:$F$11,3,FALSE),3)+IFERROR(VLOOKUP(V104,Assumptions!$A$7:$F$11,4,FALSE),8)/2-MAX(0,IF(AO104="",0,YEAR(TODAY())-AO104)-IFERROR(VLOOKUP(V104,Assumptions!$A$7:$F$11,5,FALSE),1.5))),IFERROR(VLOOKUP(V104,Assumptions!$A$7:$F$11,5,FALSE),2.5)+IFERROR(VLOOKUP(V104,Assumptions!$A$7:$F$11,3,FALSE),3)+IFERROR(VLOOKUP(V104,Assumptions!$A$7:$F$11,4,FALSE),8)/2)</f>
        <v/>
      </c>
      <c r="Y104" s="22">
        <f>U104*W104/(1+Assumptions!$B$3)^X104</f>
        <v/>
      </c>
      <c r="Z104" s="26">
        <f>IF(U104=0,"",ROUND(Y104/U104*100,1))</f>
        <v/>
      </c>
      <c r="AA104" s="27">
        <f>Y104*Assumptions!$B$4</f>
        <v/>
      </c>
      <c r="AB104" s="26">
        <f>IF(U104=0,"",ROUND(AA104/U104*100,1))</f>
        <v/>
      </c>
      <c r="AC104" s="27">
        <f>Y104-AA104</f>
        <v/>
      </c>
      <c r="AD104" s="26">
        <f>IF(U104=0,"",ROUND((Y104-AA104)/U104*100,1))</f>
        <v/>
      </c>
      <c r="AE104" s="34" t="inlineStr">
        <is>
          <t>PARTIAL — class III reconciled, other classes not</t>
        </is>
      </c>
      <c r="AF104" s="29" t="inlineStr">
        <is>
          <t>https://marquesadmjudicial.com.br/sgc/download.php?file=files/processo_documento/processo_documento15293208032024_1_.pdf&amp;nome=Relação Nominal de Credores da AJ-Sintética</t>
        </is>
      </c>
      <c r="AG104" s="28" t="inlineStr">
        <is>
          <t>p25 r13</t>
        </is>
      </c>
      <c r="AH104" s="28" t="inlineStr">
        <is>
          <t>p25: R$ 3.660.943,81</t>
        </is>
      </c>
      <c r="AI104" s="28" t="inlineStr">
        <is>
          <t>AJ list (art. 7 §2)</t>
        </is>
      </c>
      <c r="AJ104" s="28" t="inlineStr">
        <is>
          <t>2023-03-02</t>
        </is>
      </c>
      <c r="AK104" s="28" t="inlineStr">
        <is>
          <t>NONE FOUND</t>
        </is>
      </c>
      <c r="AL104" s="30" t="inlineStr">
        <is>
          <t>0005010-98.2023.8.16.0001</t>
        </is>
      </c>
      <c r="AM104" s="30" t="inlineStr">
        <is>
          <t>TJPR</t>
        </is>
      </c>
      <c r="AN104" s="30" t="inlineStr">
        <is>
          <t>ACTIVE</t>
        </is>
      </c>
      <c r="AO104" s="30" t="n">
        <v>2023</v>
      </c>
      <c r="AP104" s="30" t="inlineStr">
        <is>
          <t>live case, no plan document yet</t>
        </is>
      </c>
      <c r="AQ104" s="30" t="inlineStr"/>
      <c r="AR104" s="30" t="inlineStr">
        <is>
          <t>printed on the list (read twice)</t>
        </is>
      </c>
      <c r="AS104" s="30" t="inlineStr"/>
      <c r="AT104" s="30" t="inlineStr"/>
      <c r="AU104" s="30" t="inlineStr"/>
      <c r="AV104" s="30" t="inlineStr"/>
      <c r="AW104" s="31" t="inlineStr"/>
      <c r="AX104" s="30" t="inlineStr">
        <is>
          <t>MID-MARKET</t>
        </is>
      </c>
      <c r="AY104" s="30" t="inlineStr">
        <is>
          <t>11193684</t>
        </is>
      </c>
      <c r="AZ104" s="30" t="n">
        <v>1</v>
      </c>
      <c r="BA104" s="30" t="inlineStr">
        <is>
          <t>LIKELY_FINANCIAL_BY_NAME PARTIAL_DOC_CLASS_III_RECONCILED ROWS:p25r13</t>
        </is>
      </c>
    </row>
    <row r="105">
      <c r="A105" s="16" t="inlineStr">
        <is>
          <t>ITAU UNIBANCO S.A.</t>
        </is>
      </c>
      <c r="B105" s="17" t="n">
        <v>3660419.48</v>
      </c>
      <c r="C105" s="18" t="inlineStr">
        <is>
          <t>AZEPLAST INDÚSTRIA E COMÉRCIO LTDA</t>
        </is>
      </c>
      <c r="D105" s="19" t="inlineStr">
        <is>
          <t>NEW</t>
        </is>
      </c>
      <c r="E105" s="20" t="inlineStr"/>
      <c r="F105" s="19" t="inlineStr"/>
      <c r="G105" s="20" t="inlineStr"/>
      <c r="H105" s="19" t="inlineStr"/>
      <c r="I105" s="21" t="inlineStr">
        <is>
          <t>Murilo Gigliucci</t>
        </is>
      </c>
      <c r="J105" s="21" t="inlineStr">
        <is>
          <t>Superintendente de Reestruturação de Crédito</t>
        </is>
      </c>
      <c r="K105" s="21" t="inlineStr">
        <is>
          <t>(11) 3003-4828</t>
        </is>
      </c>
      <c r="L105" s="21" t="inlineStr"/>
      <c r="M105" s="21" t="inlineStr"/>
      <c r="N105" s="21" t="inlineStr">
        <is>
          <t>murilo.gigliucci@itau-unibanco.com.br</t>
        </is>
      </c>
      <c r="O105" s="21" t="inlineStr">
        <is>
          <t>pedro.ornellas-geronimo@itau-unibanco.com.br</t>
        </is>
      </c>
      <c r="P105" s="21" t="inlineStr">
        <is>
          <t>Pedro Ornellas</t>
        </is>
      </c>
      <c r="Q105" s="21" t="inlineStr">
        <is>
          <t>Superintendente de Recuperação de Crédito</t>
        </is>
      </c>
      <c r="R105" s="21" t="inlineStr"/>
      <c r="S105" s="21" t="inlineStr">
        <is>
          <t>pedro.ornellas-geronimo@itau-unibanco.com.br</t>
        </is>
      </c>
      <c r="T105" s="21" t="inlineStr">
        <is>
          <t>email verified by Apollo</t>
        </is>
      </c>
      <c r="U105" s="22" t="n">
        <v>3660419.48</v>
      </c>
      <c r="V105" s="23" t="inlineStr">
        <is>
          <t>B</t>
        </is>
      </c>
      <c r="W105" s="24">
        <f>IFERROR(VLOOKUP(V105,Assumptions!$A$7:$F$11,2,FALSE),0)</f>
        <v/>
      </c>
      <c r="X105" s="25">
        <f>IF(V105="A",MAX(1,IFERROR(VLOOKUP(V105,Assumptions!$A$7:$F$11,3,FALSE),3)+IFERROR(VLOOKUP(V105,Assumptions!$A$7:$F$11,4,FALSE),8)/2-MAX(0,IF(AO105="",0,YEAR(TODAY())-AO105)-IFERROR(VLOOKUP(V105,Assumptions!$A$7:$F$11,5,FALSE),1.5))),IFERROR(VLOOKUP(V105,Assumptions!$A$7:$F$11,5,FALSE),2.5)+IFERROR(VLOOKUP(V105,Assumptions!$A$7:$F$11,3,FALSE),3)+IFERROR(VLOOKUP(V105,Assumptions!$A$7:$F$11,4,FALSE),8)/2)</f>
        <v/>
      </c>
      <c r="Y105" s="22">
        <f>U105*W105/(1+Assumptions!$B$3)^X105</f>
        <v/>
      </c>
      <c r="Z105" s="26">
        <f>IF(U105=0,"",ROUND(Y105/U105*100,1))</f>
        <v/>
      </c>
      <c r="AA105" s="27">
        <f>Y105*Assumptions!$B$4</f>
        <v/>
      </c>
      <c r="AB105" s="26">
        <f>IF(U105=0,"",ROUND(AA105/U105*100,1))</f>
        <v/>
      </c>
      <c r="AC105" s="27">
        <f>Y105-AA105</f>
        <v/>
      </c>
      <c r="AD105" s="26">
        <f>IF(U105=0,"",ROUND((Y105-AA105)/U105*100,1))</f>
        <v/>
      </c>
      <c r="AE105" s="34" t="inlineStr">
        <is>
          <t>PARTIAL — class III reconciled, other classes not</t>
        </is>
      </c>
      <c r="AF105" s="29" t="inlineStr">
        <is>
          <t>https://ajruiz.com.br/sites/default/files/public/arquivos-processos/2026-08/qgc_azeplast_julho_2026.pdf</t>
        </is>
      </c>
      <c r="AG105" s="28" t="inlineStr">
        <is>
          <t>p1 r32</t>
        </is>
      </c>
      <c r="AH105" s="28" t="inlineStr">
        <is>
          <t>p1: R$ 3.660.419,48</t>
        </is>
      </c>
      <c r="AI105" s="28" t="inlineStr">
        <is>
          <t>QGC (art. 18)</t>
        </is>
      </c>
      <c r="AJ105" s="28" t="inlineStr"/>
      <c r="AK105" s="28" t="inlineStr">
        <is>
          <t>NONE FOUND</t>
        </is>
      </c>
      <c r="AL105" s="30" t="inlineStr">
        <is>
          <t>5008793-34.2023.8.24.0019</t>
        </is>
      </c>
      <c r="AM105" s="30" t="inlineStr">
        <is>
          <t>TJSC</t>
        </is>
      </c>
      <c r="AN105" s="30" t="inlineStr">
        <is>
          <t>ACTIVE</t>
        </is>
      </c>
      <c r="AO105" s="30" t="n">
        <v>2023</v>
      </c>
      <c r="AP105" s="30" t="inlineStr">
        <is>
          <t>live case, no plan document yet</t>
        </is>
      </c>
      <c r="AQ105" s="30" t="inlineStr">
        <is>
          <t>05.378.317/0001-80</t>
        </is>
      </c>
      <c r="AR105" s="30" t="inlineStr">
        <is>
          <t>printed on the list (read twice)</t>
        </is>
      </c>
      <c r="AS105" s="30" t="inlineStr">
        <is>
          <t>SAO PAULO</t>
        </is>
      </c>
      <c r="AT105" s="30" t="inlineStr">
        <is>
          <t>SP</t>
        </is>
      </c>
      <c r="AU105" s="30" t="inlineStr">
        <is>
          <t>Bancos comerciais</t>
        </is>
      </c>
      <c r="AV105" s="30" t="inlineStr">
        <is>
          <t>DEMAIS</t>
        </is>
      </c>
      <c r="AW105" s="31" t="n">
        <v>76200000000</v>
      </c>
      <c r="AX105" s="30" t="inlineStr">
        <is>
          <t>LARGE CORP</t>
        </is>
      </c>
      <c r="AY105" s="30" t="inlineStr">
        <is>
          <t>60701190</t>
        </is>
      </c>
      <c r="AZ105" s="30" t="n">
        <v>1</v>
      </c>
      <c r="BA105" s="30" t="inlineStr">
        <is>
          <t>LIKELY_FINANCIAL_BY_NAME PARTIAL_DOC_CLASS_III_RECONCILED ROWS:p1r32</t>
        </is>
      </c>
    </row>
    <row r="106">
      <c r="A106" s="16" t="inlineStr">
        <is>
          <t>Audax Capital Fundo de Investimento em Direitos Creditórios</t>
        </is>
      </c>
      <c r="B106" s="17" t="n">
        <v>1945689.5</v>
      </c>
      <c r="C106" s="18" t="inlineStr">
        <is>
          <t>GRUPO 3E</t>
        </is>
      </c>
      <c r="D106" s="19" t="inlineStr">
        <is>
          <t>NEW</t>
        </is>
      </c>
      <c r="E106" s="20" t="inlineStr"/>
      <c r="F106" s="19" t="inlineStr"/>
      <c r="G106" s="20" t="inlineStr"/>
      <c r="H106" s="19" t="inlineStr"/>
      <c r="I106" s="21" t="inlineStr">
        <is>
          <t>Jessica Clemente</t>
        </is>
      </c>
      <c r="J106" s="21" t="inlineStr">
        <is>
          <t>Gestora de Carteira</t>
        </is>
      </c>
      <c r="K106" s="21" t="inlineStr"/>
      <c r="L106" s="21" t="inlineStr"/>
      <c r="M106" s="21" t="inlineStr"/>
      <c r="N106" s="21" t="inlineStr">
        <is>
          <t>jessica.clemente@audaxcapitalsa.com.br</t>
        </is>
      </c>
      <c r="O106" s="21" t="inlineStr">
        <is>
          <t>kaleby.caetano@audaxcapitalsa.com.br</t>
        </is>
      </c>
      <c r="P106" s="21" t="inlineStr">
        <is>
          <t>Kaleby Caetano</t>
        </is>
      </c>
      <c r="Q106" s="21" t="inlineStr">
        <is>
          <t>Gestor de Operações Estruturadas</t>
        </is>
      </c>
      <c r="R106" s="21" t="inlineStr"/>
      <c r="S106" s="21" t="inlineStr">
        <is>
          <t>kaleby.caetano@audaxcapitalsa.com.br</t>
        </is>
      </c>
      <c r="T106" s="21" t="inlineStr">
        <is>
          <t>email verified by Apollo</t>
        </is>
      </c>
      <c r="U106" s="22" t="n">
        <v>1945689.5</v>
      </c>
      <c r="V106" s="35" t="inlineStr">
        <is>
          <t>A</t>
        </is>
      </c>
      <c r="W106" s="24">
        <f>IFERROR(VLOOKUP(V106,Assumptions!$A$7:$F$11,2,FALSE),0)</f>
        <v/>
      </c>
      <c r="X106" s="25">
        <f>IF(V106="A",MAX(1,IFERROR(VLOOKUP(V106,Assumptions!$A$7:$F$11,3,FALSE),3)+IFERROR(VLOOKUP(V106,Assumptions!$A$7:$F$11,4,FALSE),8)/2-MAX(0,IF(AO106="",0,YEAR(TODAY())-AO106)-IFERROR(VLOOKUP(V106,Assumptions!$A$7:$F$11,5,FALSE),1.5))),IFERROR(VLOOKUP(V106,Assumptions!$A$7:$F$11,5,FALSE),2.5)+IFERROR(VLOOKUP(V106,Assumptions!$A$7:$F$11,3,FALSE),3)+IFERROR(VLOOKUP(V106,Assumptions!$A$7:$F$11,4,FALSE),8)/2)</f>
        <v/>
      </c>
      <c r="Y106" s="22">
        <f>U106*W106/(1+Assumptions!$B$3)^X106</f>
        <v/>
      </c>
      <c r="Z106" s="26">
        <f>IF(U106=0,"",ROUND(Y106/U106*100,1))</f>
        <v/>
      </c>
      <c r="AA106" s="27">
        <f>Y106*Assumptions!$B$4</f>
        <v/>
      </c>
      <c r="AB106" s="26">
        <f>IF(U106=0,"",ROUND(AA106/U106*100,1))</f>
        <v/>
      </c>
      <c r="AC106" s="27">
        <f>Y106-AA106</f>
        <v/>
      </c>
      <c r="AD106" s="26">
        <f>IF(U106=0,"",ROUND((Y106-AA106)/U106*100,1))</f>
        <v/>
      </c>
      <c r="AE106" s="33" t="inlineStr">
        <is>
          <t>NO TOTALS — list prints none; check page</t>
        </is>
      </c>
      <c r="AF106" s="29" t="inlineStr">
        <is>
          <t>https://stenius.com.br/wp-content/uploads/2026/06/EDITAL-GRUPO-3E.pdf</t>
        </is>
      </c>
      <c r="AG106" s="28" t="inlineStr">
        <is>
          <t>p10 r19</t>
        </is>
      </c>
      <c r="AH106" s="28" t="inlineStr">
        <is>
          <t>p10: R$ 1.945.689,50</t>
        </is>
      </c>
      <c r="AI106" s="28" t="inlineStr">
        <is>
          <t>Debtor list (art. 51)</t>
        </is>
      </c>
      <c r="AJ106" s="28" t="inlineStr">
        <is>
          <t>2026-06-22</t>
        </is>
      </c>
      <c r="AK106" s="28" t="inlineStr">
        <is>
          <t>PLAN DOC FOUND</t>
        </is>
      </c>
      <c r="AL106" s="30" t="inlineStr">
        <is>
          <t>5341375-33.2026.8.09.0049</t>
        </is>
      </c>
      <c r="AM106" s="30" t="inlineStr">
        <is>
          <t>TJGO</t>
        </is>
      </c>
      <c r="AN106" s="30" t="inlineStr">
        <is>
          <t>ACTIVE</t>
        </is>
      </c>
      <c r="AO106" s="30" t="n">
        <v>2026</v>
      </c>
      <c r="AP106" s="30" t="inlineStr">
        <is>
          <t>plan/homologation document found</t>
        </is>
      </c>
      <c r="AQ106" s="30" t="inlineStr"/>
      <c r="AR106" s="30" t="inlineStr">
        <is>
          <t>printed on the list (read twice)</t>
        </is>
      </c>
      <c r="AS106" s="30" t="inlineStr"/>
      <c r="AT106" s="30" t="inlineStr"/>
      <c r="AU106" s="30" t="inlineStr"/>
      <c r="AV106" s="30" t="inlineStr"/>
      <c r="AW106" s="31" t="inlineStr"/>
      <c r="AX106" s="30" t="inlineStr">
        <is>
          <t>MID-MARKET</t>
        </is>
      </c>
      <c r="AY106" s="30" t="inlineStr">
        <is>
          <t>40895649</t>
        </is>
      </c>
      <c r="AZ106" s="30" t="n">
        <v>1</v>
      </c>
      <c r="BA106" s="30" t="inlineStr">
        <is>
          <t>LIKELY_FINANCIAL_BY_NAME ROWS:p10r19 UNRECONCILED_SOURCE</t>
        </is>
      </c>
    </row>
    <row r="107">
      <c r="A107" s="16" t="inlineStr">
        <is>
          <t>METAL CREDIT SECURITIZADORA S.A.</t>
        </is>
      </c>
      <c r="B107" s="17" t="n">
        <v>3539955.57</v>
      </c>
      <c r="C107" s="18" t="inlineStr">
        <is>
          <t>Grupo Conduscabos</t>
        </is>
      </c>
      <c r="D107" s="19" t="inlineStr">
        <is>
          <t>NEW</t>
        </is>
      </c>
      <c r="E107" s="20" t="inlineStr"/>
      <c r="F107" s="19" t="inlineStr"/>
      <c r="G107" s="20" t="inlineStr"/>
      <c r="H107" s="19" t="inlineStr"/>
      <c r="I107" s="21" t="inlineStr">
        <is>
          <t>GILMAR ROBERTO DETTILIO JUNIOR</t>
        </is>
      </c>
      <c r="J107" s="21" t="inlineStr">
        <is>
          <t>Presidente (RFB partner)</t>
        </is>
      </c>
      <c r="K107" s="21" t="inlineStr">
        <is>
          <t>(41) 3244-4560</t>
        </is>
      </c>
      <c r="L107" s="21" t="inlineStr"/>
      <c r="M107" s="21" t="inlineStr"/>
      <c r="N107" s="21" t="inlineStr"/>
      <c r="O107" s="21" t="inlineStr"/>
      <c r="P107" s="21" t="inlineStr"/>
      <c r="Q107" s="21" t="inlineStr"/>
      <c r="R107" s="21" t="inlineStr"/>
      <c r="S107" s="21" t="inlineStr"/>
      <c r="T107" s="21" t="inlineStr">
        <is>
          <t>RFB partner (QSA); no Apollo match</t>
        </is>
      </c>
      <c r="U107" s="22" t="n">
        <v>3539955.57</v>
      </c>
      <c r="V107" s="23" t="inlineStr">
        <is>
          <t>B</t>
        </is>
      </c>
      <c r="W107" s="24">
        <f>IFERROR(VLOOKUP(V107,Assumptions!$A$7:$F$11,2,FALSE),0)</f>
        <v/>
      </c>
      <c r="X107" s="25">
        <f>IF(V107="A",MAX(1,IFERROR(VLOOKUP(V107,Assumptions!$A$7:$F$11,3,FALSE),3)+IFERROR(VLOOKUP(V107,Assumptions!$A$7:$F$11,4,FALSE),8)/2-MAX(0,IF(AO107="",0,YEAR(TODAY())-AO107)-IFERROR(VLOOKUP(V107,Assumptions!$A$7:$F$11,5,FALSE),1.5))),IFERROR(VLOOKUP(V107,Assumptions!$A$7:$F$11,5,FALSE),2.5)+IFERROR(VLOOKUP(V107,Assumptions!$A$7:$F$11,3,FALSE),3)+IFERROR(VLOOKUP(V107,Assumptions!$A$7:$F$11,4,FALSE),8)/2)</f>
        <v/>
      </c>
      <c r="Y107" s="22">
        <f>U107*W107/(1+Assumptions!$B$3)^X107</f>
        <v/>
      </c>
      <c r="Z107" s="26">
        <f>IF(U107=0,"",ROUND(Y107/U107*100,1))</f>
        <v/>
      </c>
      <c r="AA107" s="27">
        <f>Y107*Assumptions!$B$4</f>
        <v/>
      </c>
      <c r="AB107" s="26">
        <f>IF(U107=0,"",ROUND(AA107/U107*100,1))</f>
        <v/>
      </c>
      <c r="AC107" s="27">
        <f>Y107-AA107</f>
        <v/>
      </c>
      <c r="AD107" s="26">
        <f>IF(U107=0,"",ROUND((Y107-AA107)/U107*100,1))</f>
        <v/>
      </c>
      <c r="AE107" s="33" t="inlineStr">
        <is>
          <t>NO TOTALS — list prints none; check page</t>
        </is>
      </c>
      <c r="AF107" s="29" t="inlineStr">
        <is>
          <t>https://assistjud.com.br/wp-content/uploads/elementor/forms/65098c80a5824.pdf</t>
        </is>
      </c>
      <c r="AG107" s="28" t="inlineStr">
        <is>
          <t>p9 r2</t>
        </is>
      </c>
      <c r="AH107" s="28" t="inlineStr">
        <is>
          <t>p9: R$ 3.539.955,57</t>
        </is>
      </c>
      <c r="AI107" s="28" t="inlineStr">
        <is>
          <t>AJ list (art. 7 §2)</t>
        </is>
      </c>
      <c r="AJ107" s="28" t="inlineStr">
        <is>
          <t>2023-09-18</t>
        </is>
      </c>
      <c r="AK107" s="28" t="inlineStr">
        <is>
          <t>NONE FOUND</t>
        </is>
      </c>
      <c r="AL107" s="30" t="inlineStr">
        <is>
          <t>8005129-09.2023.8.05.0039</t>
        </is>
      </c>
      <c r="AM107" s="30" t="inlineStr">
        <is>
          <t>TJBA</t>
        </is>
      </c>
      <c r="AN107" s="30" t="inlineStr">
        <is>
          <t>ACTIVE</t>
        </is>
      </c>
      <c r="AO107" s="30" t="n">
        <v>2023</v>
      </c>
      <c r="AP107" s="30" t="inlineStr">
        <is>
          <t>live case, no plan document yet</t>
        </is>
      </c>
      <c r="AQ107" s="30" t="inlineStr"/>
      <c r="AR107" s="30" t="inlineStr">
        <is>
          <t>printed on the list (read twice)</t>
        </is>
      </c>
      <c r="AS107" s="30" t="inlineStr">
        <is>
          <t>SAO PAULO</t>
        </is>
      </c>
      <c r="AT107" s="30" t="inlineStr">
        <is>
          <t>SP</t>
        </is>
      </c>
      <c r="AU107" s="30" t="inlineStr">
        <is>
          <t>Securitização de créditos</t>
        </is>
      </c>
      <c r="AV107" s="30" t="inlineStr">
        <is>
          <t>DEMAIS</t>
        </is>
      </c>
      <c r="AW107" s="31" t="n">
        <v>100000</v>
      </c>
      <c r="AX107" s="30" t="inlineStr">
        <is>
          <t>MID-MARKET</t>
        </is>
      </c>
      <c r="AY107" s="30" t="inlineStr">
        <is>
          <t>33721490</t>
        </is>
      </c>
      <c r="AZ107" s="30" t="n">
        <v>1</v>
      </c>
      <c r="BA107" s="30" t="inlineStr">
        <is>
          <t>ROWS:p9r2 UNRECONCILED_SOURCE</t>
        </is>
      </c>
    </row>
    <row r="108">
      <c r="A108" s="16" t="inlineStr">
        <is>
          <t>BANCO BRADESCO S.A.</t>
        </is>
      </c>
      <c r="B108" s="17" t="n">
        <v>3441046.15</v>
      </c>
      <c r="C108" s="18" t="inlineStr">
        <is>
          <t>GRUPO DP4</t>
        </is>
      </c>
      <c r="D108" s="19" t="inlineStr">
        <is>
          <t>NEW</t>
        </is>
      </c>
      <c r="E108" s="20" t="inlineStr"/>
      <c r="F108" s="19" t="inlineStr"/>
      <c r="G108" s="20" t="inlineStr"/>
      <c r="H108" s="19" t="inlineStr"/>
      <c r="I108" s="21" t="inlineStr">
        <is>
          <t>Marcela Martins</t>
        </is>
      </c>
      <c r="J108" s="21" t="inlineStr">
        <is>
          <t>Superintendente de Recuperação de Crédito - Canais e Operações</t>
        </is>
      </c>
      <c r="K108" s="21" t="inlineStr">
        <is>
          <t>(11) 3684-5122</t>
        </is>
      </c>
      <c r="L108" s="21" t="inlineStr"/>
      <c r="M108" s="21" t="inlineStr"/>
      <c r="N108" s="21" t="inlineStr"/>
      <c r="O108" s="21" t="inlineStr">
        <is>
          <t>sl@bradesco.com.br</t>
        </is>
      </c>
      <c r="P108" s="21" t="inlineStr">
        <is>
          <t>Luis S</t>
        </is>
      </c>
      <c r="Q108" s="21" t="inlineStr">
        <is>
          <t>DRC - Departamento de Recuperação de Crédito - Gerente de Reestruturação de Crédito</t>
        </is>
      </c>
      <c r="R108" s="21" t="inlineStr"/>
      <c r="S108" s="21" t="inlineStr">
        <is>
          <t>sl@bradesco.com.br</t>
        </is>
      </c>
      <c r="T108" s="21" t="inlineStr">
        <is>
          <t>no work email found in Apollo</t>
        </is>
      </c>
      <c r="U108" s="22" t="n">
        <v>3441046.15</v>
      </c>
      <c r="V108" s="23" t="inlineStr">
        <is>
          <t>B</t>
        </is>
      </c>
      <c r="W108" s="24">
        <f>IFERROR(VLOOKUP(V108,Assumptions!$A$7:$F$11,2,FALSE),0)</f>
        <v/>
      </c>
      <c r="X108" s="25">
        <f>IF(V108="A",MAX(1,IFERROR(VLOOKUP(V108,Assumptions!$A$7:$F$11,3,FALSE),3)+IFERROR(VLOOKUP(V108,Assumptions!$A$7:$F$11,4,FALSE),8)/2-MAX(0,IF(AO108="",0,YEAR(TODAY())-AO108)-IFERROR(VLOOKUP(V108,Assumptions!$A$7:$F$11,5,FALSE),1.5))),IFERROR(VLOOKUP(V108,Assumptions!$A$7:$F$11,5,FALSE),2.5)+IFERROR(VLOOKUP(V108,Assumptions!$A$7:$F$11,3,FALSE),3)+IFERROR(VLOOKUP(V108,Assumptions!$A$7:$F$11,4,FALSE),8)/2)</f>
        <v/>
      </c>
      <c r="Y108" s="22">
        <f>U108*W108/(1+Assumptions!$B$3)^X108</f>
        <v/>
      </c>
      <c r="Z108" s="26">
        <f>IF(U108=0,"",ROUND(Y108/U108*100,1))</f>
        <v/>
      </c>
      <c r="AA108" s="27">
        <f>Y108*Assumptions!$B$4</f>
        <v/>
      </c>
      <c r="AB108" s="26">
        <f>IF(U108=0,"",ROUND(AA108/U108*100,1))</f>
        <v/>
      </c>
      <c r="AC108" s="27">
        <f>Y108-AA108</f>
        <v/>
      </c>
      <c r="AD108" s="26">
        <f>IF(U108=0,"",ROUND((Y108-AA108)/U108*100,1))</f>
        <v/>
      </c>
      <c r="AE108" s="34" t="inlineStr">
        <is>
          <t>PARTIAL — class III reconciled, other classes not</t>
        </is>
      </c>
      <c r="AF108" s="29" t="inlineStr">
        <is>
          <t>https://marquesadmjudicial.com.br/sgc/download.php?file=files/processo_documento/processo_documento15293208032024_1_.pdf&amp;nome=Relação Nominal de Credores da AJ-Sintética</t>
        </is>
      </c>
      <c r="AG108" s="28" t="inlineStr">
        <is>
          <t>p20 r7</t>
        </is>
      </c>
      <c r="AH108" s="28" t="inlineStr">
        <is>
          <t>p20: R$ 3.441.046,15</t>
        </is>
      </c>
      <c r="AI108" s="28" t="inlineStr">
        <is>
          <t>AJ list (art. 7 §2)</t>
        </is>
      </c>
      <c r="AJ108" s="28" t="inlineStr">
        <is>
          <t>2023-03-02</t>
        </is>
      </c>
      <c r="AK108" s="28" t="inlineStr">
        <is>
          <t>NONE FOUND</t>
        </is>
      </c>
      <c r="AL108" s="30" t="inlineStr">
        <is>
          <t>0005010-98.2023.8.16.0001</t>
        </is>
      </c>
      <c r="AM108" s="30" t="inlineStr">
        <is>
          <t>TJPR</t>
        </is>
      </c>
      <c r="AN108" s="30" t="inlineStr">
        <is>
          <t>ACTIVE</t>
        </is>
      </c>
      <c r="AO108" s="30" t="n">
        <v>2023</v>
      </c>
      <c r="AP108" s="30" t="inlineStr">
        <is>
          <t>live case, no plan document yet</t>
        </is>
      </c>
      <c r="AQ108" s="30" t="inlineStr"/>
      <c r="AR108" s="30" t="inlineStr">
        <is>
          <t>printed on the list (read twice)</t>
        </is>
      </c>
      <c r="AS108" s="30" t="inlineStr">
        <is>
          <t>OSASCO</t>
        </is>
      </c>
      <c r="AT108" s="30" t="inlineStr">
        <is>
          <t>SP</t>
        </is>
      </c>
      <c r="AU108" s="30" t="inlineStr">
        <is>
          <t>Bancos múltiplos, com carteira comercial</t>
        </is>
      </c>
      <c r="AV108" s="30" t="inlineStr">
        <is>
          <t>DEMAIS</t>
        </is>
      </c>
      <c r="AW108" s="31" t="n">
        <v>93770000000</v>
      </c>
      <c r="AX108" s="30" t="inlineStr">
        <is>
          <t>LARGE CORP</t>
        </is>
      </c>
      <c r="AY108" s="30" t="inlineStr">
        <is>
          <t>60746948</t>
        </is>
      </c>
      <c r="AZ108" s="30" t="n">
        <v>1</v>
      </c>
      <c r="BA108" s="30" t="inlineStr">
        <is>
          <t>LIKELY_FINANCIAL_BY_NAME PARTIAL_DOC_CLASS_III_RECONCILED ROWS:p20r7</t>
        </is>
      </c>
    </row>
    <row r="109">
      <c r="A109" s="16" t="inlineStr">
        <is>
          <t>BANCO DAYCOVAL S.A.</t>
        </is>
      </c>
      <c r="B109" s="17" t="n">
        <v>3438942.48</v>
      </c>
      <c r="C109" s="18" t="inlineStr">
        <is>
          <t>GRUPO CATTAN</t>
        </is>
      </c>
      <c r="D109" s="19" t="inlineStr">
        <is>
          <t>NEW</t>
        </is>
      </c>
      <c r="E109" s="20" t="inlineStr"/>
      <c r="F109" s="19" t="inlineStr"/>
      <c r="G109" s="20" t="inlineStr"/>
      <c r="H109" s="19" t="inlineStr"/>
      <c r="I109" s="21" t="inlineStr">
        <is>
          <t>Celso Araujo</t>
        </is>
      </c>
      <c r="J109" s="21" t="inlineStr">
        <is>
          <t>Gerente de Recuperação de Crédito</t>
        </is>
      </c>
      <c r="K109" s="21" t="inlineStr">
        <is>
          <t>(11) 3138-0500</t>
        </is>
      </c>
      <c r="L109" s="21" t="inlineStr"/>
      <c r="M109" s="21" t="inlineStr"/>
      <c r="N109" s="21" t="inlineStr">
        <is>
          <t>celso.araujo@bancodaycoval.com.br</t>
        </is>
      </c>
      <c r="O109" s="21" t="inlineStr">
        <is>
          <t>andreia.matiel@daycoval.com.br</t>
        </is>
      </c>
      <c r="P109" s="21" t="inlineStr">
        <is>
          <t>Andreia Matiel</t>
        </is>
      </c>
      <c r="Q109" s="21" t="inlineStr">
        <is>
          <t>Advogada Recuperação de Crédito Empresas</t>
        </is>
      </c>
      <c r="R109" s="21" t="inlineStr"/>
      <c r="S109" s="21" t="inlineStr">
        <is>
          <t>andreia.matiel@daycoval.com.br</t>
        </is>
      </c>
      <c r="T109" s="21" t="inlineStr">
        <is>
          <t>email verified by Apollo</t>
        </is>
      </c>
      <c r="U109" s="22" t="n">
        <v>3438942.48</v>
      </c>
      <c r="V109" s="23" t="inlineStr">
        <is>
          <t>B</t>
        </is>
      </c>
      <c r="W109" s="24">
        <f>IFERROR(VLOOKUP(V109,Assumptions!$A$7:$F$11,2,FALSE),0)</f>
        <v/>
      </c>
      <c r="X109" s="25">
        <f>IF(V109="A",MAX(1,IFERROR(VLOOKUP(V109,Assumptions!$A$7:$F$11,3,FALSE),3)+IFERROR(VLOOKUP(V109,Assumptions!$A$7:$F$11,4,FALSE),8)/2-MAX(0,IF(AO109="",0,YEAR(TODAY())-AO109)-IFERROR(VLOOKUP(V109,Assumptions!$A$7:$F$11,5,FALSE),1.5))),IFERROR(VLOOKUP(V109,Assumptions!$A$7:$F$11,5,FALSE),2.5)+IFERROR(VLOOKUP(V109,Assumptions!$A$7:$F$11,3,FALSE),3)+IFERROR(VLOOKUP(V109,Assumptions!$A$7:$F$11,4,FALSE),8)/2)</f>
        <v/>
      </c>
      <c r="Y109" s="22">
        <f>U109*W109/(1+Assumptions!$B$3)^X109</f>
        <v/>
      </c>
      <c r="Z109" s="26">
        <f>IF(U109=0,"",ROUND(Y109/U109*100,1))</f>
        <v/>
      </c>
      <c r="AA109" s="27">
        <f>Y109*Assumptions!$B$4</f>
        <v/>
      </c>
      <c r="AB109" s="26">
        <f>IF(U109=0,"",ROUND(AA109/U109*100,1))</f>
        <v/>
      </c>
      <c r="AC109" s="27">
        <f>Y109-AA109</f>
        <v/>
      </c>
      <c r="AD109" s="26">
        <f>IF(U109=0,"",ROUND((Y109-AA109)/U109*100,1))</f>
        <v/>
      </c>
      <c r="AE109" s="34" t="inlineStr">
        <is>
          <t>PARTIAL — class III reconciled, other classes not</t>
        </is>
      </c>
      <c r="AF109" s="29" t="inlineStr">
        <is>
          <t>https://lrflideres.com.br/wp-content/plugins/download-attachments/includes/download.php?id=4023</t>
        </is>
      </c>
      <c r="AG109" s="28" t="inlineStr">
        <is>
          <t>p4 r55; p7 r76</t>
        </is>
      </c>
      <c r="AH109" s="28" t="inlineStr">
        <is>
          <t>p4: R$ 684.717,11; p7: R$ 2.754.225,37</t>
        </is>
      </c>
      <c r="AI109" s="28" t="inlineStr">
        <is>
          <t>Debtor list (art. 51)</t>
        </is>
      </c>
      <c r="AJ109" s="28" t="inlineStr"/>
      <c r="AK109" s="28" t="inlineStr">
        <is>
          <t>NONE FOUND</t>
        </is>
      </c>
      <c r="AL109" s="30" t="inlineStr">
        <is>
          <t>0002484-82.2022.8.17.2001</t>
        </is>
      </c>
      <c r="AM109" s="30" t="inlineStr">
        <is>
          <t>TJPE</t>
        </is>
      </c>
      <c r="AN109" s="30" t="inlineStr">
        <is>
          <t>ACTIVE</t>
        </is>
      </c>
      <c r="AO109" s="30" t="n">
        <v>2022</v>
      </c>
      <c r="AP109" s="30" t="inlineStr">
        <is>
          <t>live case, no plan document yet</t>
        </is>
      </c>
      <c r="AQ109" s="30" t="inlineStr"/>
      <c r="AR109" s="30" t="inlineStr">
        <is>
          <t>printed on the list (read twice)</t>
        </is>
      </c>
      <c r="AS109" s="30" t="inlineStr">
        <is>
          <t>SAO PAULO</t>
        </is>
      </c>
      <c r="AT109" s="30" t="inlineStr">
        <is>
          <t>SP</t>
        </is>
      </c>
      <c r="AU109" s="30" t="inlineStr">
        <is>
          <t>Bancos múltiplos, com carteira comercial</t>
        </is>
      </c>
      <c r="AV109" s="30" t="inlineStr">
        <is>
          <t>DEMAIS</t>
        </is>
      </c>
      <c r="AW109" s="31" t="n">
        <v>6907260000</v>
      </c>
      <c r="AX109" s="30" t="inlineStr">
        <is>
          <t>LARGE CORP</t>
        </is>
      </c>
      <c r="AY109" s="30" t="inlineStr">
        <is>
          <t>62232889</t>
        </is>
      </c>
      <c r="AZ109" s="30" t="n">
        <v>2</v>
      </c>
      <c r="BA109" s="30" t="inlineStr">
        <is>
          <t>LIKELY_FINANCIAL_BY_NAME PARTIAL_DOC_CLASS_III_RECONCILED ROWS:p4r55,p7r76</t>
        </is>
      </c>
    </row>
    <row r="110">
      <c r="A110" s="16" t="inlineStr">
        <is>
          <t>FOR PARTICIPACOES SOCIAIS LTDA</t>
        </is>
      </c>
      <c r="B110" s="17" t="n">
        <v>3397738.03</v>
      </c>
      <c r="C110" s="18" t="inlineStr">
        <is>
          <t>Alto Uruguai Indústria e Comércio de Óleos Ltda</t>
        </is>
      </c>
      <c r="D110" s="19" t="inlineStr">
        <is>
          <t>NEW</t>
        </is>
      </c>
      <c r="E110" s="20" t="inlineStr"/>
      <c r="F110" s="19" t="inlineStr"/>
      <c r="G110" s="20" t="inlineStr"/>
      <c r="H110" s="19" t="inlineStr"/>
      <c r="I110" s="21" t="inlineStr">
        <is>
          <t>RODRIGO ANDREETTA</t>
        </is>
      </c>
      <c r="J110" s="21" t="inlineStr">
        <is>
          <t>Sócio-Administrador (RFB partner)</t>
        </is>
      </c>
      <c r="K110" s="21" t="inlineStr">
        <is>
          <t>(54) 2107-1000</t>
        </is>
      </c>
      <c r="L110" s="21" t="inlineStr"/>
      <c r="M110" s="21" t="inlineStr"/>
      <c r="N110" s="21" t="inlineStr"/>
      <c r="O110" s="21" t="inlineStr"/>
      <c r="P110" s="21" t="inlineStr"/>
      <c r="Q110" s="21" t="inlineStr"/>
      <c r="R110" s="21" t="inlineStr"/>
      <c r="S110" s="21" t="inlineStr"/>
      <c r="T110" s="21" t="inlineStr">
        <is>
          <t>RFB partner (QSA); no Apollo match</t>
        </is>
      </c>
      <c r="U110" s="22" t="n">
        <v>3397738.03</v>
      </c>
      <c r="V110" s="23" t="inlineStr">
        <is>
          <t>B</t>
        </is>
      </c>
      <c r="W110" s="24">
        <f>IFERROR(VLOOKUP(V110,Assumptions!$A$7:$F$11,2,FALSE),0)</f>
        <v/>
      </c>
      <c r="X110" s="25">
        <f>IF(V110="A",MAX(1,IFERROR(VLOOKUP(V110,Assumptions!$A$7:$F$11,3,FALSE),3)+IFERROR(VLOOKUP(V110,Assumptions!$A$7:$F$11,4,FALSE),8)/2-MAX(0,IF(AO110="",0,YEAR(TODAY())-AO110)-IFERROR(VLOOKUP(V110,Assumptions!$A$7:$F$11,5,FALSE),1.5))),IFERROR(VLOOKUP(V110,Assumptions!$A$7:$F$11,5,FALSE),2.5)+IFERROR(VLOOKUP(V110,Assumptions!$A$7:$F$11,3,FALSE),3)+IFERROR(VLOOKUP(V110,Assumptions!$A$7:$F$11,4,FALSE),8)/2)</f>
        <v/>
      </c>
      <c r="Y110" s="22">
        <f>U110*W110/(1+Assumptions!$B$3)^X110</f>
        <v/>
      </c>
      <c r="Z110" s="26">
        <f>IF(U110=0,"",ROUND(Y110/U110*100,1))</f>
        <v/>
      </c>
      <c r="AA110" s="27">
        <f>Y110*Assumptions!$B$4</f>
        <v/>
      </c>
      <c r="AB110" s="26">
        <f>IF(U110=0,"",ROUND(AA110/U110*100,1))</f>
        <v/>
      </c>
      <c r="AC110" s="27">
        <f>Y110-AA110</f>
        <v/>
      </c>
      <c r="AD110" s="26">
        <f>IF(U110=0,"",ROUND((Y110-AA110)/U110*100,1))</f>
        <v/>
      </c>
      <c r="AE110" s="28" t="inlineStr">
        <is>
          <t>OK — totals reconciled</t>
        </is>
      </c>
      <c r="AF110" s="29" t="inlineStr">
        <is>
          <t>https://ajruiz.com.br/sites/default/files/public/arquivos-processos/2026-06/alto_uruguai_qgc_junho.2026.pdf</t>
        </is>
      </c>
      <c r="AG110" s="28" t="inlineStr">
        <is>
          <t>p1 r23</t>
        </is>
      </c>
      <c r="AH110" s="28" t="inlineStr">
        <is>
          <t>p1: R$ 3.397.738,03</t>
        </is>
      </c>
      <c r="AI110" s="28" t="inlineStr">
        <is>
          <t>Unclassified list</t>
        </is>
      </c>
      <c r="AJ110" s="28" t="inlineStr"/>
      <c r="AK110" s="28" t="inlineStr">
        <is>
          <t>NONE FOUND</t>
        </is>
      </c>
      <c r="AL110" s="30" t="inlineStr">
        <is>
          <t>5012743-51.2023.8.24.0019</t>
        </is>
      </c>
      <c r="AM110" s="30" t="inlineStr">
        <is>
          <t>TJSC</t>
        </is>
      </c>
      <c r="AN110" s="30" t="inlineStr">
        <is>
          <t>ACTIVE</t>
        </is>
      </c>
      <c r="AO110" s="30" t="n">
        <v>2023</v>
      </c>
      <c r="AP110" s="30" t="inlineStr">
        <is>
          <t>live case, no plan document yet</t>
        </is>
      </c>
      <c r="AQ110" s="30" t="inlineStr"/>
      <c r="AR110" s="30" t="inlineStr">
        <is>
          <t>printed on the list (read twice)</t>
        </is>
      </c>
      <c r="AS110" s="30" t="inlineStr">
        <is>
          <t>ERECHIM</t>
        </is>
      </c>
      <c r="AT110" s="30" t="inlineStr">
        <is>
          <t>RS</t>
        </is>
      </c>
      <c r="AU110" s="30" t="inlineStr">
        <is>
          <t>Holdings de instituições não-financeiras</t>
        </is>
      </c>
      <c r="AV110" s="30" t="inlineStr">
        <is>
          <t>DEMAIS</t>
        </is>
      </c>
      <c r="AW110" s="31" t="n">
        <v>16237120</v>
      </c>
      <c r="AX110" s="30" t="inlineStr">
        <is>
          <t>MID-MARKET</t>
        </is>
      </c>
      <c r="AY110" s="30" t="inlineStr">
        <is>
          <t>30351359</t>
        </is>
      </c>
      <c r="AZ110" s="30" t="n">
        <v>1</v>
      </c>
      <c r="BA110" s="30" t="inlineStr">
        <is>
          <t>ROWS:p1r23 VALUE_COL:Valor_Do_Crédito</t>
        </is>
      </c>
    </row>
    <row r="111">
      <c r="A111" s="16" t="inlineStr">
        <is>
          <t>BANCO ITAUCARD S.A.</t>
        </is>
      </c>
      <c r="B111" s="17" t="n">
        <v>6300000</v>
      </c>
      <c r="C111" s="37" t="inlineStr">
        <is>
          <t>(debtor not identified — see proof)</t>
        </is>
      </c>
      <c r="D111" s="19" t="inlineStr">
        <is>
          <t>NEW</t>
        </is>
      </c>
      <c r="E111" s="20" t="inlineStr"/>
      <c r="F111" s="19" t="inlineStr"/>
      <c r="G111" s="20" t="inlineStr"/>
      <c r="H111" s="19" t="inlineStr"/>
      <c r="I111" s="21" t="inlineStr">
        <is>
          <t>RUBENS FOGLI NETTO</t>
        </is>
      </c>
      <c r="J111" s="21" t="inlineStr">
        <is>
          <t>Presidente (RFB partner)</t>
        </is>
      </c>
      <c r="K111" s="21" t="inlineStr">
        <is>
          <t>(11) 3003-4828</t>
        </is>
      </c>
      <c r="L111" s="21" t="inlineStr"/>
      <c r="M111" s="21" t="inlineStr"/>
      <c r="N111" s="21" t="inlineStr"/>
      <c r="O111" s="21" t="inlineStr"/>
      <c r="P111" s="21" t="inlineStr">
        <is>
          <t>ALBANO MANOEL ALMEIDA</t>
        </is>
      </c>
      <c r="Q111" s="21" t="inlineStr">
        <is>
          <t>Diretor (RFB partner)</t>
        </is>
      </c>
      <c r="R111" s="21" t="inlineStr"/>
      <c r="S111" s="21" t="inlineStr"/>
      <c r="T111" s="21" t="inlineStr">
        <is>
          <t>RFB partner (QSA); no Apollo match</t>
        </is>
      </c>
      <c r="U111" s="22" t="n">
        <v>6300000</v>
      </c>
      <c r="V111" s="32" t="inlineStr">
        <is>
          <t>U</t>
        </is>
      </c>
      <c r="W111" s="24">
        <f>IFERROR(VLOOKUP(V111,Assumptions!$A$7:$F$11,2,FALSE),0)</f>
        <v/>
      </c>
      <c r="X111" s="25">
        <f>IF(V111="A",MAX(1,IFERROR(VLOOKUP(V111,Assumptions!$A$7:$F$11,3,FALSE),3)+IFERROR(VLOOKUP(V111,Assumptions!$A$7:$F$11,4,FALSE),8)/2-MAX(0,IF(AO111="",0,YEAR(TODAY())-AO111)-IFERROR(VLOOKUP(V111,Assumptions!$A$7:$F$11,5,FALSE),1.5))),IFERROR(VLOOKUP(V111,Assumptions!$A$7:$F$11,5,FALSE),2.5)+IFERROR(VLOOKUP(V111,Assumptions!$A$7:$F$11,3,FALSE),3)+IFERROR(VLOOKUP(V111,Assumptions!$A$7:$F$11,4,FALSE),8)/2)</f>
        <v/>
      </c>
      <c r="Y111" s="22">
        <f>U111*W111/(1+Assumptions!$B$3)^X111</f>
        <v/>
      </c>
      <c r="Z111" s="26">
        <f>IF(U111=0,"",ROUND(Y111/U111*100,1))</f>
        <v/>
      </c>
      <c r="AA111" s="27">
        <f>Y111*Assumptions!$B$4</f>
        <v/>
      </c>
      <c r="AB111" s="26">
        <f>IF(U111=0,"",ROUND(AA111/U111*100,1))</f>
        <v/>
      </c>
      <c r="AC111" s="27">
        <f>Y111-AA111</f>
        <v/>
      </c>
      <c r="AD111" s="26">
        <f>IF(U111=0,"",ROUND((Y111-AA111)/U111*100,1))</f>
        <v/>
      </c>
      <c r="AE111" s="28" t="inlineStr">
        <is>
          <t>OK — totals reconciled</t>
        </is>
      </c>
      <c r="AF111" s="29" t="inlineStr">
        <is>
          <t>https://ajruiz.com.br/sites/default/files/public/arquivos-processos/2023-11/4_relacao_de_credores_analitica_art._51_iii_da_lre.pdf</t>
        </is>
      </c>
      <c r="AG111" s="28" t="inlineStr">
        <is>
          <t>p2 r14</t>
        </is>
      </c>
      <c r="AH111" s="28" t="inlineStr">
        <is>
          <t>p2: R$ 6.300.000,00</t>
        </is>
      </c>
      <c r="AI111" s="28" t="inlineStr">
        <is>
          <t>Unclassified list</t>
        </is>
      </c>
      <c r="AJ111" s="28" t="inlineStr"/>
      <c r="AK111" s="28" t="inlineStr">
        <is>
          <t>NONE FOUND</t>
        </is>
      </c>
      <c r="AL111" s="30" t="inlineStr">
        <is>
          <t>(not printed)</t>
        </is>
      </c>
      <c r="AM111" s="30" t="inlineStr"/>
      <c r="AN111" s="30" t="inlineStr"/>
      <c r="AO111" s="30" t="inlineStr"/>
      <c r="AP111" s="30" t="inlineStr">
        <is>
          <t>RJ case number not identified on the document</t>
        </is>
      </c>
      <c r="AQ111" s="30" t="inlineStr"/>
      <c r="AR111" s="30" t="inlineStr">
        <is>
          <t>not identified</t>
        </is>
      </c>
      <c r="AS111" s="30" t="inlineStr">
        <is>
          <t>SAO PAULO</t>
        </is>
      </c>
      <c r="AT111" s="30" t="inlineStr">
        <is>
          <t>SP</t>
        </is>
      </c>
      <c r="AU111" s="30" t="inlineStr">
        <is>
          <t>Bancos múltiplos, sem carteira comercial</t>
        </is>
      </c>
      <c r="AV111" s="30" t="inlineStr">
        <is>
          <t>DEMAIS</t>
        </is>
      </c>
      <c r="AW111" s="31" t="n">
        <v>50000000</v>
      </c>
      <c r="AX111" s="30" t="inlineStr">
        <is>
          <t>MID-MARKET</t>
        </is>
      </c>
      <c r="AY111" s="30" t="inlineStr">
        <is>
          <t>17192451</t>
        </is>
      </c>
      <c r="AZ111" s="30" t="n">
        <v>1</v>
      </c>
      <c r="BA111" s="30" t="inlineStr">
        <is>
          <t>ALT_VALUE:BANCOS ROWS:p2r14 VALUE_COL:Valor_Do_Crédito CASE_NUMBER_CORRECTED</t>
        </is>
      </c>
    </row>
    <row r="112">
      <c r="A112" s="16" t="inlineStr">
        <is>
          <t>CAIXA ECONOMICA FEDERAL</t>
        </is>
      </c>
      <c r="B112" s="17" t="n">
        <v>3336220</v>
      </c>
      <c r="C112" s="18" t="inlineStr">
        <is>
          <t>FLAVOUR MIX IND. E REP. ALIM. E INGR. QUÍMICOS LTDA.</t>
        </is>
      </c>
      <c r="D112" s="19" t="inlineStr">
        <is>
          <t>NEW</t>
        </is>
      </c>
      <c r="E112" s="20" t="inlineStr"/>
      <c r="F112" s="19" t="inlineStr"/>
      <c r="G112" s="20" t="inlineStr"/>
      <c r="H112" s="19" t="inlineStr"/>
      <c r="I112" s="21" t="inlineStr">
        <is>
          <t>Livia Serikaku</t>
        </is>
      </c>
      <c r="J112" s="21" t="inlineStr">
        <is>
          <t>Gerente de Clientes e Negócios | Recuperação de Crédito</t>
        </is>
      </c>
      <c r="K112" s="21" t="inlineStr">
        <is>
          <t>(00) 4004-0104</t>
        </is>
      </c>
      <c r="L112" s="21" t="inlineStr"/>
      <c r="M112" s="21" t="inlineStr"/>
      <c r="N112" s="21" t="inlineStr"/>
      <c r="O112" s="21" t="inlineStr"/>
      <c r="P112" s="21" t="inlineStr">
        <is>
          <t>Rodolfo Trevizan</t>
        </is>
      </c>
      <c r="Q112" s="21" t="inlineStr">
        <is>
          <t>Investment Banking | Distressed Assets | Project Finance</t>
        </is>
      </c>
      <c r="R112" s="21" t="inlineStr"/>
      <c r="S112" s="21" t="inlineStr"/>
      <c r="T112" s="21" t="inlineStr">
        <is>
          <t>no work email found in Apollo</t>
        </is>
      </c>
      <c r="U112" s="22" t="n">
        <v>3336220</v>
      </c>
      <c r="V112" s="23" t="inlineStr">
        <is>
          <t>B</t>
        </is>
      </c>
      <c r="W112" s="24">
        <f>IFERROR(VLOOKUP(V112,Assumptions!$A$7:$F$11,2,FALSE),0)</f>
        <v/>
      </c>
      <c r="X112" s="25">
        <f>IF(V112="A",MAX(1,IFERROR(VLOOKUP(V112,Assumptions!$A$7:$F$11,3,FALSE),3)+IFERROR(VLOOKUP(V112,Assumptions!$A$7:$F$11,4,FALSE),8)/2-MAX(0,IF(AO112="",0,YEAR(TODAY())-AO112)-IFERROR(VLOOKUP(V112,Assumptions!$A$7:$F$11,5,FALSE),1.5))),IFERROR(VLOOKUP(V112,Assumptions!$A$7:$F$11,5,FALSE),2.5)+IFERROR(VLOOKUP(V112,Assumptions!$A$7:$F$11,3,FALSE),3)+IFERROR(VLOOKUP(V112,Assumptions!$A$7:$F$11,4,FALSE),8)/2)</f>
        <v/>
      </c>
      <c r="Y112" s="22">
        <f>U112*W112/(1+Assumptions!$B$3)^X112</f>
        <v/>
      </c>
      <c r="Z112" s="26">
        <f>IF(U112=0,"",ROUND(Y112/U112*100,1))</f>
        <v/>
      </c>
      <c r="AA112" s="27">
        <f>Y112*Assumptions!$B$4</f>
        <v/>
      </c>
      <c r="AB112" s="26">
        <f>IF(U112=0,"",ROUND(AA112/U112*100,1))</f>
        <v/>
      </c>
      <c r="AC112" s="27">
        <f>Y112-AA112</f>
        <v/>
      </c>
      <c r="AD112" s="26">
        <f>IF(U112=0,"",ROUND((Y112-AA112)/U112*100,1))</f>
        <v/>
      </c>
      <c r="AE112" s="33" t="inlineStr">
        <is>
          <t>NO TOTALS — list prints none; check page</t>
        </is>
      </c>
      <c r="AF112" s="29" t="inlineStr">
        <is>
          <t>https://ativosajce.com.br/admin/download.php?file=files/processo_documento/processo_documento13422625032025_1_.pdf&amp;nome=Relação de Credores - Art. 52º § 1º, da Lei nº 11.101/2005 - 25/02/2025</t>
        </is>
      </c>
      <c r="AG112" s="28" t="inlineStr">
        <is>
          <t>p3 r32</t>
        </is>
      </c>
      <c r="AH112" s="28" t="inlineStr">
        <is>
          <t>p3: R$ 3.336.220,00</t>
        </is>
      </c>
      <c r="AI112" s="28" t="inlineStr">
        <is>
          <t>Unclassified list</t>
        </is>
      </c>
      <c r="AJ112" s="28" t="inlineStr">
        <is>
          <t>2025-02-28</t>
        </is>
      </c>
      <c r="AK112" s="28" t="inlineStr">
        <is>
          <t>NONE FOUND</t>
        </is>
      </c>
      <c r="AL112" s="30" t="inlineStr">
        <is>
          <t>1000119-75.2025.8.26.0354</t>
        </is>
      </c>
      <c r="AM112" s="30" t="inlineStr">
        <is>
          <t>TJSP</t>
        </is>
      </c>
      <c r="AN112" s="30" t="inlineStr">
        <is>
          <t>ACTIVE</t>
        </is>
      </c>
      <c r="AO112" s="30" t="n">
        <v>2025</v>
      </c>
      <c r="AP112" s="30" t="inlineStr">
        <is>
          <t>live case, no plan document yet</t>
        </is>
      </c>
      <c r="AQ112" s="30" t="inlineStr">
        <is>
          <t>09.357.504/0001-38</t>
        </is>
      </c>
      <c r="AR112" s="30" t="inlineStr">
        <is>
          <t>printed on the list (read twice)</t>
        </is>
      </c>
      <c r="AS112" s="30" t="inlineStr">
        <is>
          <t>BRASILIA</t>
        </is>
      </c>
      <c r="AT112" s="30" t="inlineStr">
        <is>
          <t>DF</t>
        </is>
      </c>
      <c r="AU112" s="30" t="inlineStr">
        <is>
          <t>Caixas econômicas</t>
        </is>
      </c>
      <c r="AV112" s="30" t="inlineStr">
        <is>
          <t>DEMAIS</t>
        </is>
      </c>
      <c r="AW112" s="31" t="n">
        <v>105300000000</v>
      </c>
      <c r="AX112" s="30" t="inlineStr">
        <is>
          <t>LARGE CORP</t>
        </is>
      </c>
      <c r="AY112" s="30" t="inlineStr">
        <is>
          <t>00360305</t>
        </is>
      </c>
      <c r="AZ112" s="30" t="n">
        <v>1</v>
      </c>
      <c r="BA112" s="30" t="inlineStr">
        <is>
          <t>LIKELY_FINANCIAL_BY_NAME ROWS:p3r32 UNRECONCILED_SOURCE</t>
        </is>
      </c>
    </row>
    <row r="113">
      <c r="A113" s="16" t="inlineStr">
        <is>
          <t>BANCO DO NORDESTE DO BRASIL SA</t>
        </is>
      </c>
      <c r="B113" s="17" t="n">
        <v>3330393.67</v>
      </c>
      <c r="C113" s="18" t="inlineStr">
        <is>
          <t>GRUPO GLP</t>
        </is>
      </c>
      <c r="D113" s="19" t="inlineStr">
        <is>
          <t>NEW</t>
        </is>
      </c>
      <c r="E113" s="20" t="inlineStr"/>
      <c r="F113" s="19" t="inlineStr"/>
      <c r="G113" s="20" t="inlineStr"/>
      <c r="H113" s="19" t="inlineStr"/>
      <c r="I113" s="21" t="inlineStr">
        <is>
          <t>Layslan Medeiros</t>
        </is>
      </c>
      <c r="J113" s="21" t="inlineStr">
        <is>
          <t>Gerente Executivo Operacional e de Recuperação de Crédito</t>
        </is>
      </c>
      <c r="K113" s="21" t="inlineStr">
        <is>
          <t>(85) 3299-3000</t>
        </is>
      </c>
      <c r="L113" s="21" t="inlineStr"/>
      <c r="M113" s="21" t="inlineStr"/>
      <c r="N113" s="21" t="inlineStr"/>
      <c r="O113" s="21" t="inlineStr">
        <is>
          <t>alexsander@bnb.gov.br</t>
        </is>
      </c>
      <c r="P113" s="21" t="inlineStr">
        <is>
          <t>Alexsander Farias</t>
        </is>
      </c>
      <c r="Q113" s="21" t="inlineStr">
        <is>
          <t>Gerente de Recuperação de Crédito</t>
        </is>
      </c>
      <c r="R113" s="21" t="inlineStr"/>
      <c r="S113" s="21" t="inlineStr">
        <is>
          <t>alexsander@bnb.gov.br</t>
        </is>
      </c>
      <c r="T113" s="21" t="inlineStr">
        <is>
          <t>no work email found in Apollo</t>
        </is>
      </c>
      <c r="U113" s="22" t="n">
        <v>3330393.67</v>
      </c>
      <c r="V113" s="23" t="inlineStr">
        <is>
          <t>B</t>
        </is>
      </c>
      <c r="W113" s="24">
        <f>IFERROR(VLOOKUP(V113,Assumptions!$A$7:$F$11,2,FALSE),0)</f>
        <v/>
      </c>
      <c r="X113" s="25">
        <f>IF(V113="A",MAX(1,IFERROR(VLOOKUP(V113,Assumptions!$A$7:$F$11,3,FALSE),3)+IFERROR(VLOOKUP(V113,Assumptions!$A$7:$F$11,4,FALSE),8)/2-MAX(0,IF(AO113="",0,YEAR(TODAY())-AO113)-IFERROR(VLOOKUP(V113,Assumptions!$A$7:$F$11,5,FALSE),1.5))),IFERROR(VLOOKUP(V113,Assumptions!$A$7:$F$11,5,FALSE),2.5)+IFERROR(VLOOKUP(V113,Assumptions!$A$7:$F$11,3,FALSE),3)+IFERROR(VLOOKUP(V113,Assumptions!$A$7:$F$11,4,FALSE),8)/2)</f>
        <v/>
      </c>
      <c r="Y113" s="22">
        <f>U113*W113/(1+Assumptions!$B$3)^X113</f>
        <v/>
      </c>
      <c r="Z113" s="26">
        <f>IF(U113=0,"",ROUND(Y113/U113*100,1))</f>
        <v/>
      </c>
      <c r="AA113" s="27">
        <f>Y113*Assumptions!$B$4</f>
        <v/>
      </c>
      <c r="AB113" s="26">
        <f>IF(U113=0,"",ROUND(AA113/U113*100,1))</f>
        <v/>
      </c>
      <c r="AC113" s="27">
        <f>Y113-AA113</f>
        <v/>
      </c>
      <c r="AD113" s="26">
        <f>IF(U113=0,"",ROUND((Y113-AA113)/U113*100,1))</f>
        <v/>
      </c>
      <c r="AE113" s="28" t="inlineStr">
        <is>
          <t>OK — totals reconciled</t>
        </is>
      </c>
      <c r="AF113" s="29" t="inlineStr">
        <is>
          <t>https://recuperasolucoes.com/wp-content/plugins/download-attachments/includes/download.php?id=1597</t>
        </is>
      </c>
      <c r="AG113" s="28" t="inlineStr">
        <is>
          <t>p13 r5</t>
        </is>
      </c>
      <c r="AH113" s="28" t="inlineStr">
        <is>
          <t>p13: R$ 3.330.393,67</t>
        </is>
      </c>
      <c r="AI113" s="28" t="inlineStr">
        <is>
          <t>Debtor list (art. 51)</t>
        </is>
      </c>
      <c r="AJ113" s="28" t="inlineStr">
        <is>
          <t>2026-05-21</t>
        </is>
      </c>
      <c r="AK113" s="28" t="inlineStr">
        <is>
          <t>NONE FOUND</t>
        </is>
      </c>
      <c r="AL113" s="30" t="inlineStr">
        <is>
          <t>0001639-09.2026.8.17.2810</t>
        </is>
      </c>
      <c r="AM113" s="30" t="inlineStr">
        <is>
          <t>TJPE</t>
        </is>
      </c>
      <c r="AN113" s="30" t="inlineStr">
        <is>
          <t>ACTIVE</t>
        </is>
      </c>
      <c r="AO113" s="30" t="n">
        <v>2026</v>
      </c>
      <c r="AP113" s="30" t="inlineStr">
        <is>
          <t>live case, no plan document yet</t>
        </is>
      </c>
      <c r="AQ113" s="30" t="inlineStr"/>
      <c r="AR113" s="30" t="inlineStr">
        <is>
          <t>printed on the list (read twice)</t>
        </is>
      </c>
      <c r="AS113" s="30" t="inlineStr">
        <is>
          <t>FORTALEZA</t>
        </is>
      </c>
      <c r="AT113" s="30" t="inlineStr">
        <is>
          <t>CE</t>
        </is>
      </c>
      <c r="AU113" s="30" t="inlineStr">
        <is>
          <t>Bancos múltiplos, com carteira comercial</t>
        </is>
      </c>
      <c r="AV113" s="30" t="inlineStr">
        <is>
          <t>DEMAIS</t>
        </is>
      </c>
      <c r="AW113" s="31" t="n">
        <v>15139032000</v>
      </c>
      <c r="AX113" s="30" t="inlineStr">
        <is>
          <t>LARGE CORP</t>
        </is>
      </c>
      <c r="AY113" s="30" t="inlineStr">
        <is>
          <t>07237373</t>
        </is>
      </c>
      <c r="AZ113" s="30" t="n">
        <v>1</v>
      </c>
      <c r="BA113" s="30" t="inlineStr">
        <is>
          <t>ROWS:p13r5</t>
        </is>
      </c>
    </row>
    <row r="114">
      <c r="A114" s="16" t="inlineStr">
        <is>
          <t>ASA SOCIEDADE DE CREDITO FINANCIAMENTO E INVESTIMENTO S.A.</t>
        </is>
      </c>
      <c r="B114" s="17" t="n">
        <v>1766223.81</v>
      </c>
      <c r="C114" s="18" t="inlineStr">
        <is>
          <t>GRUPO 3E</t>
        </is>
      </c>
      <c r="D114" s="19" t="inlineStr">
        <is>
          <t>NEW</t>
        </is>
      </c>
      <c r="E114" s="20" t="inlineStr"/>
      <c r="F114" s="19" t="inlineStr"/>
      <c r="G114" s="20" t="inlineStr"/>
      <c r="H114" s="19" t="inlineStr"/>
      <c r="I114" s="21" t="inlineStr">
        <is>
          <t>ALBERTO JOSEPH SAFRA</t>
        </is>
      </c>
      <c r="J114" s="21" t="inlineStr">
        <is>
          <t>Diretor (RFB partner)</t>
        </is>
      </c>
      <c r="K114" s="21" t="inlineStr">
        <is>
          <t>(11) 3900-5236</t>
        </is>
      </c>
      <c r="L114" s="21" t="inlineStr"/>
      <c r="M114" s="21" t="inlineStr"/>
      <c r="N114" s="21" t="inlineStr"/>
      <c r="O114" s="21" t="inlineStr"/>
      <c r="P114" s="21" t="inlineStr">
        <is>
          <t>CARLOS MIGUEL MARTINS FERNANDES COSTA</t>
        </is>
      </c>
      <c r="Q114" s="21" t="inlineStr">
        <is>
          <t>Diretor (RFB partner)</t>
        </is>
      </c>
      <c r="R114" s="21" t="inlineStr"/>
      <c r="S114" s="21" t="inlineStr"/>
      <c r="T114" s="21" t="inlineStr">
        <is>
          <t>RFB partner (QSA); no Apollo match</t>
        </is>
      </c>
      <c r="U114" s="22" t="n">
        <v>1766223.81</v>
      </c>
      <c r="V114" s="35" t="inlineStr">
        <is>
          <t>A</t>
        </is>
      </c>
      <c r="W114" s="24">
        <f>IFERROR(VLOOKUP(V114,Assumptions!$A$7:$F$11,2,FALSE),0)</f>
        <v/>
      </c>
      <c r="X114" s="25">
        <f>IF(V114="A",MAX(1,IFERROR(VLOOKUP(V114,Assumptions!$A$7:$F$11,3,FALSE),3)+IFERROR(VLOOKUP(V114,Assumptions!$A$7:$F$11,4,FALSE),8)/2-MAX(0,IF(AO114="",0,YEAR(TODAY())-AO114)-IFERROR(VLOOKUP(V114,Assumptions!$A$7:$F$11,5,FALSE),1.5))),IFERROR(VLOOKUP(V114,Assumptions!$A$7:$F$11,5,FALSE),2.5)+IFERROR(VLOOKUP(V114,Assumptions!$A$7:$F$11,3,FALSE),3)+IFERROR(VLOOKUP(V114,Assumptions!$A$7:$F$11,4,FALSE),8)/2)</f>
        <v/>
      </c>
      <c r="Y114" s="22">
        <f>U114*W114/(1+Assumptions!$B$3)^X114</f>
        <v/>
      </c>
      <c r="Z114" s="26">
        <f>IF(U114=0,"",ROUND(Y114/U114*100,1))</f>
        <v/>
      </c>
      <c r="AA114" s="27">
        <f>Y114*Assumptions!$B$4</f>
        <v/>
      </c>
      <c r="AB114" s="26">
        <f>IF(U114=0,"",ROUND(AA114/U114*100,1))</f>
        <v/>
      </c>
      <c r="AC114" s="27">
        <f>Y114-AA114</f>
        <v/>
      </c>
      <c r="AD114" s="26">
        <f>IF(U114=0,"",ROUND((Y114-AA114)/U114*100,1))</f>
        <v/>
      </c>
      <c r="AE114" s="33" t="inlineStr">
        <is>
          <t>NO TOTALS — list prints none; check page</t>
        </is>
      </c>
      <c r="AF114" s="29" t="inlineStr">
        <is>
          <t>https://stenius.com.br/wp-content/uploads/2026/06/EDITAL-GRUPO-3E.pdf</t>
        </is>
      </c>
      <c r="AG114" s="28" t="inlineStr">
        <is>
          <t>p10 r10</t>
        </is>
      </c>
      <c r="AH114" s="28" t="inlineStr">
        <is>
          <t>p10: R$ 1.766.223,81</t>
        </is>
      </c>
      <c r="AI114" s="28" t="inlineStr">
        <is>
          <t>Debtor list (art. 51)</t>
        </is>
      </c>
      <c r="AJ114" s="28" t="inlineStr">
        <is>
          <t>2026-06-22</t>
        </is>
      </c>
      <c r="AK114" s="28" t="inlineStr">
        <is>
          <t>PLAN DOC FOUND</t>
        </is>
      </c>
      <c r="AL114" s="30" t="inlineStr">
        <is>
          <t>5341375-33.2026.8.09.0049</t>
        </is>
      </c>
      <c r="AM114" s="30" t="inlineStr">
        <is>
          <t>TJGO</t>
        </is>
      </c>
      <c r="AN114" s="30" t="inlineStr">
        <is>
          <t>ACTIVE</t>
        </is>
      </c>
      <c r="AO114" s="30" t="n">
        <v>2026</v>
      </c>
      <c r="AP114" s="30" t="inlineStr">
        <is>
          <t>plan/homologation document found</t>
        </is>
      </c>
      <c r="AQ114" s="30" t="inlineStr"/>
      <c r="AR114" s="30" t="inlineStr">
        <is>
          <t>printed on the list (read twice)</t>
        </is>
      </c>
      <c r="AS114" s="30" t="inlineStr">
        <is>
          <t>SAO PAULO</t>
        </is>
      </c>
      <c r="AT114" s="30" t="inlineStr">
        <is>
          <t>SP</t>
        </is>
      </c>
      <c r="AU114" s="30" t="inlineStr">
        <is>
          <t>Sociedades de crédito, financiamento e investimento - financeiras</t>
        </is>
      </c>
      <c r="AV114" s="30" t="inlineStr">
        <is>
          <t>DEMAIS</t>
        </is>
      </c>
      <c r="AW114" s="31" t="n">
        <v>390240420</v>
      </c>
      <c r="AX114" s="30" t="inlineStr">
        <is>
          <t>LARGE CORP</t>
        </is>
      </c>
      <c r="AY114" s="30" t="inlineStr">
        <is>
          <t>48703388</t>
        </is>
      </c>
      <c r="AZ114" s="30" t="n">
        <v>1</v>
      </c>
      <c r="BA114" s="30" t="inlineStr">
        <is>
          <t>ROWS:p10r10 UNRECONCILED_SOURCE</t>
        </is>
      </c>
    </row>
    <row r="115">
      <c r="A115" s="16" t="inlineStr">
        <is>
          <t>Cooperativa de Crédito Poupança e Investimento Celeiro Centro Oeste - Sicredi Celeiro Centro Oeste</t>
        </is>
      </c>
      <c r="B115" s="17" t="n">
        <v>1743000.52</v>
      </c>
      <c r="C115" s="18" t="inlineStr">
        <is>
          <t>GRUPO 3E</t>
        </is>
      </c>
      <c r="D115" s="19" t="inlineStr">
        <is>
          <t>NEW</t>
        </is>
      </c>
      <c r="E115" s="20" t="inlineStr"/>
      <c r="F115" s="19" t="inlineStr"/>
      <c r="G115" s="20" t="inlineStr"/>
      <c r="H115" s="19" t="inlineStr"/>
      <c r="I115" s="21" t="inlineStr">
        <is>
          <t>Ellen Servian</t>
        </is>
      </c>
      <c r="J115" s="21" t="inlineStr">
        <is>
          <t>Coordenadora de Ciclo de Crédito</t>
        </is>
      </c>
      <c r="K115" s="21" t="inlineStr"/>
      <c r="L115" s="21" t="inlineStr"/>
      <c r="M115" s="21" t="inlineStr"/>
      <c r="N115" s="21" t="inlineStr"/>
      <c r="O115" s="21" t="inlineStr"/>
      <c r="P115" s="21" t="inlineStr">
        <is>
          <t>Alini Antunes</t>
        </is>
      </c>
      <c r="Q115" s="21" t="inlineStr">
        <is>
          <t>Assessora de Ciclo de Crédito</t>
        </is>
      </c>
      <c r="R115" s="21" t="inlineStr"/>
      <c r="S115" s="21" t="inlineStr"/>
      <c r="T115" s="21" t="inlineStr">
        <is>
          <t>no work email found in Apollo</t>
        </is>
      </c>
      <c r="U115" s="22" t="n">
        <v>1743000.52</v>
      </c>
      <c r="V115" s="35" t="inlineStr">
        <is>
          <t>A</t>
        </is>
      </c>
      <c r="W115" s="24">
        <f>IFERROR(VLOOKUP(V115,Assumptions!$A$7:$F$11,2,FALSE),0)</f>
        <v/>
      </c>
      <c r="X115" s="25">
        <f>IF(V115="A",MAX(1,IFERROR(VLOOKUP(V115,Assumptions!$A$7:$F$11,3,FALSE),3)+IFERROR(VLOOKUP(V115,Assumptions!$A$7:$F$11,4,FALSE),8)/2-MAX(0,IF(AO115="",0,YEAR(TODAY())-AO115)-IFERROR(VLOOKUP(V115,Assumptions!$A$7:$F$11,5,FALSE),1.5))),IFERROR(VLOOKUP(V115,Assumptions!$A$7:$F$11,5,FALSE),2.5)+IFERROR(VLOOKUP(V115,Assumptions!$A$7:$F$11,3,FALSE),3)+IFERROR(VLOOKUP(V115,Assumptions!$A$7:$F$11,4,FALSE),8)/2)</f>
        <v/>
      </c>
      <c r="Y115" s="22">
        <f>U115*W115/(1+Assumptions!$B$3)^X115</f>
        <v/>
      </c>
      <c r="Z115" s="26">
        <f>IF(U115=0,"",ROUND(Y115/U115*100,1))</f>
        <v/>
      </c>
      <c r="AA115" s="27">
        <f>Y115*Assumptions!$B$4</f>
        <v/>
      </c>
      <c r="AB115" s="26">
        <f>IF(U115=0,"",ROUND(AA115/U115*100,1))</f>
        <v/>
      </c>
      <c r="AC115" s="27">
        <f>Y115-AA115</f>
        <v/>
      </c>
      <c r="AD115" s="26">
        <f>IF(U115=0,"",ROUND((Y115-AA115)/U115*100,1))</f>
        <v/>
      </c>
      <c r="AE115" s="33" t="inlineStr">
        <is>
          <t>NO TOTALS — list prints none; check page</t>
        </is>
      </c>
      <c r="AF115" s="29" t="inlineStr">
        <is>
          <t>https://stenius.com.br/wp-content/uploads/2026/06/EDITAL-GRUPO-3E.pdf</t>
        </is>
      </c>
      <c r="AG115" s="28" t="inlineStr">
        <is>
          <t>p12 r10</t>
        </is>
      </c>
      <c r="AH115" s="28" t="inlineStr">
        <is>
          <t>p12: R$ 1.743.000,52</t>
        </is>
      </c>
      <c r="AI115" s="28" t="inlineStr">
        <is>
          <t>Debtor list (art. 51)</t>
        </is>
      </c>
      <c r="AJ115" s="28" t="inlineStr">
        <is>
          <t>2026-06-22</t>
        </is>
      </c>
      <c r="AK115" s="28" t="inlineStr">
        <is>
          <t>PLAN DOC FOUND</t>
        </is>
      </c>
      <c r="AL115" s="30" t="inlineStr">
        <is>
          <t>5341375-33.2026.8.09.0049</t>
        </is>
      </c>
      <c r="AM115" s="30" t="inlineStr">
        <is>
          <t>TJGO</t>
        </is>
      </c>
      <c r="AN115" s="30" t="inlineStr">
        <is>
          <t>ACTIVE</t>
        </is>
      </c>
      <c r="AO115" s="30" t="n">
        <v>2026</v>
      </c>
      <c r="AP115" s="30" t="inlineStr">
        <is>
          <t>plan/homologation document found</t>
        </is>
      </c>
      <c r="AQ115" s="30" t="inlineStr"/>
      <c r="AR115" s="30" t="inlineStr">
        <is>
          <t>printed on the list (read twice)</t>
        </is>
      </c>
      <c r="AS115" s="30" t="inlineStr"/>
      <c r="AT115" s="30" t="inlineStr"/>
      <c r="AU115" s="30" t="inlineStr"/>
      <c r="AV115" s="30" t="inlineStr"/>
      <c r="AW115" s="31" t="inlineStr"/>
      <c r="AX115" s="30" t="inlineStr">
        <is>
          <t>MID-MARKET</t>
        </is>
      </c>
      <c r="AY115" s="30" t="inlineStr">
        <is>
          <t>03566655</t>
        </is>
      </c>
      <c r="AZ115" s="30" t="n">
        <v>1</v>
      </c>
      <c r="BA115" s="30" t="inlineStr">
        <is>
          <t>LIKELY_FINANCIAL_BY_NAME ROWS:p12r10 UNRECONCILED_SOURCE</t>
        </is>
      </c>
    </row>
    <row r="116">
      <c r="A116" s="16" t="inlineStr">
        <is>
          <t>Banco John Deere S.A.</t>
        </is>
      </c>
      <c r="B116" s="17" t="n">
        <v>1728493.23</v>
      </c>
      <c r="C116" s="18" t="inlineStr">
        <is>
          <t>GRUPO 3E</t>
        </is>
      </c>
      <c r="D116" s="19" t="inlineStr">
        <is>
          <t>NEW</t>
        </is>
      </c>
      <c r="E116" s="20" t="inlineStr"/>
      <c r="F116" s="19" t="inlineStr"/>
      <c r="G116" s="20" t="inlineStr"/>
      <c r="H116" s="19" t="inlineStr"/>
      <c r="I116" s="21" t="inlineStr">
        <is>
          <t>Thiago Oliveira</t>
        </is>
      </c>
      <c r="J116" s="21" t="inlineStr">
        <is>
          <t>Especalista de Cobrança | Banco John Deere</t>
        </is>
      </c>
      <c r="K116" s="21" t="inlineStr"/>
      <c r="L116" s="21" t="inlineStr"/>
      <c r="M116" s="21" t="inlineStr"/>
      <c r="N116" s="21" t="inlineStr">
        <is>
          <t>oliveirathiago@deere.com</t>
        </is>
      </c>
      <c r="O116" s="21" t="inlineStr"/>
      <c r="P116" s="21" t="inlineStr"/>
      <c r="Q116" s="21" t="inlineStr"/>
      <c r="R116" s="21" t="inlineStr"/>
      <c r="S116" s="21" t="inlineStr"/>
      <c r="T116" s="21" t="inlineStr">
        <is>
          <t>email is pattern-guessed, not verified</t>
        </is>
      </c>
      <c r="U116" s="22" t="n">
        <v>1728493.23</v>
      </c>
      <c r="V116" s="35" t="inlineStr">
        <is>
          <t>A</t>
        </is>
      </c>
      <c r="W116" s="24">
        <f>IFERROR(VLOOKUP(V116,Assumptions!$A$7:$F$11,2,FALSE),0)</f>
        <v/>
      </c>
      <c r="X116" s="25">
        <f>IF(V116="A",MAX(1,IFERROR(VLOOKUP(V116,Assumptions!$A$7:$F$11,3,FALSE),3)+IFERROR(VLOOKUP(V116,Assumptions!$A$7:$F$11,4,FALSE),8)/2-MAX(0,IF(AO116="",0,YEAR(TODAY())-AO116)-IFERROR(VLOOKUP(V116,Assumptions!$A$7:$F$11,5,FALSE),1.5))),IFERROR(VLOOKUP(V116,Assumptions!$A$7:$F$11,5,FALSE),2.5)+IFERROR(VLOOKUP(V116,Assumptions!$A$7:$F$11,3,FALSE),3)+IFERROR(VLOOKUP(V116,Assumptions!$A$7:$F$11,4,FALSE),8)/2)</f>
        <v/>
      </c>
      <c r="Y116" s="22">
        <f>U116*W116/(1+Assumptions!$B$3)^X116</f>
        <v/>
      </c>
      <c r="Z116" s="26">
        <f>IF(U116=0,"",ROUND(Y116/U116*100,1))</f>
        <v/>
      </c>
      <c r="AA116" s="27">
        <f>Y116*Assumptions!$B$4</f>
        <v/>
      </c>
      <c r="AB116" s="26">
        <f>IF(U116=0,"",ROUND(AA116/U116*100,1))</f>
        <v/>
      </c>
      <c r="AC116" s="27">
        <f>Y116-AA116</f>
        <v/>
      </c>
      <c r="AD116" s="26">
        <f>IF(U116=0,"",ROUND((Y116-AA116)/U116*100,1))</f>
        <v/>
      </c>
      <c r="AE116" s="33" t="inlineStr">
        <is>
          <t>NO TOTALS — list prints none; check page</t>
        </is>
      </c>
      <c r="AF116" s="29" t="inlineStr">
        <is>
          <t>https://stenius.com.br/wp-content/uploads/2026/06/EDITAL-GRUPO-3E.pdf</t>
        </is>
      </c>
      <c r="AG116" s="28" t="inlineStr">
        <is>
          <t>p10 r37</t>
        </is>
      </c>
      <c r="AH116" s="28" t="inlineStr">
        <is>
          <t>p10: R$ 1.728.493,23</t>
        </is>
      </c>
      <c r="AI116" s="28" t="inlineStr">
        <is>
          <t>Debtor list (art. 51)</t>
        </is>
      </c>
      <c r="AJ116" s="28" t="inlineStr">
        <is>
          <t>2026-06-22</t>
        </is>
      </c>
      <c r="AK116" s="28" t="inlineStr">
        <is>
          <t>PLAN DOC FOUND</t>
        </is>
      </c>
      <c r="AL116" s="30" t="inlineStr">
        <is>
          <t>5341375-33.2026.8.09.0049</t>
        </is>
      </c>
      <c r="AM116" s="30" t="inlineStr">
        <is>
          <t>TJGO</t>
        </is>
      </c>
      <c r="AN116" s="30" t="inlineStr">
        <is>
          <t>ACTIVE</t>
        </is>
      </c>
      <c r="AO116" s="30" t="n">
        <v>2026</v>
      </c>
      <c r="AP116" s="30" t="inlineStr">
        <is>
          <t>plan/homologation document found</t>
        </is>
      </c>
      <c r="AQ116" s="30" t="inlineStr"/>
      <c r="AR116" s="30" t="inlineStr">
        <is>
          <t>printed on the list (read twice)</t>
        </is>
      </c>
      <c r="AS116" s="30" t="inlineStr"/>
      <c r="AT116" s="30" t="inlineStr"/>
      <c r="AU116" s="30" t="inlineStr"/>
      <c r="AV116" s="30" t="inlineStr"/>
      <c r="AW116" s="31" t="inlineStr"/>
      <c r="AX116" s="30" t="inlineStr">
        <is>
          <t>MID-MARKET</t>
        </is>
      </c>
      <c r="AY116" s="30" t="inlineStr">
        <is>
          <t>91884981</t>
        </is>
      </c>
      <c r="AZ116" s="30" t="n">
        <v>1</v>
      </c>
      <c r="BA116" s="30" t="inlineStr">
        <is>
          <t>LIKELY_FINANCIAL_BY_NAME ROWS:p10r37 UNRECONCILED_SOURCE</t>
        </is>
      </c>
    </row>
    <row r="117">
      <c r="A117" s="16" t="inlineStr">
        <is>
          <t>ITAU UNIBANCO S.A.</t>
        </is>
      </c>
      <c r="B117" s="17" t="n">
        <v>3183929.48</v>
      </c>
      <c r="C117" s="18" t="inlineStr">
        <is>
          <t>Cerealista Safrasul Ltda</t>
        </is>
      </c>
      <c r="D117" s="19" t="inlineStr">
        <is>
          <t>NEW</t>
        </is>
      </c>
      <c r="E117" s="20" t="inlineStr"/>
      <c r="F117" s="19" t="inlineStr"/>
      <c r="G117" s="20" t="inlineStr"/>
      <c r="H117" s="19" t="inlineStr"/>
      <c r="I117" s="21" t="inlineStr">
        <is>
          <t>Murilo Gigliucci</t>
        </is>
      </c>
      <c r="J117" s="21" t="inlineStr">
        <is>
          <t>Superintendente de Reestruturação de Crédito</t>
        </is>
      </c>
      <c r="K117" s="21" t="inlineStr">
        <is>
          <t>(11) 3003-4828</t>
        </is>
      </c>
      <c r="L117" s="21" t="inlineStr"/>
      <c r="M117" s="21" t="inlineStr"/>
      <c r="N117" s="21" t="inlineStr">
        <is>
          <t>murilo.gigliucci@itau-unibanco.com.br</t>
        </is>
      </c>
      <c r="O117" s="21" t="inlineStr">
        <is>
          <t>pedro.ornellas-geronimo@itau-unibanco.com.br</t>
        </is>
      </c>
      <c r="P117" s="21" t="inlineStr">
        <is>
          <t>Pedro Ornellas</t>
        </is>
      </c>
      <c r="Q117" s="21" t="inlineStr">
        <is>
          <t>Superintendente de Recuperação de Crédito</t>
        </is>
      </c>
      <c r="R117" s="21" t="inlineStr"/>
      <c r="S117" s="21" t="inlineStr">
        <is>
          <t>pedro.ornellas-geronimo@itau-unibanco.com.br</t>
        </is>
      </c>
      <c r="T117" s="21" t="inlineStr">
        <is>
          <t>email verified by Apollo</t>
        </is>
      </c>
      <c r="U117" s="22" t="n">
        <v>3183929.48</v>
      </c>
      <c r="V117" s="23" t="inlineStr">
        <is>
          <t>B</t>
        </is>
      </c>
      <c r="W117" s="24">
        <f>IFERROR(VLOOKUP(V117,Assumptions!$A$7:$F$11,2,FALSE),0)</f>
        <v/>
      </c>
      <c r="X117" s="25">
        <f>IF(V117="A",MAX(1,IFERROR(VLOOKUP(V117,Assumptions!$A$7:$F$11,3,FALSE),3)+IFERROR(VLOOKUP(V117,Assumptions!$A$7:$F$11,4,FALSE),8)/2-MAX(0,IF(AO117="",0,YEAR(TODAY())-AO117)-IFERROR(VLOOKUP(V117,Assumptions!$A$7:$F$11,5,FALSE),1.5))),IFERROR(VLOOKUP(V117,Assumptions!$A$7:$F$11,5,FALSE),2.5)+IFERROR(VLOOKUP(V117,Assumptions!$A$7:$F$11,3,FALSE),3)+IFERROR(VLOOKUP(V117,Assumptions!$A$7:$F$11,4,FALSE),8)/2)</f>
        <v/>
      </c>
      <c r="Y117" s="22">
        <f>U117*W117/(1+Assumptions!$B$3)^X117</f>
        <v/>
      </c>
      <c r="Z117" s="26">
        <f>IF(U117=0,"",ROUND(Y117/U117*100,1))</f>
        <v/>
      </c>
      <c r="AA117" s="27">
        <f>Y117*Assumptions!$B$4</f>
        <v/>
      </c>
      <c r="AB117" s="26">
        <f>IF(U117=0,"",ROUND(AA117/U117*100,1))</f>
        <v/>
      </c>
      <c r="AC117" s="27">
        <f>Y117-AA117</f>
        <v/>
      </c>
      <c r="AD117" s="26">
        <f>IF(U117=0,"",ROUND((Y117-AA117)/U117*100,1))</f>
        <v/>
      </c>
      <c r="AE117" s="33" t="inlineStr">
        <is>
          <t>NO TOTALS — list prints none; check page</t>
        </is>
      </c>
      <c r="AF117" s="29" t="inlineStr">
        <is>
          <t>https://ajruiz.com.br/sites/default/files/public/arquivos-processos/2026-01/safrasul_relacao_de_credores_recuperanda.pdf</t>
        </is>
      </c>
      <c r="AG117" s="28" t="inlineStr">
        <is>
          <t>p8 r21; p8 r22; p8 r23; p8 r24</t>
        </is>
      </c>
      <c r="AH117" s="28" t="inlineStr">
        <is>
          <t>p8: R$ 500.000,00; p8: R$ 2.322.330,48; p8: R$ 100.000,00; p8: R$ 261.599,00</t>
        </is>
      </c>
      <c r="AI117" s="28" t="inlineStr">
        <is>
          <t>AJ list (art. 7 §2)</t>
        </is>
      </c>
      <c r="AJ117" s="28" t="inlineStr">
        <is>
          <t>2026-01-14</t>
        </is>
      </c>
      <c r="AK117" s="28" t="inlineStr">
        <is>
          <t>NONE FOUND</t>
        </is>
      </c>
      <c r="AL117" s="30" t="inlineStr">
        <is>
          <t>4000167-23.2025.8.26.0373</t>
        </is>
      </c>
      <c r="AM117" s="30" t="inlineStr">
        <is>
          <t>TJSP</t>
        </is>
      </c>
      <c r="AN117" s="30" t="inlineStr">
        <is>
          <t>ACTIVE</t>
        </is>
      </c>
      <c r="AO117" s="30" t="n">
        <v>2025</v>
      </c>
      <c r="AP117" s="30" t="inlineStr">
        <is>
          <t>live case, no plan document yet</t>
        </is>
      </c>
      <c r="AQ117" s="30" t="inlineStr"/>
      <c r="AR117" s="30" t="inlineStr">
        <is>
          <t>printed on the list (read twice)</t>
        </is>
      </c>
      <c r="AS117" s="30" t="inlineStr">
        <is>
          <t>SAO PAULO</t>
        </is>
      </c>
      <c r="AT117" s="30" t="inlineStr">
        <is>
          <t>SP</t>
        </is>
      </c>
      <c r="AU117" s="30" t="inlineStr">
        <is>
          <t>Bancos comerciais</t>
        </is>
      </c>
      <c r="AV117" s="30" t="inlineStr">
        <is>
          <t>DEMAIS</t>
        </is>
      </c>
      <c r="AW117" s="31" t="n">
        <v>76200000000</v>
      </c>
      <c r="AX117" s="30" t="inlineStr">
        <is>
          <t>LARGE CORP</t>
        </is>
      </c>
      <c r="AY117" s="30" t="inlineStr">
        <is>
          <t>60701190</t>
        </is>
      </c>
      <c r="AZ117" s="30" t="n">
        <v>4</v>
      </c>
      <c r="BA117" s="30" t="inlineStr">
        <is>
          <t>LIKELY_FINANCIAL_BY_NAME ROWS:p8r21,p8r22,p8r23,p8r24 UNRECONCILED_SOURCE</t>
        </is>
      </c>
    </row>
    <row r="118">
      <c r="A118" s="16" t="inlineStr">
        <is>
          <t>BANCO GUANABARA</t>
        </is>
      </c>
      <c r="B118" s="17" t="n">
        <v>3164000</v>
      </c>
      <c r="C118" s="18" t="inlineStr">
        <is>
          <t>GRUPO GLP</t>
        </is>
      </c>
      <c r="D118" s="19" t="inlineStr">
        <is>
          <t>NEW</t>
        </is>
      </c>
      <c r="E118" s="20" t="inlineStr"/>
      <c r="F118" s="19" t="inlineStr"/>
      <c r="G118" s="20" t="inlineStr"/>
      <c r="H118" s="19" t="inlineStr"/>
      <c r="I118" s="21" t="inlineStr">
        <is>
          <t>Bianca Marinho</t>
        </is>
      </c>
      <c r="J118" s="21" t="inlineStr">
        <is>
          <t>Senior Lawyer</t>
        </is>
      </c>
      <c r="K118" s="21" t="inlineStr"/>
      <c r="L118" s="21" t="inlineStr"/>
      <c r="M118" s="21" t="inlineStr"/>
      <c r="N118" s="21" t="inlineStr">
        <is>
          <t>bianca.marinho@bancoguanabara.com.br</t>
        </is>
      </c>
      <c r="O118" s="21" t="inlineStr">
        <is>
          <t>andressa.nogueira@bancoguanabara.com.br</t>
        </is>
      </c>
      <c r="P118" s="21" t="inlineStr">
        <is>
          <t>Andressa Nogueira</t>
        </is>
      </c>
      <c r="Q118" s="21" t="inlineStr">
        <is>
          <t>Gerente de Contratos e Controle de Garantias</t>
        </is>
      </c>
      <c r="R118" s="21" t="inlineStr"/>
      <c r="S118" s="21" t="inlineStr">
        <is>
          <t>andressa.nogueira@bancoguanabara.com.br</t>
        </is>
      </c>
      <c r="T118" s="21" t="inlineStr">
        <is>
          <t>email verified by Apollo</t>
        </is>
      </c>
      <c r="U118" s="22" t="n">
        <v>3164000</v>
      </c>
      <c r="V118" s="23" t="inlineStr">
        <is>
          <t>B</t>
        </is>
      </c>
      <c r="W118" s="24">
        <f>IFERROR(VLOOKUP(V118,Assumptions!$A$7:$F$11,2,FALSE),0)</f>
        <v/>
      </c>
      <c r="X118" s="25">
        <f>IF(V118="A",MAX(1,IFERROR(VLOOKUP(V118,Assumptions!$A$7:$F$11,3,FALSE),3)+IFERROR(VLOOKUP(V118,Assumptions!$A$7:$F$11,4,FALSE),8)/2-MAX(0,IF(AO118="",0,YEAR(TODAY())-AO118)-IFERROR(VLOOKUP(V118,Assumptions!$A$7:$F$11,5,FALSE),1.5))),IFERROR(VLOOKUP(V118,Assumptions!$A$7:$F$11,5,FALSE),2.5)+IFERROR(VLOOKUP(V118,Assumptions!$A$7:$F$11,3,FALSE),3)+IFERROR(VLOOKUP(V118,Assumptions!$A$7:$F$11,4,FALSE),8)/2)</f>
        <v/>
      </c>
      <c r="Y118" s="22">
        <f>U118*W118/(1+Assumptions!$B$3)^X118</f>
        <v/>
      </c>
      <c r="Z118" s="26">
        <f>IF(U118=0,"",ROUND(Y118/U118*100,1))</f>
        <v/>
      </c>
      <c r="AA118" s="27">
        <f>Y118*Assumptions!$B$4</f>
        <v/>
      </c>
      <c r="AB118" s="26">
        <f>IF(U118=0,"",ROUND(AA118/U118*100,1))</f>
        <v/>
      </c>
      <c r="AC118" s="27">
        <f>Y118-AA118</f>
        <v/>
      </c>
      <c r="AD118" s="26">
        <f>IF(U118=0,"",ROUND((Y118-AA118)/U118*100,1))</f>
        <v/>
      </c>
      <c r="AE118" s="28" t="inlineStr">
        <is>
          <t>OK — totals reconciled</t>
        </is>
      </c>
      <c r="AF118" s="29" t="inlineStr">
        <is>
          <t>https://recuperasolucoes.com/wp-content/plugins/download-attachments/includes/download.php?id=1597</t>
        </is>
      </c>
      <c r="AG118" s="28" t="inlineStr">
        <is>
          <t>p13 r3</t>
        </is>
      </c>
      <c r="AH118" s="28" t="inlineStr">
        <is>
          <t>p13: R$ 3.164.000,00</t>
        </is>
      </c>
      <c r="AI118" s="28" t="inlineStr">
        <is>
          <t>Debtor list (art. 51)</t>
        </is>
      </c>
      <c r="AJ118" s="28" t="inlineStr">
        <is>
          <t>2026-05-21</t>
        </is>
      </c>
      <c r="AK118" s="28" t="inlineStr">
        <is>
          <t>NONE FOUND</t>
        </is>
      </c>
      <c r="AL118" s="30" t="inlineStr">
        <is>
          <t>0001639-09.2026.8.17.2810</t>
        </is>
      </c>
      <c r="AM118" s="30" t="inlineStr">
        <is>
          <t>TJPE</t>
        </is>
      </c>
      <c r="AN118" s="30" t="inlineStr">
        <is>
          <t>ACTIVE</t>
        </is>
      </c>
      <c r="AO118" s="30" t="n">
        <v>2026</v>
      </c>
      <c r="AP118" s="30" t="inlineStr">
        <is>
          <t>live case, no plan document yet</t>
        </is>
      </c>
      <c r="AQ118" s="30" t="inlineStr"/>
      <c r="AR118" s="30" t="inlineStr">
        <is>
          <t>printed on the list (read twice)</t>
        </is>
      </c>
      <c r="AS118" s="30" t="inlineStr"/>
      <c r="AT118" s="30" t="inlineStr"/>
      <c r="AU118" s="30" t="inlineStr"/>
      <c r="AV118" s="30" t="inlineStr"/>
      <c r="AW118" s="31" t="inlineStr"/>
      <c r="AX118" s="30" t="inlineStr">
        <is>
          <t>MID-MARKET</t>
        </is>
      </c>
      <c r="AY118" s="30" t="inlineStr">
        <is>
          <t>31880826</t>
        </is>
      </c>
      <c r="AZ118" s="30" t="n">
        <v>1</v>
      </c>
      <c r="BA118" s="30" t="inlineStr">
        <is>
          <t>LIKELY_FINANCIAL_BY_NAME ROWS:p13r3</t>
        </is>
      </c>
    </row>
    <row r="119">
      <c r="A119" s="16" t="inlineStr">
        <is>
          <t>BANCO BRADESCO S.A.</t>
        </is>
      </c>
      <c r="B119" s="17" t="n">
        <v>3153794.96</v>
      </c>
      <c r="C119" s="18" t="inlineStr">
        <is>
          <t>Grupo Conduscabos</t>
        </is>
      </c>
      <c r="D119" s="19" t="inlineStr">
        <is>
          <t>NEW</t>
        </is>
      </c>
      <c r="E119" s="20" t="inlineStr"/>
      <c r="F119" s="19" t="inlineStr"/>
      <c r="G119" s="20" t="inlineStr"/>
      <c r="H119" s="19" t="inlineStr"/>
      <c r="I119" s="21" t="inlineStr">
        <is>
          <t>Marcela Martins</t>
        </is>
      </c>
      <c r="J119" s="21" t="inlineStr">
        <is>
          <t>Superintendente de Recuperação de Crédito - Canais e Operações</t>
        </is>
      </c>
      <c r="K119" s="21" t="inlineStr">
        <is>
          <t>(11) 3684-5122</t>
        </is>
      </c>
      <c r="L119" s="21" t="inlineStr"/>
      <c r="M119" s="21" t="inlineStr"/>
      <c r="N119" s="21" t="inlineStr"/>
      <c r="O119" s="21" t="inlineStr">
        <is>
          <t>sl@bradesco.com.br</t>
        </is>
      </c>
      <c r="P119" s="21" t="inlineStr">
        <is>
          <t>Luis S</t>
        </is>
      </c>
      <c r="Q119" s="21" t="inlineStr">
        <is>
          <t>DRC - Departamento de Recuperação de Crédito - Gerente de Reestruturação de Crédito</t>
        </is>
      </c>
      <c r="R119" s="21" t="inlineStr"/>
      <c r="S119" s="21" t="inlineStr">
        <is>
          <t>sl@bradesco.com.br</t>
        </is>
      </c>
      <c r="T119" s="21" t="inlineStr">
        <is>
          <t>no work email found in Apollo</t>
        </is>
      </c>
      <c r="U119" s="22" t="n">
        <v>3153794.96</v>
      </c>
      <c r="V119" s="23" t="inlineStr">
        <is>
          <t>B</t>
        </is>
      </c>
      <c r="W119" s="24">
        <f>IFERROR(VLOOKUP(V119,Assumptions!$A$7:$F$11,2,FALSE),0)</f>
        <v/>
      </c>
      <c r="X119" s="25">
        <f>IF(V119="A",MAX(1,IFERROR(VLOOKUP(V119,Assumptions!$A$7:$F$11,3,FALSE),3)+IFERROR(VLOOKUP(V119,Assumptions!$A$7:$F$11,4,FALSE),8)/2-MAX(0,IF(AO119="",0,YEAR(TODAY())-AO119)-IFERROR(VLOOKUP(V119,Assumptions!$A$7:$F$11,5,FALSE),1.5))),IFERROR(VLOOKUP(V119,Assumptions!$A$7:$F$11,5,FALSE),2.5)+IFERROR(VLOOKUP(V119,Assumptions!$A$7:$F$11,3,FALSE),3)+IFERROR(VLOOKUP(V119,Assumptions!$A$7:$F$11,4,FALSE),8)/2)</f>
        <v/>
      </c>
      <c r="Y119" s="22">
        <f>U119*W119/(1+Assumptions!$B$3)^X119</f>
        <v/>
      </c>
      <c r="Z119" s="26">
        <f>IF(U119=0,"",ROUND(Y119/U119*100,1))</f>
        <v/>
      </c>
      <c r="AA119" s="27">
        <f>Y119*Assumptions!$B$4</f>
        <v/>
      </c>
      <c r="AB119" s="26">
        <f>IF(U119=0,"",ROUND(AA119/U119*100,1))</f>
        <v/>
      </c>
      <c r="AC119" s="27">
        <f>Y119-AA119</f>
        <v/>
      </c>
      <c r="AD119" s="26">
        <f>IF(U119=0,"",ROUND((Y119-AA119)/U119*100,1))</f>
        <v/>
      </c>
      <c r="AE119" s="33" t="inlineStr">
        <is>
          <t>NO TOTALS — list prints none; check page</t>
        </is>
      </c>
      <c r="AF119" s="29" t="inlineStr">
        <is>
          <t>https://assistjud.com.br/wp-content/uploads/elementor/forms/65098c80a5824.pdf</t>
        </is>
      </c>
      <c r="AG119" s="28" t="inlineStr">
        <is>
          <t>p5 r16; p17 r7</t>
        </is>
      </c>
      <c r="AH119" s="28" t="inlineStr">
        <is>
          <t>p5: R$ 1.330.576,88; p17: R$ 1.823.218,08</t>
        </is>
      </c>
      <c r="AI119" s="28" t="inlineStr">
        <is>
          <t>AJ list (art. 7 §2)</t>
        </is>
      </c>
      <c r="AJ119" s="28" t="inlineStr">
        <is>
          <t>2023-09-18</t>
        </is>
      </c>
      <c r="AK119" s="28" t="inlineStr">
        <is>
          <t>NONE FOUND</t>
        </is>
      </c>
      <c r="AL119" s="30" t="inlineStr">
        <is>
          <t>8005129-09.2023.8.05.0039</t>
        </is>
      </c>
      <c r="AM119" s="30" t="inlineStr">
        <is>
          <t>TJBA</t>
        </is>
      </c>
      <c r="AN119" s="30" t="inlineStr">
        <is>
          <t>ACTIVE</t>
        </is>
      </c>
      <c r="AO119" s="30" t="n">
        <v>2023</v>
      </c>
      <c r="AP119" s="30" t="inlineStr">
        <is>
          <t>live case, no plan document yet</t>
        </is>
      </c>
      <c r="AQ119" s="30" t="inlineStr"/>
      <c r="AR119" s="30" t="inlineStr">
        <is>
          <t>printed on the list (read twice)</t>
        </is>
      </c>
      <c r="AS119" s="30" t="inlineStr">
        <is>
          <t>OSASCO</t>
        </is>
      </c>
      <c r="AT119" s="30" t="inlineStr">
        <is>
          <t>SP</t>
        </is>
      </c>
      <c r="AU119" s="30" t="inlineStr">
        <is>
          <t>Bancos múltiplos, com carteira comercial</t>
        </is>
      </c>
      <c r="AV119" s="30" t="inlineStr">
        <is>
          <t>DEMAIS</t>
        </is>
      </c>
      <c r="AW119" s="31" t="n">
        <v>93770000000</v>
      </c>
      <c r="AX119" s="30" t="inlineStr">
        <is>
          <t>LARGE CORP</t>
        </is>
      </c>
      <c r="AY119" s="30" t="inlineStr">
        <is>
          <t>60746948</t>
        </is>
      </c>
      <c r="AZ119" s="30" t="n">
        <v>2</v>
      </c>
      <c r="BA119" s="30" t="inlineStr">
        <is>
          <t>LIKELY_FINANCIAL_BY_NAME ROWS:p5r16,p17r7 UNRECONCILED_SOURCE VALUE_COL:Valor_Do_Crédito_2º_Edital_De_Credores</t>
        </is>
      </c>
    </row>
    <row r="120">
      <c r="A120" s="16" t="inlineStr">
        <is>
          <t>BANCO DAYCOVAL S.A.</t>
        </is>
      </c>
      <c r="B120" s="17" t="n">
        <v>3115885.56</v>
      </c>
      <c r="C120" s="18" t="inlineStr">
        <is>
          <t>Grupo Conduscabos</t>
        </is>
      </c>
      <c r="D120" s="19" t="inlineStr">
        <is>
          <t>NEW</t>
        </is>
      </c>
      <c r="E120" s="20" t="inlineStr"/>
      <c r="F120" s="19" t="inlineStr"/>
      <c r="G120" s="20" t="inlineStr"/>
      <c r="H120" s="19" t="inlineStr"/>
      <c r="I120" s="21" t="inlineStr">
        <is>
          <t>Celso Araujo</t>
        </is>
      </c>
      <c r="J120" s="21" t="inlineStr">
        <is>
          <t>Gerente de Recuperação de Crédito</t>
        </is>
      </c>
      <c r="K120" s="21" t="inlineStr">
        <is>
          <t>(11) 3138-0500</t>
        </is>
      </c>
      <c r="L120" s="21" t="inlineStr"/>
      <c r="M120" s="21" t="inlineStr"/>
      <c r="N120" s="21" t="inlineStr">
        <is>
          <t>celso.araujo@bancodaycoval.com.br</t>
        </is>
      </c>
      <c r="O120" s="21" t="inlineStr">
        <is>
          <t>andreia.matiel@daycoval.com.br</t>
        </is>
      </c>
      <c r="P120" s="21" t="inlineStr">
        <is>
          <t>Andreia Matiel</t>
        </is>
      </c>
      <c r="Q120" s="21" t="inlineStr">
        <is>
          <t>Advogada Recuperação de Crédito Empresas</t>
        </is>
      </c>
      <c r="R120" s="21" t="inlineStr"/>
      <c r="S120" s="21" t="inlineStr">
        <is>
          <t>andreia.matiel@daycoval.com.br</t>
        </is>
      </c>
      <c r="T120" s="21" t="inlineStr">
        <is>
          <t>email verified by Apollo</t>
        </is>
      </c>
      <c r="U120" s="22" t="n">
        <v>3115885.56</v>
      </c>
      <c r="V120" s="23" t="inlineStr">
        <is>
          <t>B</t>
        </is>
      </c>
      <c r="W120" s="24">
        <f>IFERROR(VLOOKUP(V120,Assumptions!$A$7:$F$11,2,FALSE),0)</f>
        <v/>
      </c>
      <c r="X120" s="25">
        <f>IF(V120="A",MAX(1,IFERROR(VLOOKUP(V120,Assumptions!$A$7:$F$11,3,FALSE),3)+IFERROR(VLOOKUP(V120,Assumptions!$A$7:$F$11,4,FALSE),8)/2-MAX(0,IF(AO120="",0,YEAR(TODAY())-AO120)-IFERROR(VLOOKUP(V120,Assumptions!$A$7:$F$11,5,FALSE),1.5))),IFERROR(VLOOKUP(V120,Assumptions!$A$7:$F$11,5,FALSE),2.5)+IFERROR(VLOOKUP(V120,Assumptions!$A$7:$F$11,3,FALSE),3)+IFERROR(VLOOKUP(V120,Assumptions!$A$7:$F$11,4,FALSE),8)/2)</f>
        <v/>
      </c>
      <c r="Y120" s="22">
        <f>U120*W120/(1+Assumptions!$B$3)^X120</f>
        <v/>
      </c>
      <c r="Z120" s="26">
        <f>IF(U120=0,"",ROUND(Y120/U120*100,1))</f>
        <v/>
      </c>
      <c r="AA120" s="27">
        <f>Y120*Assumptions!$B$4</f>
        <v/>
      </c>
      <c r="AB120" s="26">
        <f>IF(U120=0,"",ROUND(AA120/U120*100,1))</f>
        <v/>
      </c>
      <c r="AC120" s="27">
        <f>Y120-AA120</f>
        <v/>
      </c>
      <c r="AD120" s="26">
        <f>IF(U120=0,"",ROUND((Y120-AA120)/U120*100,1))</f>
        <v/>
      </c>
      <c r="AE120" s="33" t="inlineStr">
        <is>
          <t>NO TOTALS — list prints none; check page</t>
        </is>
      </c>
      <c r="AF120" s="29" t="inlineStr">
        <is>
          <t>https://assistjud.com.br/wp-content/uploads/elementor/forms/65098c80a5824.pdf</t>
        </is>
      </c>
      <c r="AG120" s="28" t="inlineStr">
        <is>
          <t>p5 r8</t>
        </is>
      </c>
      <c r="AH120" s="28" t="inlineStr">
        <is>
          <t>p5: R$ 3.115.885,56</t>
        </is>
      </c>
      <c r="AI120" s="28" t="inlineStr">
        <is>
          <t>AJ list (art. 7 §2)</t>
        </is>
      </c>
      <c r="AJ120" s="28" t="inlineStr">
        <is>
          <t>2023-09-18</t>
        </is>
      </c>
      <c r="AK120" s="28" t="inlineStr">
        <is>
          <t>NONE FOUND</t>
        </is>
      </c>
      <c r="AL120" s="30" t="inlineStr">
        <is>
          <t>8005129-09.2023.8.05.0039</t>
        </is>
      </c>
      <c r="AM120" s="30" t="inlineStr">
        <is>
          <t>TJBA</t>
        </is>
      </c>
      <c r="AN120" s="30" t="inlineStr">
        <is>
          <t>ACTIVE</t>
        </is>
      </c>
      <c r="AO120" s="30" t="n">
        <v>2023</v>
      </c>
      <c r="AP120" s="30" t="inlineStr">
        <is>
          <t>live case, no plan document yet</t>
        </is>
      </c>
      <c r="AQ120" s="30" t="inlineStr"/>
      <c r="AR120" s="30" t="inlineStr">
        <is>
          <t>printed on the list (read twice)</t>
        </is>
      </c>
      <c r="AS120" s="30" t="inlineStr">
        <is>
          <t>SAO PAULO</t>
        </is>
      </c>
      <c r="AT120" s="30" t="inlineStr">
        <is>
          <t>SP</t>
        </is>
      </c>
      <c r="AU120" s="30" t="inlineStr">
        <is>
          <t>Bancos múltiplos, com carteira comercial</t>
        </is>
      </c>
      <c r="AV120" s="30" t="inlineStr">
        <is>
          <t>DEMAIS</t>
        </is>
      </c>
      <c r="AW120" s="31" t="n">
        <v>6907260000</v>
      </c>
      <c r="AX120" s="30" t="inlineStr">
        <is>
          <t>LARGE CORP</t>
        </is>
      </c>
      <c r="AY120" s="30" t="inlineStr">
        <is>
          <t>62232889</t>
        </is>
      </c>
      <c r="AZ120" s="30" t="n">
        <v>1</v>
      </c>
      <c r="BA120" s="30" t="inlineStr">
        <is>
          <t>LIKELY_FINANCIAL_BY_NAME ROWS:p5r8 UNRECONCILED_SOURCE VALUE_COL:Valor_Do_Crédito_2º_Edital_De_Credores</t>
        </is>
      </c>
    </row>
    <row r="121">
      <c r="A121" s="16" t="inlineStr">
        <is>
          <t>BANCO REGIONAL DE DESENVOLVIMENTO DO EXTREMO SUL - BRDE (</t>
        </is>
      </c>
      <c r="B121" s="17" t="n">
        <v>3110845.12</v>
      </c>
      <c r="C121" s="18" t="inlineStr">
        <is>
          <t>ASSOCIAÇÃO DE CARIDADE SANTA CASA DO RIO GRANDE</t>
        </is>
      </c>
      <c r="D121" s="19" t="inlineStr">
        <is>
          <t>NEW</t>
        </is>
      </c>
      <c r="E121" s="20" t="inlineStr"/>
      <c r="F121" s="19" t="inlineStr"/>
      <c r="G121" s="20" t="inlineStr"/>
      <c r="H121" s="19" t="inlineStr"/>
      <c r="I121" s="21" t="inlineStr">
        <is>
          <t>Simone Thomazi</t>
        </is>
      </c>
      <c r="J121" s="21" t="inlineStr">
        <is>
          <t>Gerente Adjunta de Acompanhamento e Recuperação de Crédito</t>
        </is>
      </c>
      <c r="K121" s="21" t="inlineStr"/>
      <c r="L121" s="21" t="inlineStr"/>
      <c r="M121" s="21" t="inlineStr"/>
      <c r="N121" s="21" t="inlineStr">
        <is>
          <t>simone.thomazi@brde.com.br</t>
        </is>
      </c>
      <c r="O121" s="21" t="inlineStr">
        <is>
          <t>f.fernandes@brde.com.br</t>
        </is>
      </c>
      <c r="P121" s="21" t="inlineStr">
        <is>
          <t>Francisco Fernandes</t>
        </is>
      </c>
      <c r="Q121" s="21" t="inlineStr">
        <is>
          <t>Superintendente de Crédito</t>
        </is>
      </c>
      <c r="R121" s="21" t="inlineStr"/>
      <c r="S121" s="21" t="inlineStr">
        <is>
          <t>f.fernandes@brde.com.br</t>
        </is>
      </c>
      <c r="T121" s="21" t="inlineStr">
        <is>
          <t>email verified by Apollo</t>
        </is>
      </c>
      <c r="U121" s="22" t="n">
        <v>3110845.12</v>
      </c>
      <c r="V121" s="23" t="inlineStr">
        <is>
          <t>B</t>
        </is>
      </c>
      <c r="W121" s="24">
        <f>IFERROR(VLOOKUP(V121,Assumptions!$A$7:$F$11,2,FALSE),0)</f>
        <v/>
      </c>
      <c r="X121" s="25">
        <f>IF(V121="A",MAX(1,IFERROR(VLOOKUP(V121,Assumptions!$A$7:$F$11,3,FALSE),3)+IFERROR(VLOOKUP(V121,Assumptions!$A$7:$F$11,4,FALSE),8)/2-MAX(0,IF(AO121="",0,YEAR(TODAY())-AO121)-IFERROR(VLOOKUP(V121,Assumptions!$A$7:$F$11,5,FALSE),1.5))),IFERROR(VLOOKUP(V121,Assumptions!$A$7:$F$11,5,FALSE),2.5)+IFERROR(VLOOKUP(V121,Assumptions!$A$7:$F$11,3,FALSE),3)+IFERROR(VLOOKUP(V121,Assumptions!$A$7:$F$11,4,FALSE),8)/2)</f>
        <v/>
      </c>
      <c r="Y121" s="22">
        <f>U121*W121/(1+Assumptions!$B$3)^X121</f>
        <v/>
      </c>
      <c r="Z121" s="26">
        <f>IF(U121=0,"",ROUND(Y121/U121*100,1))</f>
        <v/>
      </c>
      <c r="AA121" s="27">
        <f>Y121*Assumptions!$B$4</f>
        <v/>
      </c>
      <c r="AB121" s="26">
        <f>IF(U121=0,"",ROUND(AA121/U121*100,1))</f>
        <v/>
      </c>
      <c r="AC121" s="27">
        <f>Y121-AA121</f>
        <v/>
      </c>
      <c r="AD121" s="26">
        <f>IF(U121=0,"",ROUND((Y121-AA121)/U121*100,1))</f>
        <v/>
      </c>
      <c r="AE121" s="33" t="inlineStr">
        <is>
          <t>NO TOTALS — list prints none; check page</t>
        </is>
      </c>
      <c r="AF121" s="29" t="inlineStr">
        <is>
          <t>https://scalzilliaj.com.br/sgc/download.php?file=files/processo_documento/processo_documento09120721032023_1_.pdf&amp;nome=15 - Edital do art. 7º, §2º e 53 da Lei 11.101/2005 (segunda lista de credores e recebimento do plano))</t>
        </is>
      </c>
      <c r="AG121" s="28" t="inlineStr">
        <is>
          <t>p25 r63</t>
        </is>
      </c>
      <c r="AH121" s="28" t="inlineStr">
        <is>
          <t>p25: R$ 3.110.845,12</t>
        </is>
      </c>
      <c r="AI121" s="28" t="inlineStr">
        <is>
          <t>AJ list (art. 7 §2)</t>
        </is>
      </c>
      <c r="AJ121" s="28" t="inlineStr">
        <is>
          <t>2023-03-21</t>
        </is>
      </c>
      <c r="AK121" s="28" t="inlineStr">
        <is>
          <t>NONE FOUND</t>
        </is>
      </c>
      <c r="AL121" s="30" t="inlineStr">
        <is>
          <t>5012306-16.2022.8.21.0023</t>
        </is>
      </c>
      <c r="AM121" s="30" t="inlineStr">
        <is>
          <t>TJRS</t>
        </is>
      </c>
      <c r="AN121" s="30" t="inlineStr">
        <is>
          <t>ACTIVE</t>
        </is>
      </c>
      <c r="AO121" s="30" t="n">
        <v>2022</v>
      </c>
      <c r="AP121" s="30" t="inlineStr">
        <is>
          <t>live case, no plan document yet</t>
        </is>
      </c>
      <c r="AQ121" s="30" t="inlineStr"/>
      <c r="AR121" s="30" t="inlineStr">
        <is>
          <t>printed on the list (read twice)</t>
        </is>
      </c>
      <c r="AS121" s="30" t="inlineStr"/>
      <c r="AT121" s="30" t="inlineStr"/>
      <c r="AU121" s="30" t="inlineStr"/>
      <c r="AV121" s="30" t="inlineStr"/>
      <c r="AW121" s="31" t="inlineStr"/>
      <c r="AX121" s="30" t="inlineStr">
        <is>
          <t>MID-MARKET</t>
        </is>
      </c>
      <c r="AY121" s="30" t="inlineStr">
        <is>
          <t>92816560</t>
        </is>
      </c>
      <c r="AZ121" s="30" t="n">
        <v>1</v>
      </c>
      <c r="BA121" s="30" t="inlineStr">
        <is>
          <t>LIKELY_FINANCIAL_BY_NAME ROWS:p25r63 UNRECONCILED_SOURCE</t>
        </is>
      </c>
    </row>
    <row r="122">
      <c r="A122" s="16" t="inlineStr">
        <is>
          <t>FS FUNDO DE INVESTIMENTO EM DIREITOS CREDITORIOS NAO PADRONIZADOS</t>
        </is>
      </c>
      <c r="B122" s="17" t="n">
        <v>3056640</v>
      </c>
      <c r="C122" s="18" t="inlineStr">
        <is>
          <t>TOP TEXTIL EMBALAGENS LTDA</t>
        </is>
      </c>
      <c r="D122" s="19" t="inlineStr">
        <is>
          <t>NEW</t>
        </is>
      </c>
      <c r="E122" s="20" t="inlineStr"/>
      <c r="F122" s="19" t="inlineStr"/>
      <c r="G122" s="20" t="inlineStr"/>
      <c r="H122" s="19" t="inlineStr"/>
      <c r="I122" s="21" t="inlineStr"/>
      <c r="J122" s="21" t="inlineStr"/>
      <c r="K122" s="21" t="inlineStr">
        <is>
          <t>(11) 2827-3500</t>
        </is>
      </c>
      <c r="L122" s="21" t="inlineStr"/>
      <c r="M122" s="21" t="inlineStr"/>
      <c r="N122" s="21" t="inlineStr"/>
      <c r="O122" s="21" t="inlineStr"/>
      <c r="P122" s="21" t="inlineStr"/>
      <c r="Q122" s="21" t="inlineStr"/>
      <c r="R122" s="21" t="inlineStr"/>
      <c r="S122" s="21" t="inlineStr"/>
      <c r="T122" s="21" t="inlineStr">
        <is>
          <t>no named contact found</t>
        </is>
      </c>
      <c r="U122" s="22" t="n">
        <v>3056640</v>
      </c>
      <c r="V122" s="23" t="inlineStr">
        <is>
          <t>B</t>
        </is>
      </c>
      <c r="W122" s="24">
        <f>IFERROR(VLOOKUP(V122,Assumptions!$A$7:$F$11,2,FALSE),0)</f>
        <v/>
      </c>
      <c r="X122" s="25">
        <f>IF(V122="A",MAX(1,IFERROR(VLOOKUP(V122,Assumptions!$A$7:$F$11,3,FALSE),3)+IFERROR(VLOOKUP(V122,Assumptions!$A$7:$F$11,4,FALSE),8)/2-MAX(0,IF(AO122="",0,YEAR(TODAY())-AO122)-IFERROR(VLOOKUP(V122,Assumptions!$A$7:$F$11,5,FALSE),1.5))),IFERROR(VLOOKUP(V122,Assumptions!$A$7:$F$11,5,FALSE),2.5)+IFERROR(VLOOKUP(V122,Assumptions!$A$7:$F$11,3,FALSE),3)+IFERROR(VLOOKUP(V122,Assumptions!$A$7:$F$11,4,FALSE),8)/2)</f>
        <v/>
      </c>
      <c r="Y122" s="22">
        <f>U122*W122/(1+Assumptions!$B$3)^X122</f>
        <v/>
      </c>
      <c r="Z122" s="26">
        <f>IF(U122=0,"",ROUND(Y122/U122*100,1))</f>
        <v/>
      </c>
      <c r="AA122" s="27">
        <f>Y122*Assumptions!$B$4</f>
        <v/>
      </c>
      <c r="AB122" s="26">
        <f>IF(U122=0,"",ROUND(AA122/U122*100,1))</f>
        <v/>
      </c>
      <c r="AC122" s="27">
        <f>Y122-AA122</f>
        <v/>
      </c>
      <c r="AD122" s="26">
        <f>IF(U122=0,"",ROUND((Y122-AA122)/U122*100,1))</f>
        <v/>
      </c>
      <c r="AE122" s="33" t="inlineStr">
        <is>
          <t>NO TOTALS — list prints none; check page</t>
        </is>
      </c>
      <c r="AF122" s="29" t="inlineStr">
        <is>
          <t>https://cataliseaj.com.br/sgc/download.php?file=files/processo_documento/processo_documento15092204102024_1_.pdf&amp;nome=02. RELAÇÃO DE CREDORES</t>
        </is>
      </c>
      <c r="AG122" s="28" t="inlineStr">
        <is>
          <t>p2 r45</t>
        </is>
      </c>
      <c r="AH122" s="28" t="inlineStr">
        <is>
          <t>p2: R$ 3.056.640,00</t>
        </is>
      </c>
      <c r="AI122" s="28" t="inlineStr">
        <is>
          <t>Debtor list (art. 51)</t>
        </is>
      </c>
      <c r="AJ122" s="28" t="inlineStr"/>
      <c r="AK122" s="28" t="inlineStr">
        <is>
          <t>NONE FOUND</t>
        </is>
      </c>
      <c r="AL122" s="30" t="inlineStr">
        <is>
          <t>5011460-87.2023.8.24.0020</t>
        </is>
      </c>
      <c r="AM122" s="30" t="inlineStr">
        <is>
          <t>TJSC</t>
        </is>
      </c>
      <c r="AN122" s="30" t="inlineStr">
        <is>
          <t>ACTIVE</t>
        </is>
      </c>
      <c r="AO122" s="30" t="n">
        <v>2023</v>
      </c>
      <c r="AP122" s="30" t="inlineStr">
        <is>
          <t>live case, no plan document yet</t>
        </is>
      </c>
      <c r="AQ122" s="30" t="inlineStr">
        <is>
          <t>26.588.741/0001-29</t>
        </is>
      </c>
      <c r="AR122" s="30" t="inlineStr">
        <is>
          <t>printed on the list (read twice)</t>
        </is>
      </c>
      <c r="AS122" s="30" t="inlineStr">
        <is>
          <t>SAO PAULO</t>
        </is>
      </c>
      <c r="AT122" s="30" t="inlineStr">
        <is>
          <t>SP</t>
        </is>
      </c>
      <c r="AU122" s="30" t="inlineStr">
        <is>
          <t>Fundos de investimento, exceto previdenciários e imobiliários</t>
        </is>
      </c>
      <c r="AV122" s="30" t="inlineStr">
        <is>
          <t>DEMAIS</t>
        </is>
      </c>
      <c r="AW122" s="31" t="inlineStr"/>
      <c r="AX122" s="30" t="inlineStr">
        <is>
          <t>MID-MARKET</t>
        </is>
      </c>
      <c r="AY122" s="30" t="inlineStr">
        <is>
          <t>21397569</t>
        </is>
      </c>
      <c r="AZ122" s="30" t="n">
        <v>1</v>
      </c>
      <c r="BA122" s="30" t="inlineStr">
        <is>
          <t>ROWS:p2r45 UNRECONCILED_SOURCE</t>
        </is>
      </c>
    </row>
    <row r="123">
      <c r="A123" s="16" t="inlineStr">
        <is>
          <t>ITAU UNIBANCO S.A.</t>
        </is>
      </c>
      <c r="B123" s="17" t="n">
        <v>3004176.14</v>
      </c>
      <c r="C123" s="18" t="inlineStr">
        <is>
          <t>Grupo Conduscabos</t>
        </is>
      </c>
      <c r="D123" s="19" t="inlineStr">
        <is>
          <t>NEW</t>
        </is>
      </c>
      <c r="E123" s="20" t="inlineStr"/>
      <c r="F123" s="19" t="inlineStr"/>
      <c r="G123" s="20" t="inlineStr"/>
      <c r="H123" s="19" t="inlineStr"/>
      <c r="I123" s="21" t="inlineStr">
        <is>
          <t>Murilo Gigliucci</t>
        </is>
      </c>
      <c r="J123" s="21" t="inlineStr">
        <is>
          <t>Superintendente de Reestruturação de Crédito</t>
        </is>
      </c>
      <c r="K123" s="21" t="inlineStr">
        <is>
          <t>(11) 3003-4828</t>
        </is>
      </c>
      <c r="L123" s="21" t="inlineStr"/>
      <c r="M123" s="21" t="inlineStr"/>
      <c r="N123" s="21" t="inlineStr">
        <is>
          <t>murilo.gigliucci@itau-unibanco.com.br</t>
        </is>
      </c>
      <c r="O123" s="21" t="inlineStr">
        <is>
          <t>pedro.ornellas-geronimo@itau-unibanco.com.br</t>
        </is>
      </c>
      <c r="P123" s="21" t="inlineStr">
        <is>
          <t>Pedro Ornellas</t>
        </is>
      </c>
      <c r="Q123" s="21" t="inlineStr">
        <is>
          <t>Superintendente de Recuperação de Crédito</t>
        </is>
      </c>
      <c r="R123" s="21" t="inlineStr"/>
      <c r="S123" s="21" t="inlineStr">
        <is>
          <t>pedro.ornellas-geronimo@itau-unibanco.com.br</t>
        </is>
      </c>
      <c r="T123" s="21" t="inlineStr">
        <is>
          <t>email verified by Apollo</t>
        </is>
      </c>
      <c r="U123" s="22" t="n">
        <v>3004176.14</v>
      </c>
      <c r="V123" s="23" t="inlineStr">
        <is>
          <t>B</t>
        </is>
      </c>
      <c r="W123" s="24">
        <f>IFERROR(VLOOKUP(V123,Assumptions!$A$7:$F$11,2,FALSE),0)</f>
        <v/>
      </c>
      <c r="X123" s="25">
        <f>IF(V123="A",MAX(1,IFERROR(VLOOKUP(V123,Assumptions!$A$7:$F$11,3,FALSE),3)+IFERROR(VLOOKUP(V123,Assumptions!$A$7:$F$11,4,FALSE),8)/2-MAX(0,IF(AO123="",0,YEAR(TODAY())-AO123)-IFERROR(VLOOKUP(V123,Assumptions!$A$7:$F$11,5,FALSE),1.5))),IFERROR(VLOOKUP(V123,Assumptions!$A$7:$F$11,5,FALSE),2.5)+IFERROR(VLOOKUP(V123,Assumptions!$A$7:$F$11,3,FALSE),3)+IFERROR(VLOOKUP(V123,Assumptions!$A$7:$F$11,4,FALSE),8)/2)</f>
        <v/>
      </c>
      <c r="Y123" s="22">
        <f>U123*W123/(1+Assumptions!$B$3)^X123</f>
        <v/>
      </c>
      <c r="Z123" s="26">
        <f>IF(U123=0,"",ROUND(Y123/U123*100,1))</f>
        <v/>
      </c>
      <c r="AA123" s="27">
        <f>Y123*Assumptions!$B$4</f>
        <v/>
      </c>
      <c r="AB123" s="26">
        <f>IF(U123=0,"",ROUND(AA123/U123*100,1))</f>
        <v/>
      </c>
      <c r="AC123" s="27">
        <f>Y123-AA123</f>
        <v/>
      </c>
      <c r="AD123" s="26">
        <f>IF(U123=0,"",ROUND((Y123-AA123)/U123*100,1))</f>
        <v/>
      </c>
      <c r="AE123" s="33" t="inlineStr">
        <is>
          <t>NO TOTALS — list prints none; check page</t>
        </is>
      </c>
      <c r="AF123" s="29" t="inlineStr">
        <is>
          <t>https://assistjud.com.br/wp-content/uploads/elementor/forms/65098c80a5824.pdf</t>
        </is>
      </c>
      <c r="AG123" s="28" t="inlineStr">
        <is>
          <t>p8 r3; p18 r5</t>
        </is>
      </c>
      <c r="AH123" s="28" t="inlineStr">
        <is>
          <t>p8: R$ 2.066.142,03; p18: R$ 938.034,11</t>
        </is>
      </c>
      <c r="AI123" s="28" t="inlineStr">
        <is>
          <t>AJ list (art. 7 §2)</t>
        </is>
      </c>
      <c r="AJ123" s="28" t="inlineStr">
        <is>
          <t>2023-09-18</t>
        </is>
      </c>
      <c r="AK123" s="28" t="inlineStr">
        <is>
          <t>NONE FOUND</t>
        </is>
      </c>
      <c r="AL123" s="30" t="inlineStr">
        <is>
          <t>8005129-09.2023.8.05.0039</t>
        </is>
      </c>
      <c r="AM123" s="30" t="inlineStr">
        <is>
          <t>TJBA</t>
        </is>
      </c>
      <c r="AN123" s="30" t="inlineStr">
        <is>
          <t>ACTIVE</t>
        </is>
      </c>
      <c r="AO123" s="30" t="n">
        <v>2023</v>
      </c>
      <c r="AP123" s="30" t="inlineStr">
        <is>
          <t>live case, no plan document yet</t>
        </is>
      </c>
      <c r="AQ123" s="30" t="inlineStr"/>
      <c r="AR123" s="30" t="inlineStr">
        <is>
          <t>printed on the list (read twice)</t>
        </is>
      </c>
      <c r="AS123" s="30" t="inlineStr">
        <is>
          <t>SAO PAULO</t>
        </is>
      </c>
      <c r="AT123" s="30" t="inlineStr">
        <is>
          <t>SP</t>
        </is>
      </c>
      <c r="AU123" s="30" t="inlineStr">
        <is>
          <t>Bancos comerciais</t>
        </is>
      </c>
      <c r="AV123" s="30" t="inlineStr">
        <is>
          <t>DEMAIS</t>
        </is>
      </c>
      <c r="AW123" s="31" t="n">
        <v>76200000000</v>
      </c>
      <c r="AX123" s="30" t="inlineStr">
        <is>
          <t>LARGE CORP</t>
        </is>
      </c>
      <c r="AY123" s="30" t="inlineStr">
        <is>
          <t>60701190</t>
        </is>
      </c>
      <c r="AZ123" s="30" t="n">
        <v>2</v>
      </c>
      <c r="BA123" s="30" t="inlineStr">
        <is>
          <t>LIKELY_FINANCIAL_BY_NAME ROWS:p8r3,p18r5 UNRECONCILED_SOURCE</t>
        </is>
      </c>
    </row>
    <row r="124">
      <c r="A124" s="16" t="inlineStr">
        <is>
          <t>BANCO BRADESCO S.A.</t>
        </is>
      </c>
      <c r="B124" s="17" t="n">
        <v>2966807.47</v>
      </c>
      <c r="C124" s="18" t="inlineStr">
        <is>
          <t>Alto Uruguai Indústria e Comércio de Óleos Ltda</t>
        </is>
      </c>
      <c r="D124" s="19" t="inlineStr">
        <is>
          <t>NEW</t>
        </is>
      </c>
      <c r="E124" s="20" t="inlineStr"/>
      <c r="F124" s="19" t="inlineStr"/>
      <c r="G124" s="20" t="inlineStr"/>
      <c r="H124" s="19" t="inlineStr"/>
      <c r="I124" s="21" t="inlineStr">
        <is>
          <t>Marcela Martins</t>
        </is>
      </c>
      <c r="J124" s="21" t="inlineStr">
        <is>
          <t>Superintendente de Recuperação de Crédito - Canais e Operações</t>
        </is>
      </c>
      <c r="K124" s="21" t="inlineStr">
        <is>
          <t>(11) 3684-5122</t>
        </is>
      </c>
      <c r="L124" s="21" t="inlineStr"/>
      <c r="M124" s="21" t="inlineStr"/>
      <c r="N124" s="21" t="inlineStr"/>
      <c r="O124" s="21" t="inlineStr">
        <is>
          <t>sl@bradesco.com.br</t>
        </is>
      </c>
      <c r="P124" s="21" t="inlineStr">
        <is>
          <t>Luis S</t>
        </is>
      </c>
      <c r="Q124" s="21" t="inlineStr">
        <is>
          <t>DRC - Departamento de Recuperação de Crédito - Gerente de Reestruturação de Crédito</t>
        </is>
      </c>
      <c r="R124" s="21" t="inlineStr"/>
      <c r="S124" s="21" t="inlineStr">
        <is>
          <t>sl@bradesco.com.br</t>
        </is>
      </c>
      <c r="T124" s="21" t="inlineStr">
        <is>
          <t>no work email found in Apollo</t>
        </is>
      </c>
      <c r="U124" s="22" t="n">
        <v>2966807.47</v>
      </c>
      <c r="V124" s="23" t="inlineStr">
        <is>
          <t>B</t>
        </is>
      </c>
      <c r="W124" s="24">
        <f>IFERROR(VLOOKUP(V124,Assumptions!$A$7:$F$11,2,FALSE),0)</f>
        <v/>
      </c>
      <c r="X124" s="25">
        <f>IF(V124="A",MAX(1,IFERROR(VLOOKUP(V124,Assumptions!$A$7:$F$11,3,FALSE),3)+IFERROR(VLOOKUP(V124,Assumptions!$A$7:$F$11,4,FALSE),8)/2-MAX(0,IF(AO124="",0,YEAR(TODAY())-AO124)-IFERROR(VLOOKUP(V124,Assumptions!$A$7:$F$11,5,FALSE),1.5))),IFERROR(VLOOKUP(V124,Assumptions!$A$7:$F$11,5,FALSE),2.5)+IFERROR(VLOOKUP(V124,Assumptions!$A$7:$F$11,3,FALSE),3)+IFERROR(VLOOKUP(V124,Assumptions!$A$7:$F$11,4,FALSE),8)/2)</f>
        <v/>
      </c>
      <c r="Y124" s="22">
        <f>U124*W124/(1+Assumptions!$B$3)^X124</f>
        <v/>
      </c>
      <c r="Z124" s="26">
        <f>IF(U124=0,"",ROUND(Y124/U124*100,1))</f>
        <v/>
      </c>
      <c r="AA124" s="27">
        <f>Y124*Assumptions!$B$4</f>
        <v/>
      </c>
      <c r="AB124" s="26">
        <f>IF(U124=0,"",ROUND(AA124/U124*100,1))</f>
        <v/>
      </c>
      <c r="AC124" s="27">
        <f>Y124-AA124</f>
        <v/>
      </c>
      <c r="AD124" s="26">
        <f>IF(U124=0,"",ROUND((Y124-AA124)/U124*100,1))</f>
        <v/>
      </c>
      <c r="AE124" s="28" t="inlineStr">
        <is>
          <t>OK — totals reconciled</t>
        </is>
      </c>
      <c r="AF124" s="29" t="inlineStr">
        <is>
          <t>https://ajruiz.com.br/sites/default/files/public/arquivos-processos/2026-06/alto_uruguai_qgc_junho.2026.pdf</t>
        </is>
      </c>
      <c r="AG124" s="28" t="inlineStr">
        <is>
          <t>p1 r7</t>
        </is>
      </c>
      <c r="AH124" s="28" t="inlineStr">
        <is>
          <t>p1: R$ 2.966.807,47</t>
        </is>
      </c>
      <c r="AI124" s="28" t="inlineStr">
        <is>
          <t>Unclassified list</t>
        </is>
      </c>
      <c r="AJ124" s="28" t="inlineStr"/>
      <c r="AK124" s="28" t="inlineStr">
        <is>
          <t>NONE FOUND</t>
        </is>
      </c>
      <c r="AL124" s="30" t="inlineStr">
        <is>
          <t>5012743-51.2023.8.24.0019</t>
        </is>
      </c>
      <c r="AM124" s="30" t="inlineStr">
        <is>
          <t>TJSC</t>
        </is>
      </c>
      <c r="AN124" s="30" t="inlineStr">
        <is>
          <t>ACTIVE</t>
        </is>
      </c>
      <c r="AO124" s="30" t="n">
        <v>2023</v>
      </c>
      <c r="AP124" s="30" t="inlineStr">
        <is>
          <t>live case, no plan document yet</t>
        </is>
      </c>
      <c r="AQ124" s="30" t="inlineStr"/>
      <c r="AR124" s="30" t="inlineStr">
        <is>
          <t>printed on the list (read twice)</t>
        </is>
      </c>
      <c r="AS124" s="30" t="inlineStr">
        <is>
          <t>OSASCO</t>
        </is>
      </c>
      <c r="AT124" s="30" t="inlineStr">
        <is>
          <t>SP</t>
        </is>
      </c>
      <c r="AU124" s="30" t="inlineStr">
        <is>
          <t>Bancos múltiplos, com carteira comercial</t>
        </is>
      </c>
      <c r="AV124" s="30" t="inlineStr">
        <is>
          <t>DEMAIS</t>
        </is>
      </c>
      <c r="AW124" s="31" t="n">
        <v>93770000000</v>
      </c>
      <c r="AX124" s="30" t="inlineStr">
        <is>
          <t>LARGE CORP</t>
        </is>
      </c>
      <c r="AY124" s="30" t="inlineStr">
        <is>
          <t>60746948</t>
        </is>
      </c>
      <c r="AZ124" s="30" t="n">
        <v>1</v>
      </c>
      <c r="BA124" s="30" t="inlineStr">
        <is>
          <t>LIKELY_FINANCIAL_BY_NAME ROWS:p1r7 VALUE_COL:Valor_Do_Crédito</t>
        </is>
      </c>
    </row>
    <row r="125">
      <c r="A125" s="16" t="inlineStr">
        <is>
          <t>BANCO SAFRA S A</t>
        </is>
      </c>
      <c r="B125" s="17" t="n">
        <v>2921565.37</v>
      </c>
      <c r="C125" s="18" t="inlineStr">
        <is>
          <t>Grupo Arruda (ARRUDA &amp; MELO REPRESENTACAO DE ALIMENTOS E BEBIDAS LTDA, ARRUDA &amp; MELO COMERCIO E DISTRIBUICAO DE ALIMENTOS E BEBIDAS LTDA, ARRUDA &amp; MELO COMERCIO E DISTRIBUICAO DE ALIMENTOS E BEBIDAS DA BAHIA LTDA)</t>
        </is>
      </c>
      <c r="D125" s="19" t="inlineStr">
        <is>
          <t>NEW</t>
        </is>
      </c>
      <c r="E125" s="20" t="inlineStr"/>
      <c r="F125" s="19" t="inlineStr"/>
      <c r="G125" s="20" t="inlineStr"/>
      <c r="H125" s="19" t="inlineStr"/>
      <c r="I125" s="21" t="inlineStr">
        <is>
          <t>Vanessa Biotti</t>
        </is>
      </c>
      <c r="J125" s="21" t="inlineStr">
        <is>
          <t>Gerente de Recuperação de Crédito</t>
        </is>
      </c>
      <c r="K125" s="21" t="inlineStr">
        <is>
          <t>(11) 3175-7575</t>
        </is>
      </c>
      <c r="L125" s="21" t="inlineStr"/>
      <c r="M125" s="21" t="inlineStr"/>
      <c r="N125" s="21" t="inlineStr">
        <is>
          <t>vanessa.biotti@safra.com.br</t>
        </is>
      </c>
      <c r="O125" s="21" t="inlineStr">
        <is>
          <t>rodrigo.anjos@safra.com.br</t>
        </is>
      </c>
      <c r="P125" s="21" t="inlineStr">
        <is>
          <t>Rodrigo Anjos</t>
        </is>
      </c>
      <c r="Q125" s="21" t="inlineStr">
        <is>
          <t>Advogado Sênior - Jurídico Contencioso - Recuperação de Crédito - NPL</t>
        </is>
      </c>
      <c r="R125" s="21" t="inlineStr"/>
      <c r="S125" s="21" t="inlineStr">
        <is>
          <t>rodrigo.anjos@safra.com.br</t>
        </is>
      </c>
      <c r="T125" s="21" t="inlineStr">
        <is>
          <t>email verified by Apollo</t>
        </is>
      </c>
      <c r="U125" s="22" t="n">
        <v>2921565.37</v>
      </c>
      <c r="V125" s="23" t="inlineStr">
        <is>
          <t>B</t>
        </is>
      </c>
      <c r="W125" s="24">
        <f>IFERROR(VLOOKUP(V125,Assumptions!$A$7:$F$11,2,FALSE),0)</f>
        <v/>
      </c>
      <c r="X125" s="25">
        <f>IF(V125="A",MAX(1,IFERROR(VLOOKUP(V125,Assumptions!$A$7:$F$11,3,FALSE),3)+IFERROR(VLOOKUP(V125,Assumptions!$A$7:$F$11,4,FALSE),8)/2-MAX(0,IF(AO125="",0,YEAR(TODAY())-AO125)-IFERROR(VLOOKUP(V125,Assumptions!$A$7:$F$11,5,FALSE),1.5))),IFERROR(VLOOKUP(V125,Assumptions!$A$7:$F$11,5,FALSE),2.5)+IFERROR(VLOOKUP(V125,Assumptions!$A$7:$F$11,3,FALSE),3)+IFERROR(VLOOKUP(V125,Assumptions!$A$7:$F$11,4,FALSE),8)/2)</f>
        <v/>
      </c>
      <c r="Y125" s="22">
        <f>U125*W125/(1+Assumptions!$B$3)^X125</f>
        <v/>
      </c>
      <c r="Z125" s="26">
        <f>IF(U125=0,"",ROUND(Y125/U125*100,1))</f>
        <v/>
      </c>
      <c r="AA125" s="27">
        <f>Y125*Assumptions!$B$4</f>
        <v/>
      </c>
      <c r="AB125" s="26">
        <f>IF(U125=0,"",ROUND(AA125/U125*100,1))</f>
        <v/>
      </c>
      <c r="AC125" s="27">
        <f>Y125-AA125</f>
        <v/>
      </c>
      <c r="AD125" s="26">
        <f>IF(U125=0,"",ROUND((Y125-AA125)/U125*100,1))</f>
        <v/>
      </c>
      <c r="AE125" s="28" t="inlineStr">
        <is>
          <t>OK — totals reconciled</t>
        </is>
      </c>
      <c r="AF125" s="29" t="inlineStr">
        <is>
          <t>https://diligence.adm.br/wp-content/uploads/2025/06/Edital-1a-Lista-de-Credores.pdf</t>
        </is>
      </c>
      <c r="AG125" s="28" t="inlineStr">
        <is>
          <t>p5 r52</t>
        </is>
      </c>
      <c r="AH125" s="28" t="inlineStr">
        <is>
          <t>p5: R$ 2.921.565,37</t>
        </is>
      </c>
      <c r="AI125" s="28" t="inlineStr">
        <is>
          <t>Debtor list (art. 51)</t>
        </is>
      </c>
      <c r="AJ125" s="28" t="inlineStr">
        <is>
          <t>2025-06-10</t>
        </is>
      </c>
      <c r="AK125" s="28" t="inlineStr">
        <is>
          <t>NONE FOUND</t>
        </is>
      </c>
      <c r="AL125" s="30" t="inlineStr">
        <is>
          <t>0008526-45.2025.8.17.2001</t>
        </is>
      </c>
      <c r="AM125" s="30" t="inlineStr">
        <is>
          <t>TJPE</t>
        </is>
      </c>
      <c r="AN125" s="30" t="inlineStr">
        <is>
          <t>ACTIVE</t>
        </is>
      </c>
      <c r="AO125" s="30" t="n">
        <v>2025</v>
      </c>
      <c r="AP125" s="30" t="inlineStr">
        <is>
          <t>live case, no plan document yet</t>
        </is>
      </c>
      <c r="AQ125" s="30" t="inlineStr"/>
      <c r="AR125" s="30" t="inlineStr">
        <is>
          <t>printed on the list (read twice)</t>
        </is>
      </c>
      <c r="AS125" s="30" t="inlineStr">
        <is>
          <t>SAO PAULO</t>
        </is>
      </c>
      <c r="AT125" s="30" t="inlineStr">
        <is>
          <t>SP</t>
        </is>
      </c>
      <c r="AU125" s="30" t="inlineStr">
        <is>
          <t>Bancos múltiplos, com carteira comercial</t>
        </is>
      </c>
      <c r="AV125" s="30" t="inlineStr">
        <is>
          <t>DEMAIS</t>
        </is>
      </c>
      <c r="AW125" s="31" t="n">
        <v>13924903000</v>
      </c>
      <c r="AX125" s="30" t="inlineStr">
        <is>
          <t>LARGE CORP</t>
        </is>
      </c>
      <c r="AY125" s="30" t="inlineStr">
        <is>
          <t>58160789</t>
        </is>
      </c>
      <c r="AZ125" s="30" t="n">
        <v>1</v>
      </c>
      <c r="BA125" s="30" t="inlineStr">
        <is>
          <t>LIKELY_FINANCIAL_BY_NAME ROWS:p5r52</t>
        </is>
      </c>
    </row>
    <row r="126">
      <c r="A126" s="16" t="inlineStr">
        <is>
          <t>BANCO DO BRASIL SA</t>
        </is>
      </c>
      <c r="B126" s="17" t="n">
        <v>2869597.33</v>
      </c>
      <c r="C126" s="18" t="inlineStr">
        <is>
          <t>Grupo Pisebem</t>
        </is>
      </c>
      <c r="D126" s="19" t="inlineStr">
        <is>
          <t>NEW</t>
        </is>
      </c>
      <c r="E126" s="20" t="inlineStr"/>
      <c r="F126" s="19" t="inlineStr"/>
      <c r="G126" s="20" t="inlineStr"/>
      <c r="H126" s="19" t="inlineStr"/>
      <c r="I126" s="21" t="inlineStr">
        <is>
          <t>Thiago Cavichioli</t>
        </is>
      </c>
      <c r="J126" s="21" t="inlineStr">
        <is>
          <t>Gerente de Cobrança e Recuperação de Crédito</t>
        </is>
      </c>
      <c r="K126" s="21" t="inlineStr">
        <is>
          <t>(61) 3493-9002</t>
        </is>
      </c>
      <c r="L126" s="21" t="inlineStr"/>
      <c r="M126" s="21" t="inlineStr"/>
      <c r="N126" s="21" t="inlineStr">
        <is>
          <t>thiago.cavichioli@bb.com.br</t>
        </is>
      </c>
      <c r="O126" s="21" t="inlineStr">
        <is>
          <t>suelenmondador@bb.com.br</t>
        </is>
      </c>
      <c r="P126" s="21" t="inlineStr">
        <is>
          <t>Suelen Mondador</t>
        </is>
      </c>
      <c r="Q126" s="21" t="inlineStr">
        <is>
          <t>Gerente Especialista em Recuperação de Crédito</t>
        </is>
      </c>
      <c r="R126" s="21" t="inlineStr"/>
      <c r="S126" s="21" t="inlineStr">
        <is>
          <t>suelenmondador@bb.com.br</t>
        </is>
      </c>
      <c r="T126" s="21" t="inlineStr">
        <is>
          <t>email verified by Apollo</t>
        </is>
      </c>
      <c r="U126" s="22" t="n">
        <v>2869597.33</v>
      </c>
      <c r="V126" s="23" t="inlineStr">
        <is>
          <t>B</t>
        </is>
      </c>
      <c r="W126" s="24">
        <f>IFERROR(VLOOKUP(V126,Assumptions!$A$7:$F$11,2,FALSE),0)</f>
        <v/>
      </c>
      <c r="X126" s="25">
        <f>IF(V126="A",MAX(1,IFERROR(VLOOKUP(V126,Assumptions!$A$7:$F$11,3,FALSE),3)+IFERROR(VLOOKUP(V126,Assumptions!$A$7:$F$11,4,FALSE),8)/2-MAX(0,IF(AO126="",0,YEAR(TODAY())-AO126)-IFERROR(VLOOKUP(V126,Assumptions!$A$7:$F$11,5,FALSE),1.5))),IFERROR(VLOOKUP(V126,Assumptions!$A$7:$F$11,5,FALSE),2.5)+IFERROR(VLOOKUP(V126,Assumptions!$A$7:$F$11,3,FALSE),3)+IFERROR(VLOOKUP(V126,Assumptions!$A$7:$F$11,4,FALSE),8)/2)</f>
        <v/>
      </c>
      <c r="Y126" s="22">
        <f>U126*W126/(1+Assumptions!$B$3)^X126</f>
        <v/>
      </c>
      <c r="Z126" s="26">
        <f>IF(U126=0,"",ROUND(Y126/U126*100,1))</f>
        <v/>
      </c>
      <c r="AA126" s="27">
        <f>Y126*Assumptions!$B$4</f>
        <v/>
      </c>
      <c r="AB126" s="26">
        <f>IF(U126=0,"",ROUND(AA126/U126*100,1))</f>
        <v/>
      </c>
      <c r="AC126" s="27">
        <f>Y126-AA126</f>
        <v/>
      </c>
      <c r="AD126" s="26">
        <f>IF(U126=0,"",ROUND((Y126-AA126)/U126*100,1))</f>
        <v/>
      </c>
      <c r="AE126" s="33" t="inlineStr">
        <is>
          <t>NO TOTALS — list prints none; check page</t>
        </is>
      </c>
      <c r="AF126" s="29" t="inlineStr">
        <is>
          <t>https://recuperacaojudicial.squarespace.com/s/EDITAL-COM-A-2-LISTA-DE-CREDORES-E-INFORMANDO-A-APRESENTACO-DO-PRJ_1532.pdf</t>
        </is>
      </c>
      <c r="AG126" s="28" t="inlineStr">
        <is>
          <t>p2 r4</t>
        </is>
      </c>
      <c r="AH126" s="28" t="inlineStr">
        <is>
          <t>p2: R$ 2.869.597,33</t>
        </is>
      </c>
      <c r="AI126" s="28" t="inlineStr">
        <is>
          <t>AJ list (art. 7 §2)</t>
        </is>
      </c>
      <c r="AJ126" s="28" t="inlineStr"/>
      <c r="AK126" s="28" t="inlineStr">
        <is>
          <t>NONE FOUND</t>
        </is>
      </c>
      <c r="AL126" s="30" t="inlineStr">
        <is>
          <t>0700707-87.2025.8.02.0043</t>
        </is>
      </c>
      <c r="AM126" s="30" t="inlineStr">
        <is>
          <t>TJAL</t>
        </is>
      </c>
      <c r="AN126" s="30" t="inlineStr">
        <is>
          <t>ACTIVE</t>
        </is>
      </c>
      <c r="AO126" s="30" t="n">
        <v>2025</v>
      </c>
      <c r="AP126" s="30" t="inlineStr">
        <is>
          <t>live case, no plan document yet</t>
        </is>
      </c>
      <c r="AQ126" s="30" t="inlineStr"/>
      <c r="AR126" s="30" t="inlineStr">
        <is>
          <t>portal page title / URL — not printed on the list</t>
        </is>
      </c>
      <c r="AS126" s="30" t="inlineStr">
        <is>
          <t>BRASILIA</t>
        </is>
      </c>
      <c r="AT126" s="30" t="inlineStr">
        <is>
          <t>DF</t>
        </is>
      </c>
      <c r="AU126" s="30" t="inlineStr">
        <is>
          <t>Bancos múltiplos, com carteira comercial</t>
        </is>
      </c>
      <c r="AV126" s="30" t="inlineStr">
        <is>
          <t>DEMAIS</t>
        </is>
      </c>
      <c r="AW126" s="31" t="n">
        <v>120000000000</v>
      </c>
      <c r="AX126" s="30" t="inlineStr">
        <is>
          <t>LARGE CORP</t>
        </is>
      </c>
      <c r="AY126" s="30" t="inlineStr">
        <is>
          <t>00000000</t>
        </is>
      </c>
      <c r="AZ126" s="30" t="n">
        <v>1</v>
      </c>
      <c r="BA126" s="30" t="inlineStr">
        <is>
          <t>LIKELY_FINANCIAL_BY_NAME ROWS:p2r4 UNRECONCILED_SOURCE CASE_NUMBER_CORRECTED</t>
        </is>
      </c>
    </row>
    <row r="127">
      <c r="A127" s="16" t="inlineStr">
        <is>
          <t>BANCO DO BRASIL SA</t>
        </is>
      </c>
      <c r="B127" s="17" t="n">
        <v>2864591.61</v>
      </c>
      <c r="C127" s="18" t="inlineStr">
        <is>
          <t>Grupo Arruda (ARRUDA &amp; MELO REPRESENTACAO DE ALIMENTOS E BEBIDAS LTDA, ARRUDA &amp; MELO COMERCIO E DISTRIBUICAO DE ALIMENTOS E BEBIDAS LTDA, ARRUDA &amp; MELO COMERCIO E DISTRIBUICAO DE ALIMENTOS E BEBIDAS DA BAHIA LTDA)</t>
        </is>
      </c>
      <c r="D127" s="19" t="inlineStr">
        <is>
          <t>NEW</t>
        </is>
      </c>
      <c r="E127" s="20" t="inlineStr"/>
      <c r="F127" s="19" t="inlineStr"/>
      <c r="G127" s="20" t="inlineStr"/>
      <c r="H127" s="19" t="inlineStr"/>
      <c r="I127" s="21" t="inlineStr">
        <is>
          <t>Thiago Cavichioli</t>
        </is>
      </c>
      <c r="J127" s="21" t="inlineStr">
        <is>
          <t>Gerente de Cobrança e Recuperação de Crédito</t>
        </is>
      </c>
      <c r="K127" s="21" t="inlineStr">
        <is>
          <t>(61) 3493-9002</t>
        </is>
      </c>
      <c r="L127" s="21" t="inlineStr"/>
      <c r="M127" s="21" t="inlineStr"/>
      <c r="N127" s="21" t="inlineStr">
        <is>
          <t>thiago.cavichioli@bb.com.br</t>
        </is>
      </c>
      <c r="O127" s="21" t="inlineStr">
        <is>
          <t>suelenmondador@bb.com.br</t>
        </is>
      </c>
      <c r="P127" s="21" t="inlineStr">
        <is>
          <t>Suelen Mondador</t>
        </is>
      </c>
      <c r="Q127" s="21" t="inlineStr">
        <is>
          <t>Gerente Especialista em Recuperação de Crédito</t>
        </is>
      </c>
      <c r="R127" s="21" t="inlineStr"/>
      <c r="S127" s="21" t="inlineStr">
        <is>
          <t>suelenmondador@bb.com.br</t>
        </is>
      </c>
      <c r="T127" s="21" t="inlineStr">
        <is>
          <t>email verified by Apollo</t>
        </is>
      </c>
      <c r="U127" s="22" t="n">
        <v>2864591.61</v>
      </c>
      <c r="V127" s="23" t="inlineStr">
        <is>
          <t>B</t>
        </is>
      </c>
      <c r="W127" s="24">
        <f>IFERROR(VLOOKUP(V127,Assumptions!$A$7:$F$11,2,FALSE),0)</f>
        <v/>
      </c>
      <c r="X127" s="25">
        <f>IF(V127="A",MAX(1,IFERROR(VLOOKUP(V127,Assumptions!$A$7:$F$11,3,FALSE),3)+IFERROR(VLOOKUP(V127,Assumptions!$A$7:$F$11,4,FALSE),8)/2-MAX(0,IF(AO127="",0,YEAR(TODAY())-AO127)-IFERROR(VLOOKUP(V127,Assumptions!$A$7:$F$11,5,FALSE),1.5))),IFERROR(VLOOKUP(V127,Assumptions!$A$7:$F$11,5,FALSE),2.5)+IFERROR(VLOOKUP(V127,Assumptions!$A$7:$F$11,3,FALSE),3)+IFERROR(VLOOKUP(V127,Assumptions!$A$7:$F$11,4,FALSE),8)/2)</f>
        <v/>
      </c>
      <c r="Y127" s="22">
        <f>U127*W127/(1+Assumptions!$B$3)^X127</f>
        <v/>
      </c>
      <c r="Z127" s="26">
        <f>IF(U127=0,"",ROUND(Y127/U127*100,1))</f>
        <v/>
      </c>
      <c r="AA127" s="27">
        <f>Y127*Assumptions!$B$4</f>
        <v/>
      </c>
      <c r="AB127" s="26">
        <f>IF(U127=0,"",ROUND(AA127/U127*100,1))</f>
        <v/>
      </c>
      <c r="AC127" s="27">
        <f>Y127-AA127</f>
        <v/>
      </c>
      <c r="AD127" s="26">
        <f>IF(U127=0,"",ROUND((Y127-AA127)/U127*100,1))</f>
        <v/>
      </c>
      <c r="AE127" s="28" t="inlineStr">
        <is>
          <t>OK — totals reconciled</t>
        </is>
      </c>
      <c r="AF127" s="29" t="inlineStr">
        <is>
          <t>https://diligence.adm.br/wp-content/uploads/2025/06/Edital-1a-Lista-de-Credores.pdf</t>
        </is>
      </c>
      <c r="AG127" s="28" t="inlineStr">
        <is>
          <t>p5 r51</t>
        </is>
      </c>
      <c r="AH127" s="28" t="inlineStr">
        <is>
          <t>p5: R$ 2.864.591,61</t>
        </is>
      </c>
      <c r="AI127" s="28" t="inlineStr">
        <is>
          <t>Debtor list (art. 51)</t>
        </is>
      </c>
      <c r="AJ127" s="28" t="inlineStr">
        <is>
          <t>2025-06-10</t>
        </is>
      </c>
      <c r="AK127" s="28" t="inlineStr">
        <is>
          <t>NONE FOUND</t>
        </is>
      </c>
      <c r="AL127" s="30" t="inlineStr">
        <is>
          <t>0008526-45.2025.8.17.2001</t>
        </is>
      </c>
      <c r="AM127" s="30" t="inlineStr">
        <is>
          <t>TJPE</t>
        </is>
      </c>
      <c r="AN127" s="30" t="inlineStr">
        <is>
          <t>ACTIVE</t>
        </is>
      </c>
      <c r="AO127" s="30" t="n">
        <v>2025</v>
      </c>
      <c r="AP127" s="30" t="inlineStr">
        <is>
          <t>live case, no plan document yet</t>
        </is>
      </c>
      <c r="AQ127" s="30" t="inlineStr"/>
      <c r="AR127" s="30" t="inlineStr">
        <is>
          <t>printed on the list (read twice)</t>
        </is>
      </c>
      <c r="AS127" s="30" t="inlineStr">
        <is>
          <t>BRASILIA</t>
        </is>
      </c>
      <c r="AT127" s="30" t="inlineStr">
        <is>
          <t>DF</t>
        </is>
      </c>
      <c r="AU127" s="30" t="inlineStr">
        <is>
          <t>Bancos múltiplos, com carteira comercial</t>
        </is>
      </c>
      <c r="AV127" s="30" t="inlineStr">
        <is>
          <t>DEMAIS</t>
        </is>
      </c>
      <c r="AW127" s="31" t="n">
        <v>120000000000</v>
      </c>
      <c r="AX127" s="30" t="inlineStr">
        <is>
          <t>LARGE CORP</t>
        </is>
      </c>
      <c r="AY127" s="30" t="inlineStr">
        <is>
          <t>00000000</t>
        </is>
      </c>
      <c r="AZ127" s="30" t="n">
        <v>1</v>
      </c>
      <c r="BA127" s="30" t="inlineStr">
        <is>
          <t>LIKELY_FINANCIAL_BY_NAME ROWS:p5r51</t>
        </is>
      </c>
    </row>
    <row r="128">
      <c r="A128" s="16" t="inlineStr">
        <is>
          <t>BANCO SANTANDER (BRASIL) S.A.</t>
        </is>
      </c>
      <c r="B128" s="17" t="n">
        <v>2800719.2</v>
      </c>
      <c r="C128" s="18" t="inlineStr">
        <is>
          <t>GRUPO CATTAN</t>
        </is>
      </c>
      <c r="D128" s="19" t="inlineStr">
        <is>
          <t>NEW</t>
        </is>
      </c>
      <c r="E128" s="20" t="inlineStr"/>
      <c r="F128" s="19" t="inlineStr"/>
      <c r="G128" s="20" t="inlineStr"/>
      <c r="H128" s="19" t="inlineStr"/>
      <c r="I128" s="21" t="inlineStr">
        <is>
          <t>Igor Puertas</t>
        </is>
      </c>
      <c r="J128" s="21" t="inlineStr">
        <is>
          <t>Distressed Assets | NPL</t>
        </is>
      </c>
      <c r="K128" s="21" t="inlineStr">
        <is>
          <t>(11) 4004-3535</t>
        </is>
      </c>
      <c r="L128" s="21" t="inlineStr"/>
      <c r="M128" s="21" t="inlineStr"/>
      <c r="N128" s="21" t="inlineStr">
        <is>
          <t>igor.puertas@santander.com.br</t>
        </is>
      </c>
      <c r="O128" s="21" t="inlineStr">
        <is>
          <t>antonio.pequeno.junior@santander.com.br</t>
        </is>
      </c>
      <c r="P128" s="21" t="inlineStr">
        <is>
          <t>Antonio Junior</t>
        </is>
      </c>
      <c r="Q128" s="21" t="inlineStr">
        <is>
          <t>Superintendente Recuperação de Crédito</t>
        </is>
      </c>
      <c r="R128" s="21" t="inlineStr"/>
      <c r="S128" s="21" t="inlineStr">
        <is>
          <t>antonio.pequeno.junior@santander.com.br</t>
        </is>
      </c>
      <c r="T128" s="21" t="inlineStr">
        <is>
          <t>email verified by Apollo</t>
        </is>
      </c>
      <c r="U128" s="22" t="n">
        <v>2800719.2</v>
      </c>
      <c r="V128" s="23" t="inlineStr">
        <is>
          <t>B</t>
        </is>
      </c>
      <c r="W128" s="24">
        <f>IFERROR(VLOOKUP(V128,Assumptions!$A$7:$F$11,2,FALSE),0)</f>
        <v/>
      </c>
      <c r="X128" s="25">
        <f>IF(V128="A",MAX(1,IFERROR(VLOOKUP(V128,Assumptions!$A$7:$F$11,3,FALSE),3)+IFERROR(VLOOKUP(V128,Assumptions!$A$7:$F$11,4,FALSE),8)/2-MAX(0,IF(AO128="",0,YEAR(TODAY())-AO128)-IFERROR(VLOOKUP(V128,Assumptions!$A$7:$F$11,5,FALSE),1.5))),IFERROR(VLOOKUP(V128,Assumptions!$A$7:$F$11,5,FALSE),2.5)+IFERROR(VLOOKUP(V128,Assumptions!$A$7:$F$11,3,FALSE),3)+IFERROR(VLOOKUP(V128,Assumptions!$A$7:$F$11,4,FALSE),8)/2)</f>
        <v/>
      </c>
      <c r="Y128" s="22">
        <f>U128*W128/(1+Assumptions!$B$3)^X128</f>
        <v/>
      </c>
      <c r="Z128" s="26">
        <f>IF(U128=0,"",ROUND(Y128/U128*100,1))</f>
        <v/>
      </c>
      <c r="AA128" s="27">
        <f>Y128*Assumptions!$B$4</f>
        <v/>
      </c>
      <c r="AB128" s="26">
        <f>IF(U128=0,"",ROUND(AA128/U128*100,1))</f>
        <v/>
      </c>
      <c r="AC128" s="27">
        <f>Y128-AA128</f>
        <v/>
      </c>
      <c r="AD128" s="26">
        <f>IF(U128=0,"",ROUND((Y128-AA128)/U128*100,1))</f>
        <v/>
      </c>
      <c r="AE128" s="34" t="inlineStr">
        <is>
          <t>PARTIAL — class III reconciled, other classes not</t>
        </is>
      </c>
      <c r="AF128" s="29" t="inlineStr">
        <is>
          <t>https://lrflideres.com.br/wp-content/plugins/download-attachments/includes/download.php?id=4023</t>
        </is>
      </c>
      <c r="AG128" s="28" t="inlineStr">
        <is>
          <t>p4 r57; p7 r80</t>
        </is>
      </c>
      <c r="AH128" s="28" t="inlineStr">
        <is>
          <t>p4: R$ 2.445.781,02; p7: R$ 354.938,18</t>
        </is>
      </c>
      <c r="AI128" s="28" t="inlineStr">
        <is>
          <t>Debtor list (art. 51)</t>
        </is>
      </c>
      <c r="AJ128" s="28" t="inlineStr"/>
      <c r="AK128" s="28" t="inlineStr">
        <is>
          <t>NONE FOUND</t>
        </is>
      </c>
      <c r="AL128" s="30" t="inlineStr">
        <is>
          <t>0002484-82.2022.8.17.2001</t>
        </is>
      </c>
      <c r="AM128" s="30" t="inlineStr">
        <is>
          <t>TJPE</t>
        </is>
      </c>
      <c r="AN128" s="30" t="inlineStr">
        <is>
          <t>ACTIVE</t>
        </is>
      </c>
      <c r="AO128" s="30" t="n">
        <v>2022</v>
      </c>
      <c r="AP128" s="30" t="inlineStr">
        <is>
          <t>live case, no plan document yet</t>
        </is>
      </c>
      <c r="AQ128" s="30" t="inlineStr"/>
      <c r="AR128" s="30" t="inlineStr">
        <is>
          <t>printed on the list (read twice)</t>
        </is>
      </c>
      <c r="AS128" s="30" t="inlineStr">
        <is>
          <t>SAO PAULO</t>
        </is>
      </c>
      <c r="AT128" s="30" t="inlineStr">
        <is>
          <t>SP</t>
        </is>
      </c>
      <c r="AU128" s="30" t="inlineStr">
        <is>
          <t>Bancos múltiplos, com carteira comercial</t>
        </is>
      </c>
      <c r="AV128" s="30" t="inlineStr">
        <is>
          <t>DEMAIS</t>
        </is>
      </c>
      <c r="AW128" s="31" t="n">
        <v>65000000000</v>
      </c>
      <c r="AX128" s="30" t="inlineStr">
        <is>
          <t>LARGE CORP</t>
        </is>
      </c>
      <c r="AY128" s="30" t="inlineStr">
        <is>
          <t>90400888</t>
        </is>
      </c>
      <c r="AZ128" s="30" t="n">
        <v>2</v>
      </c>
      <c r="BA128" s="30" t="inlineStr">
        <is>
          <t>LIKELY_FINANCIAL_BY_NAME PARTIAL_DOC_CLASS_III_RECONCILED ROWS:p4r57,p7r80</t>
        </is>
      </c>
    </row>
    <row r="129">
      <c r="A129" s="16" t="inlineStr">
        <is>
          <t>BANCO VOTORANTIM S.A.</t>
        </is>
      </c>
      <c r="B129" s="17" t="n">
        <v>2800000</v>
      </c>
      <c r="C129" s="18" t="inlineStr">
        <is>
          <t>GRUPO DP4</t>
        </is>
      </c>
      <c r="D129" s="19" t="inlineStr">
        <is>
          <t>NEW</t>
        </is>
      </c>
      <c r="E129" s="20" t="inlineStr"/>
      <c r="F129" s="19" t="inlineStr"/>
      <c r="G129" s="20" t="inlineStr"/>
      <c r="H129" s="19" t="inlineStr"/>
      <c r="I129" s="21" t="inlineStr">
        <is>
          <t>Red Silva</t>
        </is>
      </c>
      <c r="J129" s="21" t="inlineStr">
        <is>
          <t>Special Assets - Banker Senior</t>
        </is>
      </c>
      <c r="K129" s="21" t="inlineStr">
        <is>
          <t>(11) 5171-2672</t>
        </is>
      </c>
      <c r="L129" s="21" t="inlineStr">
        <is>
          <t>(11) 5171-2488</t>
        </is>
      </c>
      <c r="M129" s="21" t="inlineStr"/>
      <c r="N129" s="21" t="inlineStr">
        <is>
          <t>red.silva@bv.com.br</t>
        </is>
      </c>
      <c r="O129" s="21" t="inlineStr">
        <is>
          <t>caroline.oishi@bv.com.br</t>
        </is>
      </c>
      <c r="P129" s="21" t="inlineStr">
        <is>
          <t>Caroline Oishi</t>
        </is>
      </c>
      <c r="Q129" s="21" t="inlineStr">
        <is>
          <t>Gerente Executivo de Recuperação de Crédito</t>
        </is>
      </c>
      <c r="R129" s="21" t="inlineStr"/>
      <c r="S129" s="21" t="inlineStr">
        <is>
          <t>caroline.oishi@bv.com.br</t>
        </is>
      </c>
      <c r="T129" s="21" t="inlineStr">
        <is>
          <t>email verified by Apollo</t>
        </is>
      </c>
      <c r="U129" s="22" t="n">
        <v>2800000</v>
      </c>
      <c r="V129" s="23" t="inlineStr">
        <is>
          <t>B</t>
        </is>
      </c>
      <c r="W129" s="24">
        <f>IFERROR(VLOOKUP(V129,Assumptions!$A$7:$F$11,2,FALSE),0)</f>
        <v/>
      </c>
      <c r="X129" s="25">
        <f>IF(V129="A",MAX(1,IFERROR(VLOOKUP(V129,Assumptions!$A$7:$F$11,3,FALSE),3)+IFERROR(VLOOKUP(V129,Assumptions!$A$7:$F$11,4,FALSE),8)/2-MAX(0,IF(AO129="",0,YEAR(TODAY())-AO129)-IFERROR(VLOOKUP(V129,Assumptions!$A$7:$F$11,5,FALSE),1.5))),IFERROR(VLOOKUP(V129,Assumptions!$A$7:$F$11,5,FALSE),2.5)+IFERROR(VLOOKUP(V129,Assumptions!$A$7:$F$11,3,FALSE),3)+IFERROR(VLOOKUP(V129,Assumptions!$A$7:$F$11,4,FALSE),8)/2)</f>
        <v/>
      </c>
      <c r="Y129" s="22">
        <f>U129*W129/(1+Assumptions!$B$3)^X129</f>
        <v/>
      </c>
      <c r="Z129" s="26">
        <f>IF(U129=0,"",ROUND(Y129/U129*100,1))</f>
        <v/>
      </c>
      <c r="AA129" s="27">
        <f>Y129*Assumptions!$B$4</f>
        <v/>
      </c>
      <c r="AB129" s="26">
        <f>IF(U129=0,"",ROUND(AA129/U129*100,1))</f>
        <v/>
      </c>
      <c r="AC129" s="27">
        <f>Y129-AA129</f>
        <v/>
      </c>
      <c r="AD129" s="26">
        <f>IF(U129=0,"",ROUND((Y129-AA129)/U129*100,1))</f>
        <v/>
      </c>
      <c r="AE129" s="34" t="inlineStr">
        <is>
          <t>PARTIAL — class III reconciled, other classes not</t>
        </is>
      </c>
      <c r="AF129" s="29" t="inlineStr">
        <is>
          <t>https://marquesadmjudicial.com.br/sgc/download.php?file=files/processo_documento/processo_documento15293208032024_1_.pdf&amp;nome=Relação Nominal de Credores da AJ-Sintética</t>
        </is>
      </c>
      <c r="AG129" s="28" t="inlineStr">
        <is>
          <t>p21 r6</t>
        </is>
      </c>
      <c r="AH129" s="28" t="inlineStr">
        <is>
          <t>p21: R$ 2.800.000,00</t>
        </is>
      </c>
      <c r="AI129" s="28" t="inlineStr">
        <is>
          <t>AJ list (art. 7 §2)</t>
        </is>
      </c>
      <c r="AJ129" s="28" t="inlineStr">
        <is>
          <t>2023-03-02</t>
        </is>
      </c>
      <c r="AK129" s="28" t="inlineStr">
        <is>
          <t>NONE FOUND</t>
        </is>
      </c>
      <c r="AL129" s="30" t="inlineStr">
        <is>
          <t>0005010-98.2023.8.16.0001</t>
        </is>
      </c>
      <c r="AM129" s="30" t="inlineStr">
        <is>
          <t>TJPR</t>
        </is>
      </c>
      <c r="AN129" s="30" t="inlineStr">
        <is>
          <t>ACTIVE</t>
        </is>
      </c>
      <c r="AO129" s="30" t="n">
        <v>2023</v>
      </c>
      <c r="AP129" s="30" t="inlineStr">
        <is>
          <t>live case, no plan document yet</t>
        </is>
      </c>
      <c r="AQ129" s="30" t="inlineStr"/>
      <c r="AR129" s="30" t="inlineStr">
        <is>
          <t>printed on the list (read twice)</t>
        </is>
      </c>
      <c r="AS129" s="30" t="inlineStr">
        <is>
          <t>SAO PAULO</t>
        </is>
      </c>
      <c r="AT129" s="30" t="inlineStr">
        <is>
          <t>SP</t>
        </is>
      </c>
      <c r="AU129" s="30" t="inlineStr">
        <is>
          <t>Bancos múltiplos, com carteira comercial</t>
        </is>
      </c>
      <c r="AV129" s="30" t="inlineStr">
        <is>
          <t>DEMAIS</t>
        </is>
      </c>
      <c r="AW129" s="31" t="n">
        <v>8480372000</v>
      </c>
      <c r="AX129" s="30" t="inlineStr">
        <is>
          <t>LARGE CORP</t>
        </is>
      </c>
      <c r="AY129" s="30" t="inlineStr">
        <is>
          <t>59588111</t>
        </is>
      </c>
      <c r="AZ129" s="30" t="n">
        <v>1</v>
      </c>
      <c r="BA129" s="30" t="inlineStr">
        <is>
          <t>LIKELY_FINANCIAL_BY_NAME PARTIAL_DOC_CLASS_III_RECONCILED ROWS:p21r6</t>
        </is>
      </c>
    </row>
    <row r="130">
      <c r="A130" s="16" t="inlineStr">
        <is>
          <t>SICREDI S.A</t>
        </is>
      </c>
      <c r="B130" s="17" t="n">
        <v>2771887.36</v>
      </c>
      <c r="C130" s="18" t="inlineStr">
        <is>
          <t>GRUPO GLP</t>
        </is>
      </c>
      <c r="D130" s="19" t="inlineStr">
        <is>
          <t>NEW</t>
        </is>
      </c>
      <c r="E130" s="20" t="inlineStr"/>
      <c r="F130" s="19" t="inlineStr"/>
      <c r="G130" s="20" t="inlineStr"/>
      <c r="H130" s="19" t="inlineStr"/>
      <c r="I130" s="21" t="inlineStr">
        <is>
          <t>Rafael Vignotto</t>
        </is>
      </c>
      <c r="J130" s="21" t="inlineStr">
        <is>
          <t>GPM - Recuperação de Crédito</t>
        </is>
      </c>
      <c r="K130" s="21" t="inlineStr"/>
      <c r="L130" s="21" t="inlineStr"/>
      <c r="M130" s="21" t="inlineStr"/>
      <c r="N130" s="21" t="inlineStr">
        <is>
          <t>rafael_vignotto@sicredi.com.br</t>
        </is>
      </c>
      <c r="O130" s="21" t="inlineStr">
        <is>
          <t>daniele_schallenberger@sicredi.com.br</t>
        </is>
      </c>
      <c r="P130" s="21" t="inlineStr">
        <is>
          <t>Daniele Schallenberger</t>
        </is>
      </c>
      <c r="Q130" s="21" t="inlineStr">
        <is>
          <t>Assessora Recuperação de Crédito</t>
        </is>
      </c>
      <c r="R130" s="21" t="inlineStr"/>
      <c r="S130" s="21" t="inlineStr">
        <is>
          <t>daniele_schallenberger@sicredi.com.br</t>
        </is>
      </c>
      <c r="T130" s="21" t="inlineStr">
        <is>
          <t>email verified by Apollo</t>
        </is>
      </c>
      <c r="U130" s="22" t="n">
        <v>2771887.36</v>
      </c>
      <c r="V130" s="23" t="inlineStr">
        <is>
          <t>B</t>
        </is>
      </c>
      <c r="W130" s="24">
        <f>IFERROR(VLOOKUP(V130,Assumptions!$A$7:$F$11,2,FALSE),0)</f>
        <v/>
      </c>
      <c r="X130" s="25">
        <f>IF(V130="A",MAX(1,IFERROR(VLOOKUP(V130,Assumptions!$A$7:$F$11,3,FALSE),3)+IFERROR(VLOOKUP(V130,Assumptions!$A$7:$F$11,4,FALSE),8)/2-MAX(0,IF(AO130="",0,YEAR(TODAY())-AO130)-IFERROR(VLOOKUP(V130,Assumptions!$A$7:$F$11,5,FALSE),1.5))),IFERROR(VLOOKUP(V130,Assumptions!$A$7:$F$11,5,FALSE),2.5)+IFERROR(VLOOKUP(V130,Assumptions!$A$7:$F$11,3,FALSE),3)+IFERROR(VLOOKUP(V130,Assumptions!$A$7:$F$11,4,FALSE),8)/2)</f>
        <v/>
      </c>
      <c r="Y130" s="22">
        <f>U130*W130/(1+Assumptions!$B$3)^X130</f>
        <v/>
      </c>
      <c r="Z130" s="26">
        <f>IF(U130=0,"",ROUND(Y130/U130*100,1))</f>
        <v/>
      </c>
      <c r="AA130" s="27">
        <f>Y130*Assumptions!$B$4</f>
        <v/>
      </c>
      <c r="AB130" s="26">
        <f>IF(U130=0,"",ROUND(AA130/U130*100,1))</f>
        <v/>
      </c>
      <c r="AC130" s="27">
        <f>Y130-AA130</f>
        <v/>
      </c>
      <c r="AD130" s="26">
        <f>IF(U130=0,"",ROUND((Y130-AA130)/U130*100,1))</f>
        <v/>
      </c>
      <c r="AE130" s="28" t="inlineStr">
        <is>
          <t>OK — totals reconciled</t>
        </is>
      </c>
      <c r="AF130" s="29" t="inlineStr">
        <is>
          <t>https://recuperasolucoes.com/wp-content/plugins/download-attachments/includes/download.php?id=1597</t>
        </is>
      </c>
      <c r="AG130" s="28" t="inlineStr">
        <is>
          <t>p13 r21</t>
        </is>
      </c>
      <c r="AH130" s="28" t="inlineStr">
        <is>
          <t>p13: R$ 2.771.887,36</t>
        </is>
      </c>
      <c r="AI130" s="28" t="inlineStr">
        <is>
          <t>Debtor list (art. 51)</t>
        </is>
      </c>
      <c r="AJ130" s="28" t="inlineStr">
        <is>
          <t>2026-05-21</t>
        </is>
      </c>
      <c r="AK130" s="28" t="inlineStr">
        <is>
          <t>NONE FOUND</t>
        </is>
      </c>
      <c r="AL130" s="30" t="inlineStr">
        <is>
          <t>0001639-09.2026.8.17.2810</t>
        </is>
      </c>
      <c r="AM130" s="30" t="inlineStr">
        <is>
          <t>TJPE</t>
        </is>
      </c>
      <c r="AN130" s="30" t="inlineStr">
        <is>
          <t>ACTIVE</t>
        </is>
      </c>
      <c r="AO130" s="30" t="n">
        <v>2026</v>
      </c>
      <c r="AP130" s="30" t="inlineStr">
        <is>
          <t>live case, no plan document yet</t>
        </is>
      </c>
      <c r="AQ130" s="30" t="inlineStr"/>
      <c r="AR130" s="30" t="inlineStr">
        <is>
          <t>printed on the list (read twice)</t>
        </is>
      </c>
      <c r="AS130" s="30" t="inlineStr"/>
      <c r="AT130" s="30" t="inlineStr"/>
      <c r="AU130" s="30" t="inlineStr"/>
      <c r="AV130" s="30" t="inlineStr"/>
      <c r="AW130" s="31" t="inlineStr"/>
      <c r="AX130" s="30" t="inlineStr">
        <is>
          <t>MID-MARKET</t>
        </is>
      </c>
      <c r="AY130" s="30" t="inlineStr">
        <is>
          <t>01181521</t>
        </is>
      </c>
      <c r="AZ130" s="30" t="n">
        <v>1</v>
      </c>
      <c r="BA130" s="30" t="inlineStr">
        <is>
          <t>LIKELY_FINANCIAL_BY_NAME ROWS:p13r21</t>
        </is>
      </c>
    </row>
    <row r="131">
      <c r="A131" s="16" t="inlineStr">
        <is>
          <t>BANCO SAFRA S A</t>
        </is>
      </c>
      <c r="B131" s="17" t="n">
        <v>2771401.44</v>
      </c>
      <c r="C131" s="18" t="inlineStr">
        <is>
          <t>GRUPO ADLIM</t>
        </is>
      </c>
      <c r="D131" s="19" t="inlineStr">
        <is>
          <t>NEW</t>
        </is>
      </c>
      <c r="E131" s="20" t="inlineStr"/>
      <c r="F131" s="19" t="inlineStr"/>
      <c r="G131" s="20" t="inlineStr"/>
      <c r="H131" s="19" t="inlineStr"/>
      <c r="I131" s="21" t="inlineStr">
        <is>
          <t>Vanessa Biotti</t>
        </is>
      </c>
      <c r="J131" s="21" t="inlineStr">
        <is>
          <t>Gerente de Recuperação de Crédito</t>
        </is>
      </c>
      <c r="K131" s="21" t="inlineStr">
        <is>
          <t>(11) 3175-7575</t>
        </is>
      </c>
      <c r="L131" s="21" t="inlineStr"/>
      <c r="M131" s="21" t="inlineStr"/>
      <c r="N131" s="21" t="inlineStr">
        <is>
          <t>vanessa.biotti@safra.com.br</t>
        </is>
      </c>
      <c r="O131" s="21" t="inlineStr">
        <is>
          <t>rodrigo.anjos@safra.com.br</t>
        </is>
      </c>
      <c r="P131" s="21" t="inlineStr">
        <is>
          <t>Rodrigo Anjos</t>
        </is>
      </c>
      <c r="Q131" s="21" t="inlineStr">
        <is>
          <t>Advogado Sênior - Jurídico Contencioso - Recuperação de Crédito - NPL</t>
        </is>
      </c>
      <c r="R131" s="21" t="inlineStr"/>
      <c r="S131" s="21" t="inlineStr">
        <is>
          <t>rodrigo.anjos@safra.com.br</t>
        </is>
      </c>
      <c r="T131" s="21" t="inlineStr">
        <is>
          <t>email verified by Apollo</t>
        </is>
      </c>
      <c r="U131" s="22" t="n">
        <v>2771401.44</v>
      </c>
      <c r="V131" s="23" t="inlineStr">
        <is>
          <t>B</t>
        </is>
      </c>
      <c r="W131" s="24">
        <f>IFERROR(VLOOKUP(V131,Assumptions!$A$7:$F$11,2,FALSE),0)</f>
        <v/>
      </c>
      <c r="X131" s="25">
        <f>IF(V131="A",MAX(1,IFERROR(VLOOKUP(V131,Assumptions!$A$7:$F$11,3,FALSE),3)+IFERROR(VLOOKUP(V131,Assumptions!$A$7:$F$11,4,FALSE),8)/2-MAX(0,IF(AO131="",0,YEAR(TODAY())-AO131)-IFERROR(VLOOKUP(V131,Assumptions!$A$7:$F$11,5,FALSE),1.5))),IFERROR(VLOOKUP(V131,Assumptions!$A$7:$F$11,5,FALSE),2.5)+IFERROR(VLOOKUP(V131,Assumptions!$A$7:$F$11,3,FALSE),3)+IFERROR(VLOOKUP(V131,Assumptions!$A$7:$F$11,4,FALSE),8)/2)</f>
        <v/>
      </c>
      <c r="Y131" s="22">
        <f>U131*W131/(1+Assumptions!$B$3)^X131</f>
        <v/>
      </c>
      <c r="Z131" s="26">
        <f>IF(U131=0,"",ROUND(Y131/U131*100,1))</f>
        <v/>
      </c>
      <c r="AA131" s="27">
        <f>Y131*Assumptions!$B$4</f>
        <v/>
      </c>
      <c r="AB131" s="26">
        <f>IF(U131=0,"",ROUND(AA131/U131*100,1))</f>
        <v/>
      </c>
      <c r="AC131" s="27">
        <f>Y131-AA131</f>
        <v/>
      </c>
      <c r="AD131" s="26">
        <f>IF(U131=0,"",ROUND((Y131-AA131)/U131*100,1))</f>
        <v/>
      </c>
      <c r="AE131" s="34" t="inlineStr">
        <is>
          <t>PARTIAL — class III reconciled, other classes not</t>
        </is>
      </c>
      <c r="AF131" s="29" t="inlineStr">
        <is>
          <t>https://lrflideres.com.br/wp-content/plugins/download-attachments/includes/download.php?id=6051</t>
        </is>
      </c>
      <c r="AG131" s="28" t="inlineStr">
        <is>
          <t>p66 r70</t>
        </is>
      </c>
      <c r="AH131" s="28" t="inlineStr">
        <is>
          <t>p66: R$ 2771401,44</t>
        </is>
      </c>
      <c r="AI131" s="28" t="inlineStr">
        <is>
          <t>AJ list (art. 7 §2)</t>
        </is>
      </c>
      <c r="AJ131" s="28" t="inlineStr">
        <is>
          <t>2024-08-12</t>
        </is>
      </c>
      <c r="AK131" s="28" t="inlineStr">
        <is>
          <t>NONE FOUND</t>
        </is>
      </c>
      <c r="AL131" s="30" t="inlineStr">
        <is>
          <t>0019761-43.2024.8.17.2001</t>
        </is>
      </c>
      <c r="AM131" s="30" t="inlineStr">
        <is>
          <t>TJPE</t>
        </is>
      </c>
      <c r="AN131" s="30" t="inlineStr">
        <is>
          <t>ACTIVE</t>
        </is>
      </c>
      <c r="AO131" s="30" t="n">
        <v>2024</v>
      </c>
      <c r="AP131" s="30" t="inlineStr">
        <is>
          <t>live case, no plan document yet</t>
        </is>
      </c>
      <c r="AQ131" s="30" t="inlineStr"/>
      <c r="AR131" s="30" t="inlineStr">
        <is>
          <t>printed on the list (read twice)</t>
        </is>
      </c>
      <c r="AS131" s="30" t="inlineStr">
        <is>
          <t>SAO PAULO</t>
        </is>
      </c>
      <c r="AT131" s="30" t="inlineStr">
        <is>
          <t>SP</t>
        </is>
      </c>
      <c r="AU131" s="30" t="inlineStr">
        <is>
          <t>Bancos múltiplos, com carteira comercial</t>
        </is>
      </c>
      <c r="AV131" s="30" t="inlineStr">
        <is>
          <t>DEMAIS</t>
        </is>
      </c>
      <c r="AW131" s="31" t="n">
        <v>13924903000</v>
      </c>
      <c r="AX131" s="30" t="inlineStr">
        <is>
          <t>LARGE CORP</t>
        </is>
      </c>
      <c r="AY131" s="30" t="inlineStr">
        <is>
          <t>58160789</t>
        </is>
      </c>
      <c r="AZ131" s="30" t="n">
        <v>1</v>
      </c>
      <c r="BA131" s="30" t="inlineStr">
        <is>
          <t>LIKELY_FINANCIAL_BY_NAME PARTIAL_DOC_CLASS_III_RECONCILED ROWS:p66r70</t>
        </is>
      </c>
    </row>
    <row r="132">
      <c r="A132" s="16" t="inlineStr">
        <is>
          <t>BANCO DAYCOVAL S.A.</t>
        </is>
      </c>
      <c r="B132" s="17" t="n">
        <v>2710655.64</v>
      </c>
      <c r="C132" s="18" t="inlineStr">
        <is>
          <t>Grupo Arruda (ARRUDA &amp; MELO REPRESENTACAO DE ALIMENTOS E BEBIDAS LTDA, ARRUDA &amp; MELO COMERCIO E DISTRIBUICAO DE ALIMENTOS E BEBIDAS LTDA, ARRUDA &amp; MELO COMERCIO E DISTRIBUICAO DE ALIMENTOS E BEBIDAS DA BAHIA LTDA)</t>
        </is>
      </c>
      <c r="D132" s="19" t="inlineStr">
        <is>
          <t>NEW</t>
        </is>
      </c>
      <c r="E132" s="20" t="inlineStr"/>
      <c r="F132" s="19" t="inlineStr"/>
      <c r="G132" s="20" t="inlineStr"/>
      <c r="H132" s="19" t="inlineStr"/>
      <c r="I132" s="21" t="inlineStr">
        <is>
          <t>Celso Araujo</t>
        </is>
      </c>
      <c r="J132" s="21" t="inlineStr">
        <is>
          <t>Gerente de Recuperação de Crédito</t>
        </is>
      </c>
      <c r="K132" s="21" t="inlineStr">
        <is>
          <t>(11) 3138-0500</t>
        </is>
      </c>
      <c r="L132" s="21" t="inlineStr"/>
      <c r="M132" s="21" t="inlineStr"/>
      <c r="N132" s="21" t="inlineStr">
        <is>
          <t>celso.araujo@bancodaycoval.com.br</t>
        </is>
      </c>
      <c r="O132" s="21" t="inlineStr">
        <is>
          <t>andreia.matiel@daycoval.com.br</t>
        </is>
      </c>
      <c r="P132" s="21" t="inlineStr">
        <is>
          <t>Andreia Matiel</t>
        </is>
      </c>
      <c r="Q132" s="21" t="inlineStr">
        <is>
          <t>Advogada Recuperação de Crédito Empresas</t>
        </is>
      </c>
      <c r="R132" s="21" t="inlineStr"/>
      <c r="S132" s="21" t="inlineStr">
        <is>
          <t>andreia.matiel@daycoval.com.br</t>
        </is>
      </c>
      <c r="T132" s="21" t="inlineStr">
        <is>
          <t>email verified by Apollo</t>
        </is>
      </c>
      <c r="U132" s="22" t="n">
        <v>2710655.64</v>
      </c>
      <c r="V132" s="23" t="inlineStr">
        <is>
          <t>B</t>
        </is>
      </c>
      <c r="W132" s="24">
        <f>IFERROR(VLOOKUP(V132,Assumptions!$A$7:$F$11,2,FALSE),0)</f>
        <v/>
      </c>
      <c r="X132" s="25">
        <f>IF(V132="A",MAX(1,IFERROR(VLOOKUP(V132,Assumptions!$A$7:$F$11,3,FALSE),3)+IFERROR(VLOOKUP(V132,Assumptions!$A$7:$F$11,4,FALSE),8)/2-MAX(0,IF(AO132="",0,YEAR(TODAY())-AO132)-IFERROR(VLOOKUP(V132,Assumptions!$A$7:$F$11,5,FALSE),1.5))),IFERROR(VLOOKUP(V132,Assumptions!$A$7:$F$11,5,FALSE),2.5)+IFERROR(VLOOKUP(V132,Assumptions!$A$7:$F$11,3,FALSE),3)+IFERROR(VLOOKUP(V132,Assumptions!$A$7:$F$11,4,FALSE),8)/2)</f>
        <v/>
      </c>
      <c r="Y132" s="22">
        <f>U132*W132/(1+Assumptions!$B$3)^X132</f>
        <v/>
      </c>
      <c r="Z132" s="26">
        <f>IF(U132=0,"",ROUND(Y132/U132*100,1))</f>
        <v/>
      </c>
      <c r="AA132" s="27">
        <f>Y132*Assumptions!$B$4</f>
        <v/>
      </c>
      <c r="AB132" s="26">
        <f>IF(U132=0,"",ROUND(AA132/U132*100,1))</f>
        <v/>
      </c>
      <c r="AC132" s="27">
        <f>Y132-AA132</f>
        <v/>
      </c>
      <c r="AD132" s="26">
        <f>IF(U132=0,"",ROUND((Y132-AA132)/U132*100,1))</f>
        <v/>
      </c>
      <c r="AE132" s="28" t="inlineStr">
        <is>
          <t>OK — totals reconciled</t>
        </is>
      </c>
      <c r="AF132" s="29" t="inlineStr">
        <is>
          <t>https://diligence.adm.br/wp-content/uploads/2025/06/Edital-1a-Lista-de-Credores.pdf</t>
        </is>
      </c>
      <c r="AG132" s="28" t="inlineStr">
        <is>
          <t>p5 r50</t>
        </is>
      </c>
      <c r="AH132" s="28" t="inlineStr">
        <is>
          <t>p5: R$ 2.710.655,64</t>
        </is>
      </c>
      <c r="AI132" s="28" t="inlineStr">
        <is>
          <t>Debtor list (art. 51)</t>
        </is>
      </c>
      <c r="AJ132" s="28" t="inlineStr">
        <is>
          <t>2025-06-10</t>
        </is>
      </c>
      <c r="AK132" s="28" t="inlineStr">
        <is>
          <t>NONE FOUND</t>
        </is>
      </c>
      <c r="AL132" s="30" t="inlineStr">
        <is>
          <t>0008526-45.2025.8.17.2001</t>
        </is>
      </c>
      <c r="AM132" s="30" t="inlineStr">
        <is>
          <t>TJPE</t>
        </is>
      </c>
      <c r="AN132" s="30" t="inlineStr">
        <is>
          <t>ACTIVE</t>
        </is>
      </c>
      <c r="AO132" s="30" t="n">
        <v>2025</v>
      </c>
      <c r="AP132" s="30" t="inlineStr">
        <is>
          <t>live case, no plan document yet</t>
        </is>
      </c>
      <c r="AQ132" s="30" t="inlineStr"/>
      <c r="AR132" s="30" t="inlineStr">
        <is>
          <t>printed on the list (read twice)</t>
        </is>
      </c>
      <c r="AS132" s="30" t="inlineStr">
        <is>
          <t>SAO PAULO</t>
        </is>
      </c>
      <c r="AT132" s="30" t="inlineStr">
        <is>
          <t>SP</t>
        </is>
      </c>
      <c r="AU132" s="30" t="inlineStr">
        <is>
          <t>Bancos múltiplos, com carteira comercial</t>
        </is>
      </c>
      <c r="AV132" s="30" t="inlineStr">
        <is>
          <t>DEMAIS</t>
        </is>
      </c>
      <c r="AW132" s="31" t="n">
        <v>6907260000</v>
      </c>
      <c r="AX132" s="30" t="inlineStr">
        <is>
          <t>LARGE CORP</t>
        </is>
      </c>
      <c r="AY132" s="30" t="inlineStr">
        <is>
          <t>62232889</t>
        </is>
      </c>
      <c r="AZ132" s="30" t="n">
        <v>1</v>
      </c>
      <c r="BA132" s="30" t="inlineStr">
        <is>
          <t>LIKELY_FINANCIAL_BY_NAME ROWS:p5r50</t>
        </is>
      </c>
    </row>
    <row r="133">
      <c r="A133" s="16" t="inlineStr">
        <is>
          <t>BANCO SANTANDER (BRASIL) S.A.</t>
        </is>
      </c>
      <c r="B133" s="17" t="n">
        <v>5000000</v>
      </c>
      <c r="C133" s="37" t="inlineStr">
        <is>
          <t>(debtor not identified — see proof)</t>
        </is>
      </c>
      <c r="D133" s="19" t="inlineStr">
        <is>
          <t>NEW</t>
        </is>
      </c>
      <c r="E133" s="20" t="inlineStr"/>
      <c r="F133" s="19" t="inlineStr"/>
      <c r="G133" s="20" t="inlineStr"/>
      <c r="H133" s="19" t="inlineStr"/>
      <c r="I133" s="21" t="inlineStr">
        <is>
          <t>Igor Puertas</t>
        </is>
      </c>
      <c r="J133" s="21" t="inlineStr">
        <is>
          <t>Distressed Assets | NPL</t>
        </is>
      </c>
      <c r="K133" s="21" t="inlineStr">
        <is>
          <t>(11) 4004-3535</t>
        </is>
      </c>
      <c r="L133" s="21" t="inlineStr"/>
      <c r="M133" s="21" t="inlineStr"/>
      <c r="N133" s="21" t="inlineStr">
        <is>
          <t>igor.puertas@santander.com.br</t>
        </is>
      </c>
      <c r="O133" s="21" t="inlineStr">
        <is>
          <t>antonio.pequeno.junior@santander.com.br</t>
        </is>
      </c>
      <c r="P133" s="21" t="inlineStr">
        <is>
          <t>Antonio Junior</t>
        </is>
      </c>
      <c r="Q133" s="21" t="inlineStr">
        <is>
          <t>Superintendente Recuperação de Crédito</t>
        </is>
      </c>
      <c r="R133" s="21" t="inlineStr"/>
      <c r="S133" s="21" t="inlineStr">
        <is>
          <t>antonio.pequeno.junior@santander.com.br</t>
        </is>
      </c>
      <c r="T133" s="21" t="inlineStr">
        <is>
          <t>email verified by Apollo</t>
        </is>
      </c>
      <c r="U133" s="22" t="n">
        <v>5000000</v>
      </c>
      <c r="V133" s="32" t="inlineStr">
        <is>
          <t>U</t>
        </is>
      </c>
      <c r="W133" s="24">
        <f>IFERROR(VLOOKUP(V133,Assumptions!$A$7:$F$11,2,FALSE),0)</f>
        <v/>
      </c>
      <c r="X133" s="25">
        <f>IF(V133="A",MAX(1,IFERROR(VLOOKUP(V133,Assumptions!$A$7:$F$11,3,FALSE),3)+IFERROR(VLOOKUP(V133,Assumptions!$A$7:$F$11,4,FALSE),8)/2-MAX(0,IF(AO133="",0,YEAR(TODAY())-AO133)-IFERROR(VLOOKUP(V133,Assumptions!$A$7:$F$11,5,FALSE),1.5))),IFERROR(VLOOKUP(V133,Assumptions!$A$7:$F$11,5,FALSE),2.5)+IFERROR(VLOOKUP(V133,Assumptions!$A$7:$F$11,3,FALSE),3)+IFERROR(VLOOKUP(V133,Assumptions!$A$7:$F$11,4,FALSE),8)/2)</f>
        <v/>
      </c>
      <c r="Y133" s="22">
        <f>U133*W133/(1+Assumptions!$B$3)^X133</f>
        <v/>
      </c>
      <c r="Z133" s="26">
        <f>IF(U133=0,"",ROUND(Y133/U133*100,1))</f>
        <v/>
      </c>
      <c r="AA133" s="27">
        <f>Y133*Assumptions!$B$4</f>
        <v/>
      </c>
      <c r="AB133" s="26">
        <f>IF(U133=0,"",ROUND(AA133/U133*100,1))</f>
        <v/>
      </c>
      <c r="AC133" s="27">
        <f>Y133-AA133</f>
        <v/>
      </c>
      <c r="AD133" s="26">
        <f>IF(U133=0,"",ROUND((Y133-AA133)/U133*100,1))</f>
        <v/>
      </c>
      <c r="AE133" s="28" t="inlineStr">
        <is>
          <t>OK — totals reconciled</t>
        </is>
      </c>
      <c r="AF133" s="29" t="inlineStr">
        <is>
          <t>https://ajruiz.com.br/sites/default/files/public/arquivos-processos/2023-11/4_relacao_de_credores_analitica_art._51_iii_da_lre.pdf</t>
        </is>
      </c>
      <c r="AG133" s="28" t="inlineStr">
        <is>
          <t>p2 r16</t>
        </is>
      </c>
      <c r="AH133" s="28" t="inlineStr">
        <is>
          <t>p2: R$ 5.000.000,00</t>
        </is>
      </c>
      <c r="AI133" s="28" t="inlineStr">
        <is>
          <t>Unclassified list</t>
        </is>
      </c>
      <c r="AJ133" s="28" t="inlineStr"/>
      <c r="AK133" s="28" t="inlineStr">
        <is>
          <t>NONE FOUND</t>
        </is>
      </c>
      <c r="AL133" s="30" t="inlineStr">
        <is>
          <t>(not printed)</t>
        </is>
      </c>
      <c r="AM133" s="30" t="inlineStr"/>
      <c r="AN133" s="30" t="inlineStr"/>
      <c r="AO133" s="30" t="inlineStr"/>
      <c r="AP133" s="30" t="inlineStr">
        <is>
          <t>RJ case number not identified on the document</t>
        </is>
      </c>
      <c r="AQ133" s="30" t="inlineStr"/>
      <c r="AR133" s="30" t="inlineStr">
        <is>
          <t>not identified</t>
        </is>
      </c>
      <c r="AS133" s="30" t="inlineStr">
        <is>
          <t>SAO PAULO</t>
        </is>
      </c>
      <c r="AT133" s="30" t="inlineStr">
        <is>
          <t>SP</t>
        </is>
      </c>
      <c r="AU133" s="30" t="inlineStr">
        <is>
          <t>Bancos múltiplos, com carteira comercial</t>
        </is>
      </c>
      <c r="AV133" s="30" t="inlineStr">
        <is>
          <t>DEMAIS</t>
        </is>
      </c>
      <c r="AW133" s="31" t="n">
        <v>65000000000</v>
      </c>
      <c r="AX133" s="30" t="inlineStr">
        <is>
          <t>LARGE CORP</t>
        </is>
      </c>
      <c r="AY133" s="30" t="inlineStr">
        <is>
          <t>90400888</t>
        </is>
      </c>
      <c r="AZ133" s="30" t="n">
        <v>1</v>
      </c>
      <c r="BA133" s="30" t="inlineStr">
        <is>
          <t>ALT_VALUE:BANCOS ROWS:p2r16 VALUE_COL:Valor_Do_Crédito CASE_NUMBER_CORRECTED</t>
        </is>
      </c>
    </row>
    <row r="134">
      <c r="A134" s="16" t="inlineStr">
        <is>
          <t>COOPERATIVA DE CREDITO, POUPANCA E INVESTIMENTO PROGRESSO - SICREDI PROGRESSO PR/SP</t>
        </is>
      </c>
      <c r="B134" s="17" t="n">
        <v>2656901.01</v>
      </c>
      <c r="C134" s="18" t="inlineStr">
        <is>
          <t>GRUPO OESTEFER</t>
        </is>
      </c>
      <c r="D134" s="19" t="inlineStr">
        <is>
          <t>NEW</t>
        </is>
      </c>
      <c r="E134" s="20" t="inlineStr"/>
      <c r="F134" s="19" t="inlineStr"/>
      <c r="G134" s="20" t="inlineStr"/>
      <c r="H134" s="19" t="inlineStr"/>
      <c r="I134" s="21" t="inlineStr">
        <is>
          <t>Patricia Almeida</t>
        </is>
      </c>
      <c r="J134" s="21" t="inlineStr">
        <is>
          <t>Analista de Recuperação de Crédito</t>
        </is>
      </c>
      <c r="K134" s="21" t="inlineStr">
        <is>
          <t>(45) 3277-8700</t>
        </is>
      </c>
      <c r="L134" s="21" t="inlineStr"/>
      <c r="M134" s="21" t="inlineStr"/>
      <c r="N134" s="21" t="inlineStr">
        <is>
          <t>patricia_falmeida@sicredi.com.br</t>
        </is>
      </c>
      <c r="O134" s="21" t="inlineStr">
        <is>
          <t>vagner_machado@sicredi.com.br</t>
        </is>
      </c>
      <c r="P134" s="21" t="inlineStr">
        <is>
          <t>Vagner Machado</t>
        </is>
      </c>
      <c r="Q134" s="21" t="inlineStr">
        <is>
          <t>Gerente de Desenvolvimento de Negócios Crédito</t>
        </is>
      </c>
      <c r="R134" s="21" t="inlineStr"/>
      <c r="S134" s="21" t="inlineStr">
        <is>
          <t>vagner_machado@sicredi.com.br</t>
        </is>
      </c>
      <c r="T134" s="21" t="inlineStr">
        <is>
          <t>email verified by Apollo</t>
        </is>
      </c>
      <c r="U134" s="22" t="n">
        <v>2656901.01</v>
      </c>
      <c r="V134" s="23" t="inlineStr">
        <is>
          <t>B</t>
        </is>
      </c>
      <c r="W134" s="24">
        <f>IFERROR(VLOOKUP(V134,Assumptions!$A$7:$F$11,2,FALSE),0)</f>
        <v/>
      </c>
      <c r="X134" s="25">
        <f>IF(V134="A",MAX(1,IFERROR(VLOOKUP(V134,Assumptions!$A$7:$F$11,3,FALSE),3)+IFERROR(VLOOKUP(V134,Assumptions!$A$7:$F$11,4,FALSE),8)/2-MAX(0,IF(AO134="",0,YEAR(TODAY())-AO134)-IFERROR(VLOOKUP(V134,Assumptions!$A$7:$F$11,5,FALSE),1.5))),IFERROR(VLOOKUP(V134,Assumptions!$A$7:$F$11,5,FALSE),2.5)+IFERROR(VLOOKUP(V134,Assumptions!$A$7:$F$11,3,FALSE),3)+IFERROR(VLOOKUP(V134,Assumptions!$A$7:$F$11,4,FALSE),8)/2)</f>
        <v/>
      </c>
      <c r="Y134" s="22">
        <f>U134*W134/(1+Assumptions!$B$3)^X134</f>
        <v/>
      </c>
      <c r="Z134" s="26">
        <f>IF(U134=0,"",ROUND(Y134/U134*100,1))</f>
        <v/>
      </c>
      <c r="AA134" s="27">
        <f>Y134*Assumptions!$B$4</f>
        <v/>
      </c>
      <c r="AB134" s="26">
        <f>IF(U134=0,"",ROUND(AA134/U134*100,1))</f>
        <v/>
      </c>
      <c r="AC134" s="27">
        <f>Y134-AA134</f>
        <v/>
      </c>
      <c r="AD134" s="26">
        <f>IF(U134=0,"",ROUND((Y134-AA134)/U134*100,1))</f>
        <v/>
      </c>
      <c r="AE134" s="34" t="inlineStr">
        <is>
          <t>PARTIAL — class III reconciled, other classes not</t>
        </is>
      </c>
      <c r="AF134" s="29" t="inlineStr">
        <is>
          <t>https://ativosajce.com.br/admin/download.php?file=files/processo_documento/processo_documento14170815062026_1_.pdf&amp;nome=Relação de Credores - Art. 52º § 1º, da Lei nº 11.101/2005 - 20/05/2026</t>
        </is>
      </c>
      <c r="AG134" s="28" t="inlineStr">
        <is>
          <t>p3 r4</t>
        </is>
      </c>
      <c r="AH134" s="28" t="inlineStr">
        <is>
          <t>p3: R$ 2.656.901,01</t>
        </is>
      </c>
      <c r="AI134" s="28" t="inlineStr">
        <is>
          <t>Debtor list (art. 51)</t>
        </is>
      </c>
      <c r="AJ134" s="28" t="inlineStr">
        <is>
          <t>2026-05-20</t>
        </is>
      </c>
      <c r="AK134" s="28" t="inlineStr">
        <is>
          <t>NONE FOUND</t>
        </is>
      </c>
      <c r="AL134" s="30" t="inlineStr">
        <is>
          <t>4087055-04.2026.8.26.0100</t>
        </is>
      </c>
      <c r="AM134" s="30" t="inlineStr">
        <is>
          <t>TJSP</t>
        </is>
      </c>
      <c r="AN134" s="30" t="inlineStr">
        <is>
          <t>ACTIVE</t>
        </is>
      </c>
      <c r="AO134" s="30" t="n">
        <v>2026</v>
      </c>
      <c r="AP134" s="30" t="inlineStr">
        <is>
          <t>live case, no plan document yet</t>
        </is>
      </c>
      <c r="AQ134" s="30" t="inlineStr"/>
      <c r="AR134" s="30" t="inlineStr">
        <is>
          <t>printed on the list (read twice)</t>
        </is>
      </c>
      <c r="AS134" s="30" t="inlineStr">
        <is>
          <t>TOLEDO</t>
        </is>
      </c>
      <c r="AT134" s="30" t="inlineStr">
        <is>
          <t>PR</t>
        </is>
      </c>
      <c r="AU134" s="30" t="inlineStr">
        <is>
          <t>Cooperativas de crédito mútuo</t>
        </is>
      </c>
      <c r="AV134" s="30" t="inlineStr">
        <is>
          <t>DEMAIS</t>
        </is>
      </c>
      <c r="AW134" s="31" t="inlineStr"/>
      <c r="AX134" s="30" t="inlineStr">
        <is>
          <t>MID-MARKET</t>
        </is>
      </c>
      <c r="AY134" s="30" t="inlineStr">
        <is>
          <t>76059997</t>
        </is>
      </c>
      <c r="AZ134" s="30" t="n">
        <v>1</v>
      </c>
      <c r="BA134" s="30" t="inlineStr">
        <is>
          <t>LIKELY_FINANCIAL_BY_NAME PARTIAL_DOC_CLASS_III_RECONCILED ROWS:p3r4 VALUE_COL:Valor_-</t>
        </is>
      </c>
    </row>
    <row r="135">
      <c r="A135" s="16" t="inlineStr">
        <is>
          <t>BANCO DO BRASIL SA</t>
        </is>
      </c>
      <c r="B135" s="17" t="n">
        <v>2653205.78</v>
      </c>
      <c r="C135" s="18" t="inlineStr">
        <is>
          <t>FLAVOUR MIX IND. E REP. ALIM. E INGR. QUÍMICOS LTDA.</t>
        </is>
      </c>
      <c r="D135" s="19" t="inlineStr">
        <is>
          <t>NEW</t>
        </is>
      </c>
      <c r="E135" s="20" t="inlineStr"/>
      <c r="F135" s="19" t="inlineStr"/>
      <c r="G135" s="20" t="inlineStr"/>
      <c r="H135" s="19" t="inlineStr"/>
      <c r="I135" s="21" t="inlineStr">
        <is>
          <t>Thiago Cavichioli</t>
        </is>
      </c>
      <c r="J135" s="21" t="inlineStr">
        <is>
          <t>Gerente de Cobrança e Recuperação de Crédito</t>
        </is>
      </c>
      <c r="K135" s="21" t="inlineStr">
        <is>
          <t>(61) 3493-9002</t>
        </is>
      </c>
      <c r="L135" s="21" t="inlineStr"/>
      <c r="M135" s="21" t="inlineStr"/>
      <c r="N135" s="21" t="inlineStr">
        <is>
          <t>thiago.cavichioli@bb.com.br</t>
        </is>
      </c>
      <c r="O135" s="21" t="inlineStr">
        <is>
          <t>suelenmondador@bb.com.br</t>
        </is>
      </c>
      <c r="P135" s="21" t="inlineStr">
        <is>
          <t>Suelen Mondador</t>
        </is>
      </c>
      <c r="Q135" s="21" t="inlineStr">
        <is>
          <t>Gerente Especialista em Recuperação de Crédito</t>
        </is>
      </c>
      <c r="R135" s="21" t="inlineStr"/>
      <c r="S135" s="21" t="inlineStr">
        <is>
          <t>suelenmondador@bb.com.br</t>
        </is>
      </c>
      <c r="T135" s="21" t="inlineStr">
        <is>
          <t>email verified by Apollo</t>
        </is>
      </c>
      <c r="U135" s="22" t="n">
        <v>2653205.78</v>
      </c>
      <c r="V135" s="23" t="inlineStr">
        <is>
          <t>B</t>
        </is>
      </c>
      <c r="W135" s="24">
        <f>IFERROR(VLOOKUP(V135,Assumptions!$A$7:$F$11,2,FALSE),0)</f>
        <v/>
      </c>
      <c r="X135" s="25">
        <f>IF(V135="A",MAX(1,IFERROR(VLOOKUP(V135,Assumptions!$A$7:$F$11,3,FALSE),3)+IFERROR(VLOOKUP(V135,Assumptions!$A$7:$F$11,4,FALSE),8)/2-MAX(0,IF(AO135="",0,YEAR(TODAY())-AO135)-IFERROR(VLOOKUP(V135,Assumptions!$A$7:$F$11,5,FALSE),1.5))),IFERROR(VLOOKUP(V135,Assumptions!$A$7:$F$11,5,FALSE),2.5)+IFERROR(VLOOKUP(V135,Assumptions!$A$7:$F$11,3,FALSE),3)+IFERROR(VLOOKUP(V135,Assumptions!$A$7:$F$11,4,FALSE),8)/2)</f>
        <v/>
      </c>
      <c r="Y135" s="22">
        <f>U135*W135/(1+Assumptions!$B$3)^X135</f>
        <v/>
      </c>
      <c r="Z135" s="26">
        <f>IF(U135=0,"",ROUND(Y135/U135*100,1))</f>
        <v/>
      </c>
      <c r="AA135" s="27">
        <f>Y135*Assumptions!$B$4</f>
        <v/>
      </c>
      <c r="AB135" s="26">
        <f>IF(U135=0,"",ROUND(AA135/U135*100,1))</f>
        <v/>
      </c>
      <c r="AC135" s="27">
        <f>Y135-AA135</f>
        <v/>
      </c>
      <c r="AD135" s="26">
        <f>IF(U135=0,"",ROUND((Y135-AA135)/U135*100,1))</f>
        <v/>
      </c>
      <c r="AE135" s="33" t="inlineStr">
        <is>
          <t>NO TOTALS — list prints none; check page</t>
        </is>
      </c>
      <c r="AF135" s="29" t="inlineStr">
        <is>
          <t>https://ativosajce.com.br/admin/download.php?file=files/processo_documento/processo_documento13422625032025_1_.pdf&amp;nome=Relação de Credores - Art. 52º § 1º, da Lei nº 11.101/2005 - 25/02/2025</t>
        </is>
      </c>
      <c r="AG135" s="28" t="inlineStr">
        <is>
          <t>p3 r17; p3 r18; p3 r19; p3 r20</t>
        </is>
      </c>
      <c r="AH135" s="28" t="inlineStr">
        <is>
          <t>p3: R$ 220.846,00; p3: R$ 326.104,88; p3: R$ 400.000,00; p3: R$ 1.706.254,90</t>
        </is>
      </c>
      <c r="AI135" s="28" t="inlineStr">
        <is>
          <t>Unclassified list</t>
        </is>
      </c>
      <c r="AJ135" s="28" t="inlineStr">
        <is>
          <t>2025-02-28</t>
        </is>
      </c>
      <c r="AK135" s="28" t="inlineStr">
        <is>
          <t>NONE FOUND</t>
        </is>
      </c>
      <c r="AL135" s="30" t="inlineStr">
        <is>
          <t>1000119-75.2025.8.26.0354</t>
        </is>
      </c>
      <c r="AM135" s="30" t="inlineStr">
        <is>
          <t>TJSP</t>
        </is>
      </c>
      <c r="AN135" s="30" t="inlineStr">
        <is>
          <t>ACTIVE</t>
        </is>
      </c>
      <c r="AO135" s="30" t="n">
        <v>2025</v>
      </c>
      <c r="AP135" s="30" t="inlineStr">
        <is>
          <t>live case, no plan document yet</t>
        </is>
      </c>
      <c r="AQ135" s="30" t="inlineStr">
        <is>
          <t>09.357.504/0001-38</t>
        </is>
      </c>
      <c r="AR135" s="30" t="inlineStr">
        <is>
          <t>printed on the list (read twice)</t>
        </is>
      </c>
      <c r="AS135" s="30" t="inlineStr">
        <is>
          <t>BRASILIA</t>
        </is>
      </c>
      <c r="AT135" s="30" t="inlineStr">
        <is>
          <t>DF</t>
        </is>
      </c>
      <c r="AU135" s="30" t="inlineStr">
        <is>
          <t>Bancos múltiplos, com carteira comercial</t>
        </is>
      </c>
      <c r="AV135" s="30" t="inlineStr">
        <is>
          <t>DEMAIS</t>
        </is>
      </c>
      <c r="AW135" s="31" t="n">
        <v>120000000000</v>
      </c>
      <c r="AX135" s="30" t="inlineStr">
        <is>
          <t>LARGE CORP</t>
        </is>
      </c>
      <c r="AY135" s="30" t="inlineStr">
        <is>
          <t>00000000</t>
        </is>
      </c>
      <c r="AZ135" s="30" t="n">
        <v>4</v>
      </c>
      <c r="BA135" s="30" t="inlineStr">
        <is>
          <t>LIKELY_FINANCIAL_BY_NAME ROWS:p3r17,p3r18,p3r19,p3r20 UNRECONCILED_SOURCE</t>
        </is>
      </c>
    </row>
    <row r="136">
      <c r="A136" s="16" t="inlineStr">
        <is>
          <t>BANCO DO BRASIL SA</t>
        </is>
      </c>
      <c r="B136" s="17" t="n">
        <v>2646391.58</v>
      </c>
      <c r="C136" s="18" t="inlineStr">
        <is>
          <t>Cerealista Safrasul Ltda</t>
        </is>
      </c>
      <c r="D136" s="19" t="inlineStr">
        <is>
          <t>NEW</t>
        </is>
      </c>
      <c r="E136" s="20" t="inlineStr"/>
      <c r="F136" s="19" t="inlineStr"/>
      <c r="G136" s="20" t="inlineStr"/>
      <c r="H136" s="19" t="inlineStr"/>
      <c r="I136" s="21" t="inlineStr">
        <is>
          <t>Thiago Cavichioli</t>
        </is>
      </c>
      <c r="J136" s="21" t="inlineStr">
        <is>
          <t>Gerente de Cobrança e Recuperação de Crédito</t>
        </is>
      </c>
      <c r="K136" s="21" t="inlineStr">
        <is>
          <t>(61) 3493-9002</t>
        </is>
      </c>
      <c r="L136" s="21" t="inlineStr"/>
      <c r="M136" s="21" t="inlineStr"/>
      <c r="N136" s="21" t="inlineStr">
        <is>
          <t>thiago.cavichioli@bb.com.br</t>
        </is>
      </c>
      <c r="O136" s="21" t="inlineStr">
        <is>
          <t>suelenmondador@bb.com.br</t>
        </is>
      </c>
      <c r="P136" s="21" t="inlineStr">
        <is>
          <t>Suelen Mondador</t>
        </is>
      </c>
      <c r="Q136" s="21" t="inlineStr">
        <is>
          <t>Gerente Especialista em Recuperação de Crédito</t>
        </is>
      </c>
      <c r="R136" s="21" t="inlineStr"/>
      <c r="S136" s="21" t="inlineStr">
        <is>
          <t>suelenmondador@bb.com.br</t>
        </is>
      </c>
      <c r="T136" s="21" t="inlineStr">
        <is>
          <t>email verified by Apollo</t>
        </is>
      </c>
      <c r="U136" s="22" t="n">
        <v>2646391.58</v>
      </c>
      <c r="V136" s="23" t="inlineStr">
        <is>
          <t>B</t>
        </is>
      </c>
      <c r="W136" s="24">
        <f>IFERROR(VLOOKUP(V136,Assumptions!$A$7:$F$11,2,FALSE),0)</f>
        <v/>
      </c>
      <c r="X136" s="25">
        <f>IF(V136="A",MAX(1,IFERROR(VLOOKUP(V136,Assumptions!$A$7:$F$11,3,FALSE),3)+IFERROR(VLOOKUP(V136,Assumptions!$A$7:$F$11,4,FALSE),8)/2-MAX(0,IF(AO136="",0,YEAR(TODAY())-AO136)-IFERROR(VLOOKUP(V136,Assumptions!$A$7:$F$11,5,FALSE),1.5))),IFERROR(VLOOKUP(V136,Assumptions!$A$7:$F$11,5,FALSE),2.5)+IFERROR(VLOOKUP(V136,Assumptions!$A$7:$F$11,3,FALSE),3)+IFERROR(VLOOKUP(V136,Assumptions!$A$7:$F$11,4,FALSE),8)/2)</f>
        <v/>
      </c>
      <c r="Y136" s="22">
        <f>U136*W136/(1+Assumptions!$B$3)^X136</f>
        <v/>
      </c>
      <c r="Z136" s="26">
        <f>IF(U136=0,"",ROUND(Y136/U136*100,1))</f>
        <v/>
      </c>
      <c r="AA136" s="27">
        <f>Y136*Assumptions!$B$4</f>
        <v/>
      </c>
      <c r="AB136" s="26">
        <f>IF(U136=0,"",ROUND(AA136/U136*100,1))</f>
        <v/>
      </c>
      <c r="AC136" s="27">
        <f>Y136-AA136</f>
        <v/>
      </c>
      <c r="AD136" s="26">
        <f>IF(U136=0,"",ROUND((Y136-AA136)/U136*100,1))</f>
        <v/>
      </c>
      <c r="AE136" s="33" t="inlineStr">
        <is>
          <t>NO TOTALS — list prints none; check page</t>
        </is>
      </c>
      <c r="AF136" s="29" t="inlineStr">
        <is>
          <t>https://ajruiz.com.br/sites/default/files/public/arquivos-processos/2026-01/safrasul_relacao_de_credores_recuperanda.pdf</t>
        </is>
      </c>
      <c r="AG136" s="28" t="inlineStr">
        <is>
          <t>p8 r1</t>
        </is>
      </c>
      <c r="AH136" s="28" t="inlineStr">
        <is>
          <t>p8: R$ 2.646.391,58</t>
        </is>
      </c>
      <c r="AI136" s="28" t="inlineStr">
        <is>
          <t>AJ list (art. 7 §2)</t>
        </is>
      </c>
      <c r="AJ136" s="28" t="inlineStr">
        <is>
          <t>2026-01-14</t>
        </is>
      </c>
      <c r="AK136" s="28" t="inlineStr">
        <is>
          <t>NONE FOUND</t>
        </is>
      </c>
      <c r="AL136" s="30" t="inlineStr">
        <is>
          <t>4000167-23.2025.8.26.0373</t>
        </is>
      </c>
      <c r="AM136" s="30" t="inlineStr">
        <is>
          <t>TJSP</t>
        </is>
      </c>
      <c r="AN136" s="30" t="inlineStr">
        <is>
          <t>ACTIVE</t>
        </is>
      </c>
      <c r="AO136" s="30" t="n">
        <v>2025</v>
      </c>
      <c r="AP136" s="30" t="inlineStr">
        <is>
          <t>live case, no plan document yet</t>
        </is>
      </c>
      <c r="AQ136" s="30" t="inlineStr"/>
      <c r="AR136" s="30" t="inlineStr">
        <is>
          <t>printed on the list (read twice)</t>
        </is>
      </c>
      <c r="AS136" s="30" t="inlineStr">
        <is>
          <t>BRASILIA</t>
        </is>
      </c>
      <c r="AT136" s="30" t="inlineStr">
        <is>
          <t>DF</t>
        </is>
      </c>
      <c r="AU136" s="30" t="inlineStr">
        <is>
          <t>Bancos múltiplos, com carteira comercial</t>
        </is>
      </c>
      <c r="AV136" s="30" t="inlineStr">
        <is>
          <t>DEMAIS</t>
        </is>
      </c>
      <c r="AW136" s="31" t="n">
        <v>120000000000</v>
      </c>
      <c r="AX136" s="30" t="inlineStr">
        <is>
          <t>LARGE CORP</t>
        </is>
      </c>
      <c r="AY136" s="30" t="inlineStr">
        <is>
          <t>00000000</t>
        </is>
      </c>
      <c r="AZ136" s="30" t="n">
        <v>1</v>
      </c>
      <c r="BA136" s="30" t="inlineStr">
        <is>
          <t>LIKELY_FINANCIAL_BY_NAME ROWS:p8r1 UNRECONCILED_SOURCE</t>
        </is>
      </c>
    </row>
    <row r="137">
      <c r="A137" s="16" t="inlineStr">
        <is>
          <t>BANCO SANTANDER (BRASIL) S.A.</t>
        </is>
      </c>
      <c r="B137" s="17" t="n">
        <v>2576900.02</v>
      </c>
      <c r="C137" s="18" t="inlineStr">
        <is>
          <t>B1 COMÉRCIO DE MANUFATURADOS LTDA</t>
        </is>
      </c>
      <c r="D137" s="19" t="inlineStr">
        <is>
          <t>NEW</t>
        </is>
      </c>
      <c r="E137" s="20" t="inlineStr"/>
      <c r="F137" s="19" t="inlineStr"/>
      <c r="G137" s="20" t="inlineStr"/>
      <c r="H137" s="19" t="inlineStr"/>
      <c r="I137" s="21" t="inlineStr">
        <is>
          <t>Igor Puertas</t>
        </is>
      </c>
      <c r="J137" s="21" t="inlineStr">
        <is>
          <t>Distressed Assets | NPL</t>
        </is>
      </c>
      <c r="K137" s="21" t="inlineStr">
        <is>
          <t>(11) 4004-3535</t>
        </is>
      </c>
      <c r="L137" s="21" t="inlineStr"/>
      <c r="M137" s="21" t="inlineStr"/>
      <c r="N137" s="21" t="inlineStr">
        <is>
          <t>igor.puertas@santander.com.br</t>
        </is>
      </c>
      <c r="O137" s="21" t="inlineStr">
        <is>
          <t>antonio.pequeno.junior@santander.com.br</t>
        </is>
      </c>
      <c r="P137" s="21" t="inlineStr">
        <is>
          <t>Antonio Junior</t>
        </is>
      </c>
      <c r="Q137" s="21" t="inlineStr">
        <is>
          <t>Superintendente Recuperação de Crédito</t>
        </is>
      </c>
      <c r="R137" s="21" t="inlineStr"/>
      <c r="S137" s="21" t="inlineStr">
        <is>
          <t>antonio.pequeno.junior@santander.com.br</t>
        </is>
      </c>
      <c r="T137" s="21" t="inlineStr">
        <is>
          <t>email verified by Apollo</t>
        </is>
      </c>
      <c r="U137" s="22" t="n">
        <v>2576900.02</v>
      </c>
      <c r="V137" s="23" t="inlineStr">
        <is>
          <t>B</t>
        </is>
      </c>
      <c r="W137" s="24">
        <f>IFERROR(VLOOKUP(V137,Assumptions!$A$7:$F$11,2,FALSE),0)</f>
        <v/>
      </c>
      <c r="X137" s="25">
        <f>IF(V137="A",MAX(1,IFERROR(VLOOKUP(V137,Assumptions!$A$7:$F$11,3,FALSE),3)+IFERROR(VLOOKUP(V137,Assumptions!$A$7:$F$11,4,FALSE),8)/2-MAX(0,IF(AO137="",0,YEAR(TODAY())-AO137)-IFERROR(VLOOKUP(V137,Assumptions!$A$7:$F$11,5,FALSE),1.5))),IFERROR(VLOOKUP(V137,Assumptions!$A$7:$F$11,5,FALSE),2.5)+IFERROR(VLOOKUP(V137,Assumptions!$A$7:$F$11,3,FALSE),3)+IFERROR(VLOOKUP(V137,Assumptions!$A$7:$F$11,4,FALSE),8)/2)</f>
        <v/>
      </c>
      <c r="Y137" s="22">
        <f>U137*W137/(1+Assumptions!$B$3)^X137</f>
        <v/>
      </c>
      <c r="Z137" s="26">
        <f>IF(U137=0,"",ROUND(Y137/U137*100,1))</f>
        <v/>
      </c>
      <c r="AA137" s="27">
        <f>Y137*Assumptions!$B$4</f>
        <v/>
      </c>
      <c r="AB137" s="26">
        <f>IF(U137=0,"",ROUND(AA137/U137*100,1))</f>
        <v/>
      </c>
      <c r="AC137" s="27">
        <f>Y137-AA137</f>
        <v/>
      </c>
      <c r="AD137" s="26">
        <f>IF(U137=0,"",ROUND((Y137-AA137)/U137*100,1))</f>
        <v/>
      </c>
      <c r="AE137" s="33" t="inlineStr">
        <is>
          <t>NO TOTALS — list prints none; check page</t>
        </is>
      </c>
      <c r="AF137" s="29" t="inlineStr">
        <is>
          <t>https://marquesadmjudicial.com.br/sgc/download.php?file=files/processo_documento/processo_documento18581929042026_1_.pdf&amp;nome=3º Edital - Relação de Credores e PRJ</t>
        </is>
      </c>
      <c r="AG137" s="28" t="inlineStr">
        <is>
          <t>p1 r39</t>
        </is>
      </c>
      <c r="AH137" s="28" t="inlineStr">
        <is>
          <t>p1: R$ 2.576.900,02</t>
        </is>
      </c>
      <c r="AI137" s="28" t="inlineStr">
        <is>
          <t>AJ list (art. 7 §2)</t>
        </is>
      </c>
      <c r="AJ137" s="28" t="inlineStr">
        <is>
          <t>2025-09-12</t>
        </is>
      </c>
      <c r="AK137" s="28" t="inlineStr">
        <is>
          <t>NONE FOUND</t>
        </is>
      </c>
      <c r="AL137" s="30" t="inlineStr">
        <is>
          <t>0043030-30.2025.8.16.0021</t>
        </is>
      </c>
      <c r="AM137" s="30" t="inlineStr">
        <is>
          <t>TJPR</t>
        </is>
      </c>
      <c r="AN137" s="30" t="inlineStr">
        <is>
          <t>ACTIVE</t>
        </is>
      </c>
      <c r="AO137" s="30" t="n">
        <v>2025</v>
      </c>
      <c r="AP137" s="30" t="inlineStr">
        <is>
          <t>live case, no plan document yet</t>
        </is>
      </c>
      <c r="AQ137" s="30" t="inlineStr">
        <is>
          <t>29.448.809/0001-62</t>
        </is>
      </c>
      <c r="AR137" s="30" t="inlineStr">
        <is>
          <t>printed on the list (read twice)</t>
        </is>
      </c>
      <c r="AS137" s="30" t="inlineStr">
        <is>
          <t>SAO PAULO</t>
        </is>
      </c>
      <c r="AT137" s="30" t="inlineStr">
        <is>
          <t>SP</t>
        </is>
      </c>
      <c r="AU137" s="30" t="inlineStr">
        <is>
          <t>Bancos múltiplos, com carteira comercial</t>
        </is>
      </c>
      <c r="AV137" s="30" t="inlineStr">
        <is>
          <t>DEMAIS</t>
        </is>
      </c>
      <c r="AW137" s="31" t="n">
        <v>65000000000</v>
      </c>
      <c r="AX137" s="30" t="inlineStr">
        <is>
          <t>LARGE CORP</t>
        </is>
      </c>
      <c r="AY137" s="30" t="inlineStr">
        <is>
          <t>90400888</t>
        </is>
      </c>
      <c r="AZ137" s="30" t="n">
        <v>1</v>
      </c>
      <c r="BA137" s="30" t="inlineStr">
        <is>
          <t>LIKELY_FINANCIAL_BY_NAME ROWS:p1r39 UNRECONCILED_SOURCE</t>
        </is>
      </c>
    </row>
    <row r="138">
      <c r="A138" s="16" t="inlineStr">
        <is>
          <t>BANCO ABC BRASIL S.A.</t>
        </is>
      </c>
      <c r="B138" s="17" t="n">
        <v>2550000</v>
      </c>
      <c r="C138" s="18" t="inlineStr">
        <is>
          <t>Cerealista Safrasul Ltda</t>
        </is>
      </c>
      <c r="D138" s="19" t="inlineStr">
        <is>
          <t>NEW</t>
        </is>
      </c>
      <c r="E138" s="20" t="inlineStr"/>
      <c r="F138" s="19" t="inlineStr"/>
      <c r="G138" s="20" t="inlineStr"/>
      <c r="H138" s="19" t="inlineStr"/>
      <c r="I138" s="21" t="inlineStr">
        <is>
          <t>Luciano Makino</t>
        </is>
      </c>
      <c r="J138" s="21" t="inlineStr">
        <is>
          <t>Especialista de Recuperação de Crédito</t>
        </is>
      </c>
      <c r="K138" s="21" t="inlineStr">
        <is>
          <t>(11) 3170-2000</t>
        </is>
      </c>
      <c r="L138" s="21" t="inlineStr"/>
      <c r="M138" s="21" t="inlineStr"/>
      <c r="N138" s="21" t="inlineStr">
        <is>
          <t>luciano.makino@abcbrasil.com.br</t>
        </is>
      </c>
      <c r="O138" s="21" t="inlineStr">
        <is>
          <t>marilia.neves@abcbrasil.com.br</t>
        </is>
      </c>
      <c r="P138" s="21" t="inlineStr">
        <is>
          <t>Marilia Neves</t>
        </is>
      </c>
      <c r="Q138" s="21" t="inlineStr">
        <is>
          <t>Advogado Especialista em Recuperação de Crédito</t>
        </is>
      </c>
      <c r="R138" s="21" t="inlineStr"/>
      <c r="S138" s="21" t="inlineStr">
        <is>
          <t>marilia.neves@abcbrasil.com.br</t>
        </is>
      </c>
      <c r="T138" s="21" t="inlineStr">
        <is>
          <t>email verified by Apollo</t>
        </is>
      </c>
      <c r="U138" s="22" t="n">
        <v>2550000</v>
      </c>
      <c r="V138" s="23" t="inlineStr">
        <is>
          <t>B</t>
        </is>
      </c>
      <c r="W138" s="24">
        <f>IFERROR(VLOOKUP(V138,Assumptions!$A$7:$F$11,2,FALSE),0)</f>
        <v/>
      </c>
      <c r="X138" s="25">
        <f>IF(V138="A",MAX(1,IFERROR(VLOOKUP(V138,Assumptions!$A$7:$F$11,3,FALSE),3)+IFERROR(VLOOKUP(V138,Assumptions!$A$7:$F$11,4,FALSE),8)/2-MAX(0,IF(AO138="",0,YEAR(TODAY())-AO138)-IFERROR(VLOOKUP(V138,Assumptions!$A$7:$F$11,5,FALSE),1.5))),IFERROR(VLOOKUP(V138,Assumptions!$A$7:$F$11,5,FALSE),2.5)+IFERROR(VLOOKUP(V138,Assumptions!$A$7:$F$11,3,FALSE),3)+IFERROR(VLOOKUP(V138,Assumptions!$A$7:$F$11,4,FALSE),8)/2)</f>
        <v/>
      </c>
      <c r="Y138" s="22">
        <f>U138*W138/(1+Assumptions!$B$3)^X138</f>
        <v/>
      </c>
      <c r="Z138" s="26">
        <f>IF(U138=0,"",ROUND(Y138/U138*100,1))</f>
        <v/>
      </c>
      <c r="AA138" s="27">
        <f>Y138*Assumptions!$B$4</f>
        <v/>
      </c>
      <c r="AB138" s="26">
        <f>IF(U138=0,"",ROUND(AA138/U138*100,1))</f>
        <v/>
      </c>
      <c r="AC138" s="27">
        <f>Y138-AA138</f>
        <v/>
      </c>
      <c r="AD138" s="26">
        <f>IF(U138=0,"",ROUND((Y138-AA138)/U138*100,1))</f>
        <v/>
      </c>
      <c r="AE138" s="33" t="inlineStr">
        <is>
          <t>NO TOTALS — list prints none; check page</t>
        </is>
      </c>
      <c r="AF138" s="29" t="inlineStr">
        <is>
          <t>https://ajruiz.com.br/sites/default/files/public/arquivos-processos/2026-01/safrasul_relacao_de_credores_recuperanda.pdf</t>
        </is>
      </c>
      <c r="AG138" s="28" t="inlineStr">
        <is>
          <t>p8 r14; p8 r15</t>
        </is>
      </c>
      <c r="AH138" s="28" t="inlineStr">
        <is>
          <t>p8: R$ 2.200.000,00; p8: R$ 350.000,00</t>
        </is>
      </c>
      <c r="AI138" s="28" t="inlineStr">
        <is>
          <t>AJ list (art. 7 §2)</t>
        </is>
      </c>
      <c r="AJ138" s="28" t="inlineStr">
        <is>
          <t>2026-01-14</t>
        </is>
      </c>
      <c r="AK138" s="28" t="inlineStr">
        <is>
          <t>NONE FOUND</t>
        </is>
      </c>
      <c r="AL138" s="30" t="inlineStr">
        <is>
          <t>4000167-23.2025.8.26.0373</t>
        </is>
      </c>
      <c r="AM138" s="30" t="inlineStr">
        <is>
          <t>TJSP</t>
        </is>
      </c>
      <c r="AN138" s="30" t="inlineStr">
        <is>
          <t>ACTIVE</t>
        </is>
      </c>
      <c r="AO138" s="30" t="n">
        <v>2025</v>
      </c>
      <c r="AP138" s="30" t="inlineStr">
        <is>
          <t>live case, no plan document yet</t>
        </is>
      </c>
      <c r="AQ138" s="30" t="inlineStr"/>
      <c r="AR138" s="30" t="inlineStr">
        <is>
          <t>printed on the list (read twice)</t>
        </is>
      </c>
      <c r="AS138" s="30" t="inlineStr">
        <is>
          <t>SAO PAULO</t>
        </is>
      </c>
      <c r="AT138" s="30" t="inlineStr">
        <is>
          <t>SP</t>
        </is>
      </c>
      <c r="AU138" s="30" t="inlineStr">
        <is>
          <t>Bancos múltiplos, com carteira comercial</t>
        </is>
      </c>
      <c r="AV138" s="30" t="inlineStr">
        <is>
          <t>DEMAIS</t>
        </is>
      </c>
      <c r="AW138" s="31" t="n">
        <v>6012662300</v>
      </c>
      <c r="AX138" s="30" t="inlineStr">
        <is>
          <t>LARGE CORP</t>
        </is>
      </c>
      <c r="AY138" s="30" t="inlineStr">
        <is>
          <t>28195667</t>
        </is>
      </c>
      <c r="AZ138" s="30" t="n">
        <v>2</v>
      </c>
      <c r="BA138" s="30" t="inlineStr">
        <is>
          <t>LIKELY_FINANCIAL_BY_NAME ROWS:p8r14,p8r15 UNRECONCILED_SOURCE</t>
        </is>
      </c>
    </row>
    <row r="139">
      <c r="A139" s="16" t="inlineStr">
        <is>
          <t>2.1 SICOOB TRANSCREDI</t>
        </is>
      </c>
      <c r="B139" s="17" t="n">
        <v>2542689.55</v>
      </c>
      <c r="C139" s="18" t="inlineStr">
        <is>
          <t>SUINOCULTURA KUNZLER</t>
        </is>
      </c>
      <c r="D139" s="19" t="inlineStr">
        <is>
          <t>NEW</t>
        </is>
      </c>
      <c r="E139" s="20" t="inlineStr"/>
      <c r="F139" s="19" t="inlineStr"/>
      <c r="G139" s="20" t="inlineStr"/>
      <c r="H139" s="19" t="inlineStr"/>
      <c r="I139" s="21" t="inlineStr"/>
      <c r="J139" s="21" t="inlineStr"/>
      <c r="K139" s="21" t="inlineStr"/>
      <c r="L139" s="21" t="inlineStr"/>
      <c r="M139" s="21" t="inlineStr"/>
      <c r="N139" s="21" t="inlineStr"/>
      <c r="O139" s="21" t="inlineStr"/>
      <c r="P139" s="21" t="inlineStr"/>
      <c r="Q139" s="21" t="inlineStr"/>
      <c r="R139" s="21" t="inlineStr"/>
      <c r="S139" s="21" t="inlineStr"/>
      <c r="T139" s="21" t="inlineStr">
        <is>
          <t>no named contact found</t>
        </is>
      </c>
      <c r="U139" s="22" t="n">
        <v>2542689.55</v>
      </c>
      <c r="V139" s="23" t="inlineStr">
        <is>
          <t>B</t>
        </is>
      </c>
      <c r="W139" s="24">
        <f>IFERROR(VLOOKUP(V139,Assumptions!$A$7:$F$11,2,FALSE),0)</f>
        <v/>
      </c>
      <c r="X139" s="25">
        <f>IF(V139="A",MAX(1,IFERROR(VLOOKUP(V139,Assumptions!$A$7:$F$11,3,FALSE),3)+IFERROR(VLOOKUP(V139,Assumptions!$A$7:$F$11,4,FALSE),8)/2-MAX(0,IF(AO139="",0,YEAR(TODAY())-AO139)-IFERROR(VLOOKUP(V139,Assumptions!$A$7:$F$11,5,FALSE),1.5))),IFERROR(VLOOKUP(V139,Assumptions!$A$7:$F$11,5,FALSE),2.5)+IFERROR(VLOOKUP(V139,Assumptions!$A$7:$F$11,3,FALSE),3)+IFERROR(VLOOKUP(V139,Assumptions!$A$7:$F$11,4,FALSE),8)/2)</f>
        <v/>
      </c>
      <c r="Y139" s="22">
        <f>U139*W139/(1+Assumptions!$B$3)^X139</f>
        <v/>
      </c>
      <c r="Z139" s="26">
        <f>IF(U139=0,"",ROUND(Y139/U139*100,1))</f>
        <v/>
      </c>
      <c r="AA139" s="27">
        <f>Y139*Assumptions!$B$4</f>
        <v/>
      </c>
      <c r="AB139" s="26">
        <f>IF(U139=0,"",ROUND(AA139/U139*100,1))</f>
        <v/>
      </c>
      <c r="AC139" s="27">
        <f>Y139-AA139</f>
        <v/>
      </c>
      <c r="AD139" s="26">
        <f>IF(U139=0,"",ROUND((Y139-AA139)/U139*100,1))</f>
        <v/>
      </c>
      <c r="AE139" s="33" t="inlineStr">
        <is>
          <t>NO TOTALS — list prints none; check page</t>
        </is>
      </c>
      <c r="AF139" s="29" t="inlineStr">
        <is>
          <t>https://rlg-aj.com.br/wp-content/uploads/2024/11/07.-Relação-de-credores.pdf</t>
        </is>
      </c>
      <c r="AG139" s="28" t="inlineStr">
        <is>
          <t>p1 r7; p1 r8; p1 r9; p1 r10; p1 r11; p1 r12</t>
        </is>
      </c>
      <c r="AH139" s="28" t="inlineStr">
        <is>
          <t>p1: R$ 1.926.007,07; p1: R$ 272.765,83; p1: R$ 68.170,82; p1: R$ 76.302,83; p1: R$ 96.085,17; p1: R$ 103.357,83</t>
        </is>
      </c>
      <c r="AI139" s="28" t="inlineStr">
        <is>
          <t>Unclassified list</t>
        </is>
      </c>
      <c r="AJ139" s="28" t="inlineStr"/>
      <c r="AK139" s="28" t="inlineStr">
        <is>
          <t>NONE FOUND</t>
        </is>
      </c>
      <c r="AL139" s="30" t="inlineStr">
        <is>
          <t>5009149-92.2024.8.24.0019</t>
        </is>
      </c>
      <c r="AM139" s="30" t="inlineStr">
        <is>
          <t>TJSC</t>
        </is>
      </c>
      <c r="AN139" s="30" t="inlineStr">
        <is>
          <t>ACTIVE</t>
        </is>
      </c>
      <c r="AO139" s="30" t="n">
        <v>2024</v>
      </c>
      <c r="AP139" s="30" t="inlineStr">
        <is>
          <t>live case, no plan document yet</t>
        </is>
      </c>
      <c r="AQ139" s="30" t="inlineStr">
        <is>
          <t>55.365.447/0001-56</t>
        </is>
      </c>
      <c r="AR139" s="30" t="inlineStr">
        <is>
          <t>printed on the list (read twice)</t>
        </is>
      </c>
      <c r="AS139" s="30" t="inlineStr"/>
      <c r="AT139" s="30" t="inlineStr"/>
      <c r="AU139" s="30" t="inlineStr"/>
      <c r="AV139" s="30" t="inlineStr"/>
      <c r="AW139" s="31" t="inlineStr"/>
      <c r="AX139" s="30" t="inlineStr">
        <is>
          <t>MID-MARKET</t>
        </is>
      </c>
      <c r="AY139" s="30" t="inlineStr">
        <is>
          <t>04247370</t>
        </is>
      </c>
      <c r="AZ139" s="30" t="n">
        <v>6</v>
      </c>
      <c r="BA139" s="30" t="inlineStr">
        <is>
          <t>LIKELY_FINANCIAL_BY_NAME ROWS:p1r7,p1r8,p1r9,p1r10,p1r11,p1r12 UNRECONCILED_SOURCE</t>
        </is>
      </c>
    </row>
    <row r="140">
      <c r="A140" s="16" t="inlineStr">
        <is>
          <t>COOPERATIVA DE CREDITO, POUPANCA E INVESTIMENTO DA REGIAO DA PRODUCAO - SICREDI REGIAO DA PRODUCAO RS/SC/MG</t>
        </is>
      </c>
      <c r="B140" s="17" t="n">
        <v>2536775.59</v>
      </c>
      <c r="C140" s="18" t="inlineStr">
        <is>
          <t>AZEPLAST INDÚSTRIA E COMÉRCIO LTDA</t>
        </is>
      </c>
      <c r="D140" s="19" t="inlineStr">
        <is>
          <t>NEW</t>
        </is>
      </c>
      <c r="E140" s="20" t="inlineStr"/>
      <c r="F140" s="19" t="inlineStr"/>
      <c r="G140" s="20" t="inlineStr"/>
      <c r="H140" s="19" t="inlineStr"/>
      <c r="I140" s="21" t="inlineStr">
        <is>
          <t>Jocelina Bento</t>
        </is>
      </c>
      <c r="J140" s="21" t="inlineStr">
        <is>
          <t>Analista de Recuperação de Crédito</t>
        </is>
      </c>
      <c r="K140" s="21" t="inlineStr"/>
      <c r="L140" s="21" t="inlineStr"/>
      <c r="M140" s="21" t="inlineStr"/>
      <c r="N140" s="21" t="inlineStr">
        <is>
          <t>jocelina_bento@sicredi.com.br</t>
        </is>
      </c>
      <c r="O140" s="21" t="inlineStr">
        <is>
          <t>aline_festa@sicredi.com.br</t>
        </is>
      </c>
      <c r="P140" s="21" t="inlineStr">
        <is>
          <t>Aline Festa</t>
        </is>
      </c>
      <c r="Q140" s="21" t="inlineStr">
        <is>
          <t>Recuperação de Crédito</t>
        </is>
      </c>
      <c r="R140" s="21" t="inlineStr"/>
      <c r="S140" s="21" t="inlineStr">
        <is>
          <t>aline_festa@sicredi.com.br</t>
        </is>
      </c>
      <c r="T140" s="21" t="inlineStr">
        <is>
          <t>email verified by Apollo</t>
        </is>
      </c>
      <c r="U140" s="22" t="n">
        <v>2536775.59</v>
      </c>
      <c r="V140" s="23" t="inlineStr">
        <is>
          <t>B</t>
        </is>
      </c>
      <c r="W140" s="24">
        <f>IFERROR(VLOOKUP(V140,Assumptions!$A$7:$F$11,2,FALSE),0)</f>
        <v/>
      </c>
      <c r="X140" s="25">
        <f>IF(V140="A",MAX(1,IFERROR(VLOOKUP(V140,Assumptions!$A$7:$F$11,3,FALSE),3)+IFERROR(VLOOKUP(V140,Assumptions!$A$7:$F$11,4,FALSE),8)/2-MAX(0,IF(AO140="",0,YEAR(TODAY())-AO140)-IFERROR(VLOOKUP(V140,Assumptions!$A$7:$F$11,5,FALSE),1.5))),IFERROR(VLOOKUP(V140,Assumptions!$A$7:$F$11,5,FALSE),2.5)+IFERROR(VLOOKUP(V140,Assumptions!$A$7:$F$11,3,FALSE),3)+IFERROR(VLOOKUP(V140,Assumptions!$A$7:$F$11,4,FALSE),8)/2)</f>
        <v/>
      </c>
      <c r="Y140" s="22">
        <f>U140*W140/(1+Assumptions!$B$3)^X140</f>
        <v/>
      </c>
      <c r="Z140" s="26">
        <f>IF(U140=0,"",ROUND(Y140/U140*100,1))</f>
        <v/>
      </c>
      <c r="AA140" s="27">
        <f>Y140*Assumptions!$B$4</f>
        <v/>
      </c>
      <c r="AB140" s="26">
        <f>IF(U140=0,"",ROUND(AA140/U140*100,1))</f>
        <v/>
      </c>
      <c r="AC140" s="27">
        <f>Y140-AA140</f>
        <v/>
      </c>
      <c r="AD140" s="26">
        <f>IF(U140=0,"",ROUND((Y140-AA140)/U140*100,1))</f>
        <v/>
      </c>
      <c r="AE140" s="34" t="inlineStr">
        <is>
          <t>PARTIAL — class III reconciled, other classes not</t>
        </is>
      </c>
      <c r="AF140" s="29" t="inlineStr">
        <is>
          <t>https://ajruiz.com.br/sites/default/files/public/arquivos-processos/2026-08/qgc_azeplast_julho_2026.pdf</t>
        </is>
      </c>
      <c r="AG140" s="28" t="inlineStr">
        <is>
          <t>p1 r18</t>
        </is>
      </c>
      <c r="AH140" s="28" t="inlineStr">
        <is>
          <t>p1: R$ 2.536.775,59</t>
        </is>
      </c>
      <c r="AI140" s="28" t="inlineStr">
        <is>
          <t>QGC (art. 18)</t>
        </is>
      </c>
      <c r="AJ140" s="28" t="inlineStr"/>
      <c r="AK140" s="28" t="inlineStr">
        <is>
          <t>NONE FOUND</t>
        </is>
      </c>
      <c r="AL140" s="30" t="inlineStr">
        <is>
          <t>5008793-34.2023.8.24.0019</t>
        </is>
      </c>
      <c r="AM140" s="30" t="inlineStr">
        <is>
          <t>TJSC</t>
        </is>
      </c>
      <c r="AN140" s="30" t="inlineStr">
        <is>
          <t>ACTIVE</t>
        </is>
      </c>
      <c r="AO140" s="30" t="n">
        <v>2023</v>
      </c>
      <c r="AP140" s="30" t="inlineStr">
        <is>
          <t>live case, no plan document yet</t>
        </is>
      </c>
      <c r="AQ140" s="30" t="inlineStr">
        <is>
          <t>05.378.317/0001-80</t>
        </is>
      </c>
      <c r="AR140" s="30" t="inlineStr">
        <is>
          <t>printed on the list (read twice)</t>
        </is>
      </c>
      <c r="AS140" s="30" t="inlineStr"/>
      <c r="AT140" s="30" t="inlineStr"/>
      <c r="AU140" s="30" t="inlineStr"/>
      <c r="AV140" s="30" t="inlineStr"/>
      <c r="AW140" s="31" t="inlineStr"/>
      <c r="AX140" s="30" t="inlineStr">
        <is>
          <t>MID-MARKET</t>
        </is>
      </c>
      <c r="AY140" s="30" t="inlineStr">
        <is>
          <t>89468565</t>
        </is>
      </c>
      <c r="AZ140" s="30" t="n">
        <v>1</v>
      </c>
      <c r="BA140" s="30" t="inlineStr">
        <is>
          <t>LIKELY_FINANCIAL_BY_NAME PARTIAL_DOC_CLASS_III_RECONCILED ROWS:p1r18</t>
        </is>
      </c>
    </row>
    <row r="141">
      <c r="A141" s="16" t="inlineStr">
        <is>
          <t>BANCO SAFRA S A</t>
        </is>
      </c>
      <c r="B141" s="17" t="n">
        <v>2526000</v>
      </c>
      <c r="C141" s="18" t="inlineStr">
        <is>
          <t>VENEZA SERVIÇOS ADMINISTRATIVOS LTDA.</t>
        </is>
      </c>
      <c r="D141" s="19" t="inlineStr">
        <is>
          <t>NEW</t>
        </is>
      </c>
      <c r="E141" s="20" t="inlineStr"/>
      <c r="F141" s="19" t="inlineStr"/>
      <c r="G141" s="20" t="inlineStr"/>
      <c r="H141" s="19" t="inlineStr"/>
      <c r="I141" s="21" t="inlineStr">
        <is>
          <t>Vanessa Biotti</t>
        </is>
      </c>
      <c r="J141" s="21" t="inlineStr">
        <is>
          <t>Gerente de Recuperação de Crédito</t>
        </is>
      </c>
      <c r="K141" s="21" t="inlineStr">
        <is>
          <t>(11) 3175-7575</t>
        </is>
      </c>
      <c r="L141" s="21" t="inlineStr"/>
      <c r="M141" s="21" t="inlineStr"/>
      <c r="N141" s="21" t="inlineStr">
        <is>
          <t>vanessa.biotti@safra.com.br</t>
        </is>
      </c>
      <c r="O141" s="21" t="inlineStr">
        <is>
          <t>rodrigo.anjos@safra.com.br</t>
        </is>
      </c>
      <c r="P141" s="21" t="inlineStr">
        <is>
          <t>Rodrigo Anjos</t>
        </is>
      </c>
      <c r="Q141" s="21" t="inlineStr">
        <is>
          <t>Advogado Sênior - Jurídico Contencioso - Recuperação de Crédito - NPL</t>
        </is>
      </c>
      <c r="R141" s="21" t="inlineStr"/>
      <c r="S141" s="21" t="inlineStr">
        <is>
          <t>rodrigo.anjos@safra.com.br</t>
        </is>
      </c>
      <c r="T141" s="21" t="inlineStr">
        <is>
          <t>email verified by Apollo</t>
        </is>
      </c>
      <c r="U141" s="22" t="n">
        <v>2526000</v>
      </c>
      <c r="V141" s="23" t="inlineStr">
        <is>
          <t>B</t>
        </is>
      </c>
      <c r="W141" s="24">
        <f>IFERROR(VLOOKUP(V141,Assumptions!$A$7:$F$11,2,FALSE),0)</f>
        <v/>
      </c>
      <c r="X141" s="25">
        <f>IF(V141="A",MAX(1,IFERROR(VLOOKUP(V141,Assumptions!$A$7:$F$11,3,FALSE),3)+IFERROR(VLOOKUP(V141,Assumptions!$A$7:$F$11,4,FALSE),8)/2-MAX(0,IF(AO141="",0,YEAR(TODAY())-AO141)-IFERROR(VLOOKUP(V141,Assumptions!$A$7:$F$11,5,FALSE),1.5))),IFERROR(VLOOKUP(V141,Assumptions!$A$7:$F$11,5,FALSE),2.5)+IFERROR(VLOOKUP(V141,Assumptions!$A$7:$F$11,3,FALSE),3)+IFERROR(VLOOKUP(V141,Assumptions!$A$7:$F$11,4,FALSE),8)/2)</f>
        <v/>
      </c>
      <c r="Y141" s="22">
        <f>U141*W141/(1+Assumptions!$B$3)^X141</f>
        <v/>
      </c>
      <c r="Z141" s="26">
        <f>IF(U141=0,"",ROUND(Y141/U141*100,1))</f>
        <v/>
      </c>
      <c r="AA141" s="27">
        <f>Y141*Assumptions!$B$4</f>
        <v/>
      </c>
      <c r="AB141" s="26">
        <f>IF(U141=0,"",ROUND(AA141/U141*100,1))</f>
        <v/>
      </c>
      <c r="AC141" s="27">
        <f>Y141-AA141</f>
        <v/>
      </c>
      <c r="AD141" s="26">
        <f>IF(U141=0,"",ROUND((Y141-AA141)/U141*100,1))</f>
        <v/>
      </c>
      <c r="AE141" s="28" t="inlineStr">
        <is>
          <t>OK — totals reconciled</t>
        </is>
      </c>
      <c r="AF141" s="29" t="inlineStr">
        <is>
          <t>https://bugarimecoelho.com.br/ws/media-library/b6b7ea42b9fa2afe30bc728fe00cd5c6/07---edital-do-processamento-da-recuperacao-judicial.pdf</t>
        </is>
      </c>
      <c r="AG141" s="28" t="inlineStr">
        <is>
          <t>p16 r2</t>
        </is>
      </c>
      <c r="AH141" s="28" t="inlineStr">
        <is>
          <t>p16: R$ 2.526.000,00</t>
        </is>
      </c>
      <c r="AI141" s="28" t="inlineStr">
        <is>
          <t>Unclassified list</t>
        </is>
      </c>
      <c r="AJ141" s="28" t="inlineStr">
        <is>
          <t>2026-07-09</t>
        </is>
      </c>
      <c r="AK141" s="28" t="inlineStr">
        <is>
          <t>NONE FOUND</t>
        </is>
      </c>
      <c r="AL141" s="30" t="inlineStr">
        <is>
          <t>3000117-40.2025.8.06.0512</t>
        </is>
      </c>
      <c r="AM141" s="30" t="inlineStr">
        <is>
          <t>TJCE</t>
        </is>
      </c>
      <c r="AN141" s="30" t="inlineStr">
        <is>
          <t>ACTIVE</t>
        </is>
      </c>
      <c r="AO141" s="30" t="n">
        <v>2025</v>
      </c>
      <c r="AP141" s="30" t="inlineStr">
        <is>
          <t>live case, no plan document yet</t>
        </is>
      </c>
      <c r="AQ141" s="30" t="inlineStr">
        <is>
          <t>11.399.787/0001-22</t>
        </is>
      </c>
      <c r="AR141" s="30" t="inlineStr">
        <is>
          <t>printed on the list (read twice)</t>
        </is>
      </c>
      <c r="AS141" s="30" t="inlineStr">
        <is>
          <t>SAO PAULO</t>
        </is>
      </c>
      <c r="AT141" s="30" t="inlineStr">
        <is>
          <t>SP</t>
        </is>
      </c>
      <c r="AU141" s="30" t="inlineStr">
        <is>
          <t>Bancos múltiplos, com carteira comercial</t>
        </is>
      </c>
      <c r="AV141" s="30" t="inlineStr">
        <is>
          <t>DEMAIS</t>
        </is>
      </c>
      <c r="AW141" s="31" t="n">
        <v>13924903000</v>
      </c>
      <c r="AX141" s="30" t="inlineStr">
        <is>
          <t>LARGE CORP</t>
        </is>
      </c>
      <c r="AY141" s="30" t="inlineStr">
        <is>
          <t>58160789</t>
        </is>
      </c>
      <c r="AZ141" s="30" t="n">
        <v>1</v>
      </c>
      <c r="BA141" s="30" t="inlineStr">
        <is>
          <t>LIKELY_FINANCIAL_BY_NAME ROWS:p16r2</t>
        </is>
      </c>
    </row>
    <row r="142">
      <c r="A142" s="16" t="inlineStr">
        <is>
          <t>BANCO SAFRA S A</t>
        </is>
      </c>
      <c r="B142" s="17" t="n">
        <v>2519726.54</v>
      </c>
      <c r="C142" s="18" t="inlineStr">
        <is>
          <t>Grupo Rech</t>
        </is>
      </c>
      <c r="D142" s="19" t="inlineStr">
        <is>
          <t>NEW</t>
        </is>
      </c>
      <c r="E142" s="20" t="inlineStr"/>
      <c r="F142" s="19" t="inlineStr"/>
      <c r="G142" s="20" t="inlineStr"/>
      <c r="H142" s="19" t="inlineStr"/>
      <c r="I142" s="21" t="inlineStr">
        <is>
          <t>Vanessa Biotti</t>
        </is>
      </c>
      <c r="J142" s="21" t="inlineStr">
        <is>
          <t>Gerente de Recuperação de Crédito</t>
        </is>
      </c>
      <c r="K142" s="21" t="inlineStr">
        <is>
          <t>(11) 3175-7575</t>
        </is>
      </c>
      <c r="L142" s="21" t="inlineStr"/>
      <c r="M142" s="21" t="inlineStr"/>
      <c r="N142" s="21" t="inlineStr">
        <is>
          <t>vanessa.biotti@safra.com.br</t>
        </is>
      </c>
      <c r="O142" s="21" t="inlineStr">
        <is>
          <t>rodrigo.anjos@safra.com.br</t>
        </is>
      </c>
      <c r="P142" s="21" t="inlineStr">
        <is>
          <t>Rodrigo Anjos</t>
        </is>
      </c>
      <c r="Q142" s="21" t="inlineStr">
        <is>
          <t>Advogado Sênior - Jurídico Contencioso - Recuperação de Crédito - NPL</t>
        </is>
      </c>
      <c r="R142" s="21" t="inlineStr"/>
      <c r="S142" s="21" t="inlineStr">
        <is>
          <t>rodrigo.anjos@safra.com.br</t>
        </is>
      </c>
      <c r="T142" s="21" t="inlineStr">
        <is>
          <t>email verified by Apollo</t>
        </is>
      </c>
      <c r="U142" s="22" t="n">
        <v>2519726.54</v>
      </c>
      <c r="V142" s="23" t="inlineStr">
        <is>
          <t>B</t>
        </is>
      </c>
      <c r="W142" s="24">
        <f>IFERROR(VLOOKUP(V142,Assumptions!$A$7:$F$11,2,FALSE),0)</f>
        <v/>
      </c>
      <c r="X142" s="25">
        <f>IF(V142="A",MAX(1,IFERROR(VLOOKUP(V142,Assumptions!$A$7:$F$11,3,FALSE),3)+IFERROR(VLOOKUP(V142,Assumptions!$A$7:$F$11,4,FALSE),8)/2-MAX(0,IF(AO142="",0,YEAR(TODAY())-AO142)-IFERROR(VLOOKUP(V142,Assumptions!$A$7:$F$11,5,FALSE),1.5))),IFERROR(VLOOKUP(V142,Assumptions!$A$7:$F$11,5,FALSE),2.5)+IFERROR(VLOOKUP(V142,Assumptions!$A$7:$F$11,3,FALSE),3)+IFERROR(VLOOKUP(V142,Assumptions!$A$7:$F$11,4,FALSE),8)/2)</f>
        <v/>
      </c>
      <c r="Y142" s="22">
        <f>U142*W142/(1+Assumptions!$B$3)^X142</f>
        <v/>
      </c>
      <c r="Z142" s="26">
        <f>IF(U142=0,"",ROUND(Y142/U142*100,1))</f>
        <v/>
      </c>
      <c r="AA142" s="27">
        <f>Y142*Assumptions!$B$4</f>
        <v/>
      </c>
      <c r="AB142" s="26">
        <f>IF(U142=0,"",ROUND(AA142/U142*100,1))</f>
        <v/>
      </c>
      <c r="AC142" s="27">
        <f>Y142-AA142</f>
        <v/>
      </c>
      <c r="AD142" s="26">
        <f>IF(U142=0,"",ROUND((Y142-AA142)/U142*100,1))</f>
        <v/>
      </c>
      <c r="AE142" s="36" t="inlineStr">
        <is>
          <t>CHECK — source is not a statutory creditor list</t>
        </is>
      </c>
      <c r="AF142" s="29" t="inlineStr">
        <is>
          <t>https://credibilita.com.br/wp-content/uploads/2025/09/Relacao-Credores-29.04.2026.pdf</t>
        </is>
      </c>
      <c r="AG142" s="28" t="inlineStr">
        <is>
          <t>p1 r12</t>
        </is>
      </c>
      <c r="AH142" s="28" t="inlineStr">
        <is>
          <t>p1: R$ 2.519.726,54</t>
        </is>
      </c>
      <c r="AI142" s="28" t="inlineStr">
        <is>
          <t>Quorum list — NOT an art. 7/51 list</t>
        </is>
      </c>
      <c r="AJ142" s="28" t="inlineStr"/>
      <c r="AK142" s="28" t="inlineStr">
        <is>
          <t>NONE FOUND</t>
        </is>
      </c>
      <c r="AL142" s="30" t="inlineStr">
        <is>
          <t>5057720-48.2025.8.24.0023</t>
        </is>
      </c>
      <c r="AM142" s="30" t="inlineStr">
        <is>
          <t>TJSC</t>
        </is>
      </c>
      <c r="AN142" s="30" t="inlineStr"/>
      <c r="AO142" s="30" t="n">
        <v>2025</v>
      </c>
      <c r="AP142" s="30" t="inlineStr">
        <is>
          <t>live case, no plan document yet</t>
        </is>
      </c>
      <c r="AQ142" s="30" t="inlineStr"/>
      <c r="AR142" s="30" t="inlineStr">
        <is>
          <t>portal page title / URL — not printed on the list</t>
        </is>
      </c>
      <c r="AS142" s="30" t="inlineStr">
        <is>
          <t>SAO PAULO</t>
        </is>
      </c>
      <c r="AT142" s="30" t="inlineStr">
        <is>
          <t>SP</t>
        </is>
      </c>
      <c r="AU142" s="30" t="inlineStr">
        <is>
          <t>Bancos múltiplos, com carteira comercial</t>
        </is>
      </c>
      <c r="AV142" s="30" t="inlineStr">
        <is>
          <t>DEMAIS</t>
        </is>
      </c>
      <c r="AW142" s="31" t="n">
        <v>13924903000</v>
      </c>
      <c r="AX142" s="30" t="inlineStr">
        <is>
          <t>LARGE CORP</t>
        </is>
      </c>
      <c r="AY142" s="30" t="inlineStr">
        <is>
          <t>58160789</t>
        </is>
      </c>
      <c r="AZ142" s="30" t="n">
        <v>1</v>
      </c>
      <c r="BA142" s="30" t="inlineStr">
        <is>
          <t>ROWS:p1r12 UNRECONCILED_SOURCE VALUE_COL:Valor_Após_Analise CASE_NUMBER_CORRECTED</t>
        </is>
      </c>
    </row>
    <row r="143">
      <c r="A143" s="16" t="inlineStr">
        <is>
          <t>BANCO DO BRASIL SA</t>
        </is>
      </c>
      <c r="B143" s="17" t="n">
        <v>2502948.23</v>
      </c>
      <c r="C143" s="18" t="inlineStr">
        <is>
          <t>GRUPO DIAGSON</t>
        </is>
      </c>
      <c r="D143" s="19" t="inlineStr">
        <is>
          <t>NEW</t>
        </is>
      </c>
      <c r="E143" s="20" t="inlineStr"/>
      <c r="F143" s="19" t="inlineStr"/>
      <c r="G143" s="20" t="inlineStr"/>
      <c r="H143" s="19" t="inlineStr"/>
      <c r="I143" s="21" t="inlineStr">
        <is>
          <t>Thiago Cavichioli</t>
        </is>
      </c>
      <c r="J143" s="21" t="inlineStr">
        <is>
          <t>Gerente de Cobrança e Recuperação de Crédito</t>
        </is>
      </c>
      <c r="K143" s="21" t="inlineStr">
        <is>
          <t>(61) 3493-9002</t>
        </is>
      </c>
      <c r="L143" s="21" t="inlineStr"/>
      <c r="M143" s="21" t="inlineStr"/>
      <c r="N143" s="21" t="inlineStr">
        <is>
          <t>thiago.cavichioli@bb.com.br</t>
        </is>
      </c>
      <c r="O143" s="21" t="inlineStr">
        <is>
          <t>suelenmondador@bb.com.br</t>
        </is>
      </c>
      <c r="P143" s="21" t="inlineStr">
        <is>
          <t>Suelen Mondador</t>
        </is>
      </c>
      <c r="Q143" s="21" t="inlineStr">
        <is>
          <t>Gerente Especialista em Recuperação de Crédito</t>
        </is>
      </c>
      <c r="R143" s="21" t="inlineStr"/>
      <c r="S143" s="21" t="inlineStr">
        <is>
          <t>suelenmondador@bb.com.br</t>
        </is>
      </c>
      <c r="T143" s="21" t="inlineStr">
        <is>
          <t>email verified by Apollo</t>
        </is>
      </c>
      <c r="U143" s="22" t="n">
        <v>2502948.23</v>
      </c>
      <c r="V143" s="23" t="inlineStr">
        <is>
          <t>B</t>
        </is>
      </c>
      <c r="W143" s="24">
        <f>IFERROR(VLOOKUP(V143,Assumptions!$A$7:$F$11,2,FALSE),0)</f>
        <v/>
      </c>
      <c r="X143" s="25">
        <f>IF(V143="A",MAX(1,IFERROR(VLOOKUP(V143,Assumptions!$A$7:$F$11,3,FALSE),3)+IFERROR(VLOOKUP(V143,Assumptions!$A$7:$F$11,4,FALSE),8)/2-MAX(0,IF(AO143="",0,YEAR(TODAY())-AO143)-IFERROR(VLOOKUP(V143,Assumptions!$A$7:$F$11,5,FALSE),1.5))),IFERROR(VLOOKUP(V143,Assumptions!$A$7:$F$11,5,FALSE),2.5)+IFERROR(VLOOKUP(V143,Assumptions!$A$7:$F$11,3,FALSE),3)+IFERROR(VLOOKUP(V143,Assumptions!$A$7:$F$11,4,FALSE),8)/2)</f>
        <v/>
      </c>
      <c r="Y143" s="22">
        <f>U143*W143/(1+Assumptions!$B$3)^X143</f>
        <v/>
      </c>
      <c r="Z143" s="26">
        <f>IF(U143=0,"",ROUND(Y143/U143*100,1))</f>
        <v/>
      </c>
      <c r="AA143" s="27">
        <f>Y143*Assumptions!$B$4</f>
        <v/>
      </c>
      <c r="AB143" s="26">
        <f>IF(U143=0,"",ROUND(AA143/U143*100,1))</f>
        <v/>
      </c>
      <c r="AC143" s="27">
        <f>Y143-AA143</f>
        <v/>
      </c>
      <c r="AD143" s="26">
        <f>IF(U143=0,"",ROUND((Y143-AA143)/U143*100,1))</f>
        <v/>
      </c>
      <c r="AE143" s="34" t="inlineStr">
        <is>
          <t>PARTIAL — class III reconciled, other classes not</t>
        </is>
      </c>
      <c r="AF143" s="29" t="inlineStr">
        <is>
          <t>https://lrflideres.com.br/wp-content/plugins/download-attachments/includes/download.php?id=7418</t>
        </is>
      </c>
      <c r="AG143" s="28" t="inlineStr">
        <is>
          <t>p2 r40</t>
        </is>
      </c>
      <c r="AH143" s="28" t="inlineStr">
        <is>
          <t>p2: R$ 2.502.948,23</t>
        </is>
      </c>
      <c r="AI143" s="28" t="inlineStr">
        <is>
          <t>Debtor list (art. 51)</t>
        </is>
      </c>
      <c r="AJ143" s="28" t="inlineStr">
        <is>
          <t>2026-07-28</t>
        </is>
      </c>
      <c r="AK143" s="28" t="inlineStr">
        <is>
          <t>NONE FOUND</t>
        </is>
      </c>
      <c r="AL143" s="30" t="inlineStr">
        <is>
          <t>0822279-56.2026.8.15.2001</t>
        </is>
      </c>
      <c r="AM143" s="30" t="inlineStr">
        <is>
          <t>TJPB</t>
        </is>
      </c>
      <c r="AN143" s="30" t="inlineStr">
        <is>
          <t>ACTIVE</t>
        </is>
      </c>
      <c r="AO143" s="30" t="n">
        <v>2026</v>
      </c>
      <c r="AP143" s="30" t="inlineStr">
        <is>
          <t>live case, no plan document yet</t>
        </is>
      </c>
      <c r="AQ143" s="30" t="inlineStr">
        <is>
          <t>00.149.703/0001-86</t>
        </is>
      </c>
      <c r="AR143" s="30" t="inlineStr">
        <is>
          <t>printed on the list (read twice)</t>
        </is>
      </c>
      <c r="AS143" s="30" t="inlineStr">
        <is>
          <t>BRASILIA</t>
        </is>
      </c>
      <c r="AT143" s="30" t="inlineStr">
        <is>
          <t>DF</t>
        </is>
      </c>
      <c r="AU143" s="30" t="inlineStr">
        <is>
          <t>Bancos múltiplos, com carteira comercial</t>
        </is>
      </c>
      <c r="AV143" s="30" t="inlineStr">
        <is>
          <t>DEMAIS</t>
        </is>
      </c>
      <c r="AW143" s="31" t="n">
        <v>120000000000</v>
      </c>
      <c r="AX143" s="30" t="inlineStr">
        <is>
          <t>LARGE CORP</t>
        </is>
      </c>
      <c r="AY143" s="30" t="inlineStr">
        <is>
          <t>00000000</t>
        </is>
      </c>
      <c r="AZ143" s="30" t="n">
        <v>1</v>
      </c>
      <c r="BA143" s="30" t="inlineStr">
        <is>
          <t>LIKELY_FINANCIAL_BY_NAME PARTIAL_DOC_CLASS_III_RECONCILED ROWS:p2r40</t>
        </is>
      </c>
    </row>
    <row r="144">
      <c r="A144" s="16" t="inlineStr">
        <is>
          <t>SCANIA BANCO S.A.</t>
        </is>
      </c>
      <c r="B144" s="17" t="n">
        <v>2485108.25</v>
      </c>
      <c r="C144" s="18" t="inlineStr">
        <is>
          <t>GRUPO GLP</t>
        </is>
      </c>
      <c r="D144" s="19" t="inlineStr">
        <is>
          <t>NEW</t>
        </is>
      </c>
      <c r="E144" s="20" t="inlineStr"/>
      <c r="F144" s="19" t="inlineStr"/>
      <c r="G144" s="20" t="inlineStr"/>
      <c r="H144" s="19" t="inlineStr"/>
      <c r="I144" s="21" t="inlineStr">
        <is>
          <t>Anilton Marchetti</t>
        </is>
      </c>
      <c r="J144" s="21" t="inlineStr">
        <is>
          <t>Gerente Regional Scania Banco</t>
        </is>
      </c>
      <c r="K144" s="21" t="inlineStr">
        <is>
          <t>(11) 3214-0820</t>
        </is>
      </c>
      <c r="L144" s="21" t="inlineStr"/>
      <c r="M144" s="21" t="inlineStr"/>
      <c r="N144" s="21" t="inlineStr">
        <is>
          <t>anilton.marchetti@scania.com</t>
        </is>
      </c>
      <c r="O144" s="21" t="inlineStr">
        <is>
          <t>vanessa.calegari@scania.com</t>
        </is>
      </c>
      <c r="P144" s="21" t="inlineStr">
        <is>
          <t>Vanessa Calegari</t>
        </is>
      </c>
      <c r="Q144" s="21" t="inlineStr">
        <is>
          <t>Analista Financeiro Sênior/Scania Banco S/A</t>
        </is>
      </c>
      <c r="R144" s="21" t="inlineStr"/>
      <c r="S144" s="21" t="inlineStr">
        <is>
          <t>vanessa.calegari@scania.com</t>
        </is>
      </c>
      <c r="T144" s="21" t="inlineStr">
        <is>
          <t>email verified by Apollo</t>
        </is>
      </c>
      <c r="U144" s="22" t="n">
        <v>2485108.25</v>
      </c>
      <c r="V144" s="23" t="inlineStr">
        <is>
          <t>B</t>
        </is>
      </c>
      <c r="W144" s="24">
        <f>IFERROR(VLOOKUP(V144,Assumptions!$A$7:$F$11,2,FALSE),0)</f>
        <v/>
      </c>
      <c r="X144" s="25">
        <f>IF(V144="A",MAX(1,IFERROR(VLOOKUP(V144,Assumptions!$A$7:$F$11,3,FALSE),3)+IFERROR(VLOOKUP(V144,Assumptions!$A$7:$F$11,4,FALSE),8)/2-MAX(0,IF(AO144="",0,YEAR(TODAY())-AO144)-IFERROR(VLOOKUP(V144,Assumptions!$A$7:$F$11,5,FALSE),1.5))),IFERROR(VLOOKUP(V144,Assumptions!$A$7:$F$11,5,FALSE),2.5)+IFERROR(VLOOKUP(V144,Assumptions!$A$7:$F$11,3,FALSE),3)+IFERROR(VLOOKUP(V144,Assumptions!$A$7:$F$11,4,FALSE),8)/2)</f>
        <v/>
      </c>
      <c r="Y144" s="22">
        <f>U144*W144/(1+Assumptions!$B$3)^X144</f>
        <v/>
      </c>
      <c r="Z144" s="26">
        <f>IF(U144=0,"",ROUND(Y144/U144*100,1))</f>
        <v/>
      </c>
      <c r="AA144" s="27">
        <f>Y144*Assumptions!$B$4</f>
        <v/>
      </c>
      <c r="AB144" s="26">
        <f>IF(U144=0,"",ROUND(AA144/U144*100,1))</f>
        <v/>
      </c>
      <c r="AC144" s="27">
        <f>Y144-AA144</f>
        <v/>
      </c>
      <c r="AD144" s="26">
        <f>IF(U144=0,"",ROUND((Y144-AA144)/U144*100,1))</f>
        <v/>
      </c>
      <c r="AE144" s="28" t="inlineStr">
        <is>
          <t>OK — totals reconciled</t>
        </is>
      </c>
      <c r="AF144" s="29" t="inlineStr">
        <is>
          <t>https://recuperasolucoes.com/wp-content/plugins/download-attachments/includes/download.php?id=1597</t>
        </is>
      </c>
      <c r="AG144" s="28" t="inlineStr">
        <is>
          <t>p13 r20</t>
        </is>
      </c>
      <c r="AH144" s="28" t="inlineStr">
        <is>
          <t>p13: R$ 2.485.108,25</t>
        </is>
      </c>
      <c r="AI144" s="28" t="inlineStr">
        <is>
          <t>Debtor list (art. 51)</t>
        </is>
      </c>
      <c r="AJ144" s="28" t="inlineStr">
        <is>
          <t>2026-05-21</t>
        </is>
      </c>
      <c r="AK144" s="28" t="inlineStr">
        <is>
          <t>NONE FOUND</t>
        </is>
      </c>
      <c r="AL144" s="30" t="inlineStr">
        <is>
          <t>0001639-09.2026.8.17.2810</t>
        </is>
      </c>
      <c r="AM144" s="30" t="inlineStr">
        <is>
          <t>TJPE</t>
        </is>
      </c>
      <c r="AN144" s="30" t="inlineStr">
        <is>
          <t>ACTIVE</t>
        </is>
      </c>
      <c r="AO144" s="30" t="n">
        <v>2026</v>
      </c>
      <c r="AP144" s="30" t="inlineStr">
        <is>
          <t>live case, no plan document yet</t>
        </is>
      </c>
      <c r="AQ144" s="30" t="inlineStr"/>
      <c r="AR144" s="30" t="inlineStr">
        <is>
          <t>printed on the list (read twice)</t>
        </is>
      </c>
      <c r="AS144" s="30" t="inlineStr">
        <is>
          <t>SAO BERNARDO DO CAMPO</t>
        </is>
      </c>
      <c r="AT144" s="30" t="inlineStr">
        <is>
          <t>SP</t>
        </is>
      </c>
      <c r="AU144" s="30" t="inlineStr">
        <is>
          <t>Bancos múltiplos, sem carteira comercial</t>
        </is>
      </c>
      <c r="AV144" s="30" t="inlineStr">
        <is>
          <t>DEMAIS</t>
        </is>
      </c>
      <c r="AW144" s="31" t="n">
        <v>710000000</v>
      </c>
      <c r="AX144" s="30" t="inlineStr">
        <is>
          <t>LARGE CORP</t>
        </is>
      </c>
      <c r="AY144" s="30" t="inlineStr">
        <is>
          <t>11417016</t>
        </is>
      </c>
      <c r="AZ144" s="30" t="n">
        <v>1</v>
      </c>
      <c r="BA144" s="30" t="inlineStr">
        <is>
          <t>ROWS:p13r20</t>
        </is>
      </c>
    </row>
    <row r="145">
      <c r="A145" s="16" t="inlineStr">
        <is>
          <t>MSN SECURITIZADORA S.A.</t>
        </is>
      </c>
      <c r="B145" s="17" t="n">
        <v>2463062.8</v>
      </c>
      <c r="C145" s="18" t="inlineStr">
        <is>
          <t>Grupo Conduscabos</t>
        </is>
      </c>
      <c r="D145" s="19" t="inlineStr">
        <is>
          <t>NEW</t>
        </is>
      </c>
      <c r="E145" s="20" t="inlineStr"/>
      <c r="F145" s="19" t="inlineStr"/>
      <c r="G145" s="20" t="inlineStr"/>
      <c r="H145" s="19" t="inlineStr"/>
      <c r="I145" s="21" t="inlineStr">
        <is>
          <t>MARCELO ALEXANDRE RIBEIRO</t>
        </is>
      </c>
      <c r="J145" s="21" t="inlineStr">
        <is>
          <t>Presidente (RFB partner)</t>
        </is>
      </c>
      <c r="K145" s="21" t="inlineStr">
        <is>
          <t>(41) 9701-8862</t>
        </is>
      </c>
      <c r="L145" s="21" t="inlineStr"/>
      <c r="M145" s="21" t="inlineStr"/>
      <c r="N145" s="21" t="inlineStr"/>
      <c r="O145" s="21" t="inlineStr"/>
      <c r="P145" s="21" t="inlineStr">
        <is>
          <t>SIMONE BATISTA CAMARGO RIBEIRO</t>
        </is>
      </c>
      <c r="Q145" s="21" t="inlineStr">
        <is>
          <t>Diretor (RFB partner)</t>
        </is>
      </c>
      <c r="R145" s="21" t="inlineStr"/>
      <c r="S145" s="21" t="inlineStr"/>
      <c r="T145" s="21" t="inlineStr">
        <is>
          <t>RFB partner (QSA); no Apollo match</t>
        </is>
      </c>
      <c r="U145" s="22" t="n">
        <v>2463062.8</v>
      </c>
      <c r="V145" s="23" t="inlineStr">
        <is>
          <t>B</t>
        </is>
      </c>
      <c r="W145" s="24">
        <f>IFERROR(VLOOKUP(V145,Assumptions!$A$7:$F$11,2,FALSE),0)</f>
        <v/>
      </c>
      <c r="X145" s="25">
        <f>IF(V145="A",MAX(1,IFERROR(VLOOKUP(V145,Assumptions!$A$7:$F$11,3,FALSE),3)+IFERROR(VLOOKUP(V145,Assumptions!$A$7:$F$11,4,FALSE),8)/2-MAX(0,IF(AO145="",0,YEAR(TODAY())-AO145)-IFERROR(VLOOKUP(V145,Assumptions!$A$7:$F$11,5,FALSE),1.5))),IFERROR(VLOOKUP(V145,Assumptions!$A$7:$F$11,5,FALSE),2.5)+IFERROR(VLOOKUP(V145,Assumptions!$A$7:$F$11,3,FALSE),3)+IFERROR(VLOOKUP(V145,Assumptions!$A$7:$F$11,4,FALSE),8)/2)</f>
        <v/>
      </c>
      <c r="Y145" s="22">
        <f>U145*W145/(1+Assumptions!$B$3)^X145</f>
        <v/>
      </c>
      <c r="Z145" s="26">
        <f>IF(U145=0,"",ROUND(Y145/U145*100,1))</f>
        <v/>
      </c>
      <c r="AA145" s="27">
        <f>Y145*Assumptions!$B$4</f>
        <v/>
      </c>
      <c r="AB145" s="26">
        <f>IF(U145=0,"",ROUND(AA145/U145*100,1))</f>
        <v/>
      </c>
      <c r="AC145" s="27">
        <f>Y145-AA145</f>
        <v/>
      </c>
      <c r="AD145" s="26">
        <f>IF(U145=0,"",ROUND((Y145-AA145)/U145*100,1))</f>
        <v/>
      </c>
      <c r="AE145" s="33" t="inlineStr">
        <is>
          <t>NO TOTALS — list prints none; check page</t>
        </is>
      </c>
      <c r="AF145" s="29" t="inlineStr">
        <is>
          <t>https://assistjud.com.br/wp-content/uploads/elementor/forms/65098c80a5824.pdf</t>
        </is>
      </c>
      <c r="AG145" s="28" t="inlineStr">
        <is>
          <t>p9 r4; p18 r11</t>
        </is>
      </c>
      <c r="AH145" s="28" t="inlineStr">
        <is>
          <t>p9: R$ 2.310.588,55; p18: R$ 152.474,25</t>
        </is>
      </c>
      <c r="AI145" s="28" t="inlineStr">
        <is>
          <t>AJ list (art. 7 §2)</t>
        </is>
      </c>
      <c r="AJ145" s="28" t="inlineStr">
        <is>
          <t>2023-09-18</t>
        </is>
      </c>
      <c r="AK145" s="28" t="inlineStr">
        <is>
          <t>NONE FOUND</t>
        </is>
      </c>
      <c r="AL145" s="30" t="inlineStr">
        <is>
          <t>8005129-09.2023.8.05.0039</t>
        </is>
      </c>
      <c r="AM145" s="30" t="inlineStr">
        <is>
          <t>TJBA</t>
        </is>
      </c>
      <c r="AN145" s="30" t="inlineStr">
        <is>
          <t>ACTIVE</t>
        </is>
      </c>
      <c r="AO145" s="30" t="n">
        <v>2023</v>
      </c>
      <c r="AP145" s="30" t="inlineStr">
        <is>
          <t>live case, no plan document yet</t>
        </is>
      </c>
      <c r="AQ145" s="30" t="inlineStr"/>
      <c r="AR145" s="30" t="inlineStr">
        <is>
          <t>printed on the list (read twice)</t>
        </is>
      </c>
      <c r="AS145" s="30" t="inlineStr">
        <is>
          <t>CURITIBA</t>
        </is>
      </c>
      <c r="AT145" s="30" t="inlineStr">
        <is>
          <t>PR</t>
        </is>
      </c>
      <c r="AU145" s="30" t="inlineStr">
        <is>
          <t>Securitização de créditos</t>
        </is>
      </c>
      <c r="AV145" s="30" t="inlineStr">
        <is>
          <t>DEMAIS</t>
        </is>
      </c>
      <c r="AW145" s="31" t="n">
        <v>1000</v>
      </c>
      <c r="AX145" s="30" t="inlineStr">
        <is>
          <t>MID-MARKET</t>
        </is>
      </c>
      <c r="AY145" s="30" t="inlineStr">
        <is>
          <t>20204300</t>
        </is>
      </c>
      <c r="AZ145" s="30" t="n">
        <v>2</v>
      </c>
      <c r="BA145" s="30" t="inlineStr">
        <is>
          <t>ROWS:p9r4,p18r11 UNRECONCILED_SOURCE</t>
        </is>
      </c>
    </row>
    <row r="146">
      <c r="A146" s="16" t="inlineStr">
        <is>
          <t>ITAU UNIBANCO S.A.</t>
        </is>
      </c>
      <c r="B146" s="17" t="n">
        <v>2425507.4</v>
      </c>
      <c r="C146" s="18" t="inlineStr">
        <is>
          <t>GRUPO GLP</t>
        </is>
      </c>
      <c r="D146" s="19" t="inlineStr">
        <is>
          <t>NEW</t>
        </is>
      </c>
      <c r="E146" s="20" t="inlineStr"/>
      <c r="F146" s="19" t="inlineStr"/>
      <c r="G146" s="20" t="inlineStr"/>
      <c r="H146" s="19" t="inlineStr"/>
      <c r="I146" s="21" t="inlineStr">
        <is>
          <t>Murilo Gigliucci</t>
        </is>
      </c>
      <c r="J146" s="21" t="inlineStr">
        <is>
          <t>Superintendente de Reestruturação de Crédito</t>
        </is>
      </c>
      <c r="K146" s="21" t="inlineStr">
        <is>
          <t>(11) 3003-4828</t>
        </is>
      </c>
      <c r="L146" s="21" t="inlineStr"/>
      <c r="M146" s="21" t="inlineStr"/>
      <c r="N146" s="21" t="inlineStr">
        <is>
          <t>murilo.gigliucci@itau-unibanco.com.br</t>
        </is>
      </c>
      <c r="O146" s="21" t="inlineStr">
        <is>
          <t>pedro.ornellas-geronimo@itau-unibanco.com.br</t>
        </is>
      </c>
      <c r="P146" s="21" t="inlineStr">
        <is>
          <t>Pedro Ornellas</t>
        </is>
      </c>
      <c r="Q146" s="21" t="inlineStr">
        <is>
          <t>Superintendente de Recuperação de Crédito</t>
        </is>
      </c>
      <c r="R146" s="21" t="inlineStr"/>
      <c r="S146" s="21" t="inlineStr">
        <is>
          <t>pedro.ornellas-geronimo@itau-unibanco.com.br</t>
        </is>
      </c>
      <c r="T146" s="21" t="inlineStr">
        <is>
          <t>email verified by Apollo</t>
        </is>
      </c>
      <c r="U146" s="22" t="n">
        <v>2425507.4</v>
      </c>
      <c r="V146" s="23" t="inlineStr">
        <is>
          <t>B</t>
        </is>
      </c>
      <c r="W146" s="24">
        <f>IFERROR(VLOOKUP(V146,Assumptions!$A$7:$F$11,2,FALSE),0)</f>
        <v/>
      </c>
      <c r="X146" s="25">
        <f>IF(V146="A",MAX(1,IFERROR(VLOOKUP(V146,Assumptions!$A$7:$F$11,3,FALSE),3)+IFERROR(VLOOKUP(V146,Assumptions!$A$7:$F$11,4,FALSE),8)/2-MAX(0,IF(AO146="",0,YEAR(TODAY())-AO146)-IFERROR(VLOOKUP(V146,Assumptions!$A$7:$F$11,5,FALSE),1.5))),IFERROR(VLOOKUP(V146,Assumptions!$A$7:$F$11,5,FALSE),2.5)+IFERROR(VLOOKUP(V146,Assumptions!$A$7:$F$11,3,FALSE),3)+IFERROR(VLOOKUP(V146,Assumptions!$A$7:$F$11,4,FALSE),8)/2)</f>
        <v/>
      </c>
      <c r="Y146" s="22">
        <f>U146*W146/(1+Assumptions!$B$3)^X146</f>
        <v/>
      </c>
      <c r="Z146" s="26">
        <f>IF(U146=0,"",ROUND(Y146/U146*100,1))</f>
        <v/>
      </c>
      <c r="AA146" s="27">
        <f>Y146*Assumptions!$B$4</f>
        <v/>
      </c>
      <c r="AB146" s="26">
        <f>IF(U146=0,"",ROUND(AA146/U146*100,1))</f>
        <v/>
      </c>
      <c r="AC146" s="27">
        <f>Y146-AA146</f>
        <v/>
      </c>
      <c r="AD146" s="26">
        <f>IF(U146=0,"",ROUND((Y146-AA146)/U146*100,1))</f>
        <v/>
      </c>
      <c r="AE146" s="28" t="inlineStr">
        <is>
          <t>OK — totals reconciled</t>
        </is>
      </c>
      <c r="AF146" s="29" t="inlineStr">
        <is>
          <t>https://recuperasolucoes.com/wp-content/plugins/download-attachments/includes/download.php?id=1597</t>
        </is>
      </c>
      <c r="AG146" s="28" t="inlineStr">
        <is>
          <t>p13 r15</t>
        </is>
      </c>
      <c r="AH146" s="28" t="inlineStr">
        <is>
          <t>p13: R$ 2.425.507,40</t>
        </is>
      </c>
      <c r="AI146" s="28" t="inlineStr">
        <is>
          <t>Debtor list (art. 51)</t>
        </is>
      </c>
      <c r="AJ146" s="28" t="inlineStr">
        <is>
          <t>2026-05-21</t>
        </is>
      </c>
      <c r="AK146" s="28" t="inlineStr">
        <is>
          <t>NONE FOUND</t>
        </is>
      </c>
      <c r="AL146" s="30" t="inlineStr">
        <is>
          <t>0001639-09.2026.8.17.2810</t>
        </is>
      </c>
      <c r="AM146" s="30" t="inlineStr">
        <is>
          <t>TJPE</t>
        </is>
      </c>
      <c r="AN146" s="30" t="inlineStr">
        <is>
          <t>ACTIVE</t>
        </is>
      </c>
      <c r="AO146" s="30" t="n">
        <v>2026</v>
      </c>
      <c r="AP146" s="30" t="inlineStr">
        <is>
          <t>live case, no plan document yet</t>
        </is>
      </c>
      <c r="AQ146" s="30" t="inlineStr"/>
      <c r="AR146" s="30" t="inlineStr">
        <is>
          <t>printed on the list (read twice)</t>
        </is>
      </c>
      <c r="AS146" s="30" t="inlineStr">
        <is>
          <t>SAO PAULO</t>
        </is>
      </c>
      <c r="AT146" s="30" t="inlineStr">
        <is>
          <t>SP</t>
        </is>
      </c>
      <c r="AU146" s="30" t="inlineStr">
        <is>
          <t>Bancos comerciais</t>
        </is>
      </c>
      <c r="AV146" s="30" t="inlineStr">
        <is>
          <t>DEMAIS</t>
        </is>
      </c>
      <c r="AW146" s="31" t="n">
        <v>76200000000</v>
      </c>
      <c r="AX146" s="30" t="inlineStr">
        <is>
          <t>LARGE CORP</t>
        </is>
      </c>
      <c r="AY146" s="30" t="inlineStr">
        <is>
          <t>60701190</t>
        </is>
      </c>
      <c r="AZ146" s="30" t="n">
        <v>1</v>
      </c>
      <c r="BA146" s="30" t="inlineStr">
        <is>
          <t>LIKELY_FINANCIAL_BY_NAME ROWS:p13r15</t>
        </is>
      </c>
    </row>
    <row r="147">
      <c r="A147" s="16" t="inlineStr">
        <is>
          <t>AMIL ASSISTENCIA MEDICA INTERNACIONAL S.A.</t>
        </is>
      </c>
      <c r="B147" s="17" t="n">
        <v>4484696.43</v>
      </c>
      <c r="C147" s="18" t="inlineStr">
        <is>
          <t>EGESA ENGENHARIA S/A (Consórcio ETDI)</t>
        </is>
      </c>
      <c r="D147" s="19" t="inlineStr">
        <is>
          <t>NEW</t>
        </is>
      </c>
      <c r="E147" s="20" t="inlineStr"/>
      <c r="F147" s="19" t="inlineStr"/>
      <c r="G147" s="20" t="inlineStr"/>
      <c r="H147" s="19" t="inlineStr"/>
      <c r="I147" s="21" t="inlineStr">
        <is>
          <t>Luiza Parente</t>
        </is>
      </c>
      <c r="J147" s="21" t="inlineStr">
        <is>
          <t>Analista Pleno | Jurídico Contencioso Cível</t>
        </is>
      </c>
      <c r="K147" s="21" t="inlineStr">
        <is>
          <t>(21) 3805-1000</t>
        </is>
      </c>
      <c r="L147" s="21" t="inlineStr"/>
      <c r="M147" s="21" t="inlineStr"/>
      <c r="N147" s="21" t="inlineStr">
        <is>
          <t>lparente@amil.com.br</t>
        </is>
      </c>
      <c r="O147" s="21" t="inlineStr"/>
      <c r="P147" s="21" t="inlineStr">
        <is>
          <t>Rebeca Castro</t>
        </is>
      </c>
      <c r="Q147" s="21" t="inlineStr">
        <is>
          <t>Analista Jurídico Sênior Contencioso</t>
        </is>
      </c>
      <c r="R147" s="21" t="inlineStr"/>
      <c r="S147" s="21" t="inlineStr"/>
      <c r="T147" s="21" t="inlineStr">
        <is>
          <t>email verified by Apollo</t>
        </is>
      </c>
      <c r="U147" s="22" t="n">
        <v>4484696.43</v>
      </c>
      <c r="V147" s="32" t="inlineStr">
        <is>
          <t>U</t>
        </is>
      </c>
      <c r="W147" s="24">
        <f>IFERROR(VLOOKUP(V147,Assumptions!$A$7:$F$11,2,FALSE),0)</f>
        <v/>
      </c>
      <c r="X147" s="25">
        <f>IF(V147="A",MAX(1,IFERROR(VLOOKUP(V147,Assumptions!$A$7:$F$11,3,FALSE),3)+IFERROR(VLOOKUP(V147,Assumptions!$A$7:$F$11,4,FALSE),8)/2-MAX(0,IF(AO147="",0,YEAR(TODAY())-AO147)-IFERROR(VLOOKUP(V147,Assumptions!$A$7:$F$11,5,FALSE),1.5))),IFERROR(VLOOKUP(V147,Assumptions!$A$7:$F$11,5,FALSE),2.5)+IFERROR(VLOOKUP(V147,Assumptions!$A$7:$F$11,3,FALSE),3)+IFERROR(VLOOKUP(V147,Assumptions!$A$7:$F$11,4,FALSE),8)/2)</f>
        <v/>
      </c>
      <c r="Y147" s="22">
        <f>U147*W147/(1+Assumptions!$B$3)^X147</f>
        <v/>
      </c>
      <c r="Z147" s="26">
        <f>IF(U147=0,"",ROUND(Y147/U147*100,1))</f>
        <v/>
      </c>
      <c r="AA147" s="27">
        <f>Y147*Assumptions!$B$4</f>
        <v/>
      </c>
      <c r="AB147" s="26">
        <f>IF(U147=0,"",ROUND(AA147/U147*100,1))</f>
        <v/>
      </c>
      <c r="AC147" s="27">
        <f>Y147-AA147</f>
        <v/>
      </c>
      <c r="AD147" s="26">
        <f>IF(U147=0,"",ROUND((Y147-AA147)/U147*100,1))</f>
        <v/>
      </c>
      <c r="AE147" s="28" t="inlineStr">
        <is>
          <t>OK — totals reconciled</t>
        </is>
      </c>
      <c r="AF147" s="29" t="inlineStr">
        <is>
          <t>https://scalzilliaj.com.br/sgc/download.php?file=files/processo_documento/processo_documento09514021082025_1_.pdf&amp;nome=04 - Relação de credores das Recuperandas</t>
        </is>
      </c>
      <c r="AG147" s="28" t="inlineStr">
        <is>
          <t>p62 r6</t>
        </is>
      </c>
      <c r="AH147" s="28" t="inlineStr">
        <is>
          <t>p62: R$ 4.484.696,43</t>
        </is>
      </c>
      <c r="AI147" s="28" t="inlineStr">
        <is>
          <t>Debtor list (art. 51)</t>
        </is>
      </c>
      <c r="AJ147" s="28" t="inlineStr"/>
      <c r="AK147" s="28" t="inlineStr">
        <is>
          <t>NONE FOUND</t>
        </is>
      </c>
      <c r="AL147" s="30" t="inlineStr">
        <is>
          <t>(not printed)</t>
        </is>
      </c>
      <c r="AM147" s="30" t="inlineStr"/>
      <c r="AN147" s="30" t="inlineStr"/>
      <c r="AO147" s="30" t="inlineStr"/>
      <c r="AP147" s="30" t="inlineStr">
        <is>
          <t>RJ case number not identified on the document</t>
        </is>
      </c>
      <c r="AQ147" s="30" t="inlineStr"/>
      <c r="AR147" s="30" t="inlineStr">
        <is>
          <t>portal page title / URL — not printed on the list</t>
        </is>
      </c>
      <c r="AS147" s="30" t="inlineStr">
        <is>
          <t>SAO PAULO</t>
        </is>
      </c>
      <c r="AT147" s="30" t="inlineStr">
        <is>
          <t>SP</t>
        </is>
      </c>
      <c r="AU147" s="30" t="inlineStr">
        <is>
          <t>Planos de saúde</t>
        </is>
      </c>
      <c r="AV147" s="30" t="inlineStr">
        <is>
          <t>DEMAIS</t>
        </is>
      </c>
      <c r="AW147" s="31" t="n">
        <v>12019176000</v>
      </c>
      <c r="AX147" s="30" t="inlineStr">
        <is>
          <t>LARGE CORP</t>
        </is>
      </c>
      <c r="AY147" s="30" t="inlineStr">
        <is>
          <t>29309127</t>
        </is>
      </c>
      <c r="AZ147" s="30" t="n">
        <v>1</v>
      </c>
      <c r="BA147" s="30" t="inlineStr">
        <is>
          <t>ROWS:p62r6 VALUE_COL:Valor_Atualizado CASE_NUMBER_CORRECTED</t>
        </is>
      </c>
    </row>
    <row r="148">
      <c r="A148" s="16" t="inlineStr">
        <is>
          <t>SICREDI RECIFE - COOPERATIVA DE CREDITO, POUPANCA E INVESTIMENTO SICREDI RECIFE</t>
        </is>
      </c>
      <c r="B148" s="17" t="n">
        <v>2386846.42</v>
      </c>
      <c r="C148" s="18" t="inlineStr">
        <is>
          <t>GRUPO CEAM</t>
        </is>
      </c>
      <c r="D148" s="19" t="inlineStr">
        <is>
          <t>NEW</t>
        </is>
      </c>
      <c r="E148" s="20" t="inlineStr"/>
      <c r="F148" s="19" t="inlineStr"/>
      <c r="G148" s="20" t="inlineStr"/>
      <c r="H148" s="19" t="inlineStr"/>
      <c r="I148" s="21" t="inlineStr">
        <is>
          <t>Luana Prysthon</t>
        </is>
      </c>
      <c r="J148" s="21" t="inlineStr">
        <is>
          <t>Gerente de Recuperação de Crédito</t>
        </is>
      </c>
      <c r="K148" s="21" t="inlineStr"/>
      <c r="L148" s="21" t="inlineStr"/>
      <c r="M148" s="21" t="inlineStr"/>
      <c r="N148" s="21" t="inlineStr"/>
      <c r="O148" s="21" t="inlineStr">
        <is>
          <t>rubia_albuquerque@sicredi.com.br</t>
        </is>
      </c>
      <c r="P148" s="21" t="inlineStr">
        <is>
          <t>Rubia Albuquerque</t>
        </is>
      </c>
      <c r="Q148" s="21" t="inlineStr">
        <is>
          <t>Gerente Ciclo de Crédito</t>
        </is>
      </c>
      <c r="R148" s="21" t="inlineStr"/>
      <c r="S148" s="21" t="inlineStr">
        <is>
          <t>rubia_albuquerque@sicredi.com.br</t>
        </is>
      </c>
      <c r="T148" s="21" t="inlineStr">
        <is>
          <t>no work email found in Apollo</t>
        </is>
      </c>
      <c r="U148" s="22" t="n">
        <v>2386846.42</v>
      </c>
      <c r="V148" s="23" t="inlineStr">
        <is>
          <t>B</t>
        </is>
      </c>
      <c r="W148" s="24">
        <f>IFERROR(VLOOKUP(V148,Assumptions!$A$7:$F$11,2,FALSE),0)</f>
        <v/>
      </c>
      <c r="X148" s="25">
        <f>IF(V148="A",MAX(1,IFERROR(VLOOKUP(V148,Assumptions!$A$7:$F$11,3,FALSE),3)+IFERROR(VLOOKUP(V148,Assumptions!$A$7:$F$11,4,FALSE),8)/2-MAX(0,IF(AO148="",0,YEAR(TODAY())-AO148)-IFERROR(VLOOKUP(V148,Assumptions!$A$7:$F$11,5,FALSE),1.5))),IFERROR(VLOOKUP(V148,Assumptions!$A$7:$F$11,5,FALSE),2.5)+IFERROR(VLOOKUP(V148,Assumptions!$A$7:$F$11,3,FALSE),3)+IFERROR(VLOOKUP(V148,Assumptions!$A$7:$F$11,4,FALSE),8)/2)</f>
        <v/>
      </c>
      <c r="Y148" s="22">
        <f>U148*W148/(1+Assumptions!$B$3)^X148</f>
        <v/>
      </c>
      <c r="Z148" s="26">
        <f>IF(U148=0,"",ROUND(Y148/U148*100,1))</f>
        <v/>
      </c>
      <c r="AA148" s="27">
        <f>Y148*Assumptions!$B$4</f>
        <v/>
      </c>
      <c r="AB148" s="26">
        <f>IF(U148=0,"",ROUND(AA148/U148*100,1))</f>
        <v/>
      </c>
      <c r="AC148" s="27">
        <f>Y148-AA148</f>
        <v/>
      </c>
      <c r="AD148" s="26">
        <f>IF(U148=0,"",ROUND((Y148-AA148)/U148*100,1))</f>
        <v/>
      </c>
      <c r="AE148" s="28" t="inlineStr">
        <is>
          <t>OK — totals reconciled</t>
        </is>
      </c>
      <c r="AF148" s="29" t="inlineStr">
        <is>
          <t>https://recuperasolucoes.com/wp-content/plugins/download-attachments/includes/download.php?id=1492</t>
        </is>
      </c>
      <c r="AG148" s="28" t="inlineStr">
        <is>
          <t>p5 r68</t>
        </is>
      </c>
      <c r="AH148" s="28" t="inlineStr">
        <is>
          <t>p5: R$ 2.386.846,42</t>
        </is>
      </c>
      <c r="AI148" s="28" t="inlineStr">
        <is>
          <t>AJ list (art. 7 §2)</t>
        </is>
      </c>
      <c r="AJ148" s="28" t="inlineStr">
        <is>
          <t>2025-09-12</t>
        </is>
      </c>
      <c r="AK148" s="28" t="inlineStr">
        <is>
          <t>NONE FOUND</t>
        </is>
      </c>
      <c r="AL148" s="30" t="inlineStr">
        <is>
          <t>0133628-14.2024.8.17.2001</t>
        </is>
      </c>
      <c r="AM148" s="30" t="inlineStr">
        <is>
          <t>TJPE</t>
        </is>
      </c>
      <c r="AN148" s="30" t="inlineStr">
        <is>
          <t>ACTIVE</t>
        </is>
      </c>
      <c r="AO148" s="30" t="n">
        <v>2024</v>
      </c>
      <c r="AP148" s="30" t="inlineStr">
        <is>
          <t>live case, no plan document yet</t>
        </is>
      </c>
      <c r="AQ148" s="30" t="inlineStr">
        <is>
          <t>32.525.567/0001-78</t>
        </is>
      </c>
      <c r="AR148" s="30" t="inlineStr">
        <is>
          <t>printed on the list (read twice)</t>
        </is>
      </c>
      <c r="AS148" s="30" t="inlineStr"/>
      <c r="AT148" s="30" t="inlineStr"/>
      <c r="AU148" s="30" t="inlineStr"/>
      <c r="AV148" s="30" t="inlineStr"/>
      <c r="AW148" s="31" t="inlineStr"/>
      <c r="AX148" s="30" t="inlineStr">
        <is>
          <t>MID-MARKET</t>
        </is>
      </c>
      <c r="AY148" s="30" t="inlineStr">
        <is>
          <t>70241658</t>
        </is>
      </c>
      <c r="AZ148" s="30" t="n">
        <v>1</v>
      </c>
      <c r="BA148" s="30" t="inlineStr">
        <is>
          <t>LIKELY_FINANCIAL_BY_NAME ROWS:p5r68</t>
        </is>
      </c>
    </row>
    <row r="149">
      <c r="A149" s="16" t="inlineStr">
        <is>
          <t>BANCO ABC BRASIL S.A.</t>
        </is>
      </c>
      <c r="B149" s="17" t="n">
        <v>2355675.34</v>
      </c>
      <c r="C149" s="18" t="inlineStr">
        <is>
          <t>GRUPO GLP</t>
        </is>
      </c>
      <c r="D149" s="19" t="inlineStr">
        <is>
          <t>NEW</t>
        </is>
      </c>
      <c r="E149" s="20" t="inlineStr"/>
      <c r="F149" s="19" t="inlineStr"/>
      <c r="G149" s="20" t="inlineStr"/>
      <c r="H149" s="19" t="inlineStr"/>
      <c r="I149" s="21" t="inlineStr">
        <is>
          <t>Luciano Makino</t>
        </is>
      </c>
      <c r="J149" s="21" t="inlineStr">
        <is>
          <t>Especialista de Recuperação de Crédito</t>
        </is>
      </c>
      <c r="K149" s="21" t="inlineStr">
        <is>
          <t>(11) 3170-2000</t>
        </is>
      </c>
      <c r="L149" s="21" t="inlineStr"/>
      <c r="M149" s="21" t="inlineStr"/>
      <c r="N149" s="21" t="inlineStr">
        <is>
          <t>luciano.makino@abcbrasil.com.br</t>
        </is>
      </c>
      <c r="O149" s="21" t="inlineStr">
        <is>
          <t>marilia.neves@abcbrasil.com.br</t>
        </is>
      </c>
      <c r="P149" s="21" t="inlineStr">
        <is>
          <t>Marilia Neves</t>
        </is>
      </c>
      <c r="Q149" s="21" t="inlineStr">
        <is>
          <t>Advogado Especialista em Recuperação de Crédito</t>
        </is>
      </c>
      <c r="R149" s="21" t="inlineStr"/>
      <c r="S149" s="21" t="inlineStr">
        <is>
          <t>marilia.neves@abcbrasil.com.br</t>
        </is>
      </c>
      <c r="T149" s="21" t="inlineStr">
        <is>
          <t>email verified by Apollo</t>
        </is>
      </c>
      <c r="U149" s="22" t="n">
        <v>2355675.34</v>
      </c>
      <c r="V149" s="23" t="inlineStr">
        <is>
          <t>B</t>
        </is>
      </c>
      <c r="W149" s="24">
        <f>IFERROR(VLOOKUP(V149,Assumptions!$A$7:$F$11,2,FALSE),0)</f>
        <v/>
      </c>
      <c r="X149" s="25">
        <f>IF(V149="A",MAX(1,IFERROR(VLOOKUP(V149,Assumptions!$A$7:$F$11,3,FALSE),3)+IFERROR(VLOOKUP(V149,Assumptions!$A$7:$F$11,4,FALSE),8)/2-MAX(0,IF(AO149="",0,YEAR(TODAY())-AO149)-IFERROR(VLOOKUP(V149,Assumptions!$A$7:$F$11,5,FALSE),1.5))),IFERROR(VLOOKUP(V149,Assumptions!$A$7:$F$11,5,FALSE),2.5)+IFERROR(VLOOKUP(V149,Assumptions!$A$7:$F$11,3,FALSE),3)+IFERROR(VLOOKUP(V149,Assumptions!$A$7:$F$11,4,FALSE),8)/2)</f>
        <v/>
      </c>
      <c r="Y149" s="22">
        <f>U149*W149/(1+Assumptions!$B$3)^X149</f>
        <v/>
      </c>
      <c r="Z149" s="26">
        <f>IF(U149=0,"",ROUND(Y149/U149*100,1))</f>
        <v/>
      </c>
      <c r="AA149" s="27">
        <f>Y149*Assumptions!$B$4</f>
        <v/>
      </c>
      <c r="AB149" s="26">
        <f>IF(U149=0,"",ROUND(AA149/U149*100,1))</f>
        <v/>
      </c>
      <c r="AC149" s="27">
        <f>Y149-AA149</f>
        <v/>
      </c>
      <c r="AD149" s="26">
        <f>IF(U149=0,"",ROUND((Y149-AA149)/U149*100,1))</f>
        <v/>
      </c>
      <c r="AE149" s="28" t="inlineStr">
        <is>
          <t>OK — totals reconciled</t>
        </is>
      </c>
      <c r="AF149" s="29" t="inlineStr">
        <is>
          <t>https://recuperasolucoes.com/wp-content/plugins/download-attachments/includes/download.php?id=1597</t>
        </is>
      </c>
      <c r="AG149" s="28" t="inlineStr">
        <is>
          <t>p13 r2</t>
        </is>
      </c>
      <c r="AH149" s="28" t="inlineStr">
        <is>
          <t>p13: R$ 2.355.675,34</t>
        </is>
      </c>
      <c r="AI149" s="28" t="inlineStr">
        <is>
          <t>Debtor list (art. 51)</t>
        </is>
      </c>
      <c r="AJ149" s="28" t="inlineStr">
        <is>
          <t>2026-05-21</t>
        </is>
      </c>
      <c r="AK149" s="28" t="inlineStr">
        <is>
          <t>NONE FOUND</t>
        </is>
      </c>
      <c r="AL149" s="30" t="inlineStr">
        <is>
          <t>0001639-09.2026.8.17.2810</t>
        </is>
      </c>
      <c r="AM149" s="30" t="inlineStr">
        <is>
          <t>TJPE</t>
        </is>
      </c>
      <c r="AN149" s="30" t="inlineStr">
        <is>
          <t>ACTIVE</t>
        </is>
      </c>
      <c r="AO149" s="30" t="n">
        <v>2026</v>
      </c>
      <c r="AP149" s="30" t="inlineStr">
        <is>
          <t>live case, no plan document yet</t>
        </is>
      </c>
      <c r="AQ149" s="30" t="inlineStr"/>
      <c r="AR149" s="30" t="inlineStr">
        <is>
          <t>printed on the list (read twice)</t>
        </is>
      </c>
      <c r="AS149" s="30" t="inlineStr">
        <is>
          <t>SAO PAULO</t>
        </is>
      </c>
      <c r="AT149" s="30" t="inlineStr">
        <is>
          <t>SP</t>
        </is>
      </c>
      <c r="AU149" s="30" t="inlineStr">
        <is>
          <t>Bancos múltiplos, com carteira comercial</t>
        </is>
      </c>
      <c r="AV149" s="30" t="inlineStr">
        <is>
          <t>DEMAIS</t>
        </is>
      </c>
      <c r="AW149" s="31" t="n">
        <v>6012662300</v>
      </c>
      <c r="AX149" s="30" t="inlineStr">
        <is>
          <t>LARGE CORP</t>
        </is>
      </c>
      <c r="AY149" s="30" t="inlineStr">
        <is>
          <t>28195667</t>
        </is>
      </c>
      <c r="AZ149" s="30" t="n">
        <v>1</v>
      </c>
      <c r="BA149" s="30" t="inlineStr">
        <is>
          <t>LIKELY_FINANCIAL_BY_NAME ROWS:p13r2</t>
        </is>
      </c>
    </row>
    <row r="150">
      <c r="A150" s="16" t="inlineStr">
        <is>
          <t>BANCO DO NORDESTE DO BRASIL SA</t>
        </is>
      </c>
      <c r="B150" s="17" t="n">
        <v>2341598.97</v>
      </c>
      <c r="C150" s="18" t="inlineStr">
        <is>
          <t>GRUPO DIAGSON</t>
        </is>
      </c>
      <c r="D150" s="19" t="inlineStr">
        <is>
          <t>NEW</t>
        </is>
      </c>
      <c r="E150" s="20" t="inlineStr"/>
      <c r="F150" s="19" t="inlineStr"/>
      <c r="G150" s="20" t="inlineStr"/>
      <c r="H150" s="19" t="inlineStr"/>
      <c r="I150" s="21" t="inlineStr">
        <is>
          <t>Layslan Medeiros</t>
        </is>
      </c>
      <c r="J150" s="21" t="inlineStr">
        <is>
          <t>Gerente Executivo Operacional e de Recuperação de Crédito</t>
        </is>
      </c>
      <c r="K150" s="21" t="inlineStr">
        <is>
          <t>(85) 3299-3000</t>
        </is>
      </c>
      <c r="L150" s="21" t="inlineStr"/>
      <c r="M150" s="21" t="inlineStr"/>
      <c r="N150" s="21" t="inlineStr"/>
      <c r="O150" s="21" t="inlineStr">
        <is>
          <t>alexsander@bnb.gov.br</t>
        </is>
      </c>
      <c r="P150" s="21" t="inlineStr">
        <is>
          <t>Alexsander Farias</t>
        </is>
      </c>
      <c r="Q150" s="21" t="inlineStr">
        <is>
          <t>Gerente de Recuperação de Crédito</t>
        </is>
      </c>
      <c r="R150" s="21" t="inlineStr"/>
      <c r="S150" s="21" t="inlineStr">
        <is>
          <t>alexsander@bnb.gov.br</t>
        </is>
      </c>
      <c r="T150" s="21" t="inlineStr">
        <is>
          <t>no work email found in Apollo</t>
        </is>
      </c>
      <c r="U150" s="22" t="n">
        <v>2341598.97</v>
      </c>
      <c r="V150" s="23" t="inlineStr">
        <is>
          <t>B</t>
        </is>
      </c>
      <c r="W150" s="24">
        <f>IFERROR(VLOOKUP(V150,Assumptions!$A$7:$F$11,2,FALSE),0)</f>
        <v/>
      </c>
      <c r="X150" s="25">
        <f>IF(V150="A",MAX(1,IFERROR(VLOOKUP(V150,Assumptions!$A$7:$F$11,3,FALSE),3)+IFERROR(VLOOKUP(V150,Assumptions!$A$7:$F$11,4,FALSE),8)/2-MAX(0,IF(AO150="",0,YEAR(TODAY())-AO150)-IFERROR(VLOOKUP(V150,Assumptions!$A$7:$F$11,5,FALSE),1.5))),IFERROR(VLOOKUP(V150,Assumptions!$A$7:$F$11,5,FALSE),2.5)+IFERROR(VLOOKUP(V150,Assumptions!$A$7:$F$11,3,FALSE),3)+IFERROR(VLOOKUP(V150,Assumptions!$A$7:$F$11,4,FALSE),8)/2)</f>
        <v/>
      </c>
      <c r="Y150" s="22">
        <f>U150*W150/(1+Assumptions!$B$3)^X150</f>
        <v/>
      </c>
      <c r="Z150" s="26">
        <f>IF(U150=0,"",ROUND(Y150/U150*100,1))</f>
        <v/>
      </c>
      <c r="AA150" s="27">
        <f>Y150*Assumptions!$B$4</f>
        <v/>
      </c>
      <c r="AB150" s="26">
        <f>IF(U150=0,"",ROUND(AA150/U150*100,1))</f>
        <v/>
      </c>
      <c r="AC150" s="27">
        <f>Y150-AA150</f>
        <v/>
      </c>
      <c r="AD150" s="26">
        <f>IF(U150=0,"",ROUND((Y150-AA150)/U150*100,1))</f>
        <v/>
      </c>
      <c r="AE150" s="34" t="inlineStr">
        <is>
          <t>PARTIAL — class III reconciled, other classes not</t>
        </is>
      </c>
      <c r="AF150" s="29" t="inlineStr">
        <is>
          <t>https://lrflideres.com.br/wp-content/plugins/download-attachments/includes/download.php?id=7418</t>
        </is>
      </c>
      <c r="AG150" s="28" t="inlineStr">
        <is>
          <t>p2 r41</t>
        </is>
      </c>
      <c r="AH150" s="28" t="inlineStr">
        <is>
          <t>p2: R$ 2.341.598,97</t>
        </is>
      </c>
      <c r="AI150" s="28" t="inlineStr">
        <is>
          <t>Debtor list (art. 51)</t>
        </is>
      </c>
      <c r="AJ150" s="28" t="inlineStr">
        <is>
          <t>2026-07-28</t>
        </is>
      </c>
      <c r="AK150" s="28" t="inlineStr">
        <is>
          <t>NONE FOUND</t>
        </is>
      </c>
      <c r="AL150" s="30" t="inlineStr">
        <is>
          <t>0822279-56.2026.8.15.2001</t>
        </is>
      </c>
      <c r="AM150" s="30" t="inlineStr">
        <is>
          <t>TJPB</t>
        </is>
      </c>
      <c r="AN150" s="30" t="inlineStr">
        <is>
          <t>ACTIVE</t>
        </is>
      </c>
      <c r="AO150" s="30" t="n">
        <v>2026</v>
      </c>
      <c r="AP150" s="30" t="inlineStr">
        <is>
          <t>live case, no plan document yet</t>
        </is>
      </c>
      <c r="AQ150" s="30" t="inlineStr">
        <is>
          <t>00.149.703/0001-86</t>
        </is>
      </c>
      <c r="AR150" s="30" t="inlineStr">
        <is>
          <t>printed on the list (read twice)</t>
        </is>
      </c>
      <c r="AS150" s="30" t="inlineStr">
        <is>
          <t>FORTALEZA</t>
        </is>
      </c>
      <c r="AT150" s="30" t="inlineStr">
        <is>
          <t>CE</t>
        </is>
      </c>
      <c r="AU150" s="30" t="inlineStr">
        <is>
          <t>Bancos múltiplos, com carteira comercial</t>
        </is>
      </c>
      <c r="AV150" s="30" t="inlineStr">
        <is>
          <t>DEMAIS</t>
        </is>
      </c>
      <c r="AW150" s="31" t="n">
        <v>15139032000</v>
      </c>
      <c r="AX150" s="30" t="inlineStr">
        <is>
          <t>LARGE CORP</t>
        </is>
      </c>
      <c r="AY150" s="30" t="inlineStr">
        <is>
          <t>07237373</t>
        </is>
      </c>
      <c r="AZ150" s="30" t="n">
        <v>1</v>
      </c>
      <c r="BA150" s="30" t="inlineStr">
        <is>
          <t>LIKELY_FINANCIAL_BY_NAME PARTIAL_DOC_CLASS_III_RECONCILED ROWS:p2r41</t>
        </is>
      </c>
    </row>
    <row r="151">
      <c r="A151" s="16" t="inlineStr">
        <is>
          <t>GAVEA FIDC</t>
        </is>
      </c>
      <c r="B151" s="17" t="n">
        <v>2327494.5</v>
      </c>
      <c r="C151" s="18" t="inlineStr">
        <is>
          <t>Grupo Conduscabos</t>
        </is>
      </c>
      <c r="D151" s="19" t="inlineStr">
        <is>
          <t>NEW</t>
        </is>
      </c>
      <c r="E151" s="20" t="inlineStr"/>
      <c r="F151" s="19" t="inlineStr"/>
      <c r="G151" s="20" t="inlineStr"/>
      <c r="H151" s="19" t="inlineStr"/>
      <c r="I151" s="21" t="inlineStr">
        <is>
          <t>Guilherme Serrano</t>
        </is>
      </c>
      <c r="J151" s="21" t="inlineStr">
        <is>
          <t>Risk and Operations Analyst</t>
        </is>
      </c>
      <c r="K151" s="21" t="inlineStr"/>
      <c r="L151" s="21" t="inlineStr"/>
      <c r="M151" s="21" t="inlineStr"/>
      <c r="N151" s="21" t="inlineStr">
        <is>
          <t>gserrano@gaveainvest.com.br</t>
        </is>
      </c>
      <c r="O151" s="21" t="inlineStr"/>
      <c r="P151" s="21" t="inlineStr"/>
      <c r="Q151" s="21" t="inlineStr"/>
      <c r="R151" s="21" t="inlineStr"/>
      <c r="S151" s="21" t="inlineStr"/>
      <c r="T151" s="21" t="inlineStr">
        <is>
          <t>email is pattern-guessed, not verified</t>
        </is>
      </c>
      <c r="U151" s="22" t="n">
        <v>2327494.5</v>
      </c>
      <c r="V151" s="23" t="inlineStr">
        <is>
          <t>B</t>
        </is>
      </c>
      <c r="W151" s="24">
        <f>IFERROR(VLOOKUP(V151,Assumptions!$A$7:$F$11,2,FALSE),0)</f>
        <v/>
      </c>
      <c r="X151" s="25">
        <f>IF(V151="A",MAX(1,IFERROR(VLOOKUP(V151,Assumptions!$A$7:$F$11,3,FALSE),3)+IFERROR(VLOOKUP(V151,Assumptions!$A$7:$F$11,4,FALSE),8)/2-MAX(0,IF(AO151="",0,YEAR(TODAY())-AO151)-IFERROR(VLOOKUP(V151,Assumptions!$A$7:$F$11,5,FALSE),1.5))),IFERROR(VLOOKUP(V151,Assumptions!$A$7:$F$11,5,FALSE),2.5)+IFERROR(VLOOKUP(V151,Assumptions!$A$7:$F$11,3,FALSE),3)+IFERROR(VLOOKUP(V151,Assumptions!$A$7:$F$11,4,FALSE),8)/2)</f>
        <v/>
      </c>
      <c r="Y151" s="22">
        <f>U151*W151/(1+Assumptions!$B$3)^X151</f>
        <v/>
      </c>
      <c r="Z151" s="26">
        <f>IF(U151=0,"",ROUND(Y151/U151*100,1))</f>
        <v/>
      </c>
      <c r="AA151" s="27">
        <f>Y151*Assumptions!$B$4</f>
        <v/>
      </c>
      <c r="AB151" s="26">
        <f>IF(U151=0,"",ROUND(AA151/U151*100,1))</f>
        <v/>
      </c>
      <c r="AC151" s="27">
        <f>Y151-AA151</f>
        <v/>
      </c>
      <c r="AD151" s="26">
        <f>IF(U151=0,"",ROUND((Y151-AA151)/U151*100,1))</f>
        <v/>
      </c>
      <c r="AE151" s="33" t="inlineStr">
        <is>
          <t>NO TOTALS — list prints none; check page</t>
        </is>
      </c>
      <c r="AF151" s="29" t="inlineStr">
        <is>
          <t>https://assistjud.com.br/wp-content/uploads/elementor/forms/65098c80a5824.pdf</t>
        </is>
      </c>
      <c r="AG151" s="28" t="inlineStr">
        <is>
          <t>p7 r9; p8 r18; p9 r15</t>
        </is>
      </c>
      <c r="AH151" s="28" t="inlineStr">
        <is>
          <t>p7: R$ 775.620,94; p8: R$ 462.653,52; p9: R$ 1.089.220,04</t>
        </is>
      </c>
      <c r="AI151" s="28" t="inlineStr">
        <is>
          <t>AJ list (art. 7 §2)</t>
        </is>
      </c>
      <c r="AJ151" s="28" t="inlineStr">
        <is>
          <t>2023-09-18</t>
        </is>
      </c>
      <c r="AK151" s="28" t="inlineStr">
        <is>
          <t>NONE FOUND</t>
        </is>
      </c>
      <c r="AL151" s="30" t="inlineStr">
        <is>
          <t>8005129-09.2023.8.05.0039</t>
        </is>
      </c>
      <c r="AM151" s="30" t="inlineStr">
        <is>
          <t>TJBA</t>
        </is>
      </c>
      <c r="AN151" s="30" t="inlineStr">
        <is>
          <t>ACTIVE</t>
        </is>
      </c>
      <c r="AO151" s="30" t="n">
        <v>2023</v>
      </c>
      <c r="AP151" s="30" t="inlineStr">
        <is>
          <t>live case, no plan document yet</t>
        </is>
      </c>
      <c r="AQ151" s="30" t="inlineStr"/>
      <c r="AR151" s="30" t="inlineStr">
        <is>
          <t>printed on the list (read twice)</t>
        </is>
      </c>
      <c r="AS151" s="30" t="inlineStr"/>
      <c r="AT151" s="30" t="inlineStr"/>
      <c r="AU151" s="30" t="inlineStr"/>
      <c r="AV151" s="30" t="inlineStr"/>
      <c r="AW151" s="31" t="inlineStr"/>
      <c r="AX151" s="30" t="inlineStr">
        <is>
          <t>MID-MARKET</t>
        </is>
      </c>
      <c r="AY151" s="30" t="inlineStr">
        <is>
          <t>12910431</t>
        </is>
      </c>
      <c r="AZ151" s="30" t="n">
        <v>3</v>
      </c>
      <c r="BA151" s="30" t="inlineStr">
        <is>
          <t>LIKELY_FINANCIAL_BY_NAME ROWS:p7r9,p8r18,p9r15 UNRECONCILED_SOURCE</t>
        </is>
      </c>
    </row>
    <row r="152">
      <c r="A152" s="16" t="inlineStr">
        <is>
          <t>BANCO SAFRA S A</t>
        </is>
      </c>
      <c r="B152" s="17" t="n">
        <v>2224584.09</v>
      </c>
      <c r="C152" s="18" t="inlineStr">
        <is>
          <t>TOP TEXTIL EMBALAGENS LTDA</t>
        </is>
      </c>
      <c r="D152" s="19" t="inlineStr">
        <is>
          <t>NEW</t>
        </is>
      </c>
      <c r="E152" s="20" t="inlineStr"/>
      <c r="F152" s="19" t="inlineStr"/>
      <c r="G152" s="20" t="inlineStr"/>
      <c r="H152" s="19" t="inlineStr"/>
      <c r="I152" s="21" t="inlineStr">
        <is>
          <t>Vanessa Biotti</t>
        </is>
      </c>
      <c r="J152" s="21" t="inlineStr">
        <is>
          <t>Gerente de Recuperação de Crédito</t>
        </is>
      </c>
      <c r="K152" s="21" t="inlineStr">
        <is>
          <t>(11) 3175-7575</t>
        </is>
      </c>
      <c r="L152" s="21" t="inlineStr"/>
      <c r="M152" s="21" t="inlineStr"/>
      <c r="N152" s="21" t="inlineStr">
        <is>
          <t>vanessa.biotti@safra.com.br</t>
        </is>
      </c>
      <c r="O152" s="21" t="inlineStr">
        <is>
          <t>rodrigo.anjos@safra.com.br</t>
        </is>
      </c>
      <c r="P152" s="21" t="inlineStr">
        <is>
          <t>Rodrigo Anjos</t>
        </is>
      </c>
      <c r="Q152" s="21" t="inlineStr">
        <is>
          <t>Advogado Sênior - Jurídico Contencioso - Recuperação de Crédito - NPL</t>
        </is>
      </c>
      <c r="R152" s="21" t="inlineStr"/>
      <c r="S152" s="21" t="inlineStr">
        <is>
          <t>rodrigo.anjos@safra.com.br</t>
        </is>
      </c>
      <c r="T152" s="21" t="inlineStr">
        <is>
          <t>email verified by Apollo</t>
        </is>
      </c>
      <c r="U152" s="22" t="n">
        <v>2224584.09</v>
      </c>
      <c r="V152" s="23" t="inlineStr">
        <is>
          <t>B</t>
        </is>
      </c>
      <c r="W152" s="24">
        <f>IFERROR(VLOOKUP(V152,Assumptions!$A$7:$F$11,2,FALSE),0)</f>
        <v/>
      </c>
      <c r="X152" s="25">
        <f>IF(V152="A",MAX(1,IFERROR(VLOOKUP(V152,Assumptions!$A$7:$F$11,3,FALSE),3)+IFERROR(VLOOKUP(V152,Assumptions!$A$7:$F$11,4,FALSE),8)/2-MAX(0,IF(AO152="",0,YEAR(TODAY())-AO152)-IFERROR(VLOOKUP(V152,Assumptions!$A$7:$F$11,5,FALSE),1.5))),IFERROR(VLOOKUP(V152,Assumptions!$A$7:$F$11,5,FALSE),2.5)+IFERROR(VLOOKUP(V152,Assumptions!$A$7:$F$11,3,FALSE),3)+IFERROR(VLOOKUP(V152,Assumptions!$A$7:$F$11,4,FALSE),8)/2)</f>
        <v/>
      </c>
      <c r="Y152" s="22">
        <f>U152*W152/(1+Assumptions!$B$3)^X152</f>
        <v/>
      </c>
      <c r="Z152" s="26">
        <f>IF(U152=0,"",ROUND(Y152/U152*100,1))</f>
        <v/>
      </c>
      <c r="AA152" s="27">
        <f>Y152*Assumptions!$B$4</f>
        <v/>
      </c>
      <c r="AB152" s="26">
        <f>IF(U152=0,"",ROUND(AA152/U152*100,1))</f>
        <v/>
      </c>
      <c r="AC152" s="27">
        <f>Y152-AA152</f>
        <v/>
      </c>
      <c r="AD152" s="26">
        <f>IF(U152=0,"",ROUND((Y152-AA152)/U152*100,1))</f>
        <v/>
      </c>
      <c r="AE152" s="33" t="inlineStr">
        <is>
          <t>NO TOTALS — list prints none; check page</t>
        </is>
      </c>
      <c r="AF152" s="29" t="inlineStr">
        <is>
          <t>https://cataliseaj.com.br/sgc/download.php?file=files/processo_documento/processo_documento15092204102024_1_.pdf&amp;nome=02. RELAÇÃO DE CREDORES</t>
        </is>
      </c>
      <c r="AG152" s="28" t="inlineStr">
        <is>
          <t>p2 r15</t>
        </is>
      </c>
      <c r="AH152" s="28" t="inlineStr">
        <is>
          <t>p2: R$ 2.224.584,09</t>
        </is>
      </c>
      <c r="AI152" s="28" t="inlineStr">
        <is>
          <t>Debtor list (art. 51)</t>
        </is>
      </c>
      <c r="AJ152" s="28" t="inlineStr"/>
      <c r="AK152" s="28" t="inlineStr">
        <is>
          <t>NONE FOUND</t>
        </is>
      </c>
      <c r="AL152" s="30" t="inlineStr">
        <is>
          <t>5011460-87.2023.8.24.0020</t>
        </is>
      </c>
      <c r="AM152" s="30" t="inlineStr">
        <is>
          <t>TJSC</t>
        </is>
      </c>
      <c r="AN152" s="30" t="inlineStr">
        <is>
          <t>ACTIVE</t>
        </is>
      </c>
      <c r="AO152" s="30" t="n">
        <v>2023</v>
      </c>
      <c r="AP152" s="30" t="inlineStr">
        <is>
          <t>live case, no plan document yet</t>
        </is>
      </c>
      <c r="AQ152" s="30" t="inlineStr">
        <is>
          <t>26.588.741/0001-29</t>
        </is>
      </c>
      <c r="AR152" s="30" t="inlineStr">
        <is>
          <t>printed on the list (read twice)</t>
        </is>
      </c>
      <c r="AS152" s="30" t="inlineStr">
        <is>
          <t>SAO PAULO</t>
        </is>
      </c>
      <c r="AT152" s="30" t="inlineStr">
        <is>
          <t>SP</t>
        </is>
      </c>
      <c r="AU152" s="30" t="inlineStr">
        <is>
          <t>Bancos múltiplos, com carteira comercial</t>
        </is>
      </c>
      <c r="AV152" s="30" t="inlineStr">
        <is>
          <t>DEMAIS</t>
        </is>
      </c>
      <c r="AW152" s="31" t="n">
        <v>13924903000</v>
      </c>
      <c r="AX152" s="30" t="inlineStr">
        <is>
          <t>LARGE CORP</t>
        </is>
      </c>
      <c r="AY152" s="30" t="inlineStr">
        <is>
          <t>58160789</t>
        </is>
      </c>
      <c r="AZ152" s="30" t="n">
        <v>1</v>
      </c>
      <c r="BA152" s="30" t="inlineStr">
        <is>
          <t>ROWS:p2r15 UNRECONCILED_SOURCE</t>
        </is>
      </c>
    </row>
    <row r="153">
      <c r="A153" s="16" t="inlineStr">
        <is>
          <t>G &amp; F ASSESSORIA CONSULTORIA EMPREENDIMENTOS E PARTICIPACOES LTDA</t>
        </is>
      </c>
      <c r="B153" s="17" t="n">
        <v>2204283.12</v>
      </c>
      <c r="C153" s="18" t="inlineStr">
        <is>
          <t>GRUPO MARINGÁ PARK</t>
        </is>
      </c>
      <c r="D153" s="19" t="inlineStr">
        <is>
          <t>NEW</t>
        </is>
      </c>
      <c r="E153" s="20" t="inlineStr"/>
      <c r="F153" s="19" t="inlineStr"/>
      <c r="G153" s="20" t="inlineStr"/>
      <c r="H153" s="19" t="inlineStr"/>
      <c r="I153" s="21" t="inlineStr">
        <is>
          <t>MARCILIO GUILHERME AVILA</t>
        </is>
      </c>
      <c r="J153" s="21" t="inlineStr">
        <is>
          <t>Sócio-Administrador (RFB partner)</t>
        </is>
      </c>
      <c r="K153" s="21" t="inlineStr">
        <is>
          <t>(48) 9188-2618</t>
        </is>
      </c>
      <c r="L153" s="21" t="inlineStr"/>
      <c r="M153" s="21" t="inlineStr"/>
      <c r="N153" s="21" t="inlineStr"/>
      <c r="O153" s="21" t="inlineStr"/>
      <c r="P153" s="21" t="inlineStr"/>
      <c r="Q153" s="21" t="inlineStr"/>
      <c r="R153" s="21" t="inlineStr"/>
      <c r="S153" s="21" t="inlineStr"/>
      <c r="T153" s="21" t="inlineStr">
        <is>
          <t>RFB partner (QSA); no Apollo match</t>
        </is>
      </c>
      <c r="U153" s="22" t="n">
        <v>2204283.12</v>
      </c>
      <c r="V153" s="23" t="inlineStr">
        <is>
          <t>B</t>
        </is>
      </c>
      <c r="W153" s="24">
        <f>IFERROR(VLOOKUP(V153,Assumptions!$A$7:$F$11,2,FALSE),0)</f>
        <v/>
      </c>
      <c r="X153" s="25">
        <f>IF(V153="A",MAX(1,IFERROR(VLOOKUP(V153,Assumptions!$A$7:$F$11,3,FALSE),3)+IFERROR(VLOOKUP(V153,Assumptions!$A$7:$F$11,4,FALSE),8)/2-MAX(0,IF(AO153="",0,YEAR(TODAY())-AO153)-IFERROR(VLOOKUP(V153,Assumptions!$A$7:$F$11,5,FALSE),1.5))),IFERROR(VLOOKUP(V153,Assumptions!$A$7:$F$11,5,FALSE),2.5)+IFERROR(VLOOKUP(V153,Assumptions!$A$7:$F$11,3,FALSE),3)+IFERROR(VLOOKUP(V153,Assumptions!$A$7:$F$11,4,FALSE),8)/2)</f>
        <v/>
      </c>
      <c r="Y153" s="22">
        <f>U153*W153/(1+Assumptions!$B$3)^X153</f>
        <v/>
      </c>
      <c r="Z153" s="26">
        <f>IF(U153=0,"",ROUND(Y153/U153*100,1))</f>
        <v/>
      </c>
      <c r="AA153" s="27">
        <f>Y153*Assumptions!$B$4</f>
        <v/>
      </c>
      <c r="AB153" s="26">
        <f>IF(U153=0,"",ROUND(AA153/U153*100,1))</f>
        <v/>
      </c>
      <c r="AC153" s="27">
        <f>Y153-AA153</f>
        <v/>
      </c>
      <c r="AD153" s="26">
        <f>IF(U153=0,"",ROUND((Y153-AA153)/U153*100,1))</f>
        <v/>
      </c>
      <c r="AE153" s="28" t="inlineStr">
        <is>
          <t>OK — totals reconciled</t>
        </is>
      </c>
      <c r="AF153" s="29" t="inlineStr">
        <is>
          <t>https://marquesadmjudicial.com.br/sgc/download.php?file=files/processo_documento/processo_documento19270817122025_1_.pdf&amp;nome=Relação Nominal de Credores AJ</t>
        </is>
      </c>
      <c r="AG153" s="28" t="inlineStr">
        <is>
          <t>p4 r11</t>
        </is>
      </c>
      <c r="AH153" s="28" t="inlineStr">
        <is>
          <t>p4: R$ 2.204.283,12</t>
        </is>
      </c>
      <c r="AI153" s="28" t="inlineStr">
        <is>
          <t>AJ list (art. 7 §2)</t>
        </is>
      </c>
      <c r="AJ153" s="28" t="inlineStr">
        <is>
          <t>2025-12-17</t>
        </is>
      </c>
      <c r="AK153" s="28" t="inlineStr">
        <is>
          <t>NONE FOUND</t>
        </is>
      </c>
      <c r="AL153" s="30" t="inlineStr">
        <is>
          <t>0016033-22.2025.8.16.0017</t>
        </is>
      </c>
      <c r="AM153" s="30" t="inlineStr">
        <is>
          <t>TJPR</t>
        </is>
      </c>
      <c r="AN153" s="30" t="inlineStr">
        <is>
          <t>ACTIVE</t>
        </is>
      </c>
      <c r="AO153" s="30" t="n">
        <v>2025</v>
      </c>
      <c r="AP153" s="30" t="inlineStr">
        <is>
          <t>live case, no plan document yet</t>
        </is>
      </c>
      <c r="AQ153" s="30" t="inlineStr">
        <is>
          <t>00.073.485/0001-43</t>
        </is>
      </c>
      <c r="AR153" s="30" t="inlineStr">
        <is>
          <t>printed on the list (read twice)</t>
        </is>
      </c>
      <c r="AS153" s="30" t="inlineStr">
        <is>
          <t>FLORIANOPOLIS</t>
        </is>
      </c>
      <c r="AT153" s="30" t="inlineStr">
        <is>
          <t>SC</t>
        </is>
      </c>
      <c r="AU153" s="30" t="inlineStr">
        <is>
          <t>Holdings de instituições não-financeiras</t>
        </is>
      </c>
      <c r="AV153" s="30" t="inlineStr">
        <is>
          <t>DEMAIS</t>
        </is>
      </c>
      <c r="AW153" s="31" t="n">
        <v>500000</v>
      </c>
      <c r="AX153" s="30" t="inlineStr">
        <is>
          <t>MID-MARKET</t>
        </is>
      </c>
      <c r="AY153" s="30" t="inlineStr">
        <is>
          <t>14177238</t>
        </is>
      </c>
      <c r="AZ153" s="30" t="n">
        <v>1</v>
      </c>
      <c r="BA153" s="30" t="inlineStr">
        <is>
          <t>ROWS:p4r11</t>
        </is>
      </c>
    </row>
    <row r="154">
      <c r="A154" s="16" t="inlineStr">
        <is>
          <t>COOPERATIVA DE CREDITO POUPANCA E INVESTIMENTO DO ARAGUAIA E XINGU SICREDI ARAXINGU</t>
        </is>
      </c>
      <c r="B154" s="17" t="n">
        <v>2198652.05</v>
      </c>
      <c r="C154" s="18" t="inlineStr">
        <is>
          <t>Grupo GE (Condomínio Agropecuário GE)</t>
        </is>
      </c>
      <c r="D154" s="19" t="inlineStr">
        <is>
          <t>NEW</t>
        </is>
      </c>
      <c r="E154" s="20" t="inlineStr"/>
      <c r="F154" s="19" t="inlineStr"/>
      <c r="G154" s="20" t="inlineStr"/>
      <c r="H154" s="19" t="inlineStr"/>
      <c r="I154" s="21" t="inlineStr">
        <is>
          <t>Patricia Frey</t>
        </is>
      </c>
      <c r="J154" s="21" t="inlineStr">
        <is>
          <t>Assessora de Ciclo de Crédito</t>
        </is>
      </c>
      <c r="K154" s="21" t="inlineStr"/>
      <c r="L154" s="21" t="inlineStr"/>
      <c r="M154" s="21" t="inlineStr"/>
      <c r="N154" s="21" t="inlineStr"/>
      <c r="O154" s="21" t="inlineStr"/>
      <c r="P154" s="21" t="inlineStr">
        <is>
          <t>Brynner Oliveira</t>
        </is>
      </c>
      <c r="Q154" s="21" t="inlineStr">
        <is>
          <t>Regional Manager</t>
        </is>
      </c>
      <c r="R154" s="21" t="inlineStr"/>
      <c r="S154" s="21" t="inlineStr"/>
      <c r="T154" s="21" t="inlineStr">
        <is>
          <t>no work email found in Apollo</t>
        </is>
      </c>
      <c r="U154" s="22" t="n">
        <v>2198652.05</v>
      </c>
      <c r="V154" s="23" t="inlineStr">
        <is>
          <t>B</t>
        </is>
      </c>
      <c r="W154" s="24">
        <f>IFERROR(VLOOKUP(V154,Assumptions!$A$7:$F$11,2,FALSE),0)</f>
        <v/>
      </c>
      <c r="X154" s="25">
        <f>IF(V154="A",MAX(1,IFERROR(VLOOKUP(V154,Assumptions!$A$7:$F$11,3,FALSE),3)+IFERROR(VLOOKUP(V154,Assumptions!$A$7:$F$11,4,FALSE),8)/2-MAX(0,IF(AO154="",0,YEAR(TODAY())-AO154)-IFERROR(VLOOKUP(V154,Assumptions!$A$7:$F$11,5,FALSE),1.5))),IFERROR(VLOOKUP(V154,Assumptions!$A$7:$F$11,5,FALSE),2.5)+IFERROR(VLOOKUP(V154,Assumptions!$A$7:$F$11,3,FALSE),3)+IFERROR(VLOOKUP(V154,Assumptions!$A$7:$F$11,4,FALSE),8)/2)</f>
        <v/>
      </c>
      <c r="Y154" s="22">
        <f>U154*W154/(1+Assumptions!$B$3)^X154</f>
        <v/>
      </c>
      <c r="Z154" s="26">
        <f>IF(U154=0,"",ROUND(Y154/U154*100,1))</f>
        <v/>
      </c>
      <c r="AA154" s="27">
        <f>Y154*Assumptions!$B$4</f>
        <v/>
      </c>
      <c r="AB154" s="26">
        <f>IF(U154=0,"",ROUND(AA154/U154*100,1))</f>
        <v/>
      </c>
      <c r="AC154" s="27">
        <f>Y154-AA154</f>
        <v/>
      </c>
      <c r="AD154" s="26">
        <f>IF(U154=0,"",ROUND((Y154-AA154)/U154*100,1))</f>
        <v/>
      </c>
      <c r="AE154" s="33" t="inlineStr">
        <is>
          <t>NO TOTALS — list prints none; check page</t>
        </is>
      </c>
      <c r="AF154" s="29" t="inlineStr">
        <is>
          <t>https://stenius.com.br/wp-content/uploads/2026/07/EDITAL-1-RELACAO-DE-CREDORES-GRUPO-GE.pdf</t>
        </is>
      </c>
      <c r="AG154" s="28" t="inlineStr">
        <is>
          <t>p5 r34; p6 r1; p6 r2; p6 r3</t>
        </is>
      </c>
      <c r="AH154" s="28" t="inlineStr">
        <is>
          <t>p5: R$ 354.375,50; p6: R$ 500.000,00; p6: R$ 577.790,22; p6: R$ 766.486,33</t>
        </is>
      </c>
      <c r="AI154" s="28" t="inlineStr">
        <is>
          <t>Debtor list (art. 51)</t>
        </is>
      </c>
      <c r="AJ154" s="28" t="inlineStr">
        <is>
          <t>2026-07-01</t>
        </is>
      </c>
      <c r="AK154" s="28" t="inlineStr">
        <is>
          <t>NONE FOUND</t>
        </is>
      </c>
      <c r="AL154" s="30" t="inlineStr">
        <is>
          <t>5164979-18.2026.8.09.0110</t>
        </is>
      </c>
      <c r="AM154" s="30" t="inlineStr">
        <is>
          <t>TJGO</t>
        </is>
      </c>
      <c r="AN154" s="30" t="inlineStr">
        <is>
          <t>ACTIVE</t>
        </is>
      </c>
      <c r="AO154" s="30" t="n">
        <v>2026</v>
      </c>
      <c r="AP154" s="30" t="inlineStr">
        <is>
          <t>live case, no plan document yet</t>
        </is>
      </c>
      <c r="AQ154" s="30" t="inlineStr"/>
      <c r="AR154" s="30" t="inlineStr">
        <is>
          <t>printed on the list (read twice)</t>
        </is>
      </c>
      <c r="AS154" s="30" t="inlineStr"/>
      <c r="AT154" s="30" t="inlineStr"/>
      <c r="AU154" s="30" t="inlineStr"/>
      <c r="AV154" s="30" t="inlineStr"/>
      <c r="AW154" s="31" t="inlineStr"/>
      <c r="AX154" s="30" t="inlineStr">
        <is>
          <t>MID-MARKET</t>
        </is>
      </c>
      <c r="AY154" s="30" t="inlineStr">
        <is>
          <t>33021064</t>
        </is>
      </c>
      <c r="AZ154" s="30" t="n">
        <v>4</v>
      </c>
      <c r="BA154" s="30" t="inlineStr">
        <is>
          <t>LIKELY_FINANCIAL_BY_NAME ROWS:p5r34,p6r1,p6r2,p6r3 UNRECONCILED_SOURCE</t>
        </is>
      </c>
    </row>
    <row r="155">
      <c r="A155" s="16" t="inlineStr">
        <is>
          <t>BOA VISTA FUNDO DE INVESTIMENTO EM DIREITOS CREDITORIOS - NAO PADRONIZADO</t>
        </is>
      </c>
      <c r="B155" s="17" t="n">
        <v>2172949.97</v>
      </c>
      <c r="C155" s="18" t="inlineStr">
        <is>
          <t>GRUPO IMOBI</t>
        </is>
      </c>
      <c r="D155" s="19" t="inlineStr">
        <is>
          <t>NEW</t>
        </is>
      </c>
      <c r="E155" s="20" t="inlineStr"/>
      <c r="F155" s="19" t="inlineStr"/>
      <c r="G155" s="20" t="inlineStr"/>
      <c r="H155" s="19" t="inlineStr"/>
      <c r="I155" s="21" t="inlineStr"/>
      <c r="J155" s="21" t="inlineStr"/>
      <c r="K155" s="21" t="inlineStr"/>
      <c r="L155" s="21" t="inlineStr"/>
      <c r="M155" s="21" t="inlineStr"/>
      <c r="N155" s="21" t="inlineStr"/>
      <c r="O155" s="21" t="inlineStr"/>
      <c r="P155" s="21" t="inlineStr"/>
      <c r="Q155" s="21" t="inlineStr"/>
      <c r="R155" s="21" t="inlineStr"/>
      <c r="S155" s="21" t="inlineStr"/>
      <c r="T155" s="21" t="inlineStr">
        <is>
          <t>no named contact found</t>
        </is>
      </c>
      <c r="U155" s="22" t="n">
        <v>2172949.97</v>
      </c>
      <c r="V155" s="23" t="inlineStr">
        <is>
          <t>B</t>
        </is>
      </c>
      <c r="W155" s="24">
        <f>IFERROR(VLOOKUP(V155,Assumptions!$A$7:$F$11,2,FALSE),0)</f>
        <v/>
      </c>
      <c r="X155" s="25">
        <f>IF(V155="A",MAX(1,IFERROR(VLOOKUP(V155,Assumptions!$A$7:$F$11,3,FALSE),3)+IFERROR(VLOOKUP(V155,Assumptions!$A$7:$F$11,4,FALSE),8)/2-MAX(0,IF(AO155="",0,YEAR(TODAY())-AO155)-IFERROR(VLOOKUP(V155,Assumptions!$A$7:$F$11,5,FALSE),1.5))),IFERROR(VLOOKUP(V155,Assumptions!$A$7:$F$11,5,FALSE),2.5)+IFERROR(VLOOKUP(V155,Assumptions!$A$7:$F$11,3,FALSE),3)+IFERROR(VLOOKUP(V155,Assumptions!$A$7:$F$11,4,FALSE),8)/2)</f>
        <v/>
      </c>
      <c r="Y155" s="22">
        <f>U155*W155/(1+Assumptions!$B$3)^X155</f>
        <v/>
      </c>
      <c r="Z155" s="26">
        <f>IF(U155=0,"",ROUND(Y155/U155*100,1))</f>
        <v/>
      </c>
      <c r="AA155" s="27">
        <f>Y155*Assumptions!$B$4</f>
        <v/>
      </c>
      <c r="AB155" s="26">
        <f>IF(U155=0,"",ROUND(AA155/U155*100,1))</f>
        <v/>
      </c>
      <c r="AC155" s="27">
        <f>Y155-AA155</f>
        <v/>
      </c>
      <c r="AD155" s="26">
        <f>IF(U155=0,"",ROUND((Y155-AA155)/U155*100,1))</f>
        <v/>
      </c>
      <c r="AE155" s="28" t="inlineStr">
        <is>
          <t>OK — totals reconciled</t>
        </is>
      </c>
      <c r="AF155" s="29" t="inlineStr">
        <is>
          <t>https://lrflideres.com.br/wp-content/plugins/download-attachments/includes/download.php?id=6273</t>
        </is>
      </c>
      <c r="AG155" s="28" t="inlineStr">
        <is>
          <t>p4 r2</t>
        </is>
      </c>
      <c r="AH155" s="28" t="inlineStr">
        <is>
          <t>p4: R$ 2.172.949,97</t>
        </is>
      </c>
      <c r="AI155" s="28" t="inlineStr">
        <is>
          <t>AJ list (art. 7 §2)</t>
        </is>
      </c>
      <c r="AJ155" s="28" t="inlineStr">
        <is>
          <t>2024-11-14</t>
        </is>
      </c>
      <c r="AK155" s="28" t="inlineStr">
        <is>
          <t>NONE FOUND</t>
        </is>
      </c>
      <c r="AL155" s="30" t="inlineStr">
        <is>
          <t>0074500-63.2024.8.17.2001</t>
        </is>
      </c>
      <c r="AM155" s="30" t="inlineStr">
        <is>
          <t>TJPE</t>
        </is>
      </c>
      <c r="AN155" s="30" t="inlineStr">
        <is>
          <t>ACTIVE</t>
        </is>
      </c>
      <c r="AO155" s="30" t="n">
        <v>2024</v>
      </c>
      <c r="AP155" s="30" t="inlineStr">
        <is>
          <t>live case, no plan document yet</t>
        </is>
      </c>
      <c r="AQ155" s="30" t="inlineStr">
        <is>
          <t>02.284.048/0001-02</t>
        </is>
      </c>
      <c r="AR155" s="30" t="inlineStr">
        <is>
          <t>printed on the list (read twice)</t>
        </is>
      </c>
      <c r="AS155" s="30" t="inlineStr"/>
      <c r="AT155" s="30" t="inlineStr"/>
      <c r="AU155" s="30" t="inlineStr"/>
      <c r="AV155" s="30" t="inlineStr"/>
      <c r="AW155" s="31" t="inlineStr"/>
      <c r="AX155" s="30" t="inlineStr">
        <is>
          <t>MID-MARKET</t>
        </is>
      </c>
      <c r="AY155" s="30" t="inlineStr">
        <is>
          <t>12592411</t>
        </is>
      </c>
      <c r="AZ155" s="30" t="n">
        <v>1</v>
      </c>
      <c r="BA155" s="30" t="inlineStr">
        <is>
          <t>LIKELY_FINANCIAL_BY_NAME ROWS:p4r2</t>
        </is>
      </c>
    </row>
    <row r="156">
      <c r="A156" s="16" t="inlineStr">
        <is>
          <t>ASTRA SECURITIZADORA S.A.</t>
        </is>
      </c>
      <c r="B156" s="17" t="n">
        <v>2144705.34</v>
      </c>
      <c r="C156" s="18" t="inlineStr">
        <is>
          <t>Grupo Conduscabos</t>
        </is>
      </c>
      <c r="D156" s="19" t="inlineStr">
        <is>
          <t>NEW</t>
        </is>
      </c>
      <c r="E156" s="20" t="inlineStr"/>
      <c r="F156" s="19" t="inlineStr"/>
      <c r="G156" s="20" t="inlineStr"/>
      <c r="H156" s="19" t="inlineStr"/>
      <c r="I156" s="21" t="inlineStr">
        <is>
          <t>ALESSON PADUA TAVARES</t>
        </is>
      </c>
      <c r="J156" s="21" t="inlineStr">
        <is>
          <t>Diretor (RFB partner)</t>
        </is>
      </c>
      <c r="K156" s="21" t="inlineStr">
        <is>
          <t>(11) 3995-7800</t>
        </is>
      </c>
      <c r="L156" s="21" t="inlineStr"/>
      <c r="M156" s="21" t="inlineStr"/>
      <c r="N156" s="21" t="inlineStr"/>
      <c r="O156" s="21" t="inlineStr"/>
      <c r="P156" s="21" t="inlineStr">
        <is>
          <t>BRUNO CESCHIN</t>
        </is>
      </c>
      <c r="Q156" s="21" t="inlineStr">
        <is>
          <t>Diretor (RFB partner)</t>
        </is>
      </c>
      <c r="R156" s="21" t="inlineStr"/>
      <c r="S156" s="21" t="inlineStr"/>
      <c r="T156" s="21" t="inlineStr">
        <is>
          <t>RFB partner (QSA); no Apollo match</t>
        </is>
      </c>
      <c r="U156" s="22" t="n">
        <v>2144705.34</v>
      </c>
      <c r="V156" s="23" t="inlineStr">
        <is>
          <t>B</t>
        </is>
      </c>
      <c r="W156" s="24">
        <f>IFERROR(VLOOKUP(V156,Assumptions!$A$7:$F$11,2,FALSE),0)</f>
        <v/>
      </c>
      <c r="X156" s="25">
        <f>IF(V156="A",MAX(1,IFERROR(VLOOKUP(V156,Assumptions!$A$7:$F$11,3,FALSE),3)+IFERROR(VLOOKUP(V156,Assumptions!$A$7:$F$11,4,FALSE),8)/2-MAX(0,IF(AO156="",0,YEAR(TODAY())-AO156)-IFERROR(VLOOKUP(V156,Assumptions!$A$7:$F$11,5,FALSE),1.5))),IFERROR(VLOOKUP(V156,Assumptions!$A$7:$F$11,5,FALSE),2.5)+IFERROR(VLOOKUP(V156,Assumptions!$A$7:$F$11,3,FALSE),3)+IFERROR(VLOOKUP(V156,Assumptions!$A$7:$F$11,4,FALSE),8)/2)</f>
        <v/>
      </c>
      <c r="Y156" s="22">
        <f>U156*W156/(1+Assumptions!$B$3)^X156</f>
        <v/>
      </c>
      <c r="Z156" s="26">
        <f>IF(U156=0,"",ROUND(Y156/U156*100,1))</f>
        <v/>
      </c>
      <c r="AA156" s="27">
        <f>Y156*Assumptions!$B$4</f>
        <v/>
      </c>
      <c r="AB156" s="26">
        <f>IF(U156=0,"",ROUND(AA156/U156*100,1))</f>
        <v/>
      </c>
      <c r="AC156" s="27">
        <f>Y156-AA156</f>
        <v/>
      </c>
      <c r="AD156" s="26">
        <f>IF(U156=0,"",ROUND((Y156-AA156)/U156*100,1))</f>
        <v/>
      </c>
      <c r="AE156" s="33" t="inlineStr">
        <is>
          <t>NO TOTALS — list prints none; check page</t>
        </is>
      </c>
      <c r="AF156" s="29" t="inlineStr">
        <is>
          <t>https://assistjud.com.br/wp-content/uploads/elementor/forms/65098c80a5824.pdf</t>
        </is>
      </c>
      <c r="AG156" s="28" t="inlineStr">
        <is>
          <t>p10 r2; p19 r7</t>
        </is>
      </c>
      <c r="AH156" s="28" t="inlineStr">
        <is>
          <t>p10: R$ 684.988,65; p19: R$ 1.459.716,69</t>
        </is>
      </c>
      <c r="AI156" s="28" t="inlineStr">
        <is>
          <t>AJ list (art. 7 §2)</t>
        </is>
      </c>
      <c r="AJ156" s="28" t="inlineStr">
        <is>
          <t>2023-09-18</t>
        </is>
      </c>
      <c r="AK156" s="28" t="inlineStr">
        <is>
          <t>NONE FOUND</t>
        </is>
      </c>
      <c r="AL156" s="30" t="inlineStr">
        <is>
          <t>8005129-09.2023.8.05.0039</t>
        </is>
      </c>
      <c r="AM156" s="30" t="inlineStr">
        <is>
          <t>TJBA</t>
        </is>
      </c>
      <c r="AN156" s="30" t="inlineStr">
        <is>
          <t>ACTIVE</t>
        </is>
      </c>
      <c r="AO156" s="30" t="n">
        <v>2023</v>
      </c>
      <c r="AP156" s="30" t="inlineStr">
        <is>
          <t>live case, no plan document yet</t>
        </is>
      </c>
      <c r="AQ156" s="30" t="inlineStr"/>
      <c r="AR156" s="30" t="inlineStr">
        <is>
          <t>printed on the list (read twice)</t>
        </is>
      </c>
      <c r="AS156" s="30" t="inlineStr">
        <is>
          <t>SAO PAULO</t>
        </is>
      </c>
      <c r="AT156" s="30" t="inlineStr">
        <is>
          <t>SP</t>
        </is>
      </c>
      <c r="AU156" s="30" t="inlineStr">
        <is>
          <t>Securitização de créditos</t>
        </is>
      </c>
      <c r="AV156" s="30" t="inlineStr">
        <is>
          <t>DEMAIS</t>
        </is>
      </c>
      <c r="AW156" s="31" t="n">
        <v>25500000</v>
      </c>
      <c r="AX156" s="30" t="inlineStr">
        <is>
          <t>MID-MARKET</t>
        </is>
      </c>
      <c r="AY156" s="30" t="inlineStr">
        <is>
          <t>23360870</t>
        </is>
      </c>
      <c r="AZ156" s="30" t="n">
        <v>2</v>
      </c>
      <c r="BA156" s="30" t="inlineStr">
        <is>
          <t>ROWS:p10r2,p19r7 UNRECONCILED_SOURCE</t>
        </is>
      </c>
    </row>
    <row r="157">
      <c r="A157" s="16" t="inlineStr">
        <is>
          <t>Fundo De Investimento Em Direitos Creditorios Multisetorial Daniele Lp</t>
        </is>
      </c>
      <c r="B157" s="17" t="n">
        <v>2137604.8</v>
      </c>
      <c r="C157" s="18" t="inlineStr">
        <is>
          <t>Grupo Agromeal</t>
        </is>
      </c>
      <c r="D157" s="19" t="inlineStr">
        <is>
          <t>NEW</t>
        </is>
      </c>
      <c r="E157" s="20" t="inlineStr"/>
      <c r="F157" s="19" t="inlineStr"/>
      <c r="G157" s="20" t="inlineStr"/>
      <c r="H157" s="19" t="inlineStr"/>
      <c r="I157" s="21" t="inlineStr"/>
      <c r="J157" s="21" t="inlineStr"/>
      <c r="K157" s="21" t="inlineStr"/>
      <c r="L157" s="21" t="inlineStr"/>
      <c r="M157" s="21" t="inlineStr"/>
      <c r="N157" s="21" t="inlineStr"/>
      <c r="O157" s="21" t="inlineStr"/>
      <c r="P157" s="21" t="inlineStr"/>
      <c r="Q157" s="21" t="inlineStr"/>
      <c r="R157" s="21" t="inlineStr"/>
      <c r="S157" s="21" t="inlineStr"/>
      <c r="T157" s="21" t="inlineStr">
        <is>
          <t>no named contact found</t>
        </is>
      </c>
      <c r="U157" s="22" t="n">
        <v>2137604.8</v>
      </c>
      <c r="V157" s="23" t="inlineStr">
        <is>
          <t>B</t>
        </is>
      </c>
      <c r="W157" s="24">
        <f>IFERROR(VLOOKUP(V157,Assumptions!$A$7:$F$11,2,FALSE),0)</f>
        <v/>
      </c>
      <c r="X157" s="25">
        <f>IF(V157="A",MAX(1,IFERROR(VLOOKUP(V157,Assumptions!$A$7:$F$11,3,FALSE),3)+IFERROR(VLOOKUP(V157,Assumptions!$A$7:$F$11,4,FALSE),8)/2-MAX(0,IF(AO157="",0,YEAR(TODAY())-AO157)-IFERROR(VLOOKUP(V157,Assumptions!$A$7:$F$11,5,FALSE),1.5))),IFERROR(VLOOKUP(V157,Assumptions!$A$7:$F$11,5,FALSE),2.5)+IFERROR(VLOOKUP(V157,Assumptions!$A$7:$F$11,3,FALSE),3)+IFERROR(VLOOKUP(V157,Assumptions!$A$7:$F$11,4,FALSE),8)/2)</f>
        <v/>
      </c>
      <c r="Y157" s="22">
        <f>U157*W157/(1+Assumptions!$B$3)^X157</f>
        <v/>
      </c>
      <c r="Z157" s="26">
        <f>IF(U157=0,"",ROUND(Y157/U157*100,1))</f>
        <v/>
      </c>
      <c r="AA157" s="27">
        <f>Y157*Assumptions!$B$4</f>
        <v/>
      </c>
      <c r="AB157" s="26">
        <f>IF(U157=0,"",ROUND(AA157/U157*100,1))</f>
        <v/>
      </c>
      <c r="AC157" s="27">
        <f>Y157-AA157</f>
        <v/>
      </c>
      <c r="AD157" s="26">
        <f>IF(U157=0,"",ROUND((Y157-AA157)/U157*100,1))</f>
        <v/>
      </c>
      <c r="AE157" s="34" t="inlineStr">
        <is>
          <t>PARTIAL — class III reconciled, other classes not</t>
        </is>
      </c>
      <c r="AF157" s="29" t="inlineStr">
        <is>
          <t>https://marquesadmjudicial.com.br/sgc/download.php?file=files/processo_documento/processo_documento17040729052024_1_.pdf&amp;nome=Relação Nominal de Credores AJ-Sintética</t>
        </is>
      </c>
      <c r="AG157" s="28" t="inlineStr">
        <is>
          <t>p11 r7</t>
        </is>
      </c>
      <c r="AH157" s="28" t="inlineStr">
        <is>
          <t>p11: R$ 2.137.604,80</t>
        </is>
      </c>
      <c r="AI157" s="28" t="inlineStr">
        <is>
          <t>AJ list (art. 7 §2)</t>
        </is>
      </c>
      <c r="AJ157" s="28" t="inlineStr">
        <is>
          <t>2024-05-27</t>
        </is>
      </c>
      <c r="AK157" s="28" t="inlineStr">
        <is>
          <t>NONE FOUND</t>
        </is>
      </c>
      <c r="AL157" s="30" t="inlineStr">
        <is>
          <t>0003971-03.2023.8.16.0119</t>
        </is>
      </c>
      <c r="AM157" s="30" t="inlineStr">
        <is>
          <t>TJPR</t>
        </is>
      </c>
      <c r="AN157" s="30" t="inlineStr">
        <is>
          <t>ACTIVE</t>
        </is>
      </c>
      <c r="AO157" s="30" t="n">
        <v>2023</v>
      </c>
      <c r="AP157" s="30" t="inlineStr">
        <is>
          <t>live case, no plan document yet</t>
        </is>
      </c>
      <c r="AQ157" s="30" t="inlineStr">
        <is>
          <t>11.624.776/0001-07</t>
        </is>
      </c>
      <c r="AR157" s="30" t="inlineStr">
        <is>
          <t>printed on the list (read twice)</t>
        </is>
      </c>
      <c r="AS157" s="30" t="inlineStr"/>
      <c r="AT157" s="30" t="inlineStr"/>
      <c r="AU157" s="30" t="inlineStr"/>
      <c r="AV157" s="30" t="inlineStr"/>
      <c r="AW157" s="31" t="inlineStr"/>
      <c r="AX157" s="30" t="inlineStr">
        <is>
          <t>MID-MARKET</t>
        </is>
      </c>
      <c r="AY157" s="30" t="inlineStr">
        <is>
          <t>09414255</t>
        </is>
      </c>
      <c r="AZ157" s="30" t="n">
        <v>1</v>
      </c>
      <c r="BA157" s="30" t="inlineStr">
        <is>
          <t>LIKELY_FINANCIAL_BY_NAME PARTIAL_DOC_CLASS_III_RECONCILED ROWS:p11r7</t>
        </is>
      </c>
    </row>
    <row r="158">
      <c r="A158" s="16" t="inlineStr">
        <is>
          <t>BANCO SANTANDER (BRASIL) S.A.</t>
        </is>
      </c>
      <c r="B158" s="17" t="n">
        <v>1019858.75</v>
      </c>
      <c r="C158" s="18" t="inlineStr">
        <is>
          <t>JA SANTOS IMPORTACAO E EXPORTACAO DE FERRAMENTAS LTDA</t>
        </is>
      </c>
      <c r="D158" s="19" t="inlineStr">
        <is>
          <t>NEW</t>
        </is>
      </c>
      <c r="E158" s="20" t="inlineStr"/>
      <c r="F158" s="19" t="inlineStr"/>
      <c r="G158" s="20" t="inlineStr"/>
      <c r="H158" s="19" t="inlineStr"/>
      <c r="I158" s="21" t="inlineStr">
        <is>
          <t>Igor Puertas</t>
        </is>
      </c>
      <c r="J158" s="21" t="inlineStr">
        <is>
          <t>Distressed Assets | NPL</t>
        </is>
      </c>
      <c r="K158" s="21" t="inlineStr">
        <is>
          <t>(11) 4004-3535</t>
        </is>
      </c>
      <c r="L158" s="21" t="inlineStr"/>
      <c r="M158" s="21" t="inlineStr"/>
      <c r="N158" s="21" t="inlineStr">
        <is>
          <t>igor.puertas@santander.com.br</t>
        </is>
      </c>
      <c r="O158" s="21" t="inlineStr">
        <is>
          <t>antonio.pequeno.junior@santander.com.br</t>
        </is>
      </c>
      <c r="P158" s="21" t="inlineStr">
        <is>
          <t>Antonio Junior</t>
        </is>
      </c>
      <c r="Q158" s="21" t="inlineStr">
        <is>
          <t>Superintendente Recuperação de Crédito</t>
        </is>
      </c>
      <c r="R158" s="21" t="inlineStr"/>
      <c r="S158" s="21" t="inlineStr">
        <is>
          <t>antonio.pequeno.junior@santander.com.br</t>
        </is>
      </c>
      <c r="T158" s="21" t="inlineStr">
        <is>
          <t>email verified by Apollo</t>
        </is>
      </c>
      <c r="U158" s="22" t="n">
        <v>1019858.75</v>
      </c>
      <c r="V158" s="35" t="inlineStr">
        <is>
          <t>A</t>
        </is>
      </c>
      <c r="W158" s="24">
        <f>IFERROR(VLOOKUP(V158,Assumptions!$A$7:$F$11,2,FALSE),0)</f>
        <v/>
      </c>
      <c r="X158" s="25">
        <f>IF(V158="A",MAX(1,IFERROR(VLOOKUP(V158,Assumptions!$A$7:$F$11,3,FALSE),3)+IFERROR(VLOOKUP(V158,Assumptions!$A$7:$F$11,4,FALSE),8)/2-MAX(0,IF(AO158="",0,YEAR(TODAY())-AO158)-IFERROR(VLOOKUP(V158,Assumptions!$A$7:$F$11,5,FALSE),1.5))),IFERROR(VLOOKUP(V158,Assumptions!$A$7:$F$11,5,FALSE),2.5)+IFERROR(VLOOKUP(V158,Assumptions!$A$7:$F$11,3,FALSE),3)+IFERROR(VLOOKUP(V158,Assumptions!$A$7:$F$11,4,FALSE),8)/2)</f>
        <v/>
      </c>
      <c r="Y158" s="22">
        <f>U158*W158/(1+Assumptions!$B$3)^X158</f>
        <v/>
      </c>
      <c r="Z158" s="26">
        <f>IF(U158=0,"",ROUND(Y158/U158*100,1))</f>
        <v/>
      </c>
      <c r="AA158" s="27">
        <f>Y158*Assumptions!$B$4</f>
        <v/>
      </c>
      <c r="AB158" s="26">
        <f>IF(U158=0,"",ROUND(AA158/U158*100,1))</f>
        <v/>
      </c>
      <c r="AC158" s="27">
        <f>Y158-AA158</f>
        <v/>
      </c>
      <c r="AD158" s="26">
        <f>IF(U158=0,"",ROUND((Y158-AA158)/U158*100,1))</f>
        <v/>
      </c>
      <c r="AE158" s="28" t="inlineStr">
        <is>
          <t>OK — totals reconciled</t>
        </is>
      </c>
      <c r="AF158" s="29" t="inlineStr">
        <is>
          <t>https://vivanteaj.com.br/wp-content/uploads/2024/11/1a-lista-de-credores-JA-Santos.pdf</t>
        </is>
      </c>
      <c r="AG158" s="28" t="inlineStr">
        <is>
          <t>p1 r10; p1 r11; p1 r12; p1 r13; p1 r14</t>
        </is>
      </c>
      <c r="AH158" s="28" t="inlineStr">
        <is>
          <t>p1: R$ 29.999,97; p1: R$ 354.970,00; p1: R$ 386.666,57; p1: R$ 122.222,21; p1: R$ 126.000,00</t>
        </is>
      </c>
      <c r="AI158" s="28" t="inlineStr">
        <is>
          <t>Unclassified list</t>
        </is>
      </c>
      <c r="AJ158" s="28" t="inlineStr">
        <is>
          <t>2022-11-02</t>
        </is>
      </c>
      <c r="AK158" s="28" t="inlineStr">
        <is>
          <t>PLAN DOC FOUND</t>
        </is>
      </c>
      <c r="AL158" s="30" t="inlineStr">
        <is>
          <t>1018313-46.2024.8.26.0100</t>
        </is>
      </c>
      <c r="AM158" s="30" t="inlineStr">
        <is>
          <t>TJSP</t>
        </is>
      </c>
      <c r="AN158" s="30" t="inlineStr">
        <is>
          <t>ACTIVE</t>
        </is>
      </c>
      <c r="AO158" s="30" t="n">
        <v>2024</v>
      </c>
      <c r="AP158" s="30" t="inlineStr">
        <is>
          <t>plan/homologation document found</t>
        </is>
      </c>
      <c r="AQ158" s="30" t="inlineStr">
        <is>
          <t>15.408.785/0001-03</t>
        </is>
      </c>
      <c r="AR158" s="30" t="inlineStr">
        <is>
          <t>printed on the list (read twice)</t>
        </is>
      </c>
      <c r="AS158" s="30" t="inlineStr">
        <is>
          <t>SAO PAULO</t>
        </is>
      </c>
      <c r="AT158" s="30" t="inlineStr">
        <is>
          <t>SP</t>
        </is>
      </c>
      <c r="AU158" s="30" t="inlineStr">
        <is>
          <t>Bancos múltiplos, com carteira comercial</t>
        </is>
      </c>
      <c r="AV158" s="30" t="inlineStr">
        <is>
          <t>DEMAIS</t>
        </is>
      </c>
      <c r="AW158" s="31" t="n">
        <v>65000000000</v>
      </c>
      <c r="AX158" s="30" t="inlineStr">
        <is>
          <t>LARGE CORP</t>
        </is>
      </c>
      <c r="AY158" s="30" t="inlineStr">
        <is>
          <t>90400888</t>
        </is>
      </c>
      <c r="AZ158" s="30" t="n">
        <v>5</v>
      </c>
      <c r="BA158" s="30" t="inlineStr">
        <is>
          <t>ROWS:p1r10,p1r11,p1r12,p1r13,p1r14 VALUE_COL:Valor</t>
        </is>
      </c>
    </row>
    <row r="159">
      <c r="A159" s="16" t="inlineStr">
        <is>
          <t>BANCO DO BRASIL SA</t>
        </is>
      </c>
      <c r="B159" s="17" t="n">
        <v>2120288.66</v>
      </c>
      <c r="C159" s="18" t="inlineStr">
        <is>
          <t>B1 COMÉRCIO DE MANUFATURADOS LTDA</t>
        </is>
      </c>
      <c r="D159" s="19" t="inlineStr">
        <is>
          <t>NEW</t>
        </is>
      </c>
      <c r="E159" s="20" t="inlineStr"/>
      <c r="F159" s="19" t="inlineStr"/>
      <c r="G159" s="20" t="inlineStr"/>
      <c r="H159" s="19" t="inlineStr"/>
      <c r="I159" s="21" t="inlineStr">
        <is>
          <t>Thiago Cavichioli</t>
        </is>
      </c>
      <c r="J159" s="21" t="inlineStr">
        <is>
          <t>Gerente de Cobrança e Recuperação de Crédito</t>
        </is>
      </c>
      <c r="K159" s="21" t="inlineStr">
        <is>
          <t>(61) 3493-9002</t>
        </is>
      </c>
      <c r="L159" s="21" t="inlineStr"/>
      <c r="M159" s="21" t="inlineStr"/>
      <c r="N159" s="21" t="inlineStr">
        <is>
          <t>thiago.cavichioli@bb.com.br</t>
        </is>
      </c>
      <c r="O159" s="21" t="inlineStr">
        <is>
          <t>suelenmondador@bb.com.br</t>
        </is>
      </c>
      <c r="P159" s="21" t="inlineStr">
        <is>
          <t>Suelen Mondador</t>
        </is>
      </c>
      <c r="Q159" s="21" t="inlineStr">
        <is>
          <t>Gerente Especialista em Recuperação de Crédito</t>
        </is>
      </c>
      <c r="R159" s="21" t="inlineStr"/>
      <c r="S159" s="21" t="inlineStr">
        <is>
          <t>suelenmondador@bb.com.br</t>
        </is>
      </c>
      <c r="T159" s="21" t="inlineStr">
        <is>
          <t>email verified by Apollo</t>
        </is>
      </c>
      <c r="U159" s="22" t="n">
        <v>2120288.66</v>
      </c>
      <c r="V159" s="23" t="inlineStr">
        <is>
          <t>B</t>
        </is>
      </c>
      <c r="W159" s="24">
        <f>IFERROR(VLOOKUP(V159,Assumptions!$A$7:$F$11,2,FALSE),0)</f>
        <v/>
      </c>
      <c r="X159" s="25">
        <f>IF(V159="A",MAX(1,IFERROR(VLOOKUP(V159,Assumptions!$A$7:$F$11,3,FALSE),3)+IFERROR(VLOOKUP(V159,Assumptions!$A$7:$F$11,4,FALSE),8)/2-MAX(0,IF(AO159="",0,YEAR(TODAY())-AO159)-IFERROR(VLOOKUP(V159,Assumptions!$A$7:$F$11,5,FALSE),1.5))),IFERROR(VLOOKUP(V159,Assumptions!$A$7:$F$11,5,FALSE),2.5)+IFERROR(VLOOKUP(V159,Assumptions!$A$7:$F$11,3,FALSE),3)+IFERROR(VLOOKUP(V159,Assumptions!$A$7:$F$11,4,FALSE),8)/2)</f>
        <v/>
      </c>
      <c r="Y159" s="22">
        <f>U159*W159/(1+Assumptions!$B$3)^X159</f>
        <v/>
      </c>
      <c r="Z159" s="26">
        <f>IF(U159=0,"",ROUND(Y159/U159*100,1))</f>
        <v/>
      </c>
      <c r="AA159" s="27">
        <f>Y159*Assumptions!$B$4</f>
        <v/>
      </c>
      <c r="AB159" s="26">
        <f>IF(U159=0,"",ROUND(AA159/U159*100,1))</f>
        <v/>
      </c>
      <c r="AC159" s="27">
        <f>Y159-AA159</f>
        <v/>
      </c>
      <c r="AD159" s="26">
        <f>IF(U159=0,"",ROUND((Y159-AA159)/U159*100,1))</f>
        <v/>
      </c>
      <c r="AE159" s="33" t="inlineStr">
        <is>
          <t>NO TOTALS — list prints none; check page</t>
        </is>
      </c>
      <c r="AF159" s="29" t="inlineStr">
        <is>
          <t>https://marquesadmjudicial.com.br/sgc/download.php?file=files/processo_documento/processo_documento18581929042026_1_.pdf&amp;nome=3º Edital - Relação de Credores e PRJ</t>
        </is>
      </c>
      <c r="AG159" s="28" t="inlineStr">
        <is>
          <t>p1 r37</t>
        </is>
      </c>
      <c r="AH159" s="28" t="inlineStr">
        <is>
          <t>p1: R$ 2.120.288,66</t>
        </is>
      </c>
      <c r="AI159" s="28" t="inlineStr">
        <is>
          <t>AJ list (art. 7 §2)</t>
        </is>
      </c>
      <c r="AJ159" s="28" t="inlineStr">
        <is>
          <t>2025-09-12</t>
        </is>
      </c>
      <c r="AK159" s="28" t="inlineStr">
        <is>
          <t>NONE FOUND</t>
        </is>
      </c>
      <c r="AL159" s="30" t="inlineStr">
        <is>
          <t>0043030-30.2025.8.16.0021</t>
        </is>
      </c>
      <c r="AM159" s="30" t="inlineStr">
        <is>
          <t>TJPR</t>
        </is>
      </c>
      <c r="AN159" s="30" t="inlineStr">
        <is>
          <t>ACTIVE</t>
        </is>
      </c>
      <c r="AO159" s="30" t="n">
        <v>2025</v>
      </c>
      <c r="AP159" s="30" t="inlineStr">
        <is>
          <t>live case, no plan document yet</t>
        </is>
      </c>
      <c r="AQ159" s="30" t="inlineStr">
        <is>
          <t>29.448.809/0001-62</t>
        </is>
      </c>
      <c r="AR159" s="30" t="inlineStr">
        <is>
          <t>printed on the list (read twice)</t>
        </is>
      </c>
      <c r="AS159" s="30" t="inlineStr">
        <is>
          <t>BRASILIA</t>
        </is>
      </c>
      <c r="AT159" s="30" t="inlineStr">
        <is>
          <t>DF</t>
        </is>
      </c>
      <c r="AU159" s="30" t="inlineStr">
        <is>
          <t>Bancos múltiplos, com carteira comercial</t>
        </is>
      </c>
      <c r="AV159" s="30" t="inlineStr">
        <is>
          <t>DEMAIS</t>
        </is>
      </c>
      <c r="AW159" s="31" t="n">
        <v>120000000000</v>
      </c>
      <c r="AX159" s="30" t="inlineStr">
        <is>
          <t>LARGE CORP</t>
        </is>
      </c>
      <c r="AY159" s="30" t="inlineStr">
        <is>
          <t>00000000</t>
        </is>
      </c>
      <c r="AZ159" s="30" t="n">
        <v>1</v>
      </c>
      <c r="BA159" s="30" t="inlineStr">
        <is>
          <t>LIKELY_FINANCIAL_BY_NAME ROWS:p1r37 UNRECONCILED_SOURCE</t>
        </is>
      </c>
    </row>
    <row r="160">
      <c r="A160" s="16" t="inlineStr">
        <is>
          <t>BANCO C6 S.A.</t>
        </is>
      </c>
      <c r="B160" s="17" t="n">
        <v>2115489.72</v>
      </c>
      <c r="C160" s="18" t="inlineStr">
        <is>
          <t>GRUPO GLP</t>
        </is>
      </c>
      <c r="D160" s="19" t="inlineStr">
        <is>
          <t>NEW</t>
        </is>
      </c>
      <c r="E160" s="20" t="inlineStr"/>
      <c r="F160" s="19" t="inlineStr"/>
      <c r="G160" s="20" t="inlineStr"/>
      <c r="H160" s="19" t="inlineStr"/>
      <c r="I160" s="21" t="inlineStr">
        <is>
          <t>Camilla Moriki</t>
        </is>
      </c>
      <c r="J160" s="21" t="inlineStr">
        <is>
          <t>Gerente de Recuperação de Crédito | Reestruturação - Atacado</t>
        </is>
      </c>
      <c r="K160" s="21" t="inlineStr">
        <is>
          <t>(11) 2832-6000</t>
        </is>
      </c>
      <c r="L160" s="21" t="inlineStr"/>
      <c r="M160" s="21" t="inlineStr"/>
      <c r="N160" s="21" t="inlineStr">
        <is>
          <t>camilla.moriki@c6bank.com</t>
        </is>
      </c>
      <c r="O160" s="21" t="inlineStr">
        <is>
          <t>kevin.santana@c6bank.com</t>
        </is>
      </c>
      <c r="P160" s="21" t="inlineStr">
        <is>
          <t>Kevin Santana</t>
        </is>
      </c>
      <c r="Q160" s="21" t="inlineStr">
        <is>
          <t>Gerente de Estratégia de Recuperação de Crédito</t>
        </is>
      </c>
      <c r="R160" s="21" t="inlineStr"/>
      <c r="S160" s="21" t="inlineStr">
        <is>
          <t>kevin.santana@c6bank.com</t>
        </is>
      </c>
      <c r="T160" s="21" t="inlineStr">
        <is>
          <t>email verified by Apollo</t>
        </is>
      </c>
      <c r="U160" s="22" t="n">
        <v>2115489.72</v>
      </c>
      <c r="V160" s="23" t="inlineStr">
        <is>
          <t>B</t>
        </is>
      </c>
      <c r="W160" s="24">
        <f>IFERROR(VLOOKUP(V160,Assumptions!$A$7:$F$11,2,FALSE),0)</f>
        <v/>
      </c>
      <c r="X160" s="25">
        <f>IF(V160="A",MAX(1,IFERROR(VLOOKUP(V160,Assumptions!$A$7:$F$11,3,FALSE),3)+IFERROR(VLOOKUP(V160,Assumptions!$A$7:$F$11,4,FALSE),8)/2-MAX(0,IF(AO160="",0,YEAR(TODAY())-AO160)-IFERROR(VLOOKUP(V160,Assumptions!$A$7:$F$11,5,FALSE),1.5))),IFERROR(VLOOKUP(V160,Assumptions!$A$7:$F$11,5,FALSE),2.5)+IFERROR(VLOOKUP(V160,Assumptions!$A$7:$F$11,3,FALSE),3)+IFERROR(VLOOKUP(V160,Assumptions!$A$7:$F$11,4,FALSE),8)/2)</f>
        <v/>
      </c>
      <c r="Y160" s="22">
        <f>U160*W160/(1+Assumptions!$B$3)^X160</f>
        <v/>
      </c>
      <c r="Z160" s="26">
        <f>IF(U160=0,"",ROUND(Y160/U160*100,1))</f>
        <v/>
      </c>
      <c r="AA160" s="27">
        <f>Y160*Assumptions!$B$4</f>
        <v/>
      </c>
      <c r="AB160" s="26">
        <f>IF(U160=0,"",ROUND(AA160/U160*100,1))</f>
        <v/>
      </c>
      <c r="AC160" s="27">
        <f>Y160-AA160</f>
        <v/>
      </c>
      <c r="AD160" s="26">
        <f>IF(U160=0,"",ROUND((Y160-AA160)/U160*100,1))</f>
        <v/>
      </c>
      <c r="AE160" s="28" t="inlineStr">
        <is>
          <t>OK — totals reconciled</t>
        </is>
      </c>
      <c r="AF160" s="29" t="inlineStr">
        <is>
          <t>https://recuperasolucoes.com/wp-content/plugins/download-attachments/includes/download.php?id=1597</t>
        </is>
      </c>
      <c r="AG160" s="28" t="inlineStr">
        <is>
          <t>p13 r9</t>
        </is>
      </c>
      <c r="AH160" s="28" t="inlineStr">
        <is>
          <t>p13: R$ 2.115.489,72</t>
        </is>
      </c>
      <c r="AI160" s="28" t="inlineStr">
        <is>
          <t>Debtor list (art. 51)</t>
        </is>
      </c>
      <c r="AJ160" s="28" t="inlineStr">
        <is>
          <t>2026-05-21</t>
        </is>
      </c>
      <c r="AK160" s="28" t="inlineStr">
        <is>
          <t>NONE FOUND</t>
        </is>
      </c>
      <c r="AL160" s="30" t="inlineStr">
        <is>
          <t>0001639-09.2026.8.17.2810</t>
        </is>
      </c>
      <c r="AM160" s="30" t="inlineStr">
        <is>
          <t>TJPE</t>
        </is>
      </c>
      <c r="AN160" s="30" t="inlineStr">
        <is>
          <t>ACTIVE</t>
        </is>
      </c>
      <c r="AO160" s="30" t="n">
        <v>2026</v>
      </c>
      <c r="AP160" s="30" t="inlineStr">
        <is>
          <t>live case, no plan document yet</t>
        </is>
      </c>
      <c r="AQ160" s="30" t="inlineStr"/>
      <c r="AR160" s="30" t="inlineStr">
        <is>
          <t>printed on the list (read twice)</t>
        </is>
      </c>
      <c r="AS160" s="30" t="inlineStr">
        <is>
          <t>SAO PAULO</t>
        </is>
      </c>
      <c r="AT160" s="30" t="inlineStr">
        <is>
          <t>SP</t>
        </is>
      </c>
      <c r="AU160" s="30" t="inlineStr">
        <is>
          <t>Bancos múltiplos, com carteira comercial</t>
        </is>
      </c>
      <c r="AV160" s="30" t="inlineStr">
        <is>
          <t>DEMAIS</t>
        </is>
      </c>
      <c r="AW160" s="31" t="n">
        <v>1131957000</v>
      </c>
      <c r="AX160" s="30" t="inlineStr">
        <is>
          <t>LARGE CORP</t>
        </is>
      </c>
      <c r="AY160" s="30" t="inlineStr">
        <is>
          <t>31872495</t>
        </is>
      </c>
      <c r="AZ160" s="30" t="n">
        <v>1</v>
      </c>
      <c r="BA160" s="30" t="inlineStr">
        <is>
          <t>ROWS:p13r9</t>
        </is>
      </c>
    </row>
    <row r="161">
      <c r="A161" s="16" t="inlineStr">
        <is>
          <t>BANCO SAFRA S A</t>
        </is>
      </c>
      <c r="B161" s="17" t="n">
        <v>2110421.08</v>
      </c>
      <c r="C161" s="18" t="inlineStr">
        <is>
          <t>GRUPO IMPLASVERDE</t>
        </is>
      </c>
      <c r="D161" s="19" t="inlineStr">
        <is>
          <t>NEW</t>
        </is>
      </c>
      <c r="E161" s="20" t="inlineStr"/>
      <c r="F161" s="19" t="inlineStr"/>
      <c r="G161" s="20" t="inlineStr"/>
      <c r="H161" s="19" t="inlineStr"/>
      <c r="I161" s="21" t="inlineStr">
        <is>
          <t>Vanessa Biotti</t>
        </is>
      </c>
      <c r="J161" s="21" t="inlineStr">
        <is>
          <t>Gerente de Recuperação de Crédito</t>
        </is>
      </c>
      <c r="K161" s="21" t="inlineStr">
        <is>
          <t>(11) 3175-7575</t>
        </is>
      </c>
      <c r="L161" s="21" t="inlineStr"/>
      <c r="M161" s="21" t="inlineStr"/>
      <c r="N161" s="21" t="inlineStr">
        <is>
          <t>vanessa.biotti@safra.com.br</t>
        </is>
      </c>
      <c r="O161" s="21" t="inlineStr">
        <is>
          <t>rodrigo.anjos@safra.com.br</t>
        </is>
      </c>
      <c r="P161" s="21" t="inlineStr">
        <is>
          <t>Rodrigo Anjos</t>
        </is>
      </c>
      <c r="Q161" s="21" t="inlineStr">
        <is>
          <t>Advogado Sênior - Jurídico Contencioso - Recuperação de Crédito - NPL</t>
        </is>
      </c>
      <c r="R161" s="21" t="inlineStr"/>
      <c r="S161" s="21" t="inlineStr">
        <is>
          <t>rodrigo.anjos@safra.com.br</t>
        </is>
      </c>
      <c r="T161" s="21" t="inlineStr">
        <is>
          <t>email verified by Apollo</t>
        </is>
      </c>
      <c r="U161" s="22" t="n">
        <v>2110421.08</v>
      </c>
      <c r="V161" s="23" t="inlineStr">
        <is>
          <t>B</t>
        </is>
      </c>
      <c r="W161" s="24">
        <f>IFERROR(VLOOKUP(V161,Assumptions!$A$7:$F$11,2,FALSE),0)</f>
        <v/>
      </c>
      <c r="X161" s="25">
        <f>IF(V161="A",MAX(1,IFERROR(VLOOKUP(V161,Assumptions!$A$7:$F$11,3,FALSE),3)+IFERROR(VLOOKUP(V161,Assumptions!$A$7:$F$11,4,FALSE),8)/2-MAX(0,IF(AO161="",0,YEAR(TODAY())-AO161)-IFERROR(VLOOKUP(V161,Assumptions!$A$7:$F$11,5,FALSE),1.5))),IFERROR(VLOOKUP(V161,Assumptions!$A$7:$F$11,5,FALSE),2.5)+IFERROR(VLOOKUP(V161,Assumptions!$A$7:$F$11,3,FALSE),3)+IFERROR(VLOOKUP(V161,Assumptions!$A$7:$F$11,4,FALSE),8)/2)</f>
        <v/>
      </c>
      <c r="Y161" s="22">
        <f>U161*W161/(1+Assumptions!$B$3)^X161</f>
        <v/>
      </c>
      <c r="Z161" s="26">
        <f>IF(U161=0,"",ROUND(Y161/U161*100,1))</f>
        <v/>
      </c>
      <c r="AA161" s="27">
        <f>Y161*Assumptions!$B$4</f>
        <v/>
      </c>
      <c r="AB161" s="26">
        <f>IF(U161=0,"",ROUND(AA161/U161*100,1))</f>
        <v/>
      </c>
      <c r="AC161" s="27">
        <f>Y161-AA161</f>
        <v/>
      </c>
      <c r="AD161" s="26">
        <f>IF(U161=0,"",ROUND((Y161-AA161)/U161*100,1))</f>
        <v/>
      </c>
      <c r="AE161" s="28" t="inlineStr">
        <is>
          <t>OK — totals reconciled</t>
        </is>
      </c>
      <c r="AF161" s="29" t="inlineStr">
        <is>
          <t>http://recuperacaojudicial.squarespace.com/s/LISTA-DE-CREDORES-CONSOLIDADA-ATE-04102024.pdf</t>
        </is>
      </c>
      <c r="AG161" s="28" t="inlineStr">
        <is>
          <t>p6 r6</t>
        </is>
      </c>
      <c r="AH161" s="28" t="inlineStr">
        <is>
          <t>p6: R$ 2.110.421,08</t>
        </is>
      </c>
      <c r="AI161" s="28" t="inlineStr">
        <is>
          <t>AJ list (art. 7 §2)</t>
        </is>
      </c>
      <c r="AJ161" s="28" t="inlineStr">
        <is>
          <t>2024-10-04</t>
        </is>
      </c>
      <c r="AK161" s="28" t="inlineStr">
        <is>
          <t>NONE FOUND</t>
        </is>
      </c>
      <c r="AL161" s="30" t="inlineStr">
        <is>
          <t>0800778-16.2023.8.20.5104</t>
        </is>
      </c>
      <c r="AM161" s="30" t="inlineStr">
        <is>
          <t>TJRN</t>
        </is>
      </c>
      <c r="AN161" s="30" t="inlineStr">
        <is>
          <t>ACTIVE</t>
        </is>
      </c>
      <c r="AO161" s="30" t="n">
        <v>2023</v>
      </c>
      <c r="AP161" s="30" t="inlineStr">
        <is>
          <t>live case, no plan document yet</t>
        </is>
      </c>
      <c r="AQ161" s="30" t="inlineStr"/>
      <c r="AR161" s="30" t="inlineStr">
        <is>
          <t>printed on the list (read twice)</t>
        </is>
      </c>
      <c r="AS161" s="30" t="inlineStr">
        <is>
          <t>SAO PAULO</t>
        </is>
      </c>
      <c r="AT161" s="30" t="inlineStr">
        <is>
          <t>SP</t>
        </is>
      </c>
      <c r="AU161" s="30" t="inlineStr">
        <is>
          <t>Bancos múltiplos, com carteira comercial</t>
        </is>
      </c>
      <c r="AV161" s="30" t="inlineStr">
        <is>
          <t>DEMAIS</t>
        </is>
      </c>
      <c r="AW161" s="31" t="n">
        <v>13924903000</v>
      </c>
      <c r="AX161" s="30" t="inlineStr">
        <is>
          <t>LARGE CORP</t>
        </is>
      </c>
      <c r="AY161" s="30" t="inlineStr">
        <is>
          <t>58160789</t>
        </is>
      </c>
      <c r="AZ161" s="30" t="n">
        <v>1</v>
      </c>
      <c r="BA161" s="30" t="inlineStr">
        <is>
          <t>LIKELY_FINANCIAL_BY_NAME ROWS:p6r6 VALUE_COL:Valor_Do_Crédito</t>
        </is>
      </c>
    </row>
    <row r="162">
      <c r="A162" s="16" t="inlineStr">
        <is>
          <t>COOPERATIVA DE CREDITO DE LIVRE ADMISSAO DO CENTRO NORTE BRASILEIRO</t>
        </is>
      </c>
      <c r="B162" s="17" t="n">
        <v>2092386.84</v>
      </c>
      <c r="C162" s="18" t="inlineStr">
        <is>
          <t>GRUPO ECONÔMICO FAEL (GRUPO FAEL)</t>
        </is>
      </c>
      <c r="D162" s="19" t="inlineStr">
        <is>
          <t>NEW</t>
        </is>
      </c>
      <c r="E162" s="20" t="inlineStr"/>
      <c r="F162" s="19" t="inlineStr"/>
      <c r="G162" s="20" t="inlineStr"/>
      <c r="H162" s="19" t="inlineStr"/>
      <c r="I162" s="21" t="inlineStr">
        <is>
          <t>Talita Araujo</t>
        </is>
      </c>
      <c r="J162" s="21" t="inlineStr">
        <is>
          <t>Supervisora de Crédito</t>
        </is>
      </c>
      <c r="K162" s="21" t="inlineStr">
        <is>
          <t>(62) 3311-3810</t>
        </is>
      </c>
      <c r="L162" s="21" t="inlineStr"/>
      <c r="M162" s="21" t="inlineStr"/>
      <c r="N162" s="21" t="inlineStr">
        <is>
          <t>talita.araujo@sicoob.com.br</t>
        </is>
      </c>
      <c r="O162" s="21" t="inlineStr">
        <is>
          <t>ingrid.lima@sicoob.com.br</t>
        </is>
      </c>
      <c r="P162" s="21" t="inlineStr">
        <is>
          <t>Ingrid Lima</t>
        </is>
      </c>
      <c r="Q162" s="21" t="inlineStr">
        <is>
          <t>Supervisora Juridica</t>
        </is>
      </c>
      <c r="R162" s="21" t="inlineStr"/>
      <c r="S162" s="21" t="inlineStr">
        <is>
          <t>ingrid.lima@sicoob.com.br</t>
        </is>
      </c>
      <c r="T162" s="21" t="inlineStr">
        <is>
          <t>email verified by Apollo</t>
        </is>
      </c>
      <c r="U162" s="22" t="n">
        <v>2092386.84</v>
      </c>
      <c r="V162" s="23" t="inlineStr">
        <is>
          <t>B</t>
        </is>
      </c>
      <c r="W162" s="24">
        <f>IFERROR(VLOOKUP(V162,Assumptions!$A$7:$F$11,2,FALSE),0)</f>
        <v/>
      </c>
      <c r="X162" s="25">
        <f>IF(V162="A",MAX(1,IFERROR(VLOOKUP(V162,Assumptions!$A$7:$F$11,3,FALSE),3)+IFERROR(VLOOKUP(V162,Assumptions!$A$7:$F$11,4,FALSE),8)/2-MAX(0,IF(AO162="",0,YEAR(TODAY())-AO162)-IFERROR(VLOOKUP(V162,Assumptions!$A$7:$F$11,5,FALSE),1.5))),IFERROR(VLOOKUP(V162,Assumptions!$A$7:$F$11,5,FALSE),2.5)+IFERROR(VLOOKUP(V162,Assumptions!$A$7:$F$11,3,FALSE),3)+IFERROR(VLOOKUP(V162,Assumptions!$A$7:$F$11,4,FALSE),8)/2)</f>
        <v/>
      </c>
      <c r="Y162" s="22">
        <f>U162*W162/(1+Assumptions!$B$3)^X162</f>
        <v/>
      </c>
      <c r="Z162" s="26">
        <f>IF(U162=0,"",ROUND(Y162/U162*100,1))</f>
        <v/>
      </c>
      <c r="AA162" s="27">
        <f>Y162*Assumptions!$B$4</f>
        <v/>
      </c>
      <c r="AB162" s="26">
        <f>IF(U162=0,"",ROUND(AA162/U162*100,1))</f>
        <v/>
      </c>
      <c r="AC162" s="27">
        <f>Y162-AA162</f>
        <v/>
      </c>
      <c r="AD162" s="26">
        <f>IF(U162=0,"",ROUND((Y162-AA162)/U162*100,1))</f>
        <v/>
      </c>
      <c r="AE162" s="33" t="inlineStr">
        <is>
          <t>NO TOTALS — list prints none; check page</t>
        </is>
      </c>
      <c r="AF162" s="29" t="inlineStr">
        <is>
          <t>https://stenius.com.br/wp-content/uploads/2026/06/EDITAL-GRUPO-FAEL.pdf</t>
        </is>
      </c>
      <c r="AG162" s="28" t="inlineStr">
        <is>
          <t>p2 r2</t>
        </is>
      </c>
      <c r="AH162" s="28" t="inlineStr">
        <is>
          <t>p2: R$ 2.092.386,84</t>
        </is>
      </c>
      <c r="AI162" s="28" t="inlineStr">
        <is>
          <t>AJ list (art. 7 §2)</t>
        </is>
      </c>
      <c r="AJ162" s="28" t="inlineStr">
        <is>
          <t>2026-06-30</t>
        </is>
      </c>
      <c r="AK162" s="28" t="inlineStr">
        <is>
          <t>NONE FOUND</t>
        </is>
      </c>
      <c r="AL162" s="30" t="inlineStr">
        <is>
          <t>5264228-81.2025.8.09.0172</t>
        </is>
      </c>
      <c r="AM162" s="30" t="inlineStr">
        <is>
          <t>TJGO</t>
        </is>
      </c>
      <c r="AN162" s="30" t="inlineStr">
        <is>
          <t>ACTIVE</t>
        </is>
      </c>
      <c r="AO162" s="30" t="n">
        <v>2025</v>
      </c>
      <c r="AP162" s="30" t="inlineStr">
        <is>
          <t>live case, no plan document yet</t>
        </is>
      </c>
      <c r="AQ162" s="30" t="inlineStr"/>
      <c r="AR162" s="30" t="inlineStr">
        <is>
          <t>printed on the list (read twice)</t>
        </is>
      </c>
      <c r="AS162" s="30" t="inlineStr">
        <is>
          <t>ANAPOLIS</t>
        </is>
      </c>
      <c r="AT162" s="30" t="inlineStr">
        <is>
          <t>GO</t>
        </is>
      </c>
      <c r="AU162" s="30" t="inlineStr">
        <is>
          <t>Cooperativas de crédito mútuo</t>
        </is>
      </c>
      <c r="AV162" s="30" t="inlineStr">
        <is>
          <t>DEMAIS</t>
        </is>
      </c>
      <c r="AW162" s="31" t="inlineStr"/>
      <c r="AX162" s="30" t="inlineStr">
        <is>
          <t>MID-MARKET</t>
        </is>
      </c>
      <c r="AY162" s="30" t="inlineStr">
        <is>
          <t>02282709</t>
        </is>
      </c>
      <c r="AZ162" s="30" t="n">
        <v>1</v>
      </c>
      <c r="BA162" s="30" t="inlineStr">
        <is>
          <t>ROWS:p2r2 UNRECONCILED_SOURCE VALUE_COL:Valor_Do_Crédito</t>
        </is>
      </c>
    </row>
    <row r="163">
      <c r="A163" s="16" t="inlineStr">
        <is>
          <t>BANCO SOFISA S.A.</t>
        </is>
      </c>
      <c r="B163" s="17" t="n">
        <v>2057767.49</v>
      </c>
      <c r="C163" s="18" t="inlineStr">
        <is>
          <t>GRUPO GLP</t>
        </is>
      </c>
      <c r="D163" s="19" t="inlineStr">
        <is>
          <t>NEW</t>
        </is>
      </c>
      <c r="E163" s="20" t="inlineStr"/>
      <c r="F163" s="19" t="inlineStr"/>
      <c r="G163" s="20" t="inlineStr"/>
      <c r="H163" s="19" t="inlineStr"/>
      <c r="I163" s="21" t="inlineStr">
        <is>
          <t>Tiago Hendo</t>
        </is>
      </c>
      <c r="J163" s="21" t="inlineStr">
        <is>
          <t>Gerente de Reestruturação de Crédito</t>
        </is>
      </c>
      <c r="K163" s="21" t="inlineStr">
        <is>
          <t>(11) 3176-5500</t>
        </is>
      </c>
      <c r="L163" s="21" t="inlineStr"/>
      <c r="M163" s="21" t="inlineStr"/>
      <c r="N163" s="21" t="inlineStr"/>
      <c r="O163" s="21" t="inlineStr">
        <is>
          <t>rnurnberg@sofisa.com.br</t>
        </is>
      </c>
      <c r="P163" s="21" t="inlineStr">
        <is>
          <t>Rafael Nurnberg</t>
        </is>
      </c>
      <c r="Q163" s="21" t="inlineStr">
        <is>
          <t>Superintendente Executivo de Crédito e Cobrança Varejo (PF e PJ)</t>
        </is>
      </c>
      <c r="R163" s="21" t="inlineStr"/>
      <c r="S163" s="21" t="inlineStr">
        <is>
          <t>rnurnberg@sofisa.com.br</t>
        </is>
      </c>
      <c r="T163" s="21" t="inlineStr">
        <is>
          <t>no work email found in Apollo</t>
        </is>
      </c>
      <c r="U163" s="22" t="n">
        <v>2057767.49</v>
      </c>
      <c r="V163" s="23" t="inlineStr">
        <is>
          <t>B</t>
        </is>
      </c>
      <c r="W163" s="24">
        <f>IFERROR(VLOOKUP(V163,Assumptions!$A$7:$F$11,2,FALSE),0)</f>
        <v/>
      </c>
      <c r="X163" s="25">
        <f>IF(V163="A",MAX(1,IFERROR(VLOOKUP(V163,Assumptions!$A$7:$F$11,3,FALSE),3)+IFERROR(VLOOKUP(V163,Assumptions!$A$7:$F$11,4,FALSE),8)/2-MAX(0,IF(AO163="",0,YEAR(TODAY())-AO163)-IFERROR(VLOOKUP(V163,Assumptions!$A$7:$F$11,5,FALSE),1.5))),IFERROR(VLOOKUP(V163,Assumptions!$A$7:$F$11,5,FALSE),2.5)+IFERROR(VLOOKUP(V163,Assumptions!$A$7:$F$11,3,FALSE),3)+IFERROR(VLOOKUP(V163,Assumptions!$A$7:$F$11,4,FALSE),8)/2)</f>
        <v/>
      </c>
      <c r="Y163" s="22">
        <f>U163*W163/(1+Assumptions!$B$3)^X163</f>
        <v/>
      </c>
      <c r="Z163" s="26">
        <f>IF(U163=0,"",ROUND(Y163/U163*100,1))</f>
        <v/>
      </c>
      <c r="AA163" s="27">
        <f>Y163*Assumptions!$B$4</f>
        <v/>
      </c>
      <c r="AB163" s="26">
        <f>IF(U163=0,"",ROUND(AA163/U163*100,1))</f>
        <v/>
      </c>
      <c r="AC163" s="27">
        <f>Y163-AA163</f>
        <v/>
      </c>
      <c r="AD163" s="26">
        <f>IF(U163=0,"",ROUND((Y163-AA163)/U163*100,1))</f>
        <v/>
      </c>
      <c r="AE163" s="28" t="inlineStr">
        <is>
          <t>OK — totals reconciled</t>
        </is>
      </c>
      <c r="AF163" s="29" t="inlineStr">
        <is>
          <t>https://recuperasolucoes.com/wp-content/plugins/download-attachments/includes/download.php?id=1597</t>
        </is>
      </c>
      <c r="AG163" s="28" t="inlineStr">
        <is>
          <t>p13 r22</t>
        </is>
      </c>
      <c r="AH163" s="28" t="inlineStr">
        <is>
          <t>p13: R$ 2.057.767,49</t>
        </is>
      </c>
      <c r="AI163" s="28" t="inlineStr">
        <is>
          <t>Debtor list (art. 51)</t>
        </is>
      </c>
      <c r="AJ163" s="28" t="inlineStr">
        <is>
          <t>2026-05-21</t>
        </is>
      </c>
      <c r="AK163" s="28" t="inlineStr">
        <is>
          <t>NONE FOUND</t>
        </is>
      </c>
      <c r="AL163" s="30" t="inlineStr">
        <is>
          <t>0001639-09.2026.8.17.2810</t>
        </is>
      </c>
      <c r="AM163" s="30" t="inlineStr">
        <is>
          <t>TJPE</t>
        </is>
      </c>
      <c r="AN163" s="30" t="inlineStr">
        <is>
          <t>ACTIVE</t>
        </is>
      </c>
      <c r="AO163" s="30" t="n">
        <v>2026</v>
      </c>
      <c r="AP163" s="30" t="inlineStr">
        <is>
          <t>live case, no plan document yet</t>
        </is>
      </c>
      <c r="AQ163" s="30" t="inlineStr"/>
      <c r="AR163" s="30" t="inlineStr">
        <is>
          <t>printed on the list (read twice)</t>
        </is>
      </c>
      <c r="AS163" s="30" t="inlineStr">
        <is>
          <t>SAO PAULO</t>
        </is>
      </c>
      <c r="AT163" s="30" t="inlineStr">
        <is>
          <t>SP</t>
        </is>
      </c>
      <c r="AU163" s="30" t="inlineStr">
        <is>
          <t>Bancos múltiplos, com carteira comercial</t>
        </is>
      </c>
      <c r="AV163" s="30" t="inlineStr">
        <is>
          <t>DEMAIS</t>
        </is>
      </c>
      <c r="AW163" s="31" t="n">
        <v>1021700100</v>
      </c>
      <c r="AX163" s="30" t="inlineStr">
        <is>
          <t>LARGE CORP</t>
        </is>
      </c>
      <c r="AY163" s="30" t="inlineStr">
        <is>
          <t>60889128</t>
        </is>
      </c>
      <c r="AZ163" s="30" t="n">
        <v>1</v>
      </c>
      <c r="BA163" s="30" t="inlineStr">
        <is>
          <t>ROWS:p13r22</t>
        </is>
      </c>
    </row>
    <row r="164">
      <c r="A164" s="16" t="inlineStr">
        <is>
          <t>BANCO INDUSTRIAL DO BRASIL S/A</t>
        </is>
      </c>
      <c r="B164" s="17" t="n">
        <v>2056998.2</v>
      </c>
      <c r="C164" s="18" t="inlineStr">
        <is>
          <t>Grupo Conduscabos</t>
        </is>
      </c>
      <c r="D164" s="19" t="inlineStr">
        <is>
          <t>NEW</t>
        </is>
      </c>
      <c r="E164" s="20" t="inlineStr"/>
      <c r="F164" s="19" t="inlineStr"/>
      <c r="G164" s="20" t="inlineStr"/>
      <c r="H164" s="19" t="inlineStr"/>
      <c r="I164" s="21" t="inlineStr">
        <is>
          <t>Eduardo Fernandes</t>
        </is>
      </c>
      <c r="J164" s="21" t="inlineStr">
        <is>
          <t>Gerente de Recuperação de Crédito</t>
        </is>
      </c>
      <c r="K164" s="21" t="inlineStr"/>
      <c r="L164" s="21" t="inlineStr"/>
      <c r="M164" s="21" t="inlineStr"/>
      <c r="N164" s="21" t="inlineStr">
        <is>
          <t>eduardo.fernandes@bancoindustrial.com.br</t>
        </is>
      </c>
      <c r="O164" s="21" t="inlineStr"/>
      <c r="P164" s="21" t="inlineStr"/>
      <c r="Q164" s="21" t="inlineStr"/>
      <c r="R164" s="21" t="inlineStr"/>
      <c r="S164" s="21" t="inlineStr"/>
      <c r="T164" s="21" t="inlineStr">
        <is>
          <t>email verified by Apollo</t>
        </is>
      </c>
      <c r="U164" s="22" t="n">
        <v>2056998.2</v>
      </c>
      <c r="V164" s="23" t="inlineStr">
        <is>
          <t>B</t>
        </is>
      </c>
      <c r="W164" s="24">
        <f>IFERROR(VLOOKUP(V164,Assumptions!$A$7:$F$11,2,FALSE),0)</f>
        <v/>
      </c>
      <c r="X164" s="25">
        <f>IF(V164="A",MAX(1,IFERROR(VLOOKUP(V164,Assumptions!$A$7:$F$11,3,FALSE),3)+IFERROR(VLOOKUP(V164,Assumptions!$A$7:$F$11,4,FALSE),8)/2-MAX(0,IF(AO164="",0,YEAR(TODAY())-AO164)-IFERROR(VLOOKUP(V164,Assumptions!$A$7:$F$11,5,FALSE),1.5))),IFERROR(VLOOKUP(V164,Assumptions!$A$7:$F$11,5,FALSE),2.5)+IFERROR(VLOOKUP(V164,Assumptions!$A$7:$F$11,3,FALSE),3)+IFERROR(VLOOKUP(V164,Assumptions!$A$7:$F$11,4,FALSE),8)/2)</f>
        <v/>
      </c>
      <c r="Y164" s="22">
        <f>U164*W164/(1+Assumptions!$B$3)^X164</f>
        <v/>
      </c>
      <c r="Z164" s="26">
        <f>IF(U164=0,"",ROUND(Y164/U164*100,1))</f>
        <v/>
      </c>
      <c r="AA164" s="27">
        <f>Y164*Assumptions!$B$4</f>
        <v/>
      </c>
      <c r="AB164" s="26">
        <f>IF(U164=0,"",ROUND(AA164/U164*100,1))</f>
        <v/>
      </c>
      <c r="AC164" s="27">
        <f>Y164-AA164</f>
        <v/>
      </c>
      <c r="AD164" s="26">
        <f>IF(U164=0,"",ROUND((Y164-AA164)/U164*100,1))</f>
        <v/>
      </c>
      <c r="AE164" s="33" t="inlineStr">
        <is>
          <t>NO TOTALS — list prints none; check page</t>
        </is>
      </c>
      <c r="AF164" s="29" t="inlineStr">
        <is>
          <t>https://assistjud.com.br/wp-content/uploads/elementor/forms/65098c80a5824.pdf</t>
        </is>
      </c>
      <c r="AG164" s="28" t="inlineStr">
        <is>
          <t>p5 r11; p17 r5</t>
        </is>
      </c>
      <c r="AH164" s="28" t="inlineStr">
        <is>
          <t>p5: R$ 1.047.741,53; p17: R$ 1.009.256,67</t>
        </is>
      </c>
      <c r="AI164" s="28" t="inlineStr">
        <is>
          <t>AJ list (art. 7 §2)</t>
        </is>
      </c>
      <c r="AJ164" s="28" t="inlineStr">
        <is>
          <t>2023-09-18</t>
        </is>
      </c>
      <c r="AK164" s="28" t="inlineStr">
        <is>
          <t>NONE FOUND</t>
        </is>
      </c>
      <c r="AL164" s="30" t="inlineStr">
        <is>
          <t>8005129-09.2023.8.05.0039</t>
        </is>
      </c>
      <c r="AM164" s="30" t="inlineStr">
        <is>
          <t>TJBA</t>
        </is>
      </c>
      <c r="AN164" s="30" t="inlineStr">
        <is>
          <t>ACTIVE</t>
        </is>
      </c>
      <c r="AO164" s="30" t="n">
        <v>2023</v>
      </c>
      <c r="AP164" s="30" t="inlineStr">
        <is>
          <t>live case, no plan document yet</t>
        </is>
      </c>
      <c r="AQ164" s="30" t="inlineStr"/>
      <c r="AR164" s="30" t="inlineStr">
        <is>
          <t>printed on the list (read twice)</t>
        </is>
      </c>
      <c r="AS164" s="30" t="inlineStr"/>
      <c r="AT164" s="30" t="inlineStr"/>
      <c r="AU164" s="30" t="inlineStr"/>
      <c r="AV164" s="30" t="inlineStr"/>
      <c r="AW164" s="31" t="inlineStr"/>
      <c r="AX164" s="30" t="inlineStr">
        <is>
          <t>MID-MARKET</t>
        </is>
      </c>
      <c r="AY164" s="30" t="inlineStr">
        <is>
          <t>31895683</t>
        </is>
      </c>
      <c r="AZ164" s="30" t="n">
        <v>2</v>
      </c>
      <c r="BA164" s="30" t="inlineStr">
        <is>
          <t>LIKELY_FINANCIAL_BY_NAME ROWS:p5r11,p17r5 UNRECONCILED_SOURCE VALUE_COL:Valor_Do_Crédito_2º_Edital_De_Credores</t>
        </is>
      </c>
    </row>
    <row r="165">
      <c r="A165" s="16" t="inlineStr">
        <is>
          <t>BANCO C6 S.A.</t>
        </is>
      </c>
      <c r="B165" s="17" t="n">
        <v>2046618.39</v>
      </c>
      <c r="C165" s="18" t="inlineStr">
        <is>
          <t>Cerealista Safrasul Ltda</t>
        </is>
      </c>
      <c r="D165" s="19" t="inlineStr">
        <is>
          <t>NEW</t>
        </is>
      </c>
      <c r="E165" s="20" t="inlineStr"/>
      <c r="F165" s="19" t="inlineStr"/>
      <c r="G165" s="20" t="inlineStr"/>
      <c r="H165" s="19" t="inlineStr"/>
      <c r="I165" s="21" t="inlineStr">
        <is>
          <t>Camilla Moriki</t>
        </is>
      </c>
      <c r="J165" s="21" t="inlineStr">
        <is>
          <t>Gerente de Recuperação de Crédito | Reestruturação - Atacado</t>
        </is>
      </c>
      <c r="K165" s="21" t="inlineStr">
        <is>
          <t>(11) 2832-6000</t>
        </is>
      </c>
      <c r="L165" s="21" t="inlineStr"/>
      <c r="M165" s="21" t="inlineStr"/>
      <c r="N165" s="21" t="inlineStr">
        <is>
          <t>camilla.moriki@c6bank.com</t>
        </is>
      </c>
      <c r="O165" s="21" t="inlineStr">
        <is>
          <t>kevin.santana@c6bank.com</t>
        </is>
      </c>
      <c r="P165" s="21" t="inlineStr">
        <is>
          <t>Kevin Santana</t>
        </is>
      </c>
      <c r="Q165" s="21" t="inlineStr">
        <is>
          <t>Gerente de Estratégia de Recuperação de Crédito</t>
        </is>
      </c>
      <c r="R165" s="21" t="inlineStr"/>
      <c r="S165" s="21" t="inlineStr">
        <is>
          <t>kevin.santana@c6bank.com</t>
        </is>
      </c>
      <c r="T165" s="21" t="inlineStr">
        <is>
          <t>email verified by Apollo</t>
        </is>
      </c>
      <c r="U165" s="22" t="n">
        <v>2046618.39</v>
      </c>
      <c r="V165" s="23" t="inlineStr">
        <is>
          <t>B</t>
        </is>
      </c>
      <c r="W165" s="24">
        <f>IFERROR(VLOOKUP(V165,Assumptions!$A$7:$F$11,2,FALSE),0)</f>
        <v/>
      </c>
      <c r="X165" s="25">
        <f>IF(V165="A",MAX(1,IFERROR(VLOOKUP(V165,Assumptions!$A$7:$F$11,3,FALSE),3)+IFERROR(VLOOKUP(V165,Assumptions!$A$7:$F$11,4,FALSE),8)/2-MAX(0,IF(AO165="",0,YEAR(TODAY())-AO165)-IFERROR(VLOOKUP(V165,Assumptions!$A$7:$F$11,5,FALSE),1.5))),IFERROR(VLOOKUP(V165,Assumptions!$A$7:$F$11,5,FALSE),2.5)+IFERROR(VLOOKUP(V165,Assumptions!$A$7:$F$11,3,FALSE),3)+IFERROR(VLOOKUP(V165,Assumptions!$A$7:$F$11,4,FALSE),8)/2)</f>
        <v/>
      </c>
      <c r="Y165" s="22">
        <f>U165*W165/(1+Assumptions!$B$3)^X165</f>
        <v/>
      </c>
      <c r="Z165" s="26">
        <f>IF(U165=0,"",ROUND(Y165/U165*100,1))</f>
        <v/>
      </c>
      <c r="AA165" s="27">
        <f>Y165*Assumptions!$B$4</f>
        <v/>
      </c>
      <c r="AB165" s="26">
        <f>IF(U165=0,"",ROUND(AA165/U165*100,1))</f>
        <v/>
      </c>
      <c r="AC165" s="27">
        <f>Y165-AA165</f>
        <v/>
      </c>
      <c r="AD165" s="26">
        <f>IF(U165=0,"",ROUND((Y165-AA165)/U165*100,1))</f>
        <v/>
      </c>
      <c r="AE165" s="33" t="inlineStr">
        <is>
          <t>NO TOTALS — list prints none; check page</t>
        </is>
      </c>
      <c r="AF165" s="29" t="inlineStr">
        <is>
          <t>https://ajruiz.com.br/sites/default/files/public/arquivos-processos/2026-01/safrasul_relacao_de_credores_recuperanda.pdf</t>
        </is>
      </c>
      <c r="AG165" s="28" t="inlineStr">
        <is>
          <t>p8 r2; p8 r3</t>
        </is>
      </c>
      <c r="AH165" s="28" t="inlineStr">
        <is>
          <t>p8: R$ 2.045.018,39; p8: R$ 1.600,00</t>
        </is>
      </c>
      <c r="AI165" s="28" t="inlineStr">
        <is>
          <t>AJ list (art. 7 §2)</t>
        </is>
      </c>
      <c r="AJ165" s="28" t="inlineStr">
        <is>
          <t>2026-01-14</t>
        </is>
      </c>
      <c r="AK165" s="28" t="inlineStr">
        <is>
          <t>NONE FOUND</t>
        </is>
      </c>
      <c r="AL165" s="30" t="inlineStr">
        <is>
          <t>4000167-23.2025.8.26.0373</t>
        </is>
      </c>
      <c r="AM165" s="30" t="inlineStr">
        <is>
          <t>TJSP</t>
        </is>
      </c>
      <c r="AN165" s="30" t="inlineStr">
        <is>
          <t>ACTIVE</t>
        </is>
      </c>
      <c r="AO165" s="30" t="n">
        <v>2025</v>
      </c>
      <c r="AP165" s="30" t="inlineStr">
        <is>
          <t>live case, no plan document yet</t>
        </is>
      </c>
      <c r="AQ165" s="30" t="inlineStr"/>
      <c r="AR165" s="30" t="inlineStr">
        <is>
          <t>printed on the list (read twice)</t>
        </is>
      </c>
      <c r="AS165" s="30" t="inlineStr">
        <is>
          <t>SAO PAULO</t>
        </is>
      </c>
      <c r="AT165" s="30" t="inlineStr">
        <is>
          <t>SP</t>
        </is>
      </c>
      <c r="AU165" s="30" t="inlineStr">
        <is>
          <t>Bancos múltiplos, com carteira comercial</t>
        </is>
      </c>
      <c r="AV165" s="30" t="inlineStr">
        <is>
          <t>DEMAIS</t>
        </is>
      </c>
      <c r="AW165" s="31" t="n">
        <v>1131957000</v>
      </c>
      <c r="AX165" s="30" t="inlineStr">
        <is>
          <t>LARGE CORP</t>
        </is>
      </c>
      <c r="AY165" s="30" t="inlineStr">
        <is>
          <t>31872495</t>
        </is>
      </c>
      <c r="AZ165" s="30" t="n">
        <v>2</v>
      </c>
      <c r="BA165" s="30" t="inlineStr">
        <is>
          <t>LIKELY_FINANCIAL_BY_NAME ROWS:p8r2,p8r3 UNRECONCILED_SOURCE</t>
        </is>
      </c>
    </row>
    <row r="166">
      <c r="A166" s="16" t="inlineStr">
        <is>
          <t>BANCO DO BRASIL SA</t>
        </is>
      </c>
      <c r="B166" s="17" t="n">
        <v>2023755.17</v>
      </c>
      <c r="C166" s="18" t="inlineStr">
        <is>
          <t>GRUPO DP4</t>
        </is>
      </c>
      <c r="D166" s="19" t="inlineStr">
        <is>
          <t>NEW</t>
        </is>
      </c>
      <c r="E166" s="20" t="inlineStr"/>
      <c r="F166" s="19" t="inlineStr"/>
      <c r="G166" s="20" t="inlineStr"/>
      <c r="H166" s="19" t="inlineStr"/>
      <c r="I166" s="21" t="inlineStr">
        <is>
          <t>Thiago Cavichioli</t>
        </is>
      </c>
      <c r="J166" s="21" t="inlineStr">
        <is>
          <t>Gerente de Cobrança e Recuperação de Crédito</t>
        </is>
      </c>
      <c r="K166" s="21" t="inlineStr">
        <is>
          <t>(61) 3493-9002</t>
        </is>
      </c>
      <c r="L166" s="21" t="inlineStr"/>
      <c r="M166" s="21" t="inlineStr"/>
      <c r="N166" s="21" t="inlineStr">
        <is>
          <t>thiago.cavichioli@bb.com.br</t>
        </is>
      </c>
      <c r="O166" s="21" t="inlineStr">
        <is>
          <t>suelenmondador@bb.com.br</t>
        </is>
      </c>
      <c r="P166" s="21" t="inlineStr">
        <is>
          <t>Suelen Mondador</t>
        </is>
      </c>
      <c r="Q166" s="21" t="inlineStr">
        <is>
          <t>Gerente Especialista em Recuperação de Crédito</t>
        </is>
      </c>
      <c r="R166" s="21" t="inlineStr"/>
      <c r="S166" s="21" t="inlineStr">
        <is>
          <t>suelenmondador@bb.com.br</t>
        </is>
      </c>
      <c r="T166" s="21" t="inlineStr">
        <is>
          <t>email verified by Apollo</t>
        </is>
      </c>
      <c r="U166" s="22" t="n">
        <v>2023755.17</v>
      </c>
      <c r="V166" s="23" t="inlineStr">
        <is>
          <t>B</t>
        </is>
      </c>
      <c r="W166" s="24">
        <f>IFERROR(VLOOKUP(V166,Assumptions!$A$7:$F$11,2,FALSE),0)</f>
        <v/>
      </c>
      <c r="X166" s="25">
        <f>IF(V166="A",MAX(1,IFERROR(VLOOKUP(V166,Assumptions!$A$7:$F$11,3,FALSE),3)+IFERROR(VLOOKUP(V166,Assumptions!$A$7:$F$11,4,FALSE),8)/2-MAX(0,IF(AO166="",0,YEAR(TODAY())-AO166)-IFERROR(VLOOKUP(V166,Assumptions!$A$7:$F$11,5,FALSE),1.5))),IFERROR(VLOOKUP(V166,Assumptions!$A$7:$F$11,5,FALSE),2.5)+IFERROR(VLOOKUP(V166,Assumptions!$A$7:$F$11,3,FALSE),3)+IFERROR(VLOOKUP(V166,Assumptions!$A$7:$F$11,4,FALSE),8)/2)</f>
        <v/>
      </c>
      <c r="Y166" s="22">
        <f>U166*W166/(1+Assumptions!$B$3)^X166</f>
        <v/>
      </c>
      <c r="Z166" s="26">
        <f>IF(U166=0,"",ROUND(Y166/U166*100,1))</f>
        <v/>
      </c>
      <c r="AA166" s="27">
        <f>Y166*Assumptions!$B$4</f>
        <v/>
      </c>
      <c r="AB166" s="26">
        <f>IF(U166=0,"",ROUND(AA166/U166*100,1))</f>
        <v/>
      </c>
      <c r="AC166" s="27">
        <f>Y166-AA166</f>
        <v/>
      </c>
      <c r="AD166" s="26">
        <f>IF(U166=0,"",ROUND((Y166-AA166)/U166*100,1))</f>
        <v/>
      </c>
      <c r="AE166" s="34" t="inlineStr">
        <is>
          <t>PARTIAL — class III reconciled, other classes not</t>
        </is>
      </c>
      <c r="AF166" s="29" t="inlineStr">
        <is>
          <t>https://marquesadmjudicial.com.br/sgc/download.php?file=files/processo_documento/processo_documento15293208032024_1_.pdf&amp;nome=Relação Nominal de Credores da AJ-Sintética</t>
        </is>
      </c>
      <c r="AG166" s="28" t="inlineStr">
        <is>
          <t>p20 r10</t>
        </is>
      </c>
      <c r="AH166" s="28" t="inlineStr">
        <is>
          <t>p20: R$ 2.023.755,17</t>
        </is>
      </c>
      <c r="AI166" s="28" t="inlineStr">
        <is>
          <t>AJ list (art. 7 §2)</t>
        </is>
      </c>
      <c r="AJ166" s="28" t="inlineStr">
        <is>
          <t>2023-03-02</t>
        </is>
      </c>
      <c r="AK166" s="28" t="inlineStr">
        <is>
          <t>NONE FOUND</t>
        </is>
      </c>
      <c r="AL166" s="30" t="inlineStr">
        <is>
          <t>0005010-98.2023.8.16.0001</t>
        </is>
      </c>
      <c r="AM166" s="30" t="inlineStr">
        <is>
          <t>TJPR</t>
        </is>
      </c>
      <c r="AN166" s="30" t="inlineStr">
        <is>
          <t>ACTIVE</t>
        </is>
      </c>
      <c r="AO166" s="30" t="n">
        <v>2023</v>
      </c>
      <c r="AP166" s="30" t="inlineStr">
        <is>
          <t>live case, no plan document yet</t>
        </is>
      </c>
      <c r="AQ166" s="30" t="inlineStr"/>
      <c r="AR166" s="30" t="inlineStr">
        <is>
          <t>printed on the list (read twice)</t>
        </is>
      </c>
      <c r="AS166" s="30" t="inlineStr">
        <is>
          <t>BRASILIA</t>
        </is>
      </c>
      <c r="AT166" s="30" t="inlineStr">
        <is>
          <t>DF</t>
        </is>
      </c>
      <c r="AU166" s="30" t="inlineStr">
        <is>
          <t>Bancos múltiplos, com carteira comercial</t>
        </is>
      </c>
      <c r="AV166" s="30" t="inlineStr">
        <is>
          <t>DEMAIS</t>
        </is>
      </c>
      <c r="AW166" s="31" t="n">
        <v>120000000000</v>
      </c>
      <c r="AX166" s="30" t="inlineStr">
        <is>
          <t>LARGE CORP</t>
        </is>
      </c>
      <c r="AY166" s="30" t="inlineStr">
        <is>
          <t>00000000</t>
        </is>
      </c>
      <c r="AZ166" s="30" t="n">
        <v>1</v>
      </c>
      <c r="BA166" s="30" t="inlineStr">
        <is>
          <t>LIKELY_FINANCIAL_BY_NAME PARTIAL_DOC_CLASS_III_RECONCILED ROWS:p20r10</t>
        </is>
      </c>
    </row>
    <row r="167">
      <c r="A167" s="16" t="inlineStr">
        <is>
          <t>BANCO SAFRA S A</t>
        </is>
      </c>
      <c r="B167" s="17" t="n">
        <v>2014067.89</v>
      </c>
      <c r="C167" s="18" t="inlineStr">
        <is>
          <t>AZEPLAST INDÚSTRIA E COMÉRCIO LTDA</t>
        </is>
      </c>
      <c r="D167" s="19" t="inlineStr">
        <is>
          <t>NEW</t>
        </is>
      </c>
      <c r="E167" s="20" t="inlineStr"/>
      <c r="F167" s="19" t="inlineStr"/>
      <c r="G167" s="20" t="inlineStr"/>
      <c r="H167" s="19" t="inlineStr"/>
      <c r="I167" s="21" t="inlineStr">
        <is>
          <t>Vanessa Biotti</t>
        </is>
      </c>
      <c r="J167" s="21" t="inlineStr">
        <is>
          <t>Gerente de Recuperação de Crédito</t>
        </is>
      </c>
      <c r="K167" s="21" t="inlineStr">
        <is>
          <t>(11) 3175-7575</t>
        </is>
      </c>
      <c r="L167" s="21" t="inlineStr"/>
      <c r="M167" s="21" t="inlineStr"/>
      <c r="N167" s="21" t="inlineStr">
        <is>
          <t>vanessa.biotti@safra.com.br</t>
        </is>
      </c>
      <c r="O167" s="21" t="inlineStr">
        <is>
          <t>rodrigo.anjos@safra.com.br</t>
        </is>
      </c>
      <c r="P167" s="21" t="inlineStr">
        <is>
          <t>Rodrigo Anjos</t>
        </is>
      </c>
      <c r="Q167" s="21" t="inlineStr">
        <is>
          <t>Advogado Sênior - Jurídico Contencioso - Recuperação de Crédito - NPL</t>
        </is>
      </c>
      <c r="R167" s="21" t="inlineStr"/>
      <c r="S167" s="21" t="inlineStr">
        <is>
          <t>rodrigo.anjos@safra.com.br</t>
        </is>
      </c>
      <c r="T167" s="21" t="inlineStr">
        <is>
          <t>email verified by Apollo</t>
        </is>
      </c>
      <c r="U167" s="22" t="n">
        <v>2014067.89</v>
      </c>
      <c r="V167" s="23" t="inlineStr">
        <is>
          <t>B</t>
        </is>
      </c>
      <c r="W167" s="24">
        <f>IFERROR(VLOOKUP(V167,Assumptions!$A$7:$F$11,2,FALSE),0)</f>
        <v/>
      </c>
      <c r="X167" s="25">
        <f>IF(V167="A",MAX(1,IFERROR(VLOOKUP(V167,Assumptions!$A$7:$F$11,3,FALSE),3)+IFERROR(VLOOKUP(V167,Assumptions!$A$7:$F$11,4,FALSE),8)/2-MAX(0,IF(AO167="",0,YEAR(TODAY())-AO167)-IFERROR(VLOOKUP(V167,Assumptions!$A$7:$F$11,5,FALSE),1.5))),IFERROR(VLOOKUP(V167,Assumptions!$A$7:$F$11,5,FALSE),2.5)+IFERROR(VLOOKUP(V167,Assumptions!$A$7:$F$11,3,FALSE),3)+IFERROR(VLOOKUP(V167,Assumptions!$A$7:$F$11,4,FALSE),8)/2)</f>
        <v/>
      </c>
      <c r="Y167" s="22">
        <f>U167*W167/(1+Assumptions!$B$3)^X167</f>
        <v/>
      </c>
      <c r="Z167" s="26">
        <f>IF(U167=0,"",ROUND(Y167/U167*100,1))</f>
        <v/>
      </c>
      <c r="AA167" s="27">
        <f>Y167*Assumptions!$B$4</f>
        <v/>
      </c>
      <c r="AB167" s="26">
        <f>IF(U167=0,"",ROUND(AA167/U167*100,1))</f>
        <v/>
      </c>
      <c r="AC167" s="27">
        <f>Y167-AA167</f>
        <v/>
      </c>
      <c r="AD167" s="26">
        <f>IF(U167=0,"",ROUND((Y167-AA167)/U167*100,1))</f>
        <v/>
      </c>
      <c r="AE167" s="34" t="inlineStr">
        <is>
          <t>PARTIAL — class III reconciled, other classes not</t>
        </is>
      </c>
      <c r="AF167" s="29" t="inlineStr">
        <is>
          <t>https://ajruiz.com.br/sites/default/files/public/arquivos-processos/2026-08/qgc_azeplast_julho_2026.pdf</t>
        </is>
      </c>
      <c r="AG167" s="28" t="inlineStr">
        <is>
          <t>p1 r8</t>
        </is>
      </c>
      <c r="AH167" s="28" t="inlineStr">
        <is>
          <t>p1: R$ 2.014.067,89</t>
        </is>
      </c>
      <c r="AI167" s="28" t="inlineStr">
        <is>
          <t>QGC (art. 18)</t>
        </is>
      </c>
      <c r="AJ167" s="28" t="inlineStr"/>
      <c r="AK167" s="28" t="inlineStr">
        <is>
          <t>NONE FOUND</t>
        </is>
      </c>
      <c r="AL167" s="30" t="inlineStr">
        <is>
          <t>5008793-34.2023.8.24.0019</t>
        </is>
      </c>
      <c r="AM167" s="30" t="inlineStr">
        <is>
          <t>TJSC</t>
        </is>
      </c>
      <c r="AN167" s="30" t="inlineStr">
        <is>
          <t>ACTIVE</t>
        </is>
      </c>
      <c r="AO167" s="30" t="n">
        <v>2023</v>
      </c>
      <c r="AP167" s="30" t="inlineStr">
        <is>
          <t>live case, no plan document yet</t>
        </is>
      </c>
      <c r="AQ167" s="30" t="inlineStr">
        <is>
          <t>05.378.317/0001-80</t>
        </is>
      </c>
      <c r="AR167" s="30" t="inlineStr">
        <is>
          <t>printed on the list (read twice)</t>
        </is>
      </c>
      <c r="AS167" s="30" t="inlineStr">
        <is>
          <t>SAO PAULO</t>
        </is>
      </c>
      <c r="AT167" s="30" t="inlineStr">
        <is>
          <t>SP</t>
        </is>
      </c>
      <c r="AU167" s="30" t="inlineStr">
        <is>
          <t>Bancos múltiplos, com carteira comercial</t>
        </is>
      </c>
      <c r="AV167" s="30" t="inlineStr">
        <is>
          <t>DEMAIS</t>
        </is>
      </c>
      <c r="AW167" s="31" t="n">
        <v>13924903000</v>
      </c>
      <c r="AX167" s="30" t="inlineStr">
        <is>
          <t>LARGE CORP</t>
        </is>
      </c>
      <c r="AY167" s="30" t="inlineStr">
        <is>
          <t>58160789</t>
        </is>
      </c>
      <c r="AZ167" s="30" t="n">
        <v>1</v>
      </c>
      <c r="BA167" s="30" t="inlineStr">
        <is>
          <t>LIKELY_FINANCIAL_BY_NAME PARTIAL_DOC_CLASS_III_RECONCILED ROWS:p1r8</t>
        </is>
      </c>
    </row>
    <row r="168">
      <c r="A168" s="16" t="inlineStr">
        <is>
          <t>BANCO BRADESCO S.A.</t>
        </is>
      </c>
      <c r="B168" s="17" t="n">
        <v>1995033.9</v>
      </c>
      <c r="C168" s="18" t="inlineStr">
        <is>
          <t>GRUPO GLP</t>
        </is>
      </c>
      <c r="D168" s="19" t="inlineStr">
        <is>
          <t>NEW</t>
        </is>
      </c>
      <c r="E168" s="20" t="inlineStr"/>
      <c r="F168" s="19" t="inlineStr"/>
      <c r="G168" s="20" t="inlineStr"/>
      <c r="H168" s="19" t="inlineStr"/>
      <c r="I168" s="21" t="inlineStr">
        <is>
          <t>Marcela Martins</t>
        </is>
      </c>
      <c r="J168" s="21" t="inlineStr">
        <is>
          <t>Superintendente de Recuperação de Crédito - Canais e Operações</t>
        </is>
      </c>
      <c r="K168" s="21" t="inlineStr">
        <is>
          <t>(11) 3684-5122</t>
        </is>
      </c>
      <c r="L168" s="21" t="inlineStr"/>
      <c r="M168" s="21" t="inlineStr"/>
      <c r="N168" s="21" t="inlineStr"/>
      <c r="O168" s="21" t="inlineStr">
        <is>
          <t>sl@bradesco.com.br</t>
        </is>
      </c>
      <c r="P168" s="21" t="inlineStr">
        <is>
          <t>Luis S</t>
        </is>
      </c>
      <c r="Q168" s="21" t="inlineStr">
        <is>
          <t>DRC - Departamento de Recuperação de Crédito - Gerente de Reestruturação de Crédito</t>
        </is>
      </c>
      <c r="R168" s="21" t="inlineStr"/>
      <c r="S168" s="21" t="inlineStr">
        <is>
          <t>sl@bradesco.com.br</t>
        </is>
      </c>
      <c r="T168" s="21" t="inlineStr">
        <is>
          <t>no work email found in Apollo</t>
        </is>
      </c>
      <c r="U168" s="22" t="n">
        <v>1995033.9</v>
      </c>
      <c r="V168" s="23" t="inlineStr">
        <is>
          <t>B</t>
        </is>
      </c>
      <c r="W168" s="24">
        <f>IFERROR(VLOOKUP(V168,Assumptions!$A$7:$F$11,2,FALSE),0)</f>
        <v/>
      </c>
      <c r="X168" s="25">
        <f>IF(V168="A",MAX(1,IFERROR(VLOOKUP(V168,Assumptions!$A$7:$F$11,3,FALSE),3)+IFERROR(VLOOKUP(V168,Assumptions!$A$7:$F$11,4,FALSE),8)/2-MAX(0,IF(AO168="",0,YEAR(TODAY())-AO168)-IFERROR(VLOOKUP(V168,Assumptions!$A$7:$F$11,5,FALSE),1.5))),IFERROR(VLOOKUP(V168,Assumptions!$A$7:$F$11,5,FALSE),2.5)+IFERROR(VLOOKUP(V168,Assumptions!$A$7:$F$11,3,FALSE),3)+IFERROR(VLOOKUP(V168,Assumptions!$A$7:$F$11,4,FALSE),8)/2)</f>
        <v/>
      </c>
      <c r="Y168" s="22">
        <f>U168*W168/(1+Assumptions!$B$3)^X168</f>
        <v/>
      </c>
      <c r="Z168" s="26">
        <f>IF(U168=0,"",ROUND(Y168/U168*100,1))</f>
        <v/>
      </c>
      <c r="AA168" s="27">
        <f>Y168*Assumptions!$B$4</f>
        <v/>
      </c>
      <c r="AB168" s="26">
        <f>IF(U168=0,"",ROUND(AA168/U168*100,1))</f>
        <v/>
      </c>
      <c r="AC168" s="27">
        <f>Y168-AA168</f>
        <v/>
      </c>
      <c r="AD168" s="26">
        <f>IF(U168=0,"",ROUND((Y168-AA168)/U168*100,1))</f>
        <v/>
      </c>
      <c r="AE168" s="28" t="inlineStr">
        <is>
          <t>OK — totals reconciled</t>
        </is>
      </c>
      <c r="AF168" s="29" t="inlineStr">
        <is>
          <t>https://recuperasolucoes.com/wp-content/plugins/download-attachments/includes/download.php?id=1597</t>
        </is>
      </c>
      <c r="AG168" s="28" t="inlineStr">
        <is>
          <t>p13 r7</t>
        </is>
      </c>
      <c r="AH168" s="28" t="inlineStr">
        <is>
          <t>p13: R$ 1.995.033,90</t>
        </is>
      </c>
      <c r="AI168" s="28" t="inlineStr">
        <is>
          <t>Debtor list (art. 51)</t>
        </is>
      </c>
      <c r="AJ168" s="28" t="inlineStr">
        <is>
          <t>2026-05-21</t>
        </is>
      </c>
      <c r="AK168" s="28" t="inlineStr">
        <is>
          <t>NONE FOUND</t>
        </is>
      </c>
      <c r="AL168" s="30" t="inlineStr">
        <is>
          <t>0001639-09.2026.8.17.2810</t>
        </is>
      </c>
      <c r="AM168" s="30" t="inlineStr">
        <is>
          <t>TJPE</t>
        </is>
      </c>
      <c r="AN168" s="30" t="inlineStr">
        <is>
          <t>ACTIVE</t>
        </is>
      </c>
      <c r="AO168" s="30" t="n">
        <v>2026</v>
      </c>
      <c r="AP168" s="30" t="inlineStr">
        <is>
          <t>live case, no plan document yet</t>
        </is>
      </c>
      <c r="AQ168" s="30" t="inlineStr"/>
      <c r="AR168" s="30" t="inlineStr">
        <is>
          <t>printed on the list (read twice)</t>
        </is>
      </c>
      <c r="AS168" s="30" t="inlineStr">
        <is>
          <t>OSASCO</t>
        </is>
      </c>
      <c r="AT168" s="30" t="inlineStr">
        <is>
          <t>SP</t>
        </is>
      </c>
      <c r="AU168" s="30" t="inlineStr">
        <is>
          <t>Bancos múltiplos, com carteira comercial</t>
        </is>
      </c>
      <c r="AV168" s="30" t="inlineStr">
        <is>
          <t>DEMAIS</t>
        </is>
      </c>
      <c r="AW168" s="31" t="n">
        <v>93770000000</v>
      </c>
      <c r="AX168" s="30" t="inlineStr">
        <is>
          <t>LARGE CORP</t>
        </is>
      </c>
      <c r="AY168" s="30" t="inlineStr">
        <is>
          <t>60746948</t>
        </is>
      </c>
      <c r="AZ168" s="30" t="n">
        <v>1</v>
      </c>
      <c r="BA168" s="30" t="inlineStr">
        <is>
          <t>LIKELY_FINANCIAL_BY_NAME ROWS:p13r7</t>
        </is>
      </c>
    </row>
    <row r="169">
      <c r="A169" s="16" t="inlineStr">
        <is>
          <t>ITAU UNIBANCO S.A.</t>
        </is>
      </c>
      <c r="B169" s="17" t="n">
        <v>1968048.14</v>
      </c>
      <c r="C169" s="18" t="inlineStr">
        <is>
          <t>GRUPO DIAGSON</t>
        </is>
      </c>
      <c r="D169" s="19" t="inlineStr">
        <is>
          <t>NEW</t>
        </is>
      </c>
      <c r="E169" s="20" t="inlineStr"/>
      <c r="F169" s="19" t="inlineStr"/>
      <c r="G169" s="20" t="inlineStr"/>
      <c r="H169" s="19" t="inlineStr"/>
      <c r="I169" s="21" t="inlineStr">
        <is>
          <t>Murilo Gigliucci</t>
        </is>
      </c>
      <c r="J169" s="21" t="inlineStr">
        <is>
          <t>Superintendente de Reestruturação de Crédito</t>
        </is>
      </c>
      <c r="K169" s="21" t="inlineStr">
        <is>
          <t>(11) 3003-4828</t>
        </is>
      </c>
      <c r="L169" s="21" t="inlineStr"/>
      <c r="M169" s="21" t="inlineStr"/>
      <c r="N169" s="21" t="inlineStr">
        <is>
          <t>murilo.gigliucci@itau-unibanco.com.br</t>
        </is>
      </c>
      <c r="O169" s="21" t="inlineStr">
        <is>
          <t>pedro.ornellas-geronimo@itau-unibanco.com.br</t>
        </is>
      </c>
      <c r="P169" s="21" t="inlineStr">
        <is>
          <t>Pedro Ornellas</t>
        </is>
      </c>
      <c r="Q169" s="21" t="inlineStr">
        <is>
          <t>Superintendente de Recuperação de Crédito</t>
        </is>
      </c>
      <c r="R169" s="21" t="inlineStr"/>
      <c r="S169" s="21" t="inlineStr">
        <is>
          <t>pedro.ornellas-geronimo@itau-unibanco.com.br</t>
        </is>
      </c>
      <c r="T169" s="21" t="inlineStr">
        <is>
          <t>email verified by Apollo</t>
        </is>
      </c>
      <c r="U169" s="22" t="n">
        <v>1968048.14</v>
      </c>
      <c r="V169" s="23" t="inlineStr">
        <is>
          <t>B</t>
        </is>
      </c>
      <c r="W169" s="24">
        <f>IFERROR(VLOOKUP(V169,Assumptions!$A$7:$F$11,2,FALSE),0)</f>
        <v/>
      </c>
      <c r="X169" s="25">
        <f>IF(V169="A",MAX(1,IFERROR(VLOOKUP(V169,Assumptions!$A$7:$F$11,3,FALSE),3)+IFERROR(VLOOKUP(V169,Assumptions!$A$7:$F$11,4,FALSE),8)/2-MAX(0,IF(AO169="",0,YEAR(TODAY())-AO169)-IFERROR(VLOOKUP(V169,Assumptions!$A$7:$F$11,5,FALSE),1.5))),IFERROR(VLOOKUP(V169,Assumptions!$A$7:$F$11,5,FALSE),2.5)+IFERROR(VLOOKUP(V169,Assumptions!$A$7:$F$11,3,FALSE),3)+IFERROR(VLOOKUP(V169,Assumptions!$A$7:$F$11,4,FALSE),8)/2)</f>
        <v/>
      </c>
      <c r="Y169" s="22">
        <f>U169*W169/(1+Assumptions!$B$3)^X169</f>
        <v/>
      </c>
      <c r="Z169" s="26">
        <f>IF(U169=0,"",ROUND(Y169/U169*100,1))</f>
        <v/>
      </c>
      <c r="AA169" s="27">
        <f>Y169*Assumptions!$B$4</f>
        <v/>
      </c>
      <c r="AB169" s="26">
        <f>IF(U169=0,"",ROUND(AA169/U169*100,1))</f>
        <v/>
      </c>
      <c r="AC169" s="27">
        <f>Y169-AA169</f>
        <v/>
      </c>
      <c r="AD169" s="26">
        <f>IF(U169=0,"",ROUND((Y169-AA169)/U169*100,1))</f>
        <v/>
      </c>
      <c r="AE169" s="34" t="inlineStr">
        <is>
          <t>PARTIAL — class III reconciled, other classes not</t>
        </is>
      </c>
      <c r="AF169" s="29" t="inlineStr">
        <is>
          <t>https://lrflideres.com.br/wp-content/plugins/download-attachments/includes/download.php?id=7418</t>
        </is>
      </c>
      <c r="AG169" s="28" t="inlineStr">
        <is>
          <t>p2 r67</t>
        </is>
      </c>
      <c r="AH169" s="28" t="inlineStr">
        <is>
          <t>p2: R$ 1.968.048,14</t>
        </is>
      </c>
      <c r="AI169" s="28" t="inlineStr">
        <is>
          <t>Debtor list (art. 51)</t>
        </is>
      </c>
      <c r="AJ169" s="28" t="inlineStr">
        <is>
          <t>2026-07-28</t>
        </is>
      </c>
      <c r="AK169" s="28" t="inlineStr">
        <is>
          <t>NONE FOUND</t>
        </is>
      </c>
      <c r="AL169" s="30" t="inlineStr">
        <is>
          <t>0822279-56.2026.8.15.2001</t>
        </is>
      </c>
      <c r="AM169" s="30" t="inlineStr">
        <is>
          <t>TJPB</t>
        </is>
      </c>
      <c r="AN169" s="30" t="inlineStr">
        <is>
          <t>ACTIVE</t>
        </is>
      </c>
      <c r="AO169" s="30" t="n">
        <v>2026</v>
      </c>
      <c r="AP169" s="30" t="inlineStr">
        <is>
          <t>live case, no plan document yet</t>
        </is>
      </c>
      <c r="AQ169" s="30" t="inlineStr">
        <is>
          <t>00.149.703/0001-86</t>
        </is>
      </c>
      <c r="AR169" s="30" t="inlineStr">
        <is>
          <t>printed on the list (read twice)</t>
        </is>
      </c>
      <c r="AS169" s="30" t="inlineStr">
        <is>
          <t>SAO PAULO</t>
        </is>
      </c>
      <c r="AT169" s="30" t="inlineStr">
        <is>
          <t>SP</t>
        </is>
      </c>
      <c r="AU169" s="30" t="inlineStr">
        <is>
          <t>Bancos comerciais</t>
        </is>
      </c>
      <c r="AV169" s="30" t="inlineStr">
        <is>
          <t>DEMAIS</t>
        </is>
      </c>
      <c r="AW169" s="31" t="n">
        <v>76200000000</v>
      </c>
      <c r="AX169" s="30" t="inlineStr">
        <is>
          <t>LARGE CORP</t>
        </is>
      </c>
      <c r="AY169" s="30" t="inlineStr">
        <is>
          <t>60701190</t>
        </is>
      </c>
      <c r="AZ169" s="30" t="n">
        <v>1</v>
      </c>
      <c r="BA169" s="30" t="inlineStr">
        <is>
          <t>LIKELY_FINANCIAL_BY_NAME PARTIAL_DOC_CLASS_III_RECONCILED ROWS:p2r67</t>
        </is>
      </c>
    </row>
    <row r="170">
      <c r="A170" s="16" t="inlineStr">
        <is>
          <t>PROSPERE SECURITIZADORA S.A.</t>
        </is>
      </c>
      <c r="B170" s="17" t="n">
        <v>1941127.48</v>
      </c>
      <c r="C170" s="18" t="inlineStr">
        <is>
          <t>Grupo Agromeal</t>
        </is>
      </c>
      <c r="D170" s="19" t="inlineStr">
        <is>
          <t>NEW</t>
        </is>
      </c>
      <c r="E170" s="20" t="inlineStr"/>
      <c r="F170" s="19" t="inlineStr"/>
      <c r="G170" s="20" t="inlineStr"/>
      <c r="H170" s="19" t="inlineStr"/>
      <c r="I170" s="21" t="inlineStr">
        <is>
          <t>RODRIGO DE OLIVEIRA KATAYOSE</t>
        </is>
      </c>
      <c r="J170" s="21" t="inlineStr">
        <is>
          <t>Presidente (RFB partner)</t>
        </is>
      </c>
      <c r="K170" s="21" t="inlineStr">
        <is>
          <t>(43) 9682-3443</t>
        </is>
      </c>
      <c r="L170" s="21" t="inlineStr">
        <is>
          <t>(43) 9826-5258</t>
        </is>
      </c>
      <c r="M170" s="21" t="inlineStr"/>
      <c r="N170" s="21" t="inlineStr"/>
      <c r="O170" s="21" t="inlineStr"/>
      <c r="P170" s="21" t="inlineStr">
        <is>
          <t>JOYCE PRISCILA TERTO SARTORI KATAYOSE</t>
        </is>
      </c>
      <c r="Q170" s="21" t="inlineStr">
        <is>
          <t>Diretor (RFB partner)</t>
        </is>
      </c>
      <c r="R170" s="21" t="inlineStr"/>
      <c r="S170" s="21" t="inlineStr"/>
      <c r="T170" s="21" t="inlineStr">
        <is>
          <t>RFB partner (QSA); no Apollo match</t>
        </is>
      </c>
      <c r="U170" s="22" t="n">
        <v>1941127.48</v>
      </c>
      <c r="V170" s="23" t="inlineStr">
        <is>
          <t>B</t>
        </is>
      </c>
      <c r="W170" s="24">
        <f>IFERROR(VLOOKUP(V170,Assumptions!$A$7:$F$11,2,FALSE),0)</f>
        <v/>
      </c>
      <c r="X170" s="25">
        <f>IF(V170="A",MAX(1,IFERROR(VLOOKUP(V170,Assumptions!$A$7:$F$11,3,FALSE),3)+IFERROR(VLOOKUP(V170,Assumptions!$A$7:$F$11,4,FALSE),8)/2-MAX(0,IF(AO170="",0,YEAR(TODAY())-AO170)-IFERROR(VLOOKUP(V170,Assumptions!$A$7:$F$11,5,FALSE),1.5))),IFERROR(VLOOKUP(V170,Assumptions!$A$7:$F$11,5,FALSE),2.5)+IFERROR(VLOOKUP(V170,Assumptions!$A$7:$F$11,3,FALSE),3)+IFERROR(VLOOKUP(V170,Assumptions!$A$7:$F$11,4,FALSE),8)/2)</f>
        <v/>
      </c>
      <c r="Y170" s="22">
        <f>U170*W170/(1+Assumptions!$B$3)^X170</f>
        <v/>
      </c>
      <c r="Z170" s="26">
        <f>IF(U170=0,"",ROUND(Y170/U170*100,1))</f>
        <v/>
      </c>
      <c r="AA170" s="27">
        <f>Y170*Assumptions!$B$4</f>
        <v/>
      </c>
      <c r="AB170" s="26">
        <f>IF(U170=0,"",ROUND(AA170/U170*100,1))</f>
        <v/>
      </c>
      <c r="AC170" s="27">
        <f>Y170-AA170</f>
        <v/>
      </c>
      <c r="AD170" s="26">
        <f>IF(U170=0,"",ROUND((Y170-AA170)/U170*100,1))</f>
        <v/>
      </c>
      <c r="AE170" s="34" t="inlineStr">
        <is>
          <t>PARTIAL — class III reconciled, other classes not</t>
        </is>
      </c>
      <c r="AF170" s="29" t="inlineStr">
        <is>
          <t>https://marquesadmjudicial.com.br/sgc/download.php?file=files/processo_documento/processo_documento17040729052024_1_.pdf&amp;nome=Relação Nominal de Credores AJ-Sintética</t>
        </is>
      </c>
      <c r="AG170" s="28" t="inlineStr">
        <is>
          <t>p12 r9</t>
        </is>
      </c>
      <c r="AH170" s="28" t="inlineStr">
        <is>
          <t>p12: R$ 1.941.127,48</t>
        </is>
      </c>
      <c r="AI170" s="28" t="inlineStr">
        <is>
          <t>AJ list (art. 7 §2)</t>
        </is>
      </c>
      <c r="AJ170" s="28" t="inlineStr">
        <is>
          <t>2024-05-27</t>
        </is>
      </c>
      <c r="AK170" s="28" t="inlineStr">
        <is>
          <t>NONE FOUND</t>
        </is>
      </c>
      <c r="AL170" s="30" t="inlineStr">
        <is>
          <t>0003971-03.2023.8.16.0119</t>
        </is>
      </c>
      <c r="AM170" s="30" t="inlineStr">
        <is>
          <t>TJPR</t>
        </is>
      </c>
      <c r="AN170" s="30" t="inlineStr">
        <is>
          <t>ACTIVE</t>
        </is>
      </c>
      <c r="AO170" s="30" t="n">
        <v>2023</v>
      </c>
      <c r="AP170" s="30" t="inlineStr">
        <is>
          <t>live case, no plan document yet</t>
        </is>
      </c>
      <c r="AQ170" s="30" t="inlineStr">
        <is>
          <t>11.624.776/0001-07</t>
        </is>
      </c>
      <c r="AR170" s="30" t="inlineStr">
        <is>
          <t>printed on the list (read twice)</t>
        </is>
      </c>
      <c r="AS170" s="30" t="inlineStr">
        <is>
          <t>LONDRINA</t>
        </is>
      </c>
      <c r="AT170" s="30" t="inlineStr">
        <is>
          <t>PR</t>
        </is>
      </c>
      <c r="AU170" s="30" t="inlineStr">
        <is>
          <t>Securitização de créditos</t>
        </is>
      </c>
      <c r="AV170" s="30" t="inlineStr">
        <is>
          <t>DEMAIS</t>
        </is>
      </c>
      <c r="AW170" s="31" t="n">
        <v>120000</v>
      </c>
      <c r="AX170" s="30" t="inlineStr">
        <is>
          <t>MID-MARKET</t>
        </is>
      </c>
      <c r="AY170" s="30" t="inlineStr">
        <is>
          <t>01489979</t>
        </is>
      </c>
      <c r="AZ170" s="30" t="n">
        <v>1</v>
      </c>
      <c r="BA170" s="30" t="inlineStr">
        <is>
          <t>PARTIAL_DOC_CLASS_III_RECONCILED ROWS:p12r9</t>
        </is>
      </c>
    </row>
    <row r="171">
      <c r="A171" s="16" t="inlineStr">
        <is>
          <t>BMP SOCIEDADE DE CREDITO AO MICROEMPREENDEDOR E A EMPRESA DE PEQUENO PORTE LTDA</t>
        </is>
      </c>
      <c r="B171" s="17" t="n">
        <v>1881174.37</v>
      </c>
      <c r="C171" s="18" t="inlineStr">
        <is>
          <t>FLAVOUR MIX IND. E REP. ALIM. E INGR. QUÍMICOS LTDA.</t>
        </is>
      </c>
      <c r="D171" s="19" t="inlineStr">
        <is>
          <t>NEW</t>
        </is>
      </c>
      <c r="E171" s="20" t="inlineStr"/>
      <c r="F171" s="19" t="inlineStr"/>
      <c r="G171" s="20" t="inlineStr"/>
      <c r="H171" s="19" t="inlineStr"/>
      <c r="I171" s="21" t="inlineStr">
        <is>
          <t>Alexandre Cardoso</t>
        </is>
      </c>
      <c r="J171" s="21" t="inlineStr">
        <is>
          <t>Gerente de Credito De Operações Estruturadas na BMP Money Plus</t>
        </is>
      </c>
      <c r="K171" s="21" t="inlineStr">
        <is>
          <t>(11) 3810-9313</t>
        </is>
      </c>
      <c r="L171" s="21" t="inlineStr"/>
      <c r="M171" s="21" t="inlineStr"/>
      <c r="N171" s="21" t="inlineStr">
        <is>
          <t>alexandre.cardoso@moneyp.com.br</t>
        </is>
      </c>
      <c r="O171" s="21" t="inlineStr">
        <is>
          <t>clovis.dotta@moneyp.com.br</t>
        </is>
      </c>
      <c r="P171" s="21" t="inlineStr">
        <is>
          <t>Clovis Dotta</t>
        </is>
      </c>
      <c r="Q171" s="21" t="inlineStr">
        <is>
          <t>Diretor Comercial na BMP Money PLUS</t>
        </is>
      </c>
      <c r="R171" s="21" t="inlineStr"/>
      <c r="S171" s="21" t="inlineStr">
        <is>
          <t>clovis.dotta@moneyp.com.br</t>
        </is>
      </c>
      <c r="T171" s="21" t="inlineStr">
        <is>
          <t>email verified by Apollo</t>
        </is>
      </c>
      <c r="U171" s="22" t="n">
        <v>1881174.37</v>
      </c>
      <c r="V171" s="23" t="inlineStr">
        <is>
          <t>B</t>
        </is>
      </c>
      <c r="W171" s="24">
        <f>IFERROR(VLOOKUP(V171,Assumptions!$A$7:$F$11,2,FALSE),0)</f>
        <v/>
      </c>
      <c r="X171" s="25">
        <f>IF(V171="A",MAX(1,IFERROR(VLOOKUP(V171,Assumptions!$A$7:$F$11,3,FALSE),3)+IFERROR(VLOOKUP(V171,Assumptions!$A$7:$F$11,4,FALSE),8)/2-MAX(0,IF(AO171="",0,YEAR(TODAY())-AO171)-IFERROR(VLOOKUP(V171,Assumptions!$A$7:$F$11,5,FALSE),1.5))),IFERROR(VLOOKUP(V171,Assumptions!$A$7:$F$11,5,FALSE),2.5)+IFERROR(VLOOKUP(V171,Assumptions!$A$7:$F$11,3,FALSE),3)+IFERROR(VLOOKUP(V171,Assumptions!$A$7:$F$11,4,FALSE),8)/2)</f>
        <v/>
      </c>
      <c r="Y171" s="22">
        <f>U171*W171/(1+Assumptions!$B$3)^X171</f>
        <v/>
      </c>
      <c r="Z171" s="26">
        <f>IF(U171=0,"",ROUND(Y171/U171*100,1))</f>
        <v/>
      </c>
      <c r="AA171" s="27">
        <f>Y171*Assumptions!$B$4</f>
        <v/>
      </c>
      <c r="AB171" s="26">
        <f>IF(U171=0,"",ROUND(AA171/U171*100,1))</f>
        <v/>
      </c>
      <c r="AC171" s="27">
        <f>Y171-AA171</f>
        <v/>
      </c>
      <c r="AD171" s="26">
        <f>IF(U171=0,"",ROUND((Y171-AA171)/U171*100,1))</f>
        <v/>
      </c>
      <c r="AE171" s="33" t="inlineStr">
        <is>
          <t>NO TOTALS — list prints none; check page</t>
        </is>
      </c>
      <c r="AF171" s="29" t="inlineStr">
        <is>
          <t>https://ativosajce.com.br/admin/download.php?file=files/processo_documento/processo_documento13422625032025_1_.pdf&amp;nome=Relação de Credores - Art. 52º § 1º, da Lei nº 11.101/2005 - 25/02/2025</t>
        </is>
      </c>
      <c r="AG171" s="28" t="inlineStr">
        <is>
          <t>p3 r28; p3 r29</t>
        </is>
      </c>
      <c r="AH171" s="28" t="inlineStr">
        <is>
          <t>p3: R$ 686.369,53; p3: R$ 1.194.804,84</t>
        </is>
      </c>
      <c r="AI171" s="28" t="inlineStr">
        <is>
          <t>Unclassified list</t>
        </is>
      </c>
      <c r="AJ171" s="28" t="inlineStr">
        <is>
          <t>2025-02-28</t>
        </is>
      </c>
      <c r="AK171" s="28" t="inlineStr">
        <is>
          <t>NONE FOUND</t>
        </is>
      </c>
      <c r="AL171" s="30" t="inlineStr">
        <is>
          <t>1000119-75.2025.8.26.0354</t>
        </is>
      </c>
      <c r="AM171" s="30" t="inlineStr">
        <is>
          <t>TJSP</t>
        </is>
      </c>
      <c r="AN171" s="30" t="inlineStr">
        <is>
          <t>ACTIVE</t>
        </is>
      </c>
      <c r="AO171" s="30" t="n">
        <v>2025</v>
      </c>
      <c r="AP171" s="30" t="inlineStr">
        <is>
          <t>live case, no plan document yet</t>
        </is>
      </c>
      <c r="AQ171" s="30" t="inlineStr">
        <is>
          <t>09.357.504/0001-38</t>
        </is>
      </c>
      <c r="AR171" s="30" t="inlineStr">
        <is>
          <t>printed on the list (read twice)</t>
        </is>
      </c>
      <c r="AS171" s="30" t="inlineStr">
        <is>
          <t>SAO PAULO</t>
        </is>
      </c>
      <c r="AT171" s="30" t="inlineStr">
        <is>
          <t>SP</t>
        </is>
      </c>
      <c r="AU171" s="30" t="inlineStr">
        <is>
          <t>Sociedades de crédito ao microempreendedor</t>
        </is>
      </c>
      <c r="AV171" s="30" t="inlineStr">
        <is>
          <t>DEMAIS</t>
        </is>
      </c>
      <c r="AW171" s="31" t="n">
        <v>35000000</v>
      </c>
      <c r="AX171" s="30" t="inlineStr">
        <is>
          <t>MID-MARKET</t>
        </is>
      </c>
      <c r="AY171" s="30" t="inlineStr">
        <is>
          <t>11581339</t>
        </is>
      </c>
      <c r="AZ171" s="30" t="n">
        <v>2</v>
      </c>
      <c r="BA171" s="30" t="inlineStr">
        <is>
          <t>ROWS:p3r28,p3r29 UNRECONCILED_SOURCE</t>
        </is>
      </c>
    </row>
    <row r="172">
      <c r="A172" s="16" t="inlineStr">
        <is>
          <t>BANCO BRADESCO S.A.</t>
        </is>
      </c>
      <c r="B172" s="17" t="n">
        <v>895288.95</v>
      </c>
      <c r="C172" s="18" t="inlineStr">
        <is>
          <t>JA SANTOS IMPORTACAO E EXPORTACAO DE FERRAMENTAS LTDA</t>
        </is>
      </c>
      <c r="D172" s="19" t="inlineStr">
        <is>
          <t>NEW</t>
        </is>
      </c>
      <c r="E172" s="20" t="inlineStr"/>
      <c r="F172" s="19" t="inlineStr"/>
      <c r="G172" s="20" t="inlineStr"/>
      <c r="H172" s="19" t="inlineStr"/>
      <c r="I172" s="21" t="inlineStr">
        <is>
          <t>Marcela Martins</t>
        </is>
      </c>
      <c r="J172" s="21" t="inlineStr">
        <is>
          <t>Superintendente de Recuperação de Crédito - Canais e Operações</t>
        </is>
      </c>
      <c r="K172" s="21" t="inlineStr">
        <is>
          <t>(11) 3684-5122</t>
        </is>
      </c>
      <c r="L172" s="21" t="inlineStr"/>
      <c r="M172" s="21" t="inlineStr"/>
      <c r="N172" s="21" t="inlineStr"/>
      <c r="O172" s="21" t="inlineStr">
        <is>
          <t>sl@bradesco.com.br</t>
        </is>
      </c>
      <c r="P172" s="21" t="inlineStr">
        <is>
          <t>Luis S</t>
        </is>
      </c>
      <c r="Q172" s="21" t="inlineStr">
        <is>
          <t>DRC - Departamento de Recuperação de Crédito - Gerente de Reestruturação de Crédito</t>
        </is>
      </c>
      <c r="R172" s="21" t="inlineStr"/>
      <c r="S172" s="21" t="inlineStr">
        <is>
          <t>sl@bradesco.com.br</t>
        </is>
      </c>
      <c r="T172" s="21" t="inlineStr">
        <is>
          <t>no work email found in Apollo</t>
        </is>
      </c>
      <c r="U172" s="22" t="n">
        <v>895288.95</v>
      </c>
      <c r="V172" s="35" t="inlineStr">
        <is>
          <t>A</t>
        </is>
      </c>
      <c r="W172" s="24">
        <f>IFERROR(VLOOKUP(V172,Assumptions!$A$7:$F$11,2,FALSE),0)</f>
        <v/>
      </c>
      <c r="X172" s="25">
        <f>IF(V172="A",MAX(1,IFERROR(VLOOKUP(V172,Assumptions!$A$7:$F$11,3,FALSE),3)+IFERROR(VLOOKUP(V172,Assumptions!$A$7:$F$11,4,FALSE),8)/2-MAX(0,IF(AO172="",0,YEAR(TODAY())-AO172)-IFERROR(VLOOKUP(V172,Assumptions!$A$7:$F$11,5,FALSE),1.5))),IFERROR(VLOOKUP(V172,Assumptions!$A$7:$F$11,5,FALSE),2.5)+IFERROR(VLOOKUP(V172,Assumptions!$A$7:$F$11,3,FALSE),3)+IFERROR(VLOOKUP(V172,Assumptions!$A$7:$F$11,4,FALSE),8)/2)</f>
        <v/>
      </c>
      <c r="Y172" s="22">
        <f>U172*W172/(1+Assumptions!$B$3)^X172</f>
        <v/>
      </c>
      <c r="Z172" s="26">
        <f>IF(U172=0,"",ROUND(Y172/U172*100,1))</f>
        <v/>
      </c>
      <c r="AA172" s="27">
        <f>Y172*Assumptions!$B$4</f>
        <v/>
      </c>
      <c r="AB172" s="26">
        <f>IF(U172=0,"",ROUND(AA172/U172*100,1))</f>
        <v/>
      </c>
      <c r="AC172" s="27">
        <f>Y172-AA172</f>
        <v/>
      </c>
      <c r="AD172" s="26">
        <f>IF(U172=0,"",ROUND((Y172-AA172)/U172*100,1))</f>
        <v/>
      </c>
      <c r="AE172" s="28" t="inlineStr">
        <is>
          <t>OK — totals reconciled</t>
        </is>
      </c>
      <c r="AF172" s="29" t="inlineStr">
        <is>
          <t>https://vivanteaj.com.br/wp-content/uploads/2024/11/1a-lista-de-credores-JA-Santos.pdf</t>
        </is>
      </c>
      <c r="AG172" s="28" t="inlineStr">
        <is>
          <t>p1 r5; p1 r6</t>
        </is>
      </c>
      <c r="AH172" s="28" t="inlineStr">
        <is>
          <t>p1: R$ 300.000,00; p1: R$ 595.288,95</t>
        </is>
      </c>
      <c r="AI172" s="28" t="inlineStr">
        <is>
          <t>Unclassified list</t>
        </is>
      </c>
      <c r="AJ172" s="28" t="inlineStr">
        <is>
          <t>2022-11-02</t>
        </is>
      </c>
      <c r="AK172" s="28" t="inlineStr">
        <is>
          <t>PLAN DOC FOUND</t>
        </is>
      </c>
      <c r="AL172" s="30" t="inlineStr">
        <is>
          <t>1018313-46.2024.8.26.0100</t>
        </is>
      </c>
      <c r="AM172" s="30" t="inlineStr">
        <is>
          <t>TJSP</t>
        </is>
      </c>
      <c r="AN172" s="30" t="inlineStr">
        <is>
          <t>ACTIVE</t>
        </is>
      </c>
      <c r="AO172" s="30" t="n">
        <v>2024</v>
      </c>
      <c r="AP172" s="30" t="inlineStr">
        <is>
          <t>plan/homologation document found</t>
        </is>
      </c>
      <c r="AQ172" s="30" t="inlineStr">
        <is>
          <t>15.408.785/0001-03</t>
        </is>
      </c>
      <c r="AR172" s="30" t="inlineStr">
        <is>
          <t>printed on the list (read twice)</t>
        </is>
      </c>
      <c r="AS172" s="30" t="inlineStr">
        <is>
          <t>OSASCO</t>
        </is>
      </c>
      <c r="AT172" s="30" t="inlineStr">
        <is>
          <t>SP</t>
        </is>
      </c>
      <c r="AU172" s="30" t="inlineStr">
        <is>
          <t>Bancos múltiplos, com carteira comercial</t>
        </is>
      </c>
      <c r="AV172" s="30" t="inlineStr">
        <is>
          <t>DEMAIS</t>
        </is>
      </c>
      <c r="AW172" s="31" t="n">
        <v>93770000000</v>
      </c>
      <c r="AX172" s="30" t="inlineStr">
        <is>
          <t>LARGE CORP</t>
        </is>
      </c>
      <c r="AY172" s="30" t="inlineStr">
        <is>
          <t>60746948</t>
        </is>
      </c>
      <c r="AZ172" s="30" t="n">
        <v>2</v>
      </c>
      <c r="BA172" s="30" t="inlineStr">
        <is>
          <t>ROWS:p1r5,p1r6 VALUE_COL:Valor</t>
        </is>
      </c>
    </row>
    <row r="173">
      <c r="A173" s="16" t="inlineStr">
        <is>
          <t>CAIXA ECONOMICA FEDERAL</t>
        </is>
      </c>
      <c r="B173" s="17" t="n">
        <v>3489161.6</v>
      </c>
      <c r="C173" s="37" t="inlineStr">
        <is>
          <t>(debtor not identified — see proof)</t>
        </is>
      </c>
      <c r="D173" s="19" t="inlineStr">
        <is>
          <t>NEW</t>
        </is>
      </c>
      <c r="E173" s="20" t="inlineStr"/>
      <c r="F173" s="19" t="inlineStr"/>
      <c r="G173" s="20" t="inlineStr"/>
      <c r="H173" s="19" t="inlineStr"/>
      <c r="I173" s="21" t="inlineStr">
        <is>
          <t>Livia Serikaku</t>
        </is>
      </c>
      <c r="J173" s="21" t="inlineStr">
        <is>
          <t>Gerente de Clientes e Negócios | Recuperação de Crédito</t>
        </is>
      </c>
      <c r="K173" s="21" t="inlineStr">
        <is>
          <t>(00) 4004-0104</t>
        </is>
      </c>
      <c r="L173" s="21" t="inlineStr"/>
      <c r="M173" s="21" t="inlineStr"/>
      <c r="N173" s="21" t="inlineStr"/>
      <c r="O173" s="21" t="inlineStr"/>
      <c r="P173" s="21" t="inlineStr">
        <is>
          <t>Rodolfo Trevizan</t>
        </is>
      </c>
      <c r="Q173" s="21" t="inlineStr">
        <is>
          <t>Investment Banking | Distressed Assets | Project Finance</t>
        </is>
      </c>
      <c r="R173" s="21" t="inlineStr"/>
      <c r="S173" s="21" t="inlineStr"/>
      <c r="T173" s="21" t="inlineStr">
        <is>
          <t>no work email found in Apollo</t>
        </is>
      </c>
      <c r="U173" s="22" t="n">
        <v>3489161.6</v>
      </c>
      <c r="V173" s="32" t="inlineStr">
        <is>
          <t>U</t>
        </is>
      </c>
      <c r="W173" s="24">
        <f>IFERROR(VLOOKUP(V173,Assumptions!$A$7:$F$11,2,FALSE),0)</f>
        <v/>
      </c>
      <c r="X173" s="25">
        <f>IF(V173="A",MAX(1,IFERROR(VLOOKUP(V173,Assumptions!$A$7:$F$11,3,FALSE),3)+IFERROR(VLOOKUP(V173,Assumptions!$A$7:$F$11,4,FALSE),8)/2-MAX(0,IF(AO173="",0,YEAR(TODAY())-AO173)-IFERROR(VLOOKUP(V173,Assumptions!$A$7:$F$11,5,FALSE),1.5))),IFERROR(VLOOKUP(V173,Assumptions!$A$7:$F$11,5,FALSE),2.5)+IFERROR(VLOOKUP(V173,Assumptions!$A$7:$F$11,3,FALSE),3)+IFERROR(VLOOKUP(V173,Assumptions!$A$7:$F$11,4,FALSE),8)/2)</f>
        <v/>
      </c>
      <c r="Y173" s="22">
        <f>U173*W173/(1+Assumptions!$B$3)^X173</f>
        <v/>
      </c>
      <c r="Z173" s="26">
        <f>IF(U173=0,"",ROUND(Y173/U173*100,1))</f>
        <v/>
      </c>
      <c r="AA173" s="27">
        <f>Y173*Assumptions!$B$4</f>
        <v/>
      </c>
      <c r="AB173" s="26">
        <f>IF(U173=0,"",ROUND(AA173/U173*100,1))</f>
        <v/>
      </c>
      <c r="AC173" s="27">
        <f>Y173-AA173</f>
        <v/>
      </c>
      <c r="AD173" s="26">
        <f>IF(U173=0,"",ROUND((Y173-AA173)/U173*100,1))</f>
        <v/>
      </c>
      <c r="AE173" s="28" t="inlineStr">
        <is>
          <t>OK — totals reconciled</t>
        </is>
      </c>
      <c r="AF173" s="29" t="inlineStr">
        <is>
          <t>https://ajruiz.com.br/sites/default/files/public/arquivos-processos/2023-11/4_relacao_de_credores_analitica_art._51_iii_da_lre.pdf</t>
        </is>
      </c>
      <c r="AG173" s="28" t="inlineStr">
        <is>
          <t>p2 r24</t>
        </is>
      </c>
      <c r="AH173" s="28" t="inlineStr">
        <is>
          <t>p2: R$ 3.489.161,60</t>
        </is>
      </c>
      <c r="AI173" s="28" t="inlineStr">
        <is>
          <t>Unclassified list</t>
        </is>
      </c>
      <c r="AJ173" s="28" t="inlineStr"/>
      <c r="AK173" s="28" t="inlineStr">
        <is>
          <t>NONE FOUND</t>
        </is>
      </c>
      <c r="AL173" s="30" t="inlineStr">
        <is>
          <t>(not printed)</t>
        </is>
      </c>
      <c r="AM173" s="30" t="inlineStr"/>
      <c r="AN173" s="30" t="inlineStr"/>
      <c r="AO173" s="30" t="inlineStr"/>
      <c r="AP173" s="30" t="inlineStr">
        <is>
          <t>RJ case number not identified on the document</t>
        </is>
      </c>
      <c r="AQ173" s="30" t="inlineStr"/>
      <c r="AR173" s="30" t="inlineStr">
        <is>
          <t>not identified</t>
        </is>
      </c>
      <c r="AS173" s="30" t="inlineStr">
        <is>
          <t>BRASILIA</t>
        </is>
      </c>
      <c r="AT173" s="30" t="inlineStr">
        <is>
          <t>DF</t>
        </is>
      </c>
      <c r="AU173" s="30" t="inlineStr">
        <is>
          <t>Caixas econômicas</t>
        </is>
      </c>
      <c r="AV173" s="30" t="inlineStr">
        <is>
          <t>DEMAIS</t>
        </is>
      </c>
      <c r="AW173" s="31" t="n">
        <v>105300000000</v>
      </c>
      <c r="AX173" s="30" t="inlineStr">
        <is>
          <t>LARGE CORP</t>
        </is>
      </c>
      <c r="AY173" s="30" t="inlineStr">
        <is>
          <t>00360305</t>
        </is>
      </c>
      <c r="AZ173" s="30" t="n">
        <v>1</v>
      </c>
      <c r="BA173" s="30" t="inlineStr">
        <is>
          <t>ALT_VALUE:BANCOS ROWS:p2r24 VALUE_COL:Valor_Do_Crédito CASE_NUMBER_CORRECTED</t>
        </is>
      </c>
    </row>
    <row r="174">
      <c r="A174" s="16" t="inlineStr">
        <is>
          <t>CAIXA ECONOMICA FEDERAL</t>
        </is>
      </c>
      <c r="B174" s="17" t="n">
        <v>1850337.87</v>
      </c>
      <c r="C174" s="18" t="inlineStr">
        <is>
          <t>GRUPO BE EIGHT</t>
        </is>
      </c>
      <c r="D174" s="19" t="inlineStr">
        <is>
          <t>NEW</t>
        </is>
      </c>
      <c r="E174" s="20" t="inlineStr"/>
      <c r="F174" s="19" t="inlineStr"/>
      <c r="G174" s="20" t="inlineStr"/>
      <c r="H174" s="19" t="inlineStr"/>
      <c r="I174" s="21" t="inlineStr">
        <is>
          <t>Livia Serikaku</t>
        </is>
      </c>
      <c r="J174" s="21" t="inlineStr">
        <is>
          <t>Gerente de Clientes e Negócios | Recuperação de Crédito</t>
        </is>
      </c>
      <c r="K174" s="21" t="inlineStr">
        <is>
          <t>(00) 4004-0104</t>
        </is>
      </c>
      <c r="L174" s="21" t="inlineStr"/>
      <c r="M174" s="21" t="inlineStr"/>
      <c r="N174" s="21" t="inlineStr"/>
      <c r="O174" s="21" t="inlineStr"/>
      <c r="P174" s="21" t="inlineStr">
        <is>
          <t>Rodolfo Trevizan</t>
        </is>
      </c>
      <c r="Q174" s="21" t="inlineStr">
        <is>
          <t>Investment Banking | Distressed Assets | Project Finance</t>
        </is>
      </c>
      <c r="R174" s="21" t="inlineStr"/>
      <c r="S174" s="21" t="inlineStr"/>
      <c r="T174" s="21" t="inlineStr">
        <is>
          <t>no work email found in Apollo</t>
        </is>
      </c>
      <c r="U174" s="22" t="n">
        <v>1850337.87</v>
      </c>
      <c r="V174" s="23" t="inlineStr">
        <is>
          <t>B</t>
        </is>
      </c>
      <c r="W174" s="24">
        <f>IFERROR(VLOOKUP(V174,Assumptions!$A$7:$F$11,2,FALSE),0)</f>
        <v/>
      </c>
      <c r="X174" s="25">
        <f>IF(V174="A",MAX(1,IFERROR(VLOOKUP(V174,Assumptions!$A$7:$F$11,3,FALSE),3)+IFERROR(VLOOKUP(V174,Assumptions!$A$7:$F$11,4,FALSE),8)/2-MAX(0,IF(AO174="",0,YEAR(TODAY())-AO174)-IFERROR(VLOOKUP(V174,Assumptions!$A$7:$F$11,5,FALSE),1.5))),IFERROR(VLOOKUP(V174,Assumptions!$A$7:$F$11,5,FALSE),2.5)+IFERROR(VLOOKUP(V174,Assumptions!$A$7:$F$11,3,FALSE),3)+IFERROR(VLOOKUP(V174,Assumptions!$A$7:$F$11,4,FALSE),8)/2)</f>
        <v/>
      </c>
      <c r="Y174" s="22">
        <f>U174*W174/(1+Assumptions!$B$3)^X174</f>
        <v/>
      </c>
      <c r="Z174" s="26">
        <f>IF(U174=0,"",ROUND(Y174/U174*100,1))</f>
        <v/>
      </c>
      <c r="AA174" s="27">
        <f>Y174*Assumptions!$B$4</f>
        <v/>
      </c>
      <c r="AB174" s="26">
        <f>IF(U174=0,"",ROUND(AA174/U174*100,1))</f>
        <v/>
      </c>
      <c r="AC174" s="27">
        <f>Y174-AA174</f>
        <v/>
      </c>
      <c r="AD174" s="26">
        <f>IF(U174=0,"",ROUND((Y174-AA174)/U174*100,1))</f>
        <v/>
      </c>
      <c r="AE174" s="33" t="inlineStr">
        <is>
          <t>NO TOTALS — list prints none; check page</t>
        </is>
      </c>
      <c r="AF174" s="29" t="inlineStr">
        <is>
          <t>https://marquesadmjudicial.com.br/sgc/download.php?file=files/processo_documento/processo_documento09444722082025_1_.pdf&amp;nome=2° Edital - Relação de Credores AJ e PRJ</t>
        </is>
      </c>
      <c r="AG174" s="28" t="inlineStr">
        <is>
          <t>p2 r152</t>
        </is>
      </c>
      <c r="AH174" s="28" t="inlineStr">
        <is>
          <t>p2: R$ 1.850.337,87</t>
        </is>
      </c>
      <c r="AI174" s="28" t="inlineStr">
        <is>
          <t>AJ list (art. 7 §2)</t>
        </is>
      </c>
      <c r="AJ174" s="28" t="inlineStr">
        <is>
          <t>2025-04-08</t>
        </is>
      </c>
      <c r="AK174" s="28" t="inlineStr">
        <is>
          <t>NONE FOUND</t>
        </is>
      </c>
      <c r="AL174" s="30" t="inlineStr">
        <is>
          <t>0008897-71.2025.8.16.0017</t>
        </is>
      </c>
      <c r="AM174" s="30" t="inlineStr">
        <is>
          <t>TJPR</t>
        </is>
      </c>
      <c r="AN174" s="30" t="inlineStr">
        <is>
          <t>ACTIVE</t>
        </is>
      </c>
      <c r="AO174" s="30" t="n">
        <v>2025</v>
      </c>
      <c r="AP174" s="30" t="inlineStr">
        <is>
          <t>live case, no plan document yet</t>
        </is>
      </c>
      <c r="AQ174" s="30" t="inlineStr">
        <is>
          <t>02.790.680/0001-10</t>
        </is>
      </c>
      <c r="AR174" s="30" t="inlineStr">
        <is>
          <t>printed on the list (read twice)</t>
        </is>
      </c>
      <c r="AS174" s="30" t="inlineStr">
        <is>
          <t>BRASILIA</t>
        </is>
      </c>
      <c r="AT174" s="30" t="inlineStr">
        <is>
          <t>DF</t>
        </is>
      </c>
      <c r="AU174" s="30" t="inlineStr">
        <is>
          <t>Caixas econômicas</t>
        </is>
      </c>
      <c r="AV174" s="30" t="inlineStr">
        <is>
          <t>DEMAIS</t>
        </is>
      </c>
      <c r="AW174" s="31" t="n">
        <v>105300000000</v>
      </c>
      <c r="AX174" s="30" t="inlineStr">
        <is>
          <t>LARGE CORP</t>
        </is>
      </c>
      <c r="AY174" s="30" t="inlineStr">
        <is>
          <t>00360305</t>
        </is>
      </c>
      <c r="AZ174" s="30" t="n">
        <v>1</v>
      </c>
      <c r="BA174" s="30" t="inlineStr">
        <is>
          <t>LIKELY_FINANCIAL_BY_NAME ROWS:p2r152 UNRECONCILED_SOURCE</t>
        </is>
      </c>
    </row>
    <row r="175">
      <c r="A175" s="16" t="inlineStr">
        <is>
          <t>BANCO DAYCOVAL S.A.</t>
        </is>
      </c>
      <c r="B175" s="17" t="n">
        <v>1850000</v>
      </c>
      <c r="C175" s="18" t="inlineStr">
        <is>
          <t>GRUPO FOREST</t>
        </is>
      </c>
      <c r="D175" s="19" t="inlineStr">
        <is>
          <t>NEW</t>
        </is>
      </c>
      <c r="E175" s="20" t="inlineStr"/>
      <c r="F175" s="19" t="inlineStr"/>
      <c r="G175" s="20" t="inlineStr"/>
      <c r="H175" s="19" t="inlineStr"/>
      <c r="I175" s="21" t="inlineStr">
        <is>
          <t>Celso Araujo</t>
        </is>
      </c>
      <c r="J175" s="21" t="inlineStr">
        <is>
          <t>Gerente de Recuperação de Crédito</t>
        </is>
      </c>
      <c r="K175" s="21" t="inlineStr">
        <is>
          <t>(11) 3138-0500</t>
        </is>
      </c>
      <c r="L175" s="21" t="inlineStr"/>
      <c r="M175" s="21" t="inlineStr"/>
      <c r="N175" s="21" t="inlineStr">
        <is>
          <t>celso.araujo@bancodaycoval.com.br</t>
        </is>
      </c>
      <c r="O175" s="21" t="inlineStr">
        <is>
          <t>andreia.matiel@daycoval.com.br</t>
        </is>
      </c>
      <c r="P175" s="21" t="inlineStr">
        <is>
          <t>Andreia Matiel</t>
        </is>
      </c>
      <c r="Q175" s="21" t="inlineStr">
        <is>
          <t>Advogada Recuperação de Crédito Empresas</t>
        </is>
      </c>
      <c r="R175" s="21" t="inlineStr"/>
      <c r="S175" s="21" t="inlineStr">
        <is>
          <t>andreia.matiel@daycoval.com.br</t>
        </is>
      </c>
      <c r="T175" s="21" t="inlineStr">
        <is>
          <t>email verified by Apollo</t>
        </is>
      </c>
      <c r="U175" s="22" t="n">
        <v>1850000</v>
      </c>
      <c r="V175" s="23" t="inlineStr">
        <is>
          <t>B</t>
        </is>
      </c>
      <c r="W175" s="24">
        <f>IFERROR(VLOOKUP(V175,Assumptions!$A$7:$F$11,2,FALSE),0)</f>
        <v/>
      </c>
      <c r="X175" s="25">
        <f>IF(V175="A",MAX(1,IFERROR(VLOOKUP(V175,Assumptions!$A$7:$F$11,3,FALSE),3)+IFERROR(VLOOKUP(V175,Assumptions!$A$7:$F$11,4,FALSE),8)/2-MAX(0,IF(AO175="",0,YEAR(TODAY())-AO175)-IFERROR(VLOOKUP(V175,Assumptions!$A$7:$F$11,5,FALSE),1.5))),IFERROR(VLOOKUP(V175,Assumptions!$A$7:$F$11,5,FALSE),2.5)+IFERROR(VLOOKUP(V175,Assumptions!$A$7:$F$11,3,FALSE),3)+IFERROR(VLOOKUP(V175,Assumptions!$A$7:$F$11,4,FALSE),8)/2)</f>
        <v/>
      </c>
      <c r="Y175" s="22">
        <f>U175*W175/(1+Assumptions!$B$3)^X175</f>
        <v/>
      </c>
      <c r="Z175" s="26">
        <f>IF(U175=0,"",ROUND(Y175/U175*100,1))</f>
        <v/>
      </c>
      <c r="AA175" s="27">
        <f>Y175*Assumptions!$B$4</f>
        <v/>
      </c>
      <c r="AB175" s="26">
        <f>IF(U175=0,"",ROUND(AA175/U175*100,1))</f>
        <v/>
      </c>
      <c r="AC175" s="27">
        <f>Y175-AA175</f>
        <v/>
      </c>
      <c r="AD175" s="26">
        <f>IF(U175=0,"",ROUND((Y175-AA175)/U175*100,1))</f>
        <v/>
      </c>
      <c r="AE175" s="33" t="inlineStr">
        <is>
          <t>NO TOTALS — list prints none; check page</t>
        </is>
      </c>
      <c r="AF175" s="29" t="inlineStr">
        <is>
          <t>https://administradorajudicialgs.com.br/wp-content/uploads/2025/09/relacao-de-credores-forest-sa.pdf</t>
        </is>
      </c>
      <c r="AG175" s="28" t="inlineStr">
        <is>
          <t>p12 r1</t>
        </is>
      </c>
      <c r="AH175" s="28" t="inlineStr">
        <is>
          <t>p12: R$ 1.850.000,00</t>
        </is>
      </c>
      <c r="AI175" s="28" t="inlineStr">
        <is>
          <t>AJ list (art. 7 §2)</t>
        </is>
      </c>
      <c r="AJ175" s="28" t="inlineStr">
        <is>
          <t>2025-08-01</t>
        </is>
      </c>
      <c r="AK175" s="28" t="inlineStr">
        <is>
          <t>NONE FOUND</t>
        </is>
      </c>
      <c r="AL175" s="30" t="inlineStr">
        <is>
          <t>0026395-77.2025.8.16.0019</t>
        </is>
      </c>
      <c r="AM175" s="30" t="inlineStr">
        <is>
          <t>TJPR</t>
        </is>
      </c>
      <c r="AN175" s="30" t="inlineStr">
        <is>
          <t>ACTIVE</t>
        </is>
      </c>
      <c r="AO175" s="30" t="n">
        <v>2025</v>
      </c>
      <c r="AP175" s="30" t="inlineStr">
        <is>
          <t>live case, no plan document yet</t>
        </is>
      </c>
      <c r="AQ175" s="30" t="inlineStr">
        <is>
          <t>07.155.032/0001-05</t>
        </is>
      </c>
      <c r="AR175" s="30" t="inlineStr">
        <is>
          <t>printed on the list (read twice)</t>
        </is>
      </c>
      <c r="AS175" s="30" t="inlineStr">
        <is>
          <t>SAO PAULO</t>
        </is>
      </c>
      <c r="AT175" s="30" t="inlineStr">
        <is>
          <t>SP</t>
        </is>
      </c>
      <c r="AU175" s="30" t="inlineStr">
        <is>
          <t>Bancos múltiplos, com carteira comercial</t>
        </is>
      </c>
      <c r="AV175" s="30" t="inlineStr">
        <is>
          <t>DEMAIS</t>
        </is>
      </c>
      <c r="AW175" s="31" t="n">
        <v>6907260000</v>
      </c>
      <c r="AX175" s="30" t="inlineStr">
        <is>
          <t>LARGE CORP</t>
        </is>
      </c>
      <c r="AY175" s="30" t="inlineStr">
        <is>
          <t>62232889</t>
        </is>
      </c>
      <c r="AZ175" s="30" t="n">
        <v>1</v>
      </c>
      <c r="BA175" s="30" t="inlineStr">
        <is>
          <t>LIKELY_FINANCIAL_BY_NAME ROWS:p12r1 UNRECONCILED_SOURCE CASE_NUMBER_CORRECTED</t>
        </is>
      </c>
    </row>
    <row r="176">
      <c r="A176" s="16" t="inlineStr">
        <is>
          <t>URA AGRO FUNDO DE INVESTIMENTO EM DIREIT</t>
        </is>
      </c>
      <c r="B176" s="17" t="n">
        <v>1849550.98</v>
      </c>
      <c r="C176" s="18" t="inlineStr">
        <is>
          <t>SOJAL COMERCIAL AGRICOLA LTDA e OUTROS</t>
        </is>
      </c>
      <c r="D176" s="19" t="inlineStr">
        <is>
          <t>NEW</t>
        </is>
      </c>
      <c r="E176" s="20" t="inlineStr"/>
      <c r="F176" s="19" t="inlineStr"/>
      <c r="G176" s="20" t="inlineStr"/>
      <c r="H176" s="19" t="inlineStr"/>
      <c r="I176" s="21" t="inlineStr"/>
      <c r="J176" s="21" t="inlineStr"/>
      <c r="K176" s="21" t="inlineStr"/>
      <c r="L176" s="21" t="inlineStr"/>
      <c r="M176" s="21" t="inlineStr"/>
      <c r="N176" s="21" t="inlineStr"/>
      <c r="O176" s="21" t="inlineStr"/>
      <c r="P176" s="21" t="inlineStr"/>
      <c r="Q176" s="21" t="inlineStr"/>
      <c r="R176" s="21" t="inlineStr"/>
      <c r="S176" s="21" t="inlineStr"/>
      <c r="T176" s="21" t="inlineStr">
        <is>
          <t>no named contact found</t>
        </is>
      </c>
      <c r="U176" s="22" t="n">
        <v>1849550.98</v>
      </c>
      <c r="V176" s="23" t="inlineStr">
        <is>
          <t>B</t>
        </is>
      </c>
      <c r="W176" s="24">
        <f>IFERROR(VLOOKUP(V176,Assumptions!$A$7:$F$11,2,FALSE),0)</f>
        <v/>
      </c>
      <c r="X176" s="25">
        <f>IF(V176="A",MAX(1,IFERROR(VLOOKUP(V176,Assumptions!$A$7:$F$11,3,FALSE),3)+IFERROR(VLOOKUP(V176,Assumptions!$A$7:$F$11,4,FALSE),8)/2-MAX(0,IF(AO176="",0,YEAR(TODAY())-AO176)-IFERROR(VLOOKUP(V176,Assumptions!$A$7:$F$11,5,FALSE),1.5))),IFERROR(VLOOKUP(V176,Assumptions!$A$7:$F$11,5,FALSE),2.5)+IFERROR(VLOOKUP(V176,Assumptions!$A$7:$F$11,3,FALSE),3)+IFERROR(VLOOKUP(V176,Assumptions!$A$7:$F$11,4,FALSE),8)/2)</f>
        <v/>
      </c>
      <c r="Y176" s="22">
        <f>U176*W176/(1+Assumptions!$B$3)^X176</f>
        <v/>
      </c>
      <c r="Z176" s="26">
        <f>IF(U176=0,"",ROUND(Y176/U176*100,1))</f>
        <v/>
      </c>
      <c r="AA176" s="27">
        <f>Y176*Assumptions!$B$4</f>
        <v/>
      </c>
      <c r="AB176" s="26">
        <f>IF(U176=0,"",ROUND(AA176/U176*100,1))</f>
        <v/>
      </c>
      <c r="AC176" s="27">
        <f>Y176-AA176</f>
        <v/>
      </c>
      <c r="AD176" s="26">
        <f>IF(U176=0,"",ROUND((Y176-AA176)/U176*100,1))</f>
        <v/>
      </c>
      <c r="AE176" s="28" t="inlineStr">
        <is>
          <t>OK — totals reconciled</t>
        </is>
      </c>
      <c r="AF176" s="29" t="inlineStr">
        <is>
          <t>https://lrflideres.com.br/wp-content/plugins/download-attachments/includes/download.php?id=6879</t>
        </is>
      </c>
      <c r="AG176" s="28" t="inlineStr">
        <is>
          <t>p2 r12</t>
        </is>
      </c>
      <c r="AH176" s="28" t="inlineStr">
        <is>
          <t>p2: R$ 1.849.550,98</t>
        </is>
      </c>
      <c r="AI176" s="28" t="inlineStr">
        <is>
          <t>AJ list (art. 7 §2)</t>
        </is>
      </c>
      <c r="AJ176" s="28" t="inlineStr">
        <is>
          <t>2026-01-15</t>
        </is>
      </c>
      <c r="AK176" s="28" t="inlineStr">
        <is>
          <t>NONE FOUND</t>
        </is>
      </c>
      <c r="AL176" s="30" t="inlineStr">
        <is>
          <t>0804401-51.2025.8.14.0039</t>
        </is>
      </c>
      <c r="AM176" s="30" t="inlineStr">
        <is>
          <t>TJPA</t>
        </is>
      </c>
      <c r="AN176" s="30" t="inlineStr">
        <is>
          <t>ACTIVE</t>
        </is>
      </c>
      <c r="AO176" s="30" t="n">
        <v>2025</v>
      </c>
      <c r="AP176" s="30" t="inlineStr">
        <is>
          <t>live case, no plan document yet</t>
        </is>
      </c>
      <c r="AQ176" s="30" t="inlineStr">
        <is>
          <t>15.626.673/0003-90</t>
        </is>
      </c>
      <c r="AR176" s="30" t="inlineStr">
        <is>
          <t>printed on the list (read twice)</t>
        </is>
      </c>
      <c r="AS176" s="30" t="inlineStr"/>
      <c r="AT176" s="30" t="inlineStr"/>
      <c r="AU176" s="30" t="inlineStr"/>
      <c r="AV176" s="30" t="inlineStr"/>
      <c r="AW176" s="31" t="inlineStr"/>
      <c r="AX176" s="30" t="inlineStr">
        <is>
          <t>MID-MARKET</t>
        </is>
      </c>
      <c r="AY176" s="30" t="inlineStr">
        <is>
          <t>25382606</t>
        </is>
      </c>
      <c r="AZ176" s="30" t="n">
        <v>1</v>
      </c>
      <c r="BA176" s="30" t="inlineStr">
        <is>
          <t>LIKELY_FINANCIAL_BY_NAME ROWS:p2r12</t>
        </is>
      </c>
    </row>
    <row r="177">
      <c r="A177" s="16" t="inlineStr">
        <is>
          <t>RED FIDC</t>
        </is>
      </c>
      <c r="B177" s="17" t="n">
        <v>1841469.99</v>
      </c>
      <c r="C177" s="18" t="inlineStr">
        <is>
          <t>Grupo Conduscabos</t>
        </is>
      </c>
      <c r="D177" s="19" t="inlineStr">
        <is>
          <t>NEW</t>
        </is>
      </c>
      <c r="E177" s="20" t="inlineStr"/>
      <c r="F177" s="19" t="inlineStr"/>
      <c r="G177" s="20" t="inlineStr"/>
      <c r="H177" s="19" t="inlineStr"/>
      <c r="I177" s="21" t="inlineStr">
        <is>
          <t>Camila Benedett</t>
        </is>
      </c>
      <c r="J177" s="21" t="inlineStr">
        <is>
          <t>Especialista Jurídico - Contratos | Imobiliário | FIDC</t>
        </is>
      </c>
      <c r="K177" s="21" t="inlineStr"/>
      <c r="L177" s="21" t="inlineStr"/>
      <c r="M177" s="21" t="inlineStr"/>
      <c r="N177" s="21" t="inlineStr">
        <is>
          <t>camila.benedett@redasset.com.br</t>
        </is>
      </c>
      <c r="O177" s="21" t="inlineStr"/>
      <c r="P177" s="21" t="inlineStr"/>
      <c r="Q177" s="21" t="inlineStr"/>
      <c r="R177" s="21" t="inlineStr"/>
      <c r="S177" s="21" t="inlineStr"/>
      <c r="T177" s="21" t="inlineStr">
        <is>
          <t>DM extrapolated email; VERIFY org: RED Asset (gestora of RED FIDC?); email is pattern-guessed, not verified</t>
        </is>
      </c>
      <c r="U177" s="22" t="n">
        <v>1841469.99</v>
      </c>
      <c r="V177" s="23" t="inlineStr">
        <is>
          <t>B</t>
        </is>
      </c>
      <c r="W177" s="24">
        <f>IFERROR(VLOOKUP(V177,Assumptions!$A$7:$F$11,2,FALSE),0)</f>
        <v/>
      </c>
      <c r="X177" s="25">
        <f>IF(V177="A",MAX(1,IFERROR(VLOOKUP(V177,Assumptions!$A$7:$F$11,3,FALSE),3)+IFERROR(VLOOKUP(V177,Assumptions!$A$7:$F$11,4,FALSE),8)/2-MAX(0,IF(AO177="",0,YEAR(TODAY())-AO177)-IFERROR(VLOOKUP(V177,Assumptions!$A$7:$F$11,5,FALSE),1.5))),IFERROR(VLOOKUP(V177,Assumptions!$A$7:$F$11,5,FALSE),2.5)+IFERROR(VLOOKUP(V177,Assumptions!$A$7:$F$11,3,FALSE),3)+IFERROR(VLOOKUP(V177,Assumptions!$A$7:$F$11,4,FALSE),8)/2)</f>
        <v/>
      </c>
      <c r="Y177" s="22">
        <f>U177*W177/(1+Assumptions!$B$3)^X177</f>
        <v/>
      </c>
      <c r="Z177" s="26">
        <f>IF(U177=0,"",ROUND(Y177/U177*100,1))</f>
        <v/>
      </c>
      <c r="AA177" s="27">
        <f>Y177*Assumptions!$B$4</f>
        <v/>
      </c>
      <c r="AB177" s="26">
        <f>IF(U177=0,"",ROUND(AA177/U177*100,1))</f>
        <v/>
      </c>
      <c r="AC177" s="27">
        <f>Y177-AA177</f>
        <v/>
      </c>
      <c r="AD177" s="26">
        <f>IF(U177=0,"",ROUND((Y177-AA177)/U177*100,1))</f>
        <v/>
      </c>
      <c r="AE177" s="33" t="inlineStr">
        <is>
          <t>NO TOTALS — list prints none; check page</t>
        </is>
      </c>
      <c r="AF177" s="29" t="inlineStr">
        <is>
          <t>https://assistjud.com.br/wp-content/uploads/elementor/forms/65098c80a5824.pdf</t>
        </is>
      </c>
      <c r="AG177" s="28" t="inlineStr">
        <is>
          <t>p9 r10; p19 r5</t>
        </is>
      </c>
      <c r="AH177" s="28" t="inlineStr">
        <is>
          <t>p9: R$ 1.565.337,07; p19: R$ 276.132,92</t>
        </is>
      </c>
      <c r="AI177" s="28" t="inlineStr">
        <is>
          <t>AJ list (art. 7 §2)</t>
        </is>
      </c>
      <c r="AJ177" s="28" t="inlineStr">
        <is>
          <t>2023-09-18</t>
        </is>
      </c>
      <c r="AK177" s="28" t="inlineStr">
        <is>
          <t>NONE FOUND</t>
        </is>
      </c>
      <c r="AL177" s="30" t="inlineStr">
        <is>
          <t>8005129-09.2023.8.05.0039</t>
        </is>
      </c>
      <c r="AM177" s="30" t="inlineStr">
        <is>
          <t>TJBA</t>
        </is>
      </c>
      <c r="AN177" s="30" t="inlineStr">
        <is>
          <t>ACTIVE</t>
        </is>
      </c>
      <c r="AO177" s="30" t="n">
        <v>2023</v>
      </c>
      <c r="AP177" s="30" t="inlineStr">
        <is>
          <t>live case, no plan document yet</t>
        </is>
      </c>
      <c r="AQ177" s="30" t="inlineStr"/>
      <c r="AR177" s="30" t="inlineStr">
        <is>
          <t>printed on the list (read twice)</t>
        </is>
      </c>
      <c r="AS177" s="30" t="inlineStr"/>
      <c r="AT177" s="30" t="inlineStr"/>
      <c r="AU177" s="30" t="inlineStr"/>
      <c r="AV177" s="30" t="inlineStr"/>
      <c r="AW177" s="31" t="inlineStr"/>
      <c r="AX177" s="30" t="inlineStr">
        <is>
          <t>MID-MARKET</t>
        </is>
      </c>
      <c r="AY177" s="30" t="inlineStr">
        <is>
          <t>08632394</t>
        </is>
      </c>
      <c r="AZ177" s="30" t="n">
        <v>2</v>
      </c>
      <c r="BA177" s="30" t="inlineStr">
        <is>
          <t>LIKELY_FINANCIAL_BY_NAME ROWS:p9r10,p19r5 UNRECONCILED_SOURCE</t>
        </is>
      </c>
    </row>
    <row r="178">
      <c r="A178" s="16" t="inlineStr">
        <is>
          <t>OPHIR FUNDO DE INVESTIMENTO EM DIREITOS CREDITORIOS</t>
        </is>
      </c>
      <c r="B178" s="17" t="n">
        <v>1832792.2</v>
      </c>
      <c r="C178" s="18" t="inlineStr">
        <is>
          <t>Grupo Agromeal</t>
        </is>
      </c>
      <c r="D178" s="19" t="inlineStr">
        <is>
          <t>NEW</t>
        </is>
      </c>
      <c r="E178" s="20" t="inlineStr"/>
      <c r="F178" s="19" t="inlineStr"/>
      <c r="G178" s="20" t="inlineStr"/>
      <c r="H178" s="19" t="inlineStr"/>
      <c r="I178" s="21" t="inlineStr"/>
      <c r="J178" s="21" t="inlineStr"/>
      <c r="K178" s="21" t="inlineStr">
        <is>
          <t>(11) 2827-3500</t>
        </is>
      </c>
      <c r="L178" s="21" t="inlineStr"/>
      <c r="M178" s="21" t="inlineStr"/>
      <c r="N178" s="21" t="inlineStr"/>
      <c r="O178" s="21" t="inlineStr"/>
      <c r="P178" s="21" t="inlineStr"/>
      <c r="Q178" s="21" t="inlineStr"/>
      <c r="R178" s="21" t="inlineStr"/>
      <c r="S178" s="21" t="inlineStr"/>
      <c r="T178" s="21" t="inlineStr">
        <is>
          <t>no named contact found</t>
        </is>
      </c>
      <c r="U178" s="22" t="n">
        <v>1832792.2</v>
      </c>
      <c r="V178" s="23" t="inlineStr">
        <is>
          <t>B</t>
        </is>
      </c>
      <c r="W178" s="24">
        <f>IFERROR(VLOOKUP(V178,Assumptions!$A$7:$F$11,2,FALSE),0)</f>
        <v/>
      </c>
      <c r="X178" s="25">
        <f>IF(V178="A",MAX(1,IFERROR(VLOOKUP(V178,Assumptions!$A$7:$F$11,3,FALSE),3)+IFERROR(VLOOKUP(V178,Assumptions!$A$7:$F$11,4,FALSE),8)/2-MAX(0,IF(AO178="",0,YEAR(TODAY())-AO178)-IFERROR(VLOOKUP(V178,Assumptions!$A$7:$F$11,5,FALSE),1.5))),IFERROR(VLOOKUP(V178,Assumptions!$A$7:$F$11,5,FALSE),2.5)+IFERROR(VLOOKUP(V178,Assumptions!$A$7:$F$11,3,FALSE),3)+IFERROR(VLOOKUP(V178,Assumptions!$A$7:$F$11,4,FALSE),8)/2)</f>
        <v/>
      </c>
      <c r="Y178" s="22">
        <f>U178*W178/(1+Assumptions!$B$3)^X178</f>
        <v/>
      </c>
      <c r="Z178" s="26">
        <f>IF(U178=0,"",ROUND(Y178/U178*100,1))</f>
        <v/>
      </c>
      <c r="AA178" s="27">
        <f>Y178*Assumptions!$B$4</f>
        <v/>
      </c>
      <c r="AB178" s="26">
        <f>IF(U178=0,"",ROUND(AA178/U178*100,1))</f>
        <v/>
      </c>
      <c r="AC178" s="27">
        <f>Y178-AA178</f>
        <v/>
      </c>
      <c r="AD178" s="26">
        <f>IF(U178=0,"",ROUND((Y178-AA178)/U178*100,1))</f>
        <v/>
      </c>
      <c r="AE178" s="34" t="inlineStr">
        <is>
          <t>PARTIAL — class III reconciled, other classes not</t>
        </is>
      </c>
      <c r="AF178" s="29" t="inlineStr">
        <is>
          <t>https://marquesadmjudicial.com.br/sgc/download.php?file=files/processo_documento/processo_documento17040729052024_1_.pdf&amp;nome=Relação Nominal de Credores AJ-Sintética</t>
        </is>
      </c>
      <c r="AG178" s="28" t="inlineStr">
        <is>
          <t>p12 r11</t>
        </is>
      </c>
      <c r="AH178" s="28" t="inlineStr">
        <is>
          <t>p12: R$ 1.832.792,20</t>
        </is>
      </c>
      <c r="AI178" s="28" t="inlineStr">
        <is>
          <t>AJ list (art. 7 §2)</t>
        </is>
      </c>
      <c r="AJ178" s="28" t="inlineStr">
        <is>
          <t>2024-05-27</t>
        </is>
      </c>
      <c r="AK178" s="28" t="inlineStr">
        <is>
          <t>NONE FOUND</t>
        </is>
      </c>
      <c r="AL178" s="30" t="inlineStr">
        <is>
          <t>0003971-03.2023.8.16.0119</t>
        </is>
      </c>
      <c r="AM178" s="30" t="inlineStr">
        <is>
          <t>TJPR</t>
        </is>
      </c>
      <c r="AN178" s="30" t="inlineStr">
        <is>
          <t>ACTIVE</t>
        </is>
      </c>
      <c r="AO178" s="30" t="n">
        <v>2023</v>
      </c>
      <c r="AP178" s="30" t="inlineStr">
        <is>
          <t>live case, no plan document yet</t>
        </is>
      </c>
      <c r="AQ178" s="30" t="inlineStr">
        <is>
          <t>11.624.776/0001-07</t>
        </is>
      </c>
      <c r="AR178" s="30" t="inlineStr">
        <is>
          <t>printed on the list (read twice)</t>
        </is>
      </c>
      <c r="AS178" s="30" t="inlineStr">
        <is>
          <t>SAO PAULO</t>
        </is>
      </c>
      <c r="AT178" s="30" t="inlineStr">
        <is>
          <t>SP</t>
        </is>
      </c>
      <c r="AU178" s="30" t="inlineStr">
        <is>
          <t>Fundos de investimento, exceto previdenciários e imobiliários</t>
        </is>
      </c>
      <c r="AV178" s="30" t="inlineStr">
        <is>
          <t>DEMAIS</t>
        </is>
      </c>
      <c r="AW178" s="31" t="inlineStr"/>
      <c r="AX178" s="30" t="inlineStr">
        <is>
          <t>MID-MARKET</t>
        </is>
      </c>
      <c r="AY178" s="30" t="inlineStr">
        <is>
          <t>42605322</t>
        </is>
      </c>
      <c r="AZ178" s="30" t="n">
        <v>1</v>
      </c>
      <c r="BA178" s="30" t="inlineStr">
        <is>
          <t>LIKELY_FINANCIAL_BY_NAME PARTIAL_DOC_CLASS_III_RECONCILED ROWS:p12r11</t>
        </is>
      </c>
    </row>
    <row r="179">
      <c r="A179" s="16" t="inlineStr">
        <is>
          <t>BANCO DO BRASIL SA</t>
        </is>
      </c>
      <c r="B179" s="17" t="n">
        <v>1800000</v>
      </c>
      <c r="C179" s="18" t="inlineStr">
        <is>
          <t>Grupo Tendas</t>
        </is>
      </c>
      <c r="D179" s="19" t="inlineStr">
        <is>
          <t>NEW</t>
        </is>
      </c>
      <c r="E179" s="20" t="inlineStr"/>
      <c r="F179" s="19" t="inlineStr"/>
      <c r="G179" s="20" t="inlineStr"/>
      <c r="H179" s="19" t="inlineStr"/>
      <c r="I179" s="21" t="inlineStr">
        <is>
          <t>Thiago Cavichioli</t>
        </is>
      </c>
      <c r="J179" s="21" t="inlineStr">
        <is>
          <t>Gerente de Cobrança e Recuperação de Crédito</t>
        </is>
      </c>
      <c r="K179" s="21" t="inlineStr">
        <is>
          <t>(61) 3493-9002</t>
        </is>
      </c>
      <c r="L179" s="21" t="inlineStr"/>
      <c r="M179" s="21" t="inlineStr"/>
      <c r="N179" s="21" t="inlineStr">
        <is>
          <t>thiago.cavichioli@bb.com.br</t>
        </is>
      </c>
      <c r="O179" s="21" t="inlineStr">
        <is>
          <t>suelenmondador@bb.com.br</t>
        </is>
      </c>
      <c r="P179" s="21" t="inlineStr">
        <is>
          <t>Suelen Mondador</t>
        </is>
      </c>
      <c r="Q179" s="21" t="inlineStr">
        <is>
          <t>Gerente Especialista em Recuperação de Crédito</t>
        </is>
      </c>
      <c r="R179" s="21" t="inlineStr"/>
      <c r="S179" s="21" t="inlineStr">
        <is>
          <t>suelenmondador@bb.com.br</t>
        </is>
      </c>
      <c r="T179" s="21" t="inlineStr">
        <is>
          <t>email verified by Apollo</t>
        </is>
      </c>
      <c r="U179" s="22" t="n">
        <v>1800000</v>
      </c>
      <c r="V179" s="23" t="inlineStr">
        <is>
          <t>B</t>
        </is>
      </c>
      <c r="W179" s="24">
        <f>IFERROR(VLOOKUP(V179,Assumptions!$A$7:$F$11,2,FALSE),0)</f>
        <v/>
      </c>
      <c r="X179" s="25">
        <f>IF(V179="A",MAX(1,IFERROR(VLOOKUP(V179,Assumptions!$A$7:$F$11,3,FALSE),3)+IFERROR(VLOOKUP(V179,Assumptions!$A$7:$F$11,4,FALSE),8)/2-MAX(0,IF(AO179="",0,YEAR(TODAY())-AO179)-IFERROR(VLOOKUP(V179,Assumptions!$A$7:$F$11,5,FALSE),1.5))),IFERROR(VLOOKUP(V179,Assumptions!$A$7:$F$11,5,FALSE),2.5)+IFERROR(VLOOKUP(V179,Assumptions!$A$7:$F$11,3,FALSE),3)+IFERROR(VLOOKUP(V179,Assumptions!$A$7:$F$11,4,FALSE),8)/2)</f>
        <v/>
      </c>
      <c r="Y179" s="22">
        <f>U179*W179/(1+Assumptions!$B$3)^X179</f>
        <v/>
      </c>
      <c r="Z179" s="26">
        <f>IF(U179=0,"",ROUND(Y179/U179*100,1))</f>
        <v/>
      </c>
      <c r="AA179" s="27">
        <f>Y179*Assumptions!$B$4</f>
        <v/>
      </c>
      <c r="AB179" s="26">
        <f>IF(U179=0,"",ROUND(AA179/U179*100,1))</f>
        <v/>
      </c>
      <c r="AC179" s="27">
        <f>Y179-AA179</f>
        <v/>
      </c>
      <c r="AD179" s="26">
        <f>IF(U179=0,"",ROUND((Y179-AA179)/U179*100,1))</f>
        <v/>
      </c>
      <c r="AE179" s="33" t="inlineStr">
        <is>
          <t>NO TOTALS — list prints none; check page</t>
        </is>
      </c>
      <c r="AF179" s="29" t="inlineStr">
        <is>
          <t>https://stenius.com.br/wp-content/uploads/2026/08/1°-EDITAL-GRUPO-TENDAS.pdf</t>
        </is>
      </c>
      <c r="AG179" s="28" t="inlineStr">
        <is>
          <t>p5 r20</t>
        </is>
      </c>
      <c r="AH179" s="28" t="inlineStr">
        <is>
          <t>p5: R$ 1.800.000,00</t>
        </is>
      </c>
      <c r="AI179" s="28" t="inlineStr">
        <is>
          <t>AJ list (art. 7 §2)</t>
        </is>
      </c>
      <c r="AJ179" s="28" t="inlineStr">
        <is>
          <t>2026-08-13</t>
        </is>
      </c>
      <c r="AK179" s="28" t="inlineStr">
        <is>
          <t>NONE FOUND</t>
        </is>
      </c>
      <c r="AL179" s="30" t="inlineStr">
        <is>
          <t>5401053-70.2026.8.09.0051</t>
        </is>
      </c>
      <c r="AM179" s="30" t="inlineStr">
        <is>
          <t>TJGO</t>
        </is>
      </c>
      <c r="AN179" s="30" t="inlineStr">
        <is>
          <t>ACTIVE</t>
        </is>
      </c>
      <c r="AO179" s="30" t="n">
        <v>2026</v>
      </c>
      <c r="AP179" s="30" t="inlineStr">
        <is>
          <t>live case, no plan document yet</t>
        </is>
      </c>
      <c r="AQ179" s="30" t="inlineStr">
        <is>
          <t>05.047.886/0001-42</t>
        </is>
      </c>
      <c r="AR179" s="30" t="inlineStr">
        <is>
          <t>printed on the list (read twice)</t>
        </is>
      </c>
      <c r="AS179" s="30" t="inlineStr">
        <is>
          <t>BRASILIA</t>
        </is>
      </c>
      <c r="AT179" s="30" t="inlineStr">
        <is>
          <t>DF</t>
        </is>
      </c>
      <c r="AU179" s="30" t="inlineStr">
        <is>
          <t>Bancos múltiplos, com carteira comercial</t>
        </is>
      </c>
      <c r="AV179" s="30" t="inlineStr">
        <is>
          <t>DEMAIS</t>
        </is>
      </c>
      <c r="AW179" s="31" t="n">
        <v>120000000000</v>
      </c>
      <c r="AX179" s="30" t="inlineStr">
        <is>
          <t>LARGE CORP</t>
        </is>
      </c>
      <c r="AY179" s="30" t="inlineStr">
        <is>
          <t>00000000</t>
        </is>
      </c>
      <c r="AZ179" s="30" t="n">
        <v>1</v>
      </c>
      <c r="BA179" s="30" t="inlineStr">
        <is>
          <t>LIKELY_FINANCIAL_BY_NAME ROWS:p5r20 UNRECONCILED_SOURCE VALUE_COL:Valor</t>
        </is>
      </c>
    </row>
    <row r="180">
      <c r="A180" s="16" t="inlineStr">
        <is>
          <t>BANCO DO NORDESTE DO BRASIL SA</t>
        </is>
      </c>
      <c r="B180" s="17" t="n">
        <v>1794937.22</v>
      </c>
      <c r="C180" s="18" t="inlineStr">
        <is>
          <t>Grupo Conduscabos</t>
        </is>
      </c>
      <c r="D180" s="19" t="inlineStr">
        <is>
          <t>NEW</t>
        </is>
      </c>
      <c r="E180" s="20" t="inlineStr"/>
      <c r="F180" s="19" t="inlineStr"/>
      <c r="G180" s="20" t="inlineStr"/>
      <c r="H180" s="19" t="inlineStr"/>
      <c r="I180" s="21" t="inlineStr">
        <is>
          <t>Layslan Medeiros</t>
        </is>
      </c>
      <c r="J180" s="21" t="inlineStr">
        <is>
          <t>Gerente Executivo Operacional e de Recuperação de Crédito</t>
        </is>
      </c>
      <c r="K180" s="21" t="inlineStr">
        <is>
          <t>(85) 3299-3000</t>
        </is>
      </c>
      <c r="L180" s="21" t="inlineStr"/>
      <c r="M180" s="21" t="inlineStr"/>
      <c r="N180" s="21" t="inlineStr"/>
      <c r="O180" s="21" t="inlineStr">
        <is>
          <t>alexsander@bnb.gov.br</t>
        </is>
      </c>
      <c r="P180" s="21" t="inlineStr">
        <is>
          <t>Alexsander Farias</t>
        </is>
      </c>
      <c r="Q180" s="21" t="inlineStr">
        <is>
          <t>Gerente de Recuperação de Crédito</t>
        </is>
      </c>
      <c r="R180" s="21" t="inlineStr"/>
      <c r="S180" s="21" t="inlineStr">
        <is>
          <t>alexsander@bnb.gov.br</t>
        </is>
      </c>
      <c r="T180" s="21" t="inlineStr">
        <is>
          <t>no work email found in Apollo</t>
        </is>
      </c>
      <c r="U180" s="22" t="n">
        <v>1794937.22</v>
      </c>
      <c r="V180" s="23" t="inlineStr">
        <is>
          <t>B</t>
        </is>
      </c>
      <c r="W180" s="24">
        <f>IFERROR(VLOOKUP(V180,Assumptions!$A$7:$F$11,2,FALSE),0)</f>
        <v/>
      </c>
      <c r="X180" s="25">
        <f>IF(V180="A",MAX(1,IFERROR(VLOOKUP(V180,Assumptions!$A$7:$F$11,3,FALSE),3)+IFERROR(VLOOKUP(V180,Assumptions!$A$7:$F$11,4,FALSE),8)/2-MAX(0,IF(AO180="",0,YEAR(TODAY())-AO180)-IFERROR(VLOOKUP(V180,Assumptions!$A$7:$F$11,5,FALSE),1.5))),IFERROR(VLOOKUP(V180,Assumptions!$A$7:$F$11,5,FALSE),2.5)+IFERROR(VLOOKUP(V180,Assumptions!$A$7:$F$11,3,FALSE),3)+IFERROR(VLOOKUP(V180,Assumptions!$A$7:$F$11,4,FALSE),8)/2)</f>
        <v/>
      </c>
      <c r="Y180" s="22">
        <f>U180*W180/(1+Assumptions!$B$3)^X180</f>
        <v/>
      </c>
      <c r="Z180" s="26">
        <f>IF(U180=0,"",ROUND(Y180/U180*100,1))</f>
        <v/>
      </c>
      <c r="AA180" s="27">
        <f>Y180*Assumptions!$B$4</f>
        <v/>
      </c>
      <c r="AB180" s="26">
        <f>IF(U180=0,"",ROUND(AA180/U180*100,1))</f>
        <v/>
      </c>
      <c r="AC180" s="27">
        <f>Y180-AA180</f>
        <v/>
      </c>
      <c r="AD180" s="26">
        <f>IF(U180=0,"",ROUND((Y180-AA180)/U180*100,1))</f>
        <v/>
      </c>
      <c r="AE180" s="33" t="inlineStr">
        <is>
          <t>NO TOTALS — list prints none; check page</t>
        </is>
      </c>
      <c r="AF180" s="29" t="inlineStr">
        <is>
          <t>https://assistjud.com.br/wp-content/uploads/elementor/forms/65098c80a5824.pdf</t>
        </is>
      </c>
      <c r="AG180" s="28" t="inlineStr">
        <is>
          <t>p5 r10; p17 r4</t>
        </is>
      </c>
      <c r="AH180" s="28" t="inlineStr">
        <is>
          <t>p5: R$ 1.144.942,86; p17: R$ 649.994,36</t>
        </is>
      </c>
      <c r="AI180" s="28" t="inlineStr">
        <is>
          <t>AJ list (art. 7 §2)</t>
        </is>
      </c>
      <c r="AJ180" s="28" t="inlineStr">
        <is>
          <t>2023-09-18</t>
        </is>
      </c>
      <c r="AK180" s="28" t="inlineStr">
        <is>
          <t>NONE FOUND</t>
        </is>
      </c>
      <c r="AL180" s="30" t="inlineStr">
        <is>
          <t>8005129-09.2023.8.05.0039</t>
        </is>
      </c>
      <c r="AM180" s="30" t="inlineStr">
        <is>
          <t>TJBA</t>
        </is>
      </c>
      <c r="AN180" s="30" t="inlineStr">
        <is>
          <t>ACTIVE</t>
        </is>
      </c>
      <c r="AO180" s="30" t="n">
        <v>2023</v>
      </c>
      <c r="AP180" s="30" t="inlineStr">
        <is>
          <t>live case, no plan document yet</t>
        </is>
      </c>
      <c r="AQ180" s="30" t="inlineStr"/>
      <c r="AR180" s="30" t="inlineStr">
        <is>
          <t>printed on the list (read twice)</t>
        </is>
      </c>
      <c r="AS180" s="30" t="inlineStr">
        <is>
          <t>FORTALEZA</t>
        </is>
      </c>
      <c r="AT180" s="30" t="inlineStr">
        <is>
          <t>CE</t>
        </is>
      </c>
      <c r="AU180" s="30" t="inlineStr">
        <is>
          <t>Bancos múltiplos, com carteira comercial</t>
        </is>
      </c>
      <c r="AV180" s="30" t="inlineStr">
        <is>
          <t>DEMAIS</t>
        </is>
      </c>
      <c r="AW180" s="31" t="n">
        <v>15139032000</v>
      </c>
      <c r="AX180" s="30" t="inlineStr">
        <is>
          <t>LARGE CORP</t>
        </is>
      </c>
      <c r="AY180" s="30" t="inlineStr">
        <is>
          <t>07237373</t>
        </is>
      </c>
      <c r="AZ180" s="30" t="n">
        <v>2</v>
      </c>
      <c r="BA180" s="30" t="inlineStr">
        <is>
          <t>LIKELY_FINANCIAL_BY_NAME ROWS:p5r10,p17r4 UNRECONCILED_SOURCE VALUE_COL:Valor_Do_Crédito_2º_Edital_De_Credores</t>
        </is>
      </c>
    </row>
    <row r="181">
      <c r="A181" s="16" t="inlineStr">
        <is>
          <t>JGM EMPREENDIMENTOS E PARTICIPACOES LTDA</t>
        </is>
      </c>
      <c r="B181" s="17" t="n">
        <v>12841448</v>
      </c>
      <c r="C181" s="18" t="inlineStr">
        <is>
          <t>Mannes</t>
        </is>
      </c>
      <c r="D181" s="19" t="inlineStr">
        <is>
          <t>NEW</t>
        </is>
      </c>
      <c r="E181" s="20" t="inlineStr"/>
      <c r="F181" s="19" t="inlineStr"/>
      <c r="G181" s="20" t="inlineStr"/>
      <c r="H181" s="19" t="inlineStr"/>
      <c r="I181" s="21" t="inlineStr">
        <is>
          <t>TCHARLA FRANCOISE MENEL</t>
        </is>
      </c>
      <c r="J181" s="21" t="inlineStr">
        <is>
          <t>Sócio-Administrador (RFB partner)</t>
        </is>
      </c>
      <c r="K181" s="21" t="inlineStr">
        <is>
          <t>(04) 7371-0099</t>
        </is>
      </c>
      <c r="L181" s="21" t="inlineStr"/>
      <c r="M181" s="21" t="inlineStr"/>
      <c r="N181" s="21" t="inlineStr"/>
      <c r="O181" s="21" t="inlineStr"/>
      <c r="P181" s="21" t="inlineStr"/>
      <c r="Q181" s="21" t="inlineStr"/>
      <c r="R181" s="21" t="inlineStr"/>
      <c r="S181" s="21" t="inlineStr"/>
      <c r="T181" s="21" t="inlineStr">
        <is>
          <t>RFB partner (QSA); no Apollo match</t>
        </is>
      </c>
      <c r="U181" s="22" t="n">
        <v>12841448</v>
      </c>
      <c r="V181" s="39" t="inlineStr">
        <is>
          <t>D</t>
        </is>
      </c>
      <c r="W181" s="24">
        <f>IFERROR(VLOOKUP(V181,Assumptions!$A$7:$F$11,2,FALSE),0)</f>
        <v/>
      </c>
      <c r="X181" s="25">
        <f>IF(V181="A",MAX(1,IFERROR(VLOOKUP(V181,Assumptions!$A$7:$F$11,3,FALSE),3)+IFERROR(VLOOKUP(V181,Assumptions!$A$7:$F$11,4,FALSE),8)/2-MAX(0,IF(AO181="",0,YEAR(TODAY())-AO181)-IFERROR(VLOOKUP(V181,Assumptions!$A$7:$F$11,5,FALSE),1.5))),IFERROR(VLOOKUP(V181,Assumptions!$A$7:$F$11,5,FALSE),2.5)+IFERROR(VLOOKUP(V181,Assumptions!$A$7:$F$11,3,FALSE),3)+IFERROR(VLOOKUP(V181,Assumptions!$A$7:$F$11,4,FALSE),8)/2)</f>
        <v/>
      </c>
      <c r="Y181" s="22">
        <f>U181*W181/(1+Assumptions!$B$3)^X181</f>
        <v/>
      </c>
      <c r="Z181" s="26">
        <f>IF(U181=0,"",ROUND(Y181/U181*100,1))</f>
        <v/>
      </c>
      <c r="AA181" s="27">
        <f>Y181*Assumptions!$B$4</f>
        <v/>
      </c>
      <c r="AB181" s="26">
        <f>IF(U181=0,"",ROUND(AA181/U181*100,1))</f>
        <v/>
      </c>
      <c r="AC181" s="27">
        <f>Y181-AA181</f>
        <v/>
      </c>
      <c r="AD181" s="26">
        <f>IF(U181=0,"",ROUND((Y181-AA181)/U181*100,1))</f>
        <v/>
      </c>
      <c r="AE181" s="36" t="inlineStr">
        <is>
          <t>CHECK — source is not a statutory creditor list</t>
        </is>
      </c>
      <c r="AF181" s="29" t="inlineStr">
        <is>
          <t>https://administradorajudicialgs.com.br/wp-content/uploads/2024/12/relacao-de-credores-da-falida.pdf</t>
        </is>
      </c>
      <c r="AG181" s="28" t="inlineStr">
        <is>
          <t>p15 r42</t>
        </is>
      </c>
      <c r="AH181" s="28" t="inlineStr">
        <is>
          <t>p15: R$ 12.841.448,00</t>
        </is>
      </c>
      <c r="AI181" s="28" t="inlineStr">
        <is>
          <t>Other filing — NOT an art. 7/51 list</t>
        </is>
      </c>
      <c r="AJ181" s="28" t="inlineStr">
        <is>
          <t>2025-03-25</t>
        </is>
      </c>
      <c r="AK181" s="28" t="inlineStr">
        <is>
          <t>NONE FOUND</t>
        </is>
      </c>
      <c r="AL181" s="30" t="inlineStr">
        <is>
          <t>0005010-50.2013.8.24.0026</t>
        </is>
      </c>
      <c r="AM181" s="30" t="inlineStr">
        <is>
          <t>TJSC</t>
        </is>
      </c>
      <c r="AN181" s="30" t="inlineStr"/>
      <c r="AO181" s="30" t="n">
        <v>2013</v>
      </c>
      <c r="AP181" s="30" t="inlineStr">
        <is>
          <t>document is a falência (bankruptcy) list</t>
        </is>
      </c>
      <c r="AQ181" s="30" t="inlineStr"/>
      <c r="AR181" s="30" t="inlineStr">
        <is>
          <t>printed on the list (read twice)</t>
        </is>
      </c>
      <c r="AS181" s="30" t="inlineStr">
        <is>
          <t>JARAGUA DO SUL</t>
        </is>
      </c>
      <c r="AT181" s="30" t="inlineStr">
        <is>
          <t>SC</t>
        </is>
      </c>
      <c r="AU181" s="30" t="inlineStr">
        <is>
          <t>Holdings de instituições não-financeiras</t>
        </is>
      </c>
      <c r="AV181" s="30" t="inlineStr">
        <is>
          <t>DEMAIS</t>
        </is>
      </c>
      <c r="AW181" s="31" t="n">
        <v>18000000</v>
      </c>
      <c r="AX181" s="30" t="inlineStr">
        <is>
          <t>MID-MARKET</t>
        </is>
      </c>
      <c r="AY181" s="30" t="inlineStr">
        <is>
          <t>02553526</t>
        </is>
      </c>
      <c r="AZ181" s="30" t="n">
        <v>1</v>
      </c>
      <c r="BA181" s="30" t="inlineStr">
        <is>
          <t>ROWS:p15r42 UNRECONCILED_SOURCE CASE_NUMBER_CORRECTED</t>
        </is>
      </c>
    </row>
    <row r="182">
      <c r="A182" s="16" t="inlineStr">
        <is>
          <t>VERTIS CAPITAL FUNDO DE INVESTIMENTO</t>
        </is>
      </c>
      <c r="B182" s="17" t="n">
        <v>1767950</v>
      </c>
      <c r="C182" s="18" t="inlineStr">
        <is>
          <t>GRUPO GLP</t>
        </is>
      </c>
      <c r="D182" s="19" t="inlineStr">
        <is>
          <t>NEW</t>
        </is>
      </c>
      <c r="E182" s="20" t="inlineStr"/>
      <c r="F182" s="19" t="inlineStr"/>
      <c r="G182" s="20" t="inlineStr"/>
      <c r="H182" s="19" t="inlineStr"/>
      <c r="I182" s="21" t="inlineStr">
        <is>
          <t>Adriano Damasceno</t>
        </is>
      </c>
      <c r="J182" s="21" t="inlineStr">
        <is>
          <t>Sócio Fundador e Diretor</t>
        </is>
      </c>
      <c r="K182" s="21" t="inlineStr"/>
      <c r="L182" s="21" t="inlineStr"/>
      <c r="M182" s="21" t="inlineStr"/>
      <c r="N182" s="21" t="inlineStr"/>
      <c r="O182" s="21" t="inlineStr">
        <is>
          <t>felipe.abreu@vertiscap.com</t>
        </is>
      </c>
      <c r="P182" s="21" t="inlineStr">
        <is>
          <t>Felipe Abreu</t>
        </is>
      </c>
      <c r="Q182" s="21" t="inlineStr">
        <is>
          <t>Analista de Crédito e Risco</t>
        </is>
      </c>
      <c r="R182" s="21" t="inlineStr"/>
      <c r="S182" s="21" t="inlineStr">
        <is>
          <t>felipe.abreu@vertiscap.com</t>
        </is>
      </c>
      <c r="T182" s="21" t="inlineStr">
        <is>
          <t>no work email found in Apollo</t>
        </is>
      </c>
      <c r="U182" s="22" t="n">
        <v>1767950</v>
      </c>
      <c r="V182" s="23" t="inlineStr">
        <is>
          <t>B</t>
        </is>
      </c>
      <c r="W182" s="24">
        <f>IFERROR(VLOOKUP(V182,Assumptions!$A$7:$F$11,2,FALSE),0)</f>
        <v/>
      </c>
      <c r="X182" s="25">
        <f>IF(V182="A",MAX(1,IFERROR(VLOOKUP(V182,Assumptions!$A$7:$F$11,3,FALSE),3)+IFERROR(VLOOKUP(V182,Assumptions!$A$7:$F$11,4,FALSE),8)/2-MAX(0,IF(AO182="",0,YEAR(TODAY())-AO182)-IFERROR(VLOOKUP(V182,Assumptions!$A$7:$F$11,5,FALSE),1.5))),IFERROR(VLOOKUP(V182,Assumptions!$A$7:$F$11,5,FALSE),2.5)+IFERROR(VLOOKUP(V182,Assumptions!$A$7:$F$11,3,FALSE),3)+IFERROR(VLOOKUP(V182,Assumptions!$A$7:$F$11,4,FALSE),8)/2)</f>
        <v/>
      </c>
      <c r="Y182" s="22">
        <f>U182*W182/(1+Assumptions!$B$3)^X182</f>
        <v/>
      </c>
      <c r="Z182" s="26">
        <f>IF(U182=0,"",ROUND(Y182/U182*100,1))</f>
        <v/>
      </c>
      <c r="AA182" s="27">
        <f>Y182*Assumptions!$B$4</f>
        <v/>
      </c>
      <c r="AB182" s="26">
        <f>IF(U182=0,"",ROUND(AA182/U182*100,1))</f>
        <v/>
      </c>
      <c r="AC182" s="27">
        <f>Y182-AA182</f>
        <v/>
      </c>
      <c r="AD182" s="26">
        <f>IF(U182=0,"",ROUND((Y182-AA182)/U182*100,1))</f>
        <v/>
      </c>
      <c r="AE182" s="28" t="inlineStr">
        <is>
          <t>OK — totals reconciled</t>
        </is>
      </c>
      <c r="AF182" s="29" t="inlineStr">
        <is>
          <t>https://recuperasolucoes.com/wp-content/plugins/download-attachments/includes/download.php?id=1597</t>
        </is>
      </c>
      <c r="AG182" s="28" t="inlineStr">
        <is>
          <t>p13 r23</t>
        </is>
      </c>
      <c r="AH182" s="28" t="inlineStr">
        <is>
          <t>p13: R$ 1.767.950,00</t>
        </is>
      </c>
      <c r="AI182" s="28" t="inlineStr">
        <is>
          <t>Debtor list (art. 51)</t>
        </is>
      </c>
      <c r="AJ182" s="28" t="inlineStr">
        <is>
          <t>2026-05-21</t>
        </is>
      </c>
      <c r="AK182" s="28" t="inlineStr">
        <is>
          <t>NONE FOUND</t>
        </is>
      </c>
      <c r="AL182" s="30" t="inlineStr">
        <is>
          <t>0001639-09.2026.8.17.2810</t>
        </is>
      </c>
      <c r="AM182" s="30" t="inlineStr">
        <is>
          <t>TJPE</t>
        </is>
      </c>
      <c r="AN182" s="30" t="inlineStr">
        <is>
          <t>ACTIVE</t>
        </is>
      </c>
      <c r="AO182" s="30" t="n">
        <v>2026</v>
      </c>
      <c r="AP182" s="30" t="inlineStr">
        <is>
          <t>live case, no plan document yet</t>
        </is>
      </c>
      <c r="AQ182" s="30" t="inlineStr"/>
      <c r="AR182" s="30" t="inlineStr">
        <is>
          <t>printed on the list (read twice)</t>
        </is>
      </c>
      <c r="AS182" s="30" t="inlineStr"/>
      <c r="AT182" s="30" t="inlineStr"/>
      <c r="AU182" s="30" t="inlineStr"/>
      <c r="AV182" s="30" t="inlineStr"/>
      <c r="AW182" s="31" t="inlineStr"/>
      <c r="AX182" s="30" t="inlineStr">
        <is>
          <t>MID-MARKET</t>
        </is>
      </c>
      <c r="AY182" s="30" t="inlineStr">
        <is>
          <t>57691429</t>
        </is>
      </c>
      <c r="AZ182" s="30" t="n">
        <v>1</v>
      </c>
      <c r="BA182" s="30" t="inlineStr">
        <is>
          <t>LIKELY_FINANCIAL_BY_NAME ROWS:p13r23</t>
        </is>
      </c>
    </row>
    <row r="183">
      <c r="A183" s="16" t="inlineStr">
        <is>
          <t>ITAU UNIBANCO S.A.</t>
        </is>
      </c>
      <c r="B183" s="17" t="n">
        <v>6832295.57</v>
      </c>
      <c r="C183" s="18" t="inlineStr">
        <is>
          <t>FORMAPLAN FORMAS PLANEJADAS INDÚSTRIA E COMÉRCIO LTDA</t>
        </is>
      </c>
      <c r="D183" s="19" t="inlineStr">
        <is>
          <t>NEW</t>
        </is>
      </c>
      <c r="E183" s="20" t="inlineStr"/>
      <c r="F183" s="19" t="inlineStr"/>
      <c r="G183" s="20" t="inlineStr"/>
      <c r="H183" s="19" t="inlineStr"/>
      <c r="I183" s="21" t="inlineStr">
        <is>
          <t>Murilo Gigliucci</t>
        </is>
      </c>
      <c r="J183" s="21" t="inlineStr">
        <is>
          <t>Superintendente de Reestruturação de Crédito</t>
        </is>
      </c>
      <c r="K183" s="21" t="inlineStr">
        <is>
          <t>(11) 3003-4828</t>
        </is>
      </c>
      <c r="L183" s="21" t="inlineStr"/>
      <c r="M183" s="21" t="inlineStr"/>
      <c r="N183" s="21" t="inlineStr">
        <is>
          <t>murilo.gigliucci@itau-unibanco.com.br</t>
        </is>
      </c>
      <c r="O183" s="21" t="inlineStr">
        <is>
          <t>pedro.ornellas-geronimo@itau-unibanco.com.br</t>
        </is>
      </c>
      <c r="P183" s="21" t="inlineStr">
        <is>
          <t>Pedro Ornellas</t>
        </is>
      </c>
      <c r="Q183" s="21" t="inlineStr">
        <is>
          <t>Superintendente de Recuperação de Crédito</t>
        </is>
      </c>
      <c r="R183" s="21" t="inlineStr"/>
      <c r="S183" s="21" t="inlineStr">
        <is>
          <t>pedro.ornellas-geronimo@itau-unibanco.com.br</t>
        </is>
      </c>
      <c r="T183" s="21" t="inlineStr">
        <is>
          <t>email verified by Apollo</t>
        </is>
      </c>
      <c r="U183" s="22" t="n">
        <v>6832295.57</v>
      </c>
      <c r="V183" s="38" t="inlineStr">
        <is>
          <t>C</t>
        </is>
      </c>
      <c r="W183" s="24">
        <f>IFERROR(VLOOKUP(V183,Assumptions!$A$7:$F$11,2,FALSE),0)</f>
        <v/>
      </c>
      <c r="X183" s="25">
        <f>IF(V183="A",MAX(1,IFERROR(VLOOKUP(V183,Assumptions!$A$7:$F$11,3,FALSE),3)+IFERROR(VLOOKUP(V183,Assumptions!$A$7:$F$11,4,FALSE),8)/2-MAX(0,IF(AO183="",0,YEAR(TODAY())-AO183)-IFERROR(VLOOKUP(V183,Assumptions!$A$7:$F$11,5,FALSE),1.5))),IFERROR(VLOOKUP(V183,Assumptions!$A$7:$F$11,5,FALSE),2.5)+IFERROR(VLOOKUP(V183,Assumptions!$A$7:$F$11,3,FALSE),3)+IFERROR(VLOOKUP(V183,Assumptions!$A$7:$F$11,4,FALSE),8)/2)</f>
        <v/>
      </c>
      <c r="Y183" s="22">
        <f>U183*W183/(1+Assumptions!$B$3)^X183</f>
        <v/>
      </c>
      <c r="Z183" s="26">
        <f>IF(U183=0,"",ROUND(Y183/U183*100,1))</f>
        <v/>
      </c>
      <c r="AA183" s="27">
        <f>Y183*Assumptions!$B$4</f>
        <v/>
      </c>
      <c r="AB183" s="26">
        <f>IF(U183=0,"",ROUND(AA183/U183*100,1))</f>
        <v/>
      </c>
      <c r="AC183" s="27">
        <f>Y183-AA183</f>
        <v/>
      </c>
      <c r="AD183" s="26">
        <f>IF(U183=0,"",ROUND((Y183-AA183)/U183*100,1))</f>
        <v/>
      </c>
      <c r="AE183" s="34" t="inlineStr">
        <is>
          <t>PARTIAL — class III reconciled, other classes not</t>
        </is>
      </c>
      <c r="AF183" s="29" t="inlineStr">
        <is>
          <t>https://marquesadmjudicial.com.br/sgc/download.php?file=files/processo_documento/processo_documento15232121112024_1_.pdf&amp;nome=Relação de Credores</t>
        </is>
      </c>
      <c r="AG183" s="28" t="inlineStr">
        <is>
          <t>p14 r16</t>
        </is>
      </c>
      <c r="AH183" s="28" t="inlineStr">
        <is>
          <t>p14: R$ 6.832.295,57</t>
        </is>
      </c>
      <c r="AI183" s="28" t="inlineStr">
        <is>
          <t>AJ list (art. 7 §2)</t>
        </is>
      </c>
      <c r="AJ183" s="28" t="inlineStr">
        <is>
          <t>2021-01-22</t>
        </is>
      </c>
      <c r="AK183" s="28" t="inlineStr">
        <is>
          <t>NONE FOUND</t>
        </is>
      </c>
      <c r="AL183" s="30" t="inlineStr">
        <is>
          <t>0000410-68.2021.8.16.0174</t>
        </is>
      </c>
      <c r="AM183" s="30" t="inlineStr">
        <is>
          <t>TJPR</t>
        </is>
      </c>
      <c r="AN183" s="30" t="inlineStr">
        <is>
          <t>ACTIVE</t>
        </is>
      </c>
      <c r="AO183" s="30" t="n">
        <v>2021</v>
      </c>
      <c r="AP183" s="30" t="inlineStr">
        <is>
          <t>5y since filing, no plan document</t>
        </is>
      </c>
      <c r="AQ183" s="30" t="inlineStr">
        <is>
          <t>00.262.371/0001-41</t>
        </is>
      </c>
      <c r="AR183" s="30" t="inlineStr">
        <is>
          <t>printed on the list (read twice)</t>
        </is>
      </c>
      <c r="AS183" s="30" t="inlineStr">
        <is>
          <t>SAO PAULO</t>
        </is>
      </c>
      <c r="AT183" s="30" t="inlineStr">
        <is>
          <t>SP</t>
        </is>
      </c>
      <c r="AU183" s="30" t="inlineStr">
        <is>
          <t>Bancos comerciais</t>
        </is>
      </c>
      <c r="AV183" s="30" t="inlineStr">
        <is>
          <t>DEMAIS</t>
        </is>
      </c>
      <c r="AW183" s="31" t="n">
        <v>76200000000</v>
      </c>
      <c r="AX183" s="30" t="inlineStr">
        <is>
          <t>LARGE CORP</t>
        </is>
      </c>
      <c r="AY183" s="30" t="inlineStr">
        <is>
          <t>60701190</t>
        </is>
      </c>
      <c r="AZ183" s="30" t="n">
        <v>1</v>
      </c>
      <c r="BA183" s="30" t="inlineStr">
        <is>
          <t>LIKELY_FINANCIAL_BY_NAME PARTIAL_DOC_CLASS_III_RECONCILED ROWS:p14r16</t>
        </is>
      </c>
    </row>
    <row r="184">
      <c r="A184" s="16" t="inlineStr">
        <is>
          <t>ITAU UNIBANCO S.A.</t>
        </is>
      </c>
      <c r="B184" s="17" t="n">
        <v>3279415.79</v>
      </c>
      <c r="C184" s="37" t="inlineStr">
        <is>
          <t>(debtor not identified — see proof)</t>
        </is>
      </c>
      <c r="D184" s="19" t="inlineStr">
        <is>
          <t>NEW</t>
        </is>
      </c>
      <c r="E184" s="20" t="inlineStr"/>
      <c r="F184" s="19" t="inlineStr"/>
      <c r="G184" s="20" t="inlineStr"/>
      <c r="H184" s="19" t="inlineStr"/>
      <c r="I184" s="21" t="inlineStr">
        <is>
          <t>Murilo Gigliucci</t>
        </is>
      </c>
      <c r="J184" s="21" t="inlineStr">
        <is>
          <t>Superintendente de Reestruturação de Crédito</t>
        </is>
      </c>
      <c r="K184" s="21" t="inlineStr">
        <is>
          <t>(11) 3003-4828</t>
        </is>
      </c>
      <c r="L184" s="21" t="inlineStr"/>
      <c r="M184" s="21" t="inlineStr"/>
      <c r="N184" s="21" t="inlineStr">
        <is>
          <t>murilo.gigliucci@itau-unibanco.com.br</t>
        </is>
      </c>
      <c r="O184" s="21" t="inlineStr">
        <is>
          <t>pedro.ornellas-geronimo@itau-unibanco.com.br</t>
        </is>
      </c>
      <c r="P184" s="21" t="inlineStr">
        <is>
          <t>Pedro Ornellas</t>
        </is>
      </c>
      <c r="Q184" s="21" t="inlineStr">
        <is>
          <t>Superintendente de Recuperação de Crédito</t>
        </is>
      </c>
      <c r="R184" s="21" t="inlineStr"/>
      <c r="S184" s="21" t="inlineStr">
        <is>
          <t>pedro.ornellas-geronimo@itau-unibanco.com.br</t>
        </is>
      </c>
      <c r="T184" s="21" t="inlineStr">
        <is>
          <t>email verified by Apollo</t>
        </is>
      </c>
      <c r="U184" s="22" t="n">
        <v>3279415.79</v>
      </c>
      <c r="V184" s="32" t="inlineStr">
        <is>
          <t>U</t>
        </is>
      </c>
      <c r="W184" s="24">
        <f>IFERROR(VLOOKUP(V184,Assumptions!$A$7:$F$11,2,FALSE),0)</f>
        <v/>
      </c>
      <c r="X184" s="25">
        <f>IF(V184="A",MAX(1,IFERROR(VLOOKUP(V184,Assumptions!$A$7:$F$11,3,FALSE),3)+IFERROR(VLOOKUP(V184,Assumptions!$A$7:$F$11,4,FALSE),8)/2-MAX(0,IF(AO184="",0,YEAR(TODAY())-AO184)-IFERROR(VLOOKUP(V184,Assumptions!$A$7:$F$11,5,FALSE),1.5))),IFERROR(VLOOKUP(V184,Assumptions!$A$7:$F$11,5,FALSE),2.5)+IFERROR(VLOOKUP(V184,Assumptions!$A$7:$F$11,3,FALSE),3)+IFERROR(VLOOKUP(V184,Assumptions!$A$7:$F$11,4,FALSE),8)/2)</f>
        <v/>
      </c>
      <c r="Y184" s="22">
        <f>U184*W184/(1+Assumptions!$B$3)^X184</f>
        <v/>
      </c>
      <c r="Z184" s="26">
        <f>IF(U184=0,"",ROUND(Y184/U184*100,1))</f>
        <v/>
      </c>
      <c r="AA184" s="27">
        <f>Y184*Assumptions!$B$4</f>
        <v/>
      </c>
      <c r="AB184" s="26">
        <f>IF(U184=0,"",ROUND(AA184/U184*100,1))</f>
        <v/>
      </c>
      <c r="AC184" s="27">
        <f>Y184-AA184</f>
        <v/>
      </c>
      <c r="AD184" s="26">
        <f>IF(U184=0,"",ROUND((Y184-AA184)/U184*100,1))</f>
        <v/>
      </c>
      <c r="AE184" s="28" t="inlineStr">
        <is>
          <t>OK — totals reconciled</t>
        </is>
      </c>
      <c r="AF184" s="29" t="inlineStr">
        <is>
          <t>http://bernardobicalho.com.br/login/app/documents/Rela%C3%A7%C3%A3o%20de%20Credores/6.%20RVC-%20Nutricium%20-%20simplificada.pdf</t>
        </is>
      </c>
      <c r="AG184" s="28" t="inlineStr">
        <is>
          <t>p3 r4</t>
        </is>
      </c>
      <c r="AH184" s="28" t="inlineStr">
        <is>
          <t>p3: R$ 3.279.415,79</t>
        </is>
      </c>
      <c r="AI184" s="28" t="inlineStr">
        <is>
          <t>AJ list (art. 7 §2)</t>
        </is>
      </c>
      <c r="AJ184" s="28" t="inlineStr"/>
      <c r="AK184" s="28" t="inlineStr">
        <is>
          <t>NONE FOUND</t>
        </is>
      </c>
      <c r="AL184" s="30" t="inlineStr">
        <is>
          <t>(not printed)</t>
        </is>
      </c>
      <c r="AM184" s="30" t="inlineStr"/>
      <c r="AN184" s="30" t="inlineStr"/>
      <c r="AO184" s="30" t="inlineStr"/>
      <c r="AP184" s="30" t="inlineStr">
        <is>
          <t>RJ case number not identified on the document</t>
        </is>
      </c>
      <c r="AQ184" s="30" t="inlineStr"/>
      <c r="AR184" s="30" t="inlineStr">
        <is>
          <t>not identified</t>
        </is>
      </c>
      <c r="AS184" s="30" t="inlineStr">
        <is>
          <t>SAO PAULO</t>
        </is>
      </c>
      <c r="AT184" s="30" t="inlineStr">
        <is>
          <t>SP</t>
        </is>
      </c>
      <c r="AU184" s="30" t="inlineStr">
        <is>
          <t>Bancos comerciais</t>
        </is>
      </c>
      <c r="AV184" s="30" t="inlineStr">
        <is>
          <t>DEMAIS</t>
        </is>
      </c>
      <c r="AW184" s="31" t="n">
        <v>76200000000</v>
      </c>
      <c r="AX184" s="30" t="inlineStr">
        <is>
          <t>LARGE CORP</t>
        </is>
      </c>
      <c r="AY184" s="30" t="inlineStr">
        <is>
          <t>60701190</t>
        </is>
      </c>
      <c r="AZ184" s="30" t="n">
        <v>1</v>
      </c>
      <c r="BA184" s="30" t="inlineStr">
        <is>
          <t>CASE_NUMBER_MISSING LIKELY_FINANCIAL_BY_NAME ROWS:p3r4</t>
        </is>
      </c>
    </row>
    <row r="185">
      <c r="A185" s="16" t="inlineStr">
        <is>
          <t>BANCO SAFRA S A</t>
        </is>
      </c>
      <c r="B185" s="17" t="n">
        <v>1697422.77</v>
      </c>
      <c r="C185" s="18" t="inlineStr">
        <is>
          <t>Alto Uruguai Indústria e Comércio de Óleos Ltda</t>
        </is>
      </c>
      <c r="D185" s="19" t="inlineStr">
        <is>
          <t>NEW</t>
        </is>
      </c>
      <c r="E185" s="20" t="inlineStr"/>
      <c r="F185" s="19" t="inlineStr"/>
      <c r="G185" s="20" t="inlineStr"/>
      <c r="H185" s="19" t="inlineStr"/>
      <c r="I185" s="21" t="inlineStr">
        <is>
          <t>Vanessa Biotti</t>
        </is>
      </c>
      <c r="J185" s="21" t="inlineStr">
        <is>
          <t>Gerente de Recuperação de Crédito</t>
        </is>
      </c>
      <c r="K185" s="21" t="inlineStr">
        <is>
          <t>(11) 3175-7575</t>
        </is>
      </c>
      <c r="L185" s="21" t="inlineStr"/>
      <c r="M185" s="21" t="inlineStr"/>
      <c r="N185" s="21" t="inlineStr">
        <is>
          <t>vanessa.biotti@safra.com.br</t>
        </is>
      </c>
      <c r="O185" s="21" t="inlineStr">
        <is>
          <t>rodrigo.anjos@safra.com.br</t>
        </is>
      </c>
      <c r="P185" s="21" t="inlineStr">
        <is>
          <t>Rodrigo Anjos</t>
        </is>
      </c>
      <c r="Q185" s="21" t="inlineStr">
        <is>
          <t>Advogado Sênior - Jurídico Contencioso - Recuperação de Crédito - NPL</t>
        </is>
      </c>
      <c r="R185" s="21" t="inlineStr"/>
      <c r="S185" s="21" t="inlineStr">
        <is>
          <t>rodrigo.anjos@safra.com.br</t>
        </is>
      </c>
      <c r="T185" s="21" t="inlineStr">
        <is>
          <t>email verified by Apollo</t>
        </is>
      </c>
      <c r="U185" s="22" t="n">
        <v>1697422.77</v>
      </c>
      <c r="V185" s="23" t="inlineStr">
        <is>
          <t>B</t>
        </is>
      </c>
      <c r="W185" s="24">
        <f>IFERROR(VLOOKUP(V185,Assumptions!$A$7:$F$11,2,FALSE),0)</f>
        <v/>
      </c>
      <c r="X185" s="25">
        <f>IF(V185="A",MAX(1,IFERROR(VLOOKUP(V185,Assumptions!$A$7:$F$11,3,FALSE),3)+IFERROR(VLOOKUP(V185,Assumptions!$A$7:$F$11,4,FALSE),8)/2-MAX(0,IF(AO185="",0,YEAR(TODAY())-AO185)-IFERROR(VLOOKUP(V185,Assumptions!$A$7:$F$11,5,FALSE),1.5))),IFERROR(VLOOKUP(V185,Assumptions!$A$7:$F$11,5,FALSE),2.5)+IFERROR(VLOOKUP(V185,Assumptions!$A$7:$F$11,3,FALSE),3)+IFERROR(VLOOKUP(V185,Assumptions!$A$7:$F$11,4,FALSE),8)/2)</f>
        <v/>
      </c>
      <c r="Y185" s="22">
        <f>U185*W185/(1+Assumptions!$B$3)^X185</f>
        <v/>
      </c>
      <c r="Z185" s="26">
        <f>IF(U185=0,"",ROUND(Y185/U185*100,1))</f>
        <v/>
      </c>
      <c r="AA185" s="27">
        <f>Y185*Assumptions!$B$4</f>
        <v/>
      </c>
      <c r="AB185" s="26">
        <f>IF(U185=0,"",ROUND(AA185/U185*100,1))</f>
        <v/>
      </c>
      <c r="AC185" s="27">
        <f>Y185-AA185</f>
        <v/>
      </c>
      <c r="AD185" s="26">
        <f>IF(U185=0,"",ROUND((Y185-AA185)/U185*100,1))</f>
        <v/>
      </c>
      <c r="AE185" s="28" t="inlineStr">
        <is>
          <t>OK — totals reconciled</t>
        </is>
      </c>
      <c r="AF185" s="29" t="inlineStr">
        <is>
          <t>https://ajruiz.com.br/sites/default/files/public/arquivos-processos/2026-06/alto_uruguai_qgc_junho.2026.pdf</t>
        </is>
      </c>
      <c r="AG185" s="28" t="inlineStr">
        <is>
          <t>p1 r9</t>
        </is>
      </c>
      <c r="AH185" s="28" t="inlineStr">
        <is>
          <t>p1: R$ 1.697.422,77</t>
        </is>
      </c>
      <c r="AI185" s="28" t="inlineStr">
        <is>
          <t>Unclassified list</t>
        </is>
      </c>
      <c r="AJ185" s="28" t="inlineStr"/>
      <c r="AK185" s="28" t="inlineStr">
        <is>
          <t>NONE FOUND</t>
        </is>
      </c>
      <c r="AL185" s="30" t="inlineStr">
        <is>
          <t>5012743-51.2023.8.24.0019</t>
        </is>
      </c>
      <c r="AM185" s="30" t="inlineStr">
        <is>
          <t>TJSC</t>
        </is>
      </c>
      <c r="AN185" s="30" t="inlineStr">
        <is>
          <t>ACTIVE</t>
        </is>
      </c>
      <c r="AO185" s="30" t="n">
        <v>2023</v>
      </c>
      <c r="AP185" s="30" t="inlineStr">
        <is>
          <t>live case, no plan document yet</t>
        </is>
      </c>
      <c r="AQ185" s="30" t="inlineStr"/>
      <c r="AR185" s="30" t="inlineStr">
        <is>
          <t>printed on the list (read twice)</t>
        </is>
      </c>
      <c r="AS185" s="30" t="inlineStr">
        <is>
          <t>SAO PAULO</t>
        </is>
      </c>
      <c r="AT185" s="30" t="inlineStr">
        <is>
          <t>SP</t>
        </is>
      </c>
      <c r="AU185" s="30" t="inlineStr">
        <is>
          <t>Bancos múltiplos, com carteira comercial</t>
        </is>
      </c>
      <c r="AV185" s="30" t="inlineStr">
        <is>
          <t>DEMAIS</t>
        </is>
      </c>
      <c r="AW185" s="31" t="n">
        <v>13924903000</v>
      </c>
      <c r="AX185" s="30" t="inlineStr">
        <is>
          <t>LARGE CORP</t>
        </is>
      </c>
      <c r="AY185" s="30" t="inlineStr">
        <is>
          <t>58160789</t>
        </is>
      </c>
      <c r="AZ185" s="30" t="n">
        <v>1</v>
      </c>
      <c r="BA185" s="30" t="inlineStr">
        <is>
          <t>LIKELY_FINANCIAL_BY_NAME ROWS:p1r9 VALUE_COL:Valor_Do_Crédito</t>
        </is>
      </c>
    </row>
    <row r="186">
      <c r="A186" s="16" t="inlineStr">
        <is>
          <t>BANCO DO BRASIL SA</t>
        </is>
      </c>
      <c r="B186" s="17" t="n">
        <v>1692874.41</v>
      </c>
      <c r="C186" s="18" t="inlineStr">
        <is>
          <t>VENEZA SERVIÇOS ADMINISTRATIVOS LTDA.</t>
        </is>
      </c>
      <c r="D186" s="19" t="inlineStr">
        <is>
          <t>NEW</t>
        </is>
      </c>
      <c r="E186" s="20" t="inlineStr"/>
      <c r="F186" s="19" t="inlineStr"/>
      <c r="G186" s="20" t="inlineStr"/>
      <c r="H186" s="19" t="inlineStr"/>
      <c r="I186" s="21" t="inlineStr">
        <is>
          <t>Thiago Cavichioli</t>
        </is>
      </c>
      <c r="J186" s="21" t="inlineStr">
        <is>
          <t>Gerente de Cobrança e Recuperação de Crédito</t>
        </is>
      </c>
      <c r="K186" s="21" t="inlineStr">
        <is>
          <t>(61) 3493-9002</t>
        </is>
      </c>
      <c r="L186" s="21" t="inlineStr"/>
      <c r="M186" s="21" t="inlineStr"/>
      <c r="N186" s="21" t="inlineStr">
        <is>
          <t>thiago.cavichioli@bb.com.br</t>
        </is>
      </c>
      <c r="O186" s="21" t="inlineStr">
        <is>
          <t>suelenmondador@bb.com.br</t>
        </is>
      </c>
      <c r="P186" s="21" t="inlineStr">
        <is>
          <t>Suelen Mondador</t>
        </is>
      </c>
      <c r="Q186" s="21" t="inlineStr">
        <is>
          <t>Gerente Especialista em Recuperação de Crédito</t>
        </is>
      </c>
      <c r="R186" s="21" t="inlineStr"/>
      <c r="S186" s="21" t="inlineStr">
        <is>
          <t>suelenmondador@bb.com.br</t>
        </is>
      </c>
      <c r="T186" s="21" t="inlineStr">
        <is>
          <t>email verified by Apollo</t>
        </is>
      </c>
      <c r="U186" s="22" t="n">
        <v>1692874.41</v>
      </c>
      <c r="V186" s="23" t="inlineStr">
        <is>
          <t>B</t>
        </is>
      </c>
      <c r="W186" s="24">
        <f>IFERROR(VLOOKUP(V186,Assumptions!$A$7:$F$11,2,FALSE),0)</f>
        <v/>
      </c>
      <c r="X186" s="25">
        <f>IF(V186="A",MAX(1,IFERROR(VLOOKUP(V186,Assumptions!$A$7:$F$11,3,FALSE),3)+IFERROR(VLOOKUP(V186,Assumptions!$A$7:$F$11,4,FALSE),8)/2-MAX(0,IF(AO186="",0,YEAR(TODAY())-AO186)-IFERROR(VLOOKUP(V186,Assumptions!$A$7:$F$11,5,FALSE),1.5))),IFERROR(VLOOKUP(V186,Assumptions!$A$7:$F$11,5,FALSE),2.5)+IFERROR(VLOOKUP(V186,Assumptions!$A$7:$F$11,3,FALSE),3)+IFERROR(VLOOKUP(V186,Assumptions!$A$7:$F$11,4,FALSE),8)/2)</f>
        <v/>
      </c>
      <c r="Y186" s="22">
        <f>U186*W186/(1+Assumptions!$B$3)^X186</f>
        <v/>
      </c>
      <c r="Z186" s="26">
        <f>IF(U186=0,"",ROUND(Y186/U186*100,1))</f>
        <v/>
      </c>
      <c r="AA186" s="27">
        <f>Y186*Assumptions!$B$4</f>
        <v/>
      </c>
      <c r="AB186" s="26">
        <f>IF(U186=0,"",ROUND(AA186/U186*100,1))</f>
        <v/>
      </c>
      <c r="AC186" s="27">
        <f>Y186-AA186</f>
        <v/>
      </c>
      <c r="AD186" s="26">
        <f>IF(U186=0,"",ROUND((Y186-AA186)/U186*100,1))</f>
        <v/>
      </c>
      <c r="AE186" s="28" t="inlineStr">
        <is>
          <t>OK — totals reconciled</t>
        </is>
      </c>
      <c r="AF186" s="29" t="inlineStr">
        <is>
          <t>https://bugarimecoelho.com.br/ws/media-library/b6b7ea42b9fa2afe30bc728fe00cd5c6/07---edital-do-processamento-da-recuperacao-judicial.pdf</t>
        </is>
      </c>
      <c r="AG186" s="28" t="inlineStr">
        <is>
          <t>p15 r13</t>
        </is>
      </c>
      <c r="AH186" s="28" t="inlineStr">
        <is>
          <t>p15: R$ 1.692.874,41</t>
        </is>
      </c>
      <c r="AI186" s="28" t="inlineStr">
        <is>
          <t>Unclassified list</t>
        </is>
      </c>
      <c r="AJ186" s="28" t="inlineStr">
        <is>
          <t>2026-07-09</t>
        </is>
      </c>
      <c r="AK186" s="28" t="inlineStr">
        <is>
          <t>NONE FOUND</t>
        </is>
      </c>
      <c r="AL186" s="30" t="inlineStr">
        <is>
          <t>3000117-40.2025.8.06.0512</t>
        </is>
      </c>
      <c r="AM186" s="30" t="inlineStr">
        <is>
          <t>TJCE</t>
        </is>
      </c>
      <c r="AN186" s="30" t="inlineStr">
        <is>
          <t>ACTIVE</t>
        </is>
      </c>
      <c r="AO186" s="30" t="n">
        <v>2025</v>
      </c>
      <c r="AP186" s="30" t="inlineStr">
        <is>
          <t>live case, no plan document yet</t>
        </is>
      </c>
      <c r="AQ186" s="30" t="inlineStr">
        <is>
          <t>11.399.787/0001-22</t>
        </is>
      </c>
      <c r="AR186" s="30" t="inlineStr">
        <is>
          <t>printed on the list (read twice)</t>
        </is>
      </c>
      <c r="AS186" s="30" t="inlineStr">
        <is>
          <t>BRASILIA</t>
        </is>
      </c>
      <c r="AT186" s="30" t="inlineStr">
        <is>
          <t>DF</t>
        </is>
      </c>
      <c r="AU186" s="30" t="inlineStr">
        <is>
          <t>Bancos múltiplos, com carteira comercial</t>
        </is>
      </c>
      <c r="AV186" s="30" t="inlineStr">
        <is>
          <t>DEMAIS</t>
        </is>
      </c>
      <c r="AW186" s="31" t="n">
        <v>120000000000</v>
      </c>
      <c r="AX186" s="30" t="inlineStr">
        <is>
          <t>LARGE CORP</t>
        </is>
      </c>
      <c r="AY186" s="30" t="inlineStr">
        <is>
          <t>00000000</t>
        </is>
      </c>
      <c r="AZ186" s="30" t="n">
        <v>1</v>
      </c>
      <c r="BA186" s="30" t="inlineStr">
        <is>
          <t>LIKELY_FINANCIAL_BY_NAME ROWS:p15r13</t>
        </is>
      </c>
    </row>
    <row r="187">
      <c r="A187" s="16" t="inlineStr">
        <is>
          <t>Banco Original S.A.</t>
        </is>
      </c>
      <c r="B187" s="17" t="n">
        <v>1653305.22</v>
      </c>
      <c r="C187" s="18" t="inlineStr">
        <is>
          <t>Grupo Agromeal</t>
        </is>
      </c>
      <c r="D187" s="19" t="inlineStr">
        <is>
          <t>NEW</t>
        </is>
      </c>
      <c r="E187" s="20" t="inlineStr"/>
      <c r="F187" s="19" t="inlineStr"/>
      <c r="G187" s="20" t="inlineStr"/>
      <c r="H187" s="19" t="inlineStr"/>
      <c r="I187" s="21" t="inlineStr">
        <is>
          <t>Leandro Waideman</t>
        </is>
      </c>
      <c r="J187" s="21" t="inlineStr">
        <is>
          <t>Gerente Executivo de Gestão de Garantias|Monitoramento de Riscos|Recuperação de Crédito|BNDU|</t>
        </is>
      </c>
      <c r="K187" s="21" t="inlineStr"/>
      <c r="L187" s="21" t="inlineStr"/>
      <c r="M187" s="21" t="inlineStr"/>
      <c r="N187" s="21" t="inlineStr">
        <is>
          <t>leandro.waideman@original.com.br</t>
        </is>
      </c>
      <c r="O187" s="21" t="inlineStr">
        <is>
          <t>cintia.ferraz@original.com.br</t>
        </is>
      </c>
      <c r="P187" s="21" t="inlineStr">
        <is>
          <t>Cintia Ferraz</t>
        </is>
      </c>
      <c r="Q187" s="21" t="inlineStr">
        <is>
          <t>Collections Manager</t>
        </is>
      </c>
      <c r="R187" s="21" t="inlineStr"/>
      <c r="S187" s="21" t="inlineStr">
        <is>
          <t>cintia.ferraz@original.com.br</t>
        </is>
      </c>
      <c r="T187" s="21" t="inlineStr">
        <is>
          <t>email verified by Apollo</t>
        </is>
      </c>
      <c r="U187" s="22" t="n">
        <v>1653305.22</v>
      </c>
      <c r="V187" s="23" t="inlineStr">
        <is>
          <t>B</t>
        </is>
      </c>
      <c r="W187" s="24">
        <f>IFERROR(VLOOKUP(V187,Assumptions!$A$7:$F$11,2,FALSE),0)</f>
        <v/>
      </c>
      <c r="X187" s="25">
        <f>IF(V187="A",MAX(1,IFERROR(VLOOKUP(V187,Assumptions!$A$7:$F$11,3,FALSE),3)+IFERROR(VLOOKUP(V187,Assumptions!$A$7:$F$11,4,FALSE),8)/2-MAX(0,IF(AO187="",0,YEAR(TODAY())-AO187)-IFERROR(VLOOKUP(V187,Assumptions!$A$7:$F$11,5,FALSE),1.5))),IFERROR(VLOOKUP(V187,Assumptions!$A$7:$F$11,5,FALSE),2.5)+IFERROR(VLOOKUP(V187,Assumptions!$A$7:$F$11,3,FALSE),3)+IFERROR(VLOOKUP(V187,Assumptions!$A$7:$F$11,4,FALSE),8)/2)</f>
        <v/>
      </c>
      <c r="Y187" s="22">
        <f>U187*W187/(1+Assumptions!$B$3)^X187</f>
        <v/>
      </c>
      <c r="Z187" s="26">
        <f>IF(U187=0,"",ROUND(Y187/U187*100,1))</f>
        <v/>
      </c>
      <c r="AA187" s="27">
        <f>Y187*Assumptions!$B$4</f>
        <v/>
      </c>
      <c r="AB187" s="26">
        <f>IF(U187=0,"",ROUND(AA187/U187*100,1))</f>
        <v/>
      </c>
      <c r="AC187" s="27">
        <f>Y187-AA187</f>
        <v/>
      </c>
      <c r="AD187" s="26">
        <f>IF(U187=0,"",ROUND((Y187-AA187)/U187*100,1))</f>
        <v/>
      </c>
      <c r="AE187" s="34" t="inlineStr">
        <is>
          <t>PARTIAL — class III reconciled, other classes not</t>
        </is>
      </c>
      <c r="AF187" s="29" t="inlineStr">
        <is>
          <t>https://marquesadmjudicial.com.br/sgc/download.php?file=files/processo_documento/processo_documento17040729052024_1_.pdf&amp;nome=Relação Nominal de Credores AJ-Sintética</t>
        </is>
      </c>
      <c r="AG187" s="28" t="inlineStr">
        <is>
          <t>p10 r4</t>
        </is>
      </c>
      <c r="AH187" s="28" t="inlineStr">
        <is>
          <t>p10: R$ 1.653.305,22</t>
        </is>
      </c>
      <c r="AI187" s="28" t="inlineStr">
        <is>
          <t>AJ list (art. 7 §2)</t>
        </is>
      </c>
      <c r="AJ187" s="28" t="inlineStr">
        <is>
          <t>2024-05-27</t>
        </is>
      </c>
      <c r="AK187" s="28" t="inlineStr">
        <is>
          <t>NONE FOUND</t>
        </is>
      </c>
      <c r="AL187" s="30" t="inlineStr">
        <is>
          <t>0003971-03.2023.8.16.0119</t>
        </is>
      </c>
      <c r="AM187" s="30" t="inlineStr">
        <is>
          <t>TJPR</t>
        </is>
      </c>
      <c r="AN187" s="30" t="inlineStr">
        <is>
          <t>ACTIVE</t>
        </is>
      </c>
      <c r="AO187" s="30" t="n">
        <v>2023</v>
      </c>
      <c r="AP187" s="30" t="inlineStr">
        <is>
          <t>live case, no plan document yet</t>
        </is>
      </c>
      <c r="AQ187" s="30" t="inlineStr">
        <is>
          <t>11.624.776/0001-07</t>
        </is>
      </c>
      <c r="AR187" s="30" t="inlineStr">
        <is>
          <t>printed on the list (read twice)</t>
        </is>
      </c>
      <c r="AS187" s="30" t="inlineStr"/>
      <c r="AT187" s="30" t="inlineStr"/>
      <c r="AU187" s="30" t="inlineStr"/>
      <c r="AV187" s="30" t="inlineStr"/>
      <c r="AW187" s="31" t="inlineStr"/>
      <c r="AX187" s="30" t="inlineStr">
        <is>
          <t>MID-MARKET</t>
        </is>
      </c>
      <c r="AY187" s="30" t="inlineStr">
        <is>
          <t>92894922</t>
        </is>
      </c>
      <c r="AZ187" s="30" t="n">
        <v>1</v>
      </c>
      <c r="BA187" s="30" t="inlineStr">
        <is>
          <t>LIKELY_FINANCIAL_BY_NAME PARTIAL_DOC_CLASS_III_RECONCILED ROWS:p10r4</t>
        </is>
      </c>
    </row>
    <row r="188">
      <c r="A188" s="16" t="inlineStr">
        <is>
          <t>ITAU UNIBANCO S.A.</t>
        </is>
      </c>
      <c r="B188" s="17" t="n">
        <v>1612972.92</v>
      </c>
      <c r="C188" s="18" t="inlineStr">
        <is>
          <t>Grupo Agromeal</t>
        </is>
      </c>
      <c r="D188" s="19" t="inlineStr">
        <is>
          <t>NEW</t>
        </is>
      </c>
      <c r="E188" s="20" t="inlineStr"/>
      <c r="F188" s="19" t="inlineStr"/>
      <c r="G188" s="20" t="inlineStr"/>
      <c r="H188" s="19" t="inlineStr"/>
      <c r="I188" s="21" t="inlineStr">
        <is>
          <t>Murilo Gigliucci</t>
        </is>
      </c>
      <c r="J188" s="21" t="inlineStr">
        <is>
          <t>Superintendente de Reestruturação de Crédito</t>
        </is>
      </c>
      <c r="K188" s="21" t="inlineStr">
        <is>
          <t>(11) 3003-4828</t>
        </is>
      </c>
      <c r="L188" s="21" t="inlineStr"/>
      <c r="M188" s="21" t="inlineStr"/>
      <c r="N188" s="21" t="inlineStr">
        <is>
          <t>murilo.gigliucci@itau-unibanco.com.br</t>
        </is>
      </c>
      <c r="O188" s="21" t="inlineStr">
        <is>
          <t>pedro.ornellas-geronimo@itau-unibanco.com.br</t>
        </is>
      </c>
      <c r="P188" s="21" t="inlineStr">
        <is>
          <t>Pedro Ornellas</t>
        </is>
      </c>
      <c r="Q188" s="21" t="inlineStr">
        <is>
          <t>Superintendente de Recuperação de Crédito</t>
        </is>
      </c>
      <c r="R188" s="21" t="inlineStr"/>
      <c r="S188" s="21" t="inlineStr">
        <is>
          <t>pedro.ornellas-geronimo@itau-unibanco.com.br</t>
        </is>
      </c>
      <c r="T188" s="21" t="inlineStr">
        <is>
          <t>email verified by Apollo</t>
        </is>
      </c>
      <c r="U188" s="22" t="n">
        <v>1612972.92</v>
      </c>
      <c r="V188" s="23" t="inlineStr">
        <is>
          <t>B</t>
        </is>
      </c>
      <c r="W188" s="24">
        <f>IFERROR(VLOOKUP(V188,Assumptions!$A$7:$F$11,2,FALSE),0)</f>
        <v/>
      </c>
      <c r="X188" s="25">
        <f>IF(V188="A",MAX(1,IFERROR(VLOOKUP(V188,Assumptions!$A$7:$F$11,3,FALSE),3)+IFERROR(VLOOKUP(V188,Assumptions!$A$7:$F$11,4,FALSE),8)/2-MAX(0,IF(AO188="",0,YEAR(TODAY())-AO188)-IFERROR(VLOOKUP(V188,Assumptions!$A$7:$F$11,5,FALSE),1.5))),IFERROR(VLOOKUP(V188,Assumptions!$A$7:$F$11,5,FALSE),2.5)+IFERROR(VLOOKUP(V188,Assumptions!$A$7:$F$11,3,FALSE),3)+IFERROR(VLOOKUP(V188,Assumptions!$A$7:$F$11,4,FALSE),8)/2)</f>
        <v/>
      </c>
      <c r="Y188" s="22">
        <f>U188*W188/(1+Assumptions!$B$3)^X188</f>
        <v/>
      </c>
      <c r="Z188" s="26">
        <f>IF(U188=0,"",ROUND(Y188/U188*100,1))</f>
        <v/>
      </c>
      <c r="AA188" s="27">
        <f>Y188*Assumptions!$B$4</f>
        <v/>
      </c>
      <c r="AB188" s="26">
        <f>IF(U188=0,"",ROUND(AA188/U188*100,1))</f>
        <v/>
      </c>
      <c r="AC188" s="27">
        <f>Y188-AA188</f>
        <v/>
      </c>
      <c r="AD188" s="26">
        <f>IF(U188=0,"",ROUND((Y188-AA188)/U188*100,1))</f>
        <v/>
      </c>
      <c r="AE188" s="34" t="inlineStr">
        <is>
          <t>PARTIAL — class III reconciled, other classes not</t>
        </is>
      </c>
      <c r="AF188" s="29" t="inlineStr">
        <is>
          <t>https://marquesadmjudicial.com.br/sgc/download.php?file=files/processo_documento/processo_documento17040729052024_1_.pdf&amp;nome=Relação Nominal de Credores AJ-Sintética</t>
        </is>
      </c>
      <c r="AG188" s="28" t="inlineStr">
        <is>
          <t>p12 r5</t>
        </is>
      </c>
      <c r="AH188" s="28" t="inlineStr">
        <is>
          <t>p12: R$ 1.612.972,92</t>
        </is>
      </c>
      <c r="AI188" s="28" t="inlineStr">
        <is>
          <t>AJ list (art. 7 §2)</t>
        </is>
      </c>
      <c r="AJ188" s="28" t="inlineStr">
        <is>
          <t>2024-05-27</t>
        </is>
      </c>
      <c r="AK188" s="28" t="inlineStr">
        <is>
          <t>NONE FOUND</t>
        </is>
      </c>
      <c r="AL188" s="30" t="inlineStr">
        <is>
          <t>0003971-03.2023.8.16.0119</t>
        </is>
      </c>
      <c r="AM188" s="30" t="inlineStr">
        <is>
          <t>TJPR</t>
        </is>
      </c>
      <c r="AN188" s="30" t="inlineStr">
        <is>
          <t>ACTIVE</t>
        </is>
      </c>
      <c r="AO188" s="30" t="n">
        <v>2023</v>
      </c>
      <c r="AP188" s="30" t="inlineStr">
        <is>
          <t>live case, no plan document yet</t>
        </is>
      </c>
      <c r="AQ188" s="30" t="inlineStr">
        <is>
          <t>11.624.776/0001-07</t>
        </is>
      </c>
      <c r="AR188" s="30" t="inlineStr">
        <is>
          <t>printed on the list (read twice)</t>
        </is>
      </c>
      <c r="AS188" s="30" t="inlineStr">
        <is>
          <t>SAO PAULO</t>
        </is>
      </c>
      <c r="AT188" s="30" t="inlineStr">
        <is>
          <t>SP</t>
        </is>
      </c>
      <c r="AU188" s="30" t="inlineStr">
        <is>
          <t>Bancos comerciais</t>
        </is>
      </c>
      <c r="AV188" s="30" t="inlineStr">
        <is>
          <t>DEMAIS</t>
        </is>
      </c>
      <c r="AW188" s="31" t="n">
        <v>76200000000</v>
      </c>
      <c r="AX188" s="30" t="inlineStr">
        <is>
          <t>LARGE CORP</t>
        </is>
      </c>
      <c r="AY188" s="30" t="inlineStr">
        <is>
          <t>60701190</t>
        </is>
      </c>
      <c r="AZ188" s="30" t="n">
        <v>1</v>
      </c>
      <c r="BA188" s="30" t="inlineStr">
        <is>
          <t>LIKELY_FINANCIAL_BY_NAME PARTIAL_DOC_CLASS_III_RECONCILED ROWS:p12r5</t>
        </is>
      </c>
    </row>
    <row r="189">
      <c r="A189" s="16" t="inlineStr">
        <is>
          <t>BANCO SAFRA S A</t>
        </is>
      </c>
      <c r="B189" s="17" t="n">
        <v>1609442.7</v>
      </c>
      <c r="C189" s="18" t="inlineStr">
        <is>
          <t>GRUPO BE EIGHT</t>
        </is>
      </c>
      <c r="D189" s="19" t="inlineStr">
        <is>
          <t>NEW</t>
        </is>
      </c>
      <c r="E189" s="20" t="inlineStr"/>
      <c r="F189" s="19" t="inlineStr"/>
      <c r="G189" s="20" t="inlineStr"/>
      <c r="H189" s="19" t="inlineStr"/>
      <c r="I189" s="21" t="inlineStr">
        <is>
          <t>Vanessa Biotti</t>
        </is>
      </c>
      <c r="J189" s="21" t="inlineStr">
        <is>
          <t>Gerente de Recuperação de Crédito</t>
        </is>
      </c>
      <c r="K189" s="21" t="inlineStr">
        <is>
          <t>(11) 3175-7575</t>
        </is>
      </c>
      <c r="L189" s="21" t="inlineStr"/>
      <c r="M189" s="21" t="inlineStr"/>
      <c r="N189" s="21" t="inlineStr">
        <is>
          <t>vanessa.biotti@safra.com.br</t>
        </is>
      </c>
      <c r="O189" s="21" t="inlineStr">
        <is>
          <t>rodrigo.anjos@safra.com.br</t>
        </is>
      </c>
      <c r="P189" s="21" t="inlineStr">
        <is>
          <t>Rodrigo Anjos</t>
        </is>
      </c>
      <c r="Q189" s="21" t="inlineStr">
        <is>
          <t>Advogado Sênior - Jurídico Contencioso - Recuperação de Crédito - NPL</t>
        </is>
      </c>
      <c r="R189" s="21" t="inlineStr"/>
      <c r="S189" s="21" t="inlineStr">
        <is>
          <t>rodrigo.anjos@safra.com.br</t>
        </is>
      </c>
      <c r="T189" s="21" t="inlineStr">
        <is>
          <t>email verified by Apollo</t>
        </is>
      </c>
      <c r="U189" s="22" t="n">
        <v>1609442.7</v>
      </c>
      <c r="V189" s="23" t="inlineStr">
        <is>
          <t>B</t>
        </is>
      </c>
      <c r="W189" s="24">
        <f>IFERROR(VLOOKUP(V189,Assumptions!$A$7:$F$11,2,FALSE),0)</f>
        <v/>
      </c>
      <c r="X189" s="25">
        <f>IF(V189="A",MAX(1,IFERROR(VLOOKUP(V189,Assumptions!$A$7:$F$11,3,FALSE),3)+IFERROR(VLOOKUP(V189,Assumptions!$A$7:$F$11,4,FALSE),8)/2-MAX(0,IF(AO189="",0,YEAR(TODAY())-AO189)-IFERROR(VLOOKUP(V189,Assumptions!$A$7:$F$11,5,FALSE),1.5))),IFERROR(VLOOKUP(V189,Assumptions!$A$7:$F$11,5,FALSE),2.5)+IFERROR(VLOOKUP(V189,Assumptions!$A$7:$F$11,3,FALSE),3)+IFERROR(VLOOKUP(V189,Assumptions!$A$7:$F$11,4,FALSE),8)/2)</f>
        <v/>
      </c>
      <c r="Y189" s="22">
        <f>U189*W189/(1+Assumptions!$B$3)^X189</f>
        <v/>
      </c>
      <c r="Z189" s="26">
        <f>IF(U189=0,"",ROUND(Y189/U189*100,1))</f>
        <v/>
      </c>
      <c r="AA189" s="27">
        <f>Y189*Assumptions!$B$4</f>
        <v/>
      </c>
      <c r="AB189" s="26">
        <f>IF(U189=0,"",ROUND(AA189/U189*100,1))</f>
        <v/>
      </c>
      <c r="AC189" s="27">
        <f>Y189-AA189</f>
        <v/>
      </c>
      <c r="AD189" s="26">
        <f>IF(U189=0,"",ROUND((Y189-AA189)/U189*100,1))</f>
        <v/>
      </c>
      <c r="AE189" s="33" t="inlineStr">
        <is>
          <t>NO TOTALS — list prints none; check page</t>
        </is>
      </c>
      <c r="AF189" s="29" t="inlineStr">
        <is>
          <t>https://marquesadmjudicial.com.br/sgc/download.php?file=files/processo_documento/processo_documento09444722082025_1_.pdf&amp;nome=2° Edital - Relação de Credores AJ e PRJ</t>
        </is>
      </c>
      <c r="AG189" s="28" t="inlineStr">
        <is>
          <t>p2 r150</t>
        </is>
      </c>
      <c r="AH189" s="28" t="inlineStr">
        <is>
          <t>p2: R$ 1.609.442,70</t>
        </is>
      </c>
      <c r="AI189" s="28" t="inlineStr">
        <is>
          <t>AJ list (art. 7 §2)</t>
        </is>
      </c>
      <c r="AJ189" s="28" t="inlineStr">
        <is>
          <t>2025-04-08</t>
        </is>
      </c>
      <c r="AK189" s="28" t="inlineStr">
        <is>
          <t>NONE FOUND</t>
        </is>
      </c>
      <c r="AL189" s="30" t="inlineStr">
        <is>
          <t>0008897-71.2025.8.16.0017</t>
        </is>
      </c>
      <c r="AM189" s="30" t="inlineStr">
        <is>
          <t>TJPR</t>
        </is>
      </c>
      <c r="AN189" s="30" t="inlineStr">
        <is>
          <t>ACTIVE</t>
        </is>
      </c>
      <c r="AO189" s="30" t="n">
        <v>2025</v>
      </c>
      <c r="AP189" s="30" t="inlineStr">
        <is>
          <t>live case, no plan document yet</t>
        </is>
      </c>
      <c r="AQ189" s="30" t="inlineStr">
        <is>
          <t>02.790.680/0001-10</t>
        </is>
      </c>
      <c r="AR189" s="30" t="inlineStr">
        <is>
          <t>printed on the list (read twice)</t>
        </is>
      </c>
      <c r="AS189" s="30" t="inlineStr">
        <is>
          <t>SAO PAULO</t>
        </is>
      </c>
      <c r="AT189" s="30" t="inlineStr">
        <is>
          <t>SP</t>
        </is>
      </c>
      <c r="AU189" s="30" t="inlineStr">
        <is>
          <t>Bancos múltiplos, com carteira comercial</t>
        </is>
      </c>
      <c r="AV189" s="30" t="inlineStr">
        <is>
          <t>DEMAIS</t>
        </is>
      </c>
      <c r="AW189" s="31" t="n">
        <v>13924903000</v>
      </c>
      <c r="AX189" s="30" t="inlineStr">
        <is>
          <t>LARGE CORP</t>
        </is>
      </c>
      <c r="AY189" s="30" t="inlineStr">
        <is>
          <t>58160789</t>
        </is>
      </c>
      <c r="AZ189" s="30" t="n">
        <v>1</v>
      </c>
      <c r="BA189" s="30" t="inlineStr">
        <is>
          <t>LIKELY_FINANCIAL_BY_NAME ROWS:p2r150 UNRECONCILED_SOURCE</t>
        </is>
      </c>
    </row>
    <row r="190">
      <c r="A190" s="16" t="inlineStr">
        <is>
          <t>BANCO DO BRASIL SA</t>
        </is>
      </c>
      <c r="B190" s="17" t="n">
        <v>1604797.64</v>
      </c>
      <c r="C190" s="18" t="inlineStr">
        <is>
          <t>GRUPO ECONÔMICO FAEL (GRUPO FAEL)</t>
        </is>
      </c>
      <c r="D190" s="19" t="inlineStr">
        <is>
          <t>NEW</t>
        </is>
      </c>
      <c r="E190" s="20" t="inlineStr"/>
      <c r="F190" s="19" t="inlineStr"/>
      <c r="G190" s="20" t="inlineStr"/>
      <c r="H190" s="19" t="inlineStr"/>
      <c r="I190" s="21" t="inlineStr">
        <is>
          <t>Thiago Cavichioli</t>
        </is>
      </c>
      <c r="J190" s="21" t="inlineStr">
        <is>
          <t>Gerente de Cobrança e Recuperação de Crédito</t>
        </is>
      </c>
      <c r="K190" s="21" t="inlineStr">
        <is>
          <t>(61) 3493-9002</t>
        </is>
      </c>
      <c r="L190" s="21" t="inlineStr"/>
      <c r="M190" s="21" t="inlineStr"/>
      <c r="N190" s="21" t="inlineStr">
        <is>
          <t>thiago.cavichioli@bb.com.br</t>
        </is>
      </c>
      <c r="O190" s="21" t="inlineStr">
        <is>
          <t>suelenmondador@bb.com.br</t>
        </is>
      </c>
      <c r="P190" s="21" t="inlineStr">
        <is>
          <t>Suelen Mondador</t>
        </is>
      </c>
      <c r="Q190" s="21" t="inlineStr">
        <is>
          <t>Gerente Especialista em Recuperação de Crédito</t>
        </is>
      </c>
      <c r="R190" s="21" t="inlineStr"/>
      <c r="S190" s="21" t="inlineStr">
        <is>
          <t>suelenmondador@bb.com.br</t>
        </is>
      </c>
      <c r="T190" s="21" t="inlineStr">
        <is>
          <t>email verified by Apollo</t>
        </is>
      </c>
      <c r="U190" s="22" t="n">
        <v>1604797.64</v>
      </c>
      <c r="V190" s="23" t="inlineStr">
        <is>
          <t>B</t>
        </is>
      </c>
      <c r="W190" s="24">
        <f>IFERROR(VLOOKUP(V190,Assumptions!$A$7:$F$11,2,FALSE),0)</f>
        <v/>
      </c>
      <c r="X190" s="25">
        <f>IF(V190="A",MAX(1,IFERROR(VLOOKUP(V190,Assumptions!$A$7:$F$11,3,FALSE),3)+IFERROR(VLOOKUP(V190,Assumptions!$A$7:$F$11,4,FALSE),8)/2-MAX(0,IF(AO190="",0,YEAR(TODAY())-AO190)-IFERROR(VLOOKUP(V190,Assumptions!$A$7:$F$11,5,FALSE),1.5))),IFERROR(VLOOKUP(V190,Assumptions!$A$7:$F$11,5,FALSE),2.5)+IFERROR(VLOOKUP(V190,Assumptions!$A$7:$F$11,3,FALSE),3)+IFERROR(VLOOKUP(V190,Assumptions!$A$7:$F$11,4,FALSE),8)/2)</f>
        <v/>
      </c>
      <c r="Y190" s="22">
        <f>U190*W190/(1+Assumptions!$B$3)^X190</f>
        <v/>
      </c>
      <c r="Z190" s="26">
        <f>IF(U190=0,"",ROUND(Y190/U190*100,1))</f>
        <v/>
      </c>
      <c r="AA190" s="27">
        <f>Y190*Assumptions!$B$4</f>
        <v/>
      </c>
      <c r="AB190" s="26">
        <f>IF(U190=0,"",ROUND(AA190/U190*100,1))</f>
        <v/>
      </c>
      <c r="AC190" s="27">
        <f>Y190-AA190</f>
        <v/>
      </c>
      <c r="AD190" s="26">
        <f>IF(U190=0,"",ROUND((Y190-AA190)/U190*100,1))</f>
        <v/>
      </c>
      <c r="AE190" s="33" t="inlineStr">
        <is>
          <t>NO TOTALS — list prints none; check page</t>
        </is>
      </c>
      <c r="AF190" s="29" t="inlineStr">
        <is>
          <t>https://stenius.com.br/wp-content/uploads/2026/06/EDITAL-GRUPO-FAEL.pdf</t>
        </is>
      </c>
      <c r="AG190" s="28" t="inlineStr">
        <is>
          <t>p1 r2</t>
        </is>
      </c>
      <c r="AH190" s="28" t="inlineStr">
        <is>
          <t>p1: R$ 1.604.797,64</t>
        </is>
      </c>
      <c r="AI190" s="28" t="inlineStr">
        <is>
          <t>AJ list (art. 7 §2)</t>
        </is>
      </c>
      <c r="AJ190" s="28" t="inlineStr">
        <is>
          <t>2026-06-30</t>
        </is>
      </c>
      <c r="AK190" s="28" t="inlineStr">
        <is>
          <t>NONE FOUND</t>
        </is>
      </c>
      <c r="AL190" s="30" t="inlineStr">
        <is>
          <t>5264228-81.2025.8.09.0172</t>
        </is>
      </c>
      <c r="AM190" s="30" t="inlineStr">
        <is>
          <t>TJGO</t>
        </is>
      </c>
      <c r="AN190" s="30" t="inlineStr">
        <is>
          <t>ACTIVE</t>
        </is>
      </c>
      <c r="AO190" s="30" t="n">
        <v>2025</v>
      </c>
      <c r="AP190" s="30" t="inlineStr">
        <is>
          <t>live case, no plan document yet</t>
        </is>
      </c>
      <c r="AQ190" s="30" t="inlineStr"/>
      <c r="AR190" s="30" t="inlineStr">
        <is>
          <t>printed on the list (read twice)</t>
        </is>
      </c>
      <c r="AS190" s="30" t="inlineStr">
        <is>
          <t>BRASILIA</t>
        </is>
      </c>
      <c r="AT190" s="30" t="inlineStr">
        <is>
          <t>DF</t>
        </is>
      </c>
      <c r="AU190" s="30" t="inlineStr">
        <is>
          <t>Bancos múltiplos, com carteira comercial</t>
        </is>
      </c>
      <c r="AV190" s="30" t="inlineStr">
        <is>
          <t>DEMAIS</t>
        </is>
      </c>
      <c r="AW190" s="31" t="n">
        <v>120000000000</v>
      </c>
      <c r="AX190" s="30" t="inlineStr">
        <is>
          <t>LARGE CORP</t>
        </is>
      </c>
      <c r="AY190" s="30" t="inlineStr">
        <is>
          <t>00000000</t>
        </is>
      </c>
      <c r="AZ190" s="30" t="n">
        <v>1</v>
      </c>
      <c r="BA190" s="30" t="inlineStr">
        <is>
          <t>NAME_MISSING ROWS:p1r2 UNRECONCILED_SOURCE VALUE_COL:Valor_Do_Crédito</t>
        </is>
      </c>
    </row>
    <row r="191">
      <c r="A191" s="16" t="inlineStr">
        <is>
          <t>BANCO BRADESCO S.A.</t>
        </is>
      </c>
      <c r="B191" s="17" t="n">
        <v>1593391.75</v>
      </c>
      <c r="C191" s="18" t="inlineStr">
        <is>
          <t>GRUPO CEAM</t>
        </is>
      </c>
      <c r="D191" s="19" t="inlineStr">
        <is>
          <t>NEW</t>
        </is>
      </c>
      <c r="E191" s="20" t="inlineStr"/>
      <c r="F191" s="19" t="inlineStr"/>
      <c r="G191" s="20" t="inlineStr"/>
      <c r="H191" s="19" t="inlineStr"/>
      <c r="I191" s="21" t="inlineStr">
        <is>
          <t>Marcela Martins</t>
        </is>
      </c>
      <c r="J191" s="21" t="inlineStr">
        <is>
          <t>Superintendente de Recuperação de Crédito - Canais e Operações</t>
        </is>
      </c>
      <c r="K191" s="21" t="inlineStr">
        <is>
          <t>(11) 3684-5122</t>
        </is>
      </c>
      <c r="L191" s="21" t="inlineStr"/>
      <c r="M191" s="21" t="inlineStr"/>
      <c r="N191" s="21" t="inlineStr"/>
      <c r="O191" s="21" t="inlineStr">
        <is>
          <t>sl@bradesco.com.br</t>
        </is>
      </c>
      <c r="P191" s="21" t="inlineStr">
        <is>
          <t>Luis S</t>
        </is>
      </c>
      <c r="Q191" s="21" t="inlineStr">
        <is>
          <t>DRC - Departamento de Recuperação de Crédito - Gerente de Reestruturação de Crédito</t>
        </is>
      </c>
      <c r="R191" s="21" t="inlineStr"/>
      <c r="S191" s="21" t="inlineStr">
        <is>
          <t>sl@bradesco.com.br</t>
        </is>
      </c>
      <c r="T191" s="21" t="inlineStr">
        <is>
          <t>no work email found in Apollo</t>
        </is>
      </c>
      <c r="U191" s="22" t="n">
        <v>1593391.75</v>
      </c>
      <c r="V191" s="23" t="inlineStr">
        <is>
          <t>B</t>
        </is>
      </c>
      <c r="W191" s="24">
        <f>IFERROR(VLOOKUP(V191,Assumptions!$A$7:$F$11,2,FALSE),0)</f>
        <v/>
      </c>
      <c r="X191" s="25">
        <f>IF(V191="A",MAX(1,IFERROR(VLOOKUP(V191,Assumptions!$A$7:$F$11,3,FALSE),3)+IFERROR(VLOOKUP(V191,Assumptions!$A$7:$F$11,4,FALSE),8)/2-MAX(0,IF(AO191="",0,YEAR(TODAY())-AO191)-IFERROR(VLOOKUP(V191,Assumptions!$A$7:$F$11,5,FALSE),1.5))),IFERROR(VLOOKUP(V191,Assumptions!$A$7:$F$11,5,FALSE),2.5)+IFERROR(VLOOKUP(V191,Assumptions!$A$7:$F$11,3,FALSE),3)+IFERROR(VLOOKUP(V191,Assumptions!$A$7:$F$11,4,FALSE),8)/2)</f>
        <v/>
      </c>
      <c r="Y191" s="22">
        <f>U191*W191/(1+Assumptions!$B$3)^X191</f>
        <v/>
      </c>
      <c r="Z191" s="26">
        <f>IF(U191=0,"",ROUND(Y191/U191*100,1))</f>
        <v/>
      </c>
      <c r="AA191" s="27">
        <f>Y191*Assumptions!$B$4</f>
        <v/>
      </c>
      <c r="AB191" s="26">
        <f>IF(U191=0,"",ROUND(AA191/U191*100,1))</f>
        <v/>
      </c>
      <c r="AC191" s="27">
        <f>Y191-AA191</f>
        <v/>
      </c>
      <c r="AD191" s="26">
        <f>IF(U191=0,"",ROUND((Y191-AA191)/U191*100,1))</f>
        <v/>
      </c>
      <c r="AE191" s="28" t="inlineStr">
        <is>
          <t>OK — totals reconciled</t>
        </is>
      </c>
      <c r="AF191" s="29" t="inlineStr">
        <is>
          <t>https://recuperasolucoes.com/wp-content/plugins/download-attachments/includes/download.php?id=1492</t>
        </is>
      </c>
      <c r="AG191" s="28" t="inlineStr">
        <is>
          <t>p5 r52</t>
        </is>
      </c>
      <c r="AH191" s="28" t="inlineStr">
        <is>
          <t>p5: R$ 1.593.391,75</t>
        </is>
      </c>
      <c r="AI191" s="28" t="inlineStr">
        <is>
          <t>AJ list (art. 7 §2)</t>
        </is>
      </c>
      <c r="AJ191" s="28" t="inlineStr">
        <is>
          <t>2025-09-12</t>
        </is>
      </c>
      <c r="AK191" s="28" t="inlineStr">
        <is>
          <t>NONE FOUND</t>
        </is>
      </c>
      <c r="AL191" s="30" t="inlineStr">
        <is>
          <t>0133628-14.2024.8.17.2001</t>
        </is>
      </c>
      <c r="AM191" s="30" t="inlineStr">
        <is>
          <t>TJPE</t>
        </is>
      </c>
      <c r="AN191" s="30" t="inlineStr">
        <is>
          <t>ACTIVE</t>
        </is>
      </c>
      <c r="AO191" s="30" t="n">
        <v>2024</v>
      </c>
      <c r="AP191" s="30" t="inlineStr">
        <is>
          <t>live case, no plan document yet</t>
        </is>
      </c>
      <c r="AQ191" s="30" t="inlineStr">
        <is>
          <t>32.525.567/0001-78</t>
        </is>
      </c>
      <c r="AR191" s="30" t="inlineStr">
        <is>
          <t>printed on the list (read twice)</t>
        </is>
      </c>
      <c r="AS191" s="30" t="inlineStr">
        <is>
          <t>OSASCO</t>
        </is>
      </c>
      <c r="AT191" s="30" t="inlineStr">
        <is>
          <t>SP</t>
        </is>
      </c>
      <c r="AU191" s="30" t="inlineStr">
        <is>
          <t>Bancos múltiplos, com carteira comercial</t>
        </is>
      </c>
      <c r="AV191" s="30" t="inlineStr">
        <is>
          <t>DEMAIS</t>
        </is>
      </c>
      <c r="AW191" s="31" t="n">
        <v>93770000000</v>
      </c>
      <c r="AX191" s="30" t="inlineStr">
        <is>
          <t>LARGE CORP</t>
        </is>
      </c>
      <c r="AY191" s="30" t="inlineStr">
        <is>
          <t>60746948</t>
        </is>
      </c>
      <c r="AZ191" s="30" t="n">
        <v>1</v>
      </c>
      <c r="BA191" s="30" t="inlineStr">
        <is>
          <t>LIKELY_FINANCIAL_BY_NAME ROWS:p5r52</t>
        </is>
      </c>
    </row>
    <row r="192">
      <c r="A192" s="16" t="inlineStr">
        <is>
          <t>BANCO BRADESCO S.A.</t>
        </is>
      </c>
      <c r="B192" s="17" t="n">
        <v>1541244.43</v>
      </c>
      <c r="C192" s="18" t="inlineStr">
        <is>
          <t>GRUPO IMPLASVERDE</t>
        </is>
      </c>
      <c r="D192" s="19" t="inlineStr">
        <is>
          <t>NEW</t>
        </is>
      </c>
      <c r="E192" s="20" t="inlineStr"/>
      <c r="F192" s="19" t="inlineStr"/>
      <c r="G192" s="20" t="inlineStr"/>
      <c r="H192" s="19" t="inlineStr"/>
      <c r="I192" s="21" t="inlineStr">
        <is>
          <t>Marcela Martins</t>
        </is>
      </c>
      <c r="J192" s="21" t="inlineStr">
        <is>
          <t>Superintendente de Recuperação de Crédito - Canais e Operações</t>
        </is>
      </c>
      <c r="K192" s="21" t="inlineStr">
        <is>
          <t>(11) 3684-5122</t>
        </is>
      </c>
      <c r="L192" s="21" t="inlineStr"/>
      <c r="M192" s="21" t="inlineStr"/>
      <c r="N192" s="21" t="inlineStr"/>
      <c r="O192" s="21" t="inlineStr">
        <is>
          <t>sl@bradesco.com.br</t>
        </is>
      </c>
      <c r="P192" s="21" t="inlineStr">
        <is>
          <t>Luis S</t>
        </is>
      </c>
      <c r="Q192" s="21" t="inlineStr">
        <is>
          <t>DRC - Departamento de Recuperação de Crédito - Gerente de Reestruturação de Crédito</t>
        </is>
      </c>
      <c r="R192" s="21" t="inlineStr"/>
      <c r="S192" s="21" t="inlineStr">
        <is>
          <t>sl@bradesco.com.br</t>
        </is>
      </c>
      <c r="T192" s="21" t="inlineStr">
        <is>
          <t>no work email found in Apollo</t>
        </is>
      </c>
      <c r="U192" s="22" t="n">
        <v>1541244.43</v>
      </c>
      <c r="V192" s="23" t="inlineStr">
        <is>
          <t>B</t>
        </is>
      </c>
      <c r="W192" s="24">
        <f>IFERROR(VLOOKUP(V192,Assumptions!$A$7:$F$11,2,FALSE),0)</f>
        <v/>
      </c>
      <c r="X192" s="25">
        <f>IF(V192="A",MAX(1,IFERROR(VLOOKUP(V192,Assumptions!$A$7:$F$11,3,FALSE),3)+IFERROR(VLOOKUP(V192,Assumptions!$A$7:$F$11,4,FALSE),8)/2-MAX(0,IF(AO192="",0,YEAR(TODAY())-AO192)-IFERROR(VLOOKUP(V192,Assumptions!$A$7:$F$11,5,FALSE),1.5))),IFERROR(VLOOKUP(V192,Assumptions!$A$7:$F$11,5,FALSE),2.5)+IFERROR(VLOOKUP(V192,Assumptions!$A$7:$F$11,3,FALSE),3)+IFERROR(VLOOKUP(V192,Assumptions!$A$7:$F$11,4,FALSE),8)/2)</f>
        <v/>
      </c>
      <c r="Y192" s="22">
        <f>U192*W192/(1+Assumptions!$B$3)^X192</f>
        <v/>
      </c>
      <c r="Z192" s="26">
        <f>IF(U192=0,"",ROUND(Y192/U192*100,1))</f>
        <v/>
      </c>
      <c r="AA192" s="27">
        <f>Y192*Assumptions!$B$4</f>
        <v/>
      </c>
      <c r="AB192" s="26">
        <f>IF(U192=0,"",ROUND(AA192/U192*100,1))</f>
        <v/>
      </c>
      <c r="AC192" s="27">
        <f>Y192-AA192</f>
        <v/>
      </c>
      <c r="AD192" s="26">
        <f>IF(U192=0,"",ROUND((Y192-AA192)/U192*100,1))</f>
        <v/>
      </c>
      <c r="AE192" s="28" t="inlineStr">
        <is>
          <t>OK — totals reconciled</t>
        </is>
      </c>
      <c r="AF192" s="29" t="inlineStr">
        <is>
          <t>http://recuperacaojudicial.squarespace.com/s/LISTA-DE-CREDORES-CONSOLIDADA-ATE-04102024.pdf</t>
        </is>
      </c>
      <c r="AG192" s="28" t="inlineStr">
        <is>
          <t>p6 r2; p8 r5</t>
        </is>
      </c>
      <c r="AH192" s="28" t="inlineStr">
        <is>
          <t>p6: R$ 378.608,81; p8: R$ 1.162.635,62</t>
        </is>
      </c>
      <c r="AI192" s="28" t="inlineStr">
        <is>
          <t>AJ list (art. 7 §2)</t>
        </is>
      </c>
      <c r="AJ192" s="28" t="inlineStr">
        <is>
          <t>2024-10-04</t>
        </is>
      </c>
      <c r="AK192" s="28" t="inlineStr">
        <is>
          <t>NONE FOUND</t>
        </is>
      </c>
      <c r="AL192" s="30" t="inlineStr">
        <is>
          <t>0800778-16.2023.8.20.5104</t>
        </is>
      </c>
      <c r="AM192" s="30" t="inlineStr">
        <is>
          <t>TJRN</t>
        </is>
      </c>
      <c r="AN192" s="30" t="inlineStr">
        <is>
          <t>ACTIVE</t>
        </is>
      </c>
      <c r="AO192" s="30" t="n">
        <v>2023</v>
      </c>
      <c r="AP192" s="30" t="inlineStr">
        <is>
          <t>live case, no plan document yet</t>
        </is>
      </c>
      <c r="AQ192" s="30" t="inlineStr"/>
      <c r="AR192" s="30" t="inlineStr">
        <is>
          <t>printed on the list (read twice)</t>
        </is>
      </c>
      <c r="AS192" s="30" t="inlineStr">
        <is>
          <t>OSASCO</t>
        </is>
      </c>
      <c r="AT192" s="30" t="inlineStr">
        <is>
          <t>SP</t>
        </is>
      </c>
      <c r="AU192" s="30" t="inlineStr">
        <is>
          <t>Bancos múltiplos, com carteira comercial</t>
        </is>
      </c>
      <c r="AV192" s="30" t="inlineStr">
        <is>
          <t>DEMAIS</t>
        </is>
      </c>
      <c r="AW192" s="31" t="n">
        <v>93770000000</v>
      </c>
      <c r="AX192" s="30" t="inlineStr">
        <is>
          <t>LARGE CORP</t>
        </is>
      </c>
      <c r="AY192" s="30" t="inlineStr">
        <is>
          <t>60746948</t>
        </is>
      </c>
      <c r="AZ192" s="30" t="n">
        <v>2</v>
      </c>
      <c r="BA192" s="30" t="inlineStr">
        <is>
          <t>LIKELY_FINANCIAL_BY_NAME ROWS:p6r2,p8r5 VALUE_COL:Valor_Do_Crédito</t>
        </is>
      </c>
    </row>
    <row r="193">
      <c r="A193" s="16" t="inlineStr">
        <is>
          <t>TRUSTHUB SECURITIZADORA SA</t>
        </is>
      </c>
      <c r="B193" s="17" t="n">
        <v>1533721.91</v>
      </c>
      <c r="C193" s="18" t="inlineStr">
        <is>
          <t>FLAVOUR MIX IND. E REP. ALIM. E INGR. QUÍMICOS LTDA.</t>
        </is>
      </c>
      <c r="D193" s="19" t="inlineStr">
        <is>
          <t>NEW</t>
        </is>
      </c>
      <c r="E193" s="20" t="inlineStr"/>
      <c r="F193" s="19" t="inlineStr"/>
      <c r="G193" s="20" t="inlineStr"/>
      <c r="H193" s="19" t="inlineStr"/>
      <c r="I193" s="21" t="inlineStr">
        <is>
          <t>Edvaldo Oliveira</t>
        </is>
      </c>
      <c r="J193" s="21" t="inlineStr">
        <is>
          <t>Gerente Middle Corporate</t>
        </is>
      </c>
      <c r="K193" s="21" t="inlineStr"/>
      <c r="L193" s="21" t="inlineStr"/>
      <c r="M193" s="21" t="inlineStr"/>
      <c r="N193" s="21" t="inlineStr"/>
      <c r="O193" s="21" t="inlineStr"/>
      <c r="P193" s="21" t="inlineStr"/>
      <c r="Q193" s="21" t="inlineStr"/>
      <c r="R193" s="21" t="inlineStr"/>
      <c r="S193" s="21" t="inlineStr"/>
      <c r="T193" s="21" t="inlineStr">
        <is>
          <t>DM email unavailable; VERIFY org: TrustHub; no work email found in Apollo</t>
        </is>
      </c>
      <c r="U193" s="22" t="n">
        <v>1533721.91</v>
      </c>
      <c r="V193" s="23" t="inlineStr">
        <is>
          <t>B</t>
        </is>
      </c>
      <c r="W193" s="24">
        <f>IFERROR(VLOOKUP(V193,Assumptions!$A$7:$F$11,2,FALSE),0)</f>
        <v/>
      </c>
      <c r="X193" s="25">
        <f>IF(V193="A",MAX(1,IFERROR(VLOOKUP(V193,Assumptions!$A$7:$F$11,3,FALSE),3)+IFERROR(VLOOKUP(V193,Assumptions!$A$7:$F$11,4,FALSE),8)/2-MAX(0,IF(AO193="",0,YEAR(TODAY())-AO193)-IFERROR(VLOOKUP(V193,Assumptions!$A$7:$F$11,5,FALSE),1.5))),IFERROR(VLOOKUP(V193,Assumptions!$A$7:$F$11,5,FALSE),2.5)+IFERROR(VLOOKUP(V193,Assumptions!$A$7:$F$11,3,FALSE),3)+IFERROR(VLOOKUP(V193,Assumptions!$A$7:$F$11,4,FALSE),8)/2)</f>
        <v/>
      </c>
      <c r="Y193" s="22">
        <f>U193*W193/(1+Assumptions!$B$3)^X193</f>
        <v/>
      </c>
      <c r="Z193" s="26">
        <f>IF(U193=0,"",ROUND(Y193/U193*100,1))</f>
        <v/>
      </c>
      <c r="AA193" s="27">
        <f>Y193*Assumptions!$B$4</f>
        <v/>
      </c>
      <c r="AB193" s="26">
        <f>IF(U193=0,"",ROUND(AA193/U193*100,1))</f>
        <v/>
      </c>
      <c r="AC193" s="27">
        <f>Y193-AA193</f>
        <v/>
      </c>
      <c r="AD193" s="26">
        <f>IF(U193=0,"",ROUND((Y193-AA193)/U193*100,1))</f>
        <v/>
      </c>
      <c r="AE193" s="33" t="inlineStr">
        <is>
          <t>NO TOTALS — list prints none; check page</t>
        </is>
      </c>
      <c r="AF193" s="29" t="inlineStr">
        <is>
          <t>https://ativosajce.com.br/admin/download.php?file=files/processo_documento/processo_documento13422625032025_1_.pdf&amp;nome=Relação de Credores - Art. 52º § 1º, da Lei nº 11.101/2005 - 25/02/2025</t>
        </is>
      </c>
      <c r="AG193" s="28" t="inlineStr">
        <is>
          <t>p5 r32; p5 r33</t>
        </is>
      </c>
      <c r="AH193" s="28" t="inlineStr">
        <is>
          <t>p5: R$ 484.500,00; p5: R$ 1.049.221,91</t>
        </is>
      </c>
      <c r="AI193" s="28" t="inlineStr">
        <is>
          <t>Unclassified list</t>
        </is>
      </c>
      <c r="AJ193" s="28" t="inlineStr">
        <is>
          <t>2025-02-28</t>
        </is>
      </c>
      <c r="AK193" s="28" t="inlineStr">
        <is>
          <t>NONE FOUND</t>
        </is>
      </c>
      <c r="AL193" s="30" t="inlineStr">
        <is>
          <t>1000119-75.2025.8.26.0354</t>
        </is>
      </c>
      <c r="AM193" s="30" t="inlineStr">
        <is>
          <t>TJSP</t>
        </is>
      </c>
      <c r="AN193" s="30" t="inlineStr">
        <is>
          <t>ACTIVE</t>
        </is>
      </c>
      <c r="AO193" s="30" t="n">
        <v>2025</v>
      </c>
      <c r="AP193" s="30" t="inlineStr">
        <is>
          <t>live case, no plan document yet</t>
        </is>
      </c>
      <c r="AQ193" s="30" t="inlineStr">
        <is>
          <t>09.357.504/0001-38</t>
        </is>
      </c>
      <c r="AR193" s="30" t="inlineStr">
        <is>
          <t>printed on the list (read twice)</t>
        </is>
      </c>
      <c r="AS193" s="30" t="inlineStr"/>
      <c r="AT193" s="30" t="inlineStr"/>
      <c r="AU193" s="30" t="inlineStr"/>
      <c r="AV193" s="30" t="inlineStr"/>
      <c r="AW193" s="31" t="inlineStr"/>
      <c r="AX193" s="30" t="inlineStr">
        <is>
          <t>MID-MARKET</t>
        </is>
      </c>
      <c r="AY193" s="30" t="inlineStr">
        <is>
          <t>02211906</t>
        </is>
      </c>
      <c r="AZ193" s="30" t="n">
        <v>2</v>
      </c>
      <c r="BA193" s="30" t="inlineStr">
        <is>
          <t>LIKELY_FINANCIAL_BY_NAME ROWS:p5r32,p5r33 UNRECONCILED_SOURCE</t>
        </is>
      </c>
    </row>
    <row r="194">
      <c r="A194" s="16" t="inlineStr">
        <is>
          <t>BANCO SAFRA S A</t>
        </is>
      </c>
      <c r="B194" s="17" t="n">
        <v>1504790.25</v>
      </c>
      <c r="C194" s="18" t="inlineStr">
        <is>
          <t>Cerealista Safrasul Ltda</t>
        </is>
      </c>
      <c r="D194" s="19" t="inlineStr">
        <is>
          <t>NEW</t>
        </is>
      </c>
      <c r="E194" s="20" t="inlineStr"/>
      <c r="F194" s="19" t="inlineStr"/>
      <c r="G194" s="20" t="inlineStr"/>
      <c r="H194" s="19" t="inlineStr"/>
      <c r="I194" s="21" t="inlineStr">
        <is>
          <t>Vanessa Biotti</t>
        </is>
      </c>
      <c r="J194" s="21" t="inlineStr">
        <is>
          <t>Gerente de Recuperação de Crédito</t>
        </is>
      </c>
      <c r="K194" s="21" t="inlineStr">
        <is>
          <t>(11) 3175-7575</t>
        </is>
      </c>
      <c r="L194" s="21" t="inlineStr"/>
      <c r="M194" s="21" t="inlineStr"/>
      <c r="N194" s="21" t="inlineStr">
        <is>
          <t>vanessa.biotti@safra.com.br</t>
        </is>
      </c>
      <c r="O194" s="21" t="inlineStr">
        <is>
          <t>rodrigo.anjos@safra.com.br</t>
        </is>
      </c>
      <c r="P194" s="21" t="inlineStr">
        <is>
          <t>Rodrigo Anjos</t>
        </is>
      </c>
      <c r="Q194" s="21" t="inlineStr">
        <is>
          <t>Advogado Sênior - Jurídico Contencioso - Recuperação de Crédito - NPL</t>
        </is>
      </c>
      <c r="R194" s="21" t="inlineStr"/>
      <c r="S194" s="21" t="inlineStr">
        <is>
          <t>rodrigo.anjos@safra.com.br</t>
        </is>
      </c>
      <c r="T194" s="21" t="inlineStr">
        <is>
          <t>email verified by Apollo</t>
        </is>
      </c>
      <c r="U194" s="22" t="n">
        <v>1504790.25</v>
      </c>
      <c r="V194" s="23" t="inlineStr">
        <is>
          <t>B</t>
        </is>
      </c>
      <c r="W194" s="24">
        <f>IFERROR(VLOOKUP(V194,Assumptions!$A$7:$F$11,2,FALSE),0)</f>
        <v/>
      </c>
      <c r="X194" s="25">
        <f>IF(V194="A",MAX(1,IFERROR(VLOOKUP(V194,Assumptions!$A$7:$F$11,3,FALSE),3)+IFERROR(VLOOKUP(V194,Assumptions!$A$7:$F$11,4,FALSE),8)/2-MAX(0,IF(AO194="",0,YEAR(TODAY())-AO194)-IFERROR(VLOOKUP(V194,Assumptions!$A$7:$F$11,5,FALSE),1.5))),IFERROR(VLOOKUP(V194,Assumptions!$A$7:$F$11,5,FALSE),2.5)+IFERROR(VLOOKUP(V194,Assumptions!$A$7:$F$11,3,FALSE),3)+IFERROR(VLOOKUP(V194,Assumptions!$A$7:$F$11,4,FALSE),8)/2)</f>
        <v/>
      </c>
      <c r="Y194" s="22">
        <f>U194*W194/(1+Assumptions!$B$3)^X194</f>
        <v/>
      </c>
      <c r="Z194" s="26">
        <f>IF(U194=0,"",ROUND(Y194/U194*100,1))</f>
        <v/>
      </c>
      <c r="AA194" s="27">
        <f>Y194*Assumptions!$B$4</f>
        <v/>
      </c>
      <c r="AB194" s="26">
        <f>IF(U194=0,"",ROUND(AA194/U194*100,1))</f>
        <v/>
      </c>
      <c r="AC194" s="27">
        <f>Y194-AA194</f>
        <v/>
      </c>
      <c r="AD194" s="26">
        <f>IF(U194=0,"",ROUND((Y194-AA194)/U194*100,1))</f>
        <v/>
      </c>
      <c r="AE194" s="33" t="inlineStr">
        <is>
          <t>NO TOTALS — list prints none; check page</t>
        </is>
      </c>
      <c r="AF194" s="29" t="inlineStr">
        <is>
          <t>https://ajruiz.com.br/sites/default/files/public/arquivos-processos/2026-01/safrasul_relacao_de_credores_recuperanda.pdf</t>
        </is>
      </c>
      <c r="AG194" s="28" t="inlineStr">
        <is>
          <t>p8 r31; p8 r32; p8 r33</t>
        </is>
      </c>
      <c r="AH194" s="28" t="inlineStr">
        <is>
          <t>p8: R$ 474.497,77; p8: R$ 930.292,48; p8: R$ 100.000,00</t>
        </is>
      </c>
      <c r="AI194" s="28" t="inlineStr">
        <is>
          <t>AJ list (art. 7 §2)</t>
        </is>
      </c>
      <c r="AJ194" s="28" t="inlineStr">
        <is>
          <t>2026-01-14</t>
        </is>
      </c>
      <c r="AK194" s="28" t="inlineStr">
        <is>
          <t>NONE FOUND</t>
        </is>
      </c>
      <c r="AL194" s="30" t="inlineStr">
        <is>
          <t>4000167-23.2025.8.26.0373</t>
        </is>
      </c>
      <c r="AM194" s="30" t="inlineStr">
        <is>
          <t>TJSP</t>
        </is>
      </c>
      <c r="AN194" s="30" t="inlineStr">
        <is>
          <t>ACTIVE</t>
        </is>
      </c>
      <c r="AO194" s="30" t="n">
        <v>2025</v>
      </c>
      <c r="AP194" s="30" t="inlineStr">
        <is>
          <t>live case, no plan document yet</t>
        </is>
      </c>
      <c r="AQ194" s="30" t="inlineStr"/>
      <c r="AR194" s="30" t="inlineStr">
        <is>
          <t>printed on the list (read twice)</t>
        </is>
      </c>
      <c r="AS194" s="30" t="inlineStr">
        <is>
          <t>SAO PAULO</t>
        </is>
      </c>
      <c r="AT194" s="30" t="inlineStr">
        <is>
          <t>SP</t>
        </is>
      </c>
      <c r="AU194" s="30" t="inlineStr">
        <is>
          <t>Bancos múltiplos, com carteira comercial</t>
        </is>
      </c>
      <c r="AV194" s="30" t="inlineStr">
        <is>
          <t>DEMAIS</t>
        </is>
      </c>
      <c r="AW194" s="31" t="n">
        <v>13924903000</v>
      </c>
      <c r="AX194" s="30" t="inlineStr">
        <is>
          <t>LARGE CORP</t>
        </is>
      </c>
      <c r="AY194" s="30" t="inlineStr">
        <is>
          <t>58160789</t>
        </is>
      </c>
      <c r="AZ194" s="30" t="n">
        <v>3</v>
      </c>
      <c r="BA194" s="30" t="inlineStr">
        <is>
          <t>LIKELY_FINANCIAL_BY_NAME ROWS:p8r31,p8r32,p8r33 UNRECONCILED_SOURCE</t>
        </is>
      </c>
    </row>
    <row r="195">
      <c r="A195" s="16" t="inlineStr">
        <is>
          <t>ITAU UNIBANCO S.A.</t>
        </is>
      </c>
      <c r="B195" s="17" t="n">
        <v>1500000</v>
      </c>
      <c r="C195" s="18" t="inlineStr">
        <is>
          <t>Grupo Tendas</t>
        </is>
      </c>
      <c r="D195" s="19" t="inlineStr">
        <is>
          <t>NEW</t>
        </is>
      </c>
      <c r="E195" s="20" t="inlineStr"/>
      <c r="F195" s="19" t="inlineStr"/>
      <c r="G195" s="20" t="inlineStr"/>
      <c r="H195" s="19" t="inlineStr"/>
      <c r="I195" s="21" t="inlineStr">
        <is>
          <t>Murilo Gigliucci</t>
        </is>
      </c>
      <c r="J195" s="21" t="inlineStr">
        <is>
          <t>Superintendente de Reestruturação de Crédito</t>
        </is>
      </c>
      <c r="K195" s="21" t="inlineStr">
        <is>
          <t>(11) 3003-4828</t>
        </is>
      </c>
      <c r="L195" s="21" t="inlineStr"/>
      <c r="M195" s="21" t="inlineStr"/>
      <c r="N195" s="21" t="inlineStr">
        <is>
          <t>murilo.gigliucci@itau-unibanco.com.br</t>
        </is>
      </c>
      <c r="O195" s="21" t="inlineStr">
        <is>
          <t>pedro.ornellas-geronimo@itau-unibanco.com.br</t>
        </is>
      </c>
      <c r="P195" s="21" t="inlineStr">
        <is>
          <t>Pedro Ornellas</t>
        </is>
      </c>
      <c r="Q195" s="21" t="inlineStr">
        <is>
          <t>Superintendente de Recuperação de Crédito</t>
        </is>
      </c>
      <c r="R195" s="21" t="inlineStr"/>
      <c r="S195" s="21" t="inlineStr">
        <is>
          <t>pedro.ornellas-geronimo@itau-unibanco.com.br</t>
        </is>
      </c>
      <c r="T195" s="21" t="inlineStr">
        <is>
          <t>email verified by Apollo</t>
        </is>
      </c>
      <c r="U195" s="22" t="n">
        <v>1500000</v>
      </c>
      <c r="V195" s="23" t="inlineStr">
        <is>
          <t>B</t>
        </is>
      </c>
      <c r="W195" s="24">
        <f>IFERROR(VLOOKUP(V195,Assumptions!$A$7:$F$11,2,FALSE),0)</f>
        <v/>
      </c>
      <c r="X195" s="25">
        <f>IF(V195="A",MAX(1,IFERROR(VLOOKUP(V195,Assumptions!$A$7:$F$11,3,FALSE),3)+IFERROR(VLOOKUP(V195,Assumptions!$A$7:$F$11,4,FALSE),8)/2-MAX(0,IF(AO195="",0,YEAR(TODAY())-AO195)-IFERROR(VLOOKUP(V195,Assumptions!$A$7:$F$11,5,FALSE),1.5))),IFERROR(VLOOKUP(V195,Assumptions!$A$7:$F$11,5,FALSE),2.5)+IFERROR(VLOOKUP(V195,Assumptions!$A$7:$F$11,3,FALSE),3)+IFERROR(VLOOKUP(V195,Assumptions!$A$7:$F$11,4,FALSE),8)/2)</f>
        <v/>
      </c>
      <c r="Y195" s="22">
        <f>U195*W195/(1+Assumptions!$B$3)^X195</f>
        <v/>
      </c>
      <c r="Z195" s="26">
        <f>IF(U195=0,"",ROUND(Y195/U195*100,1))</f>
        <v/>
      </c>
      <c r="AA195" s="27">
        <f>Y195*Assumptions!$B$4</f>
        <v/>
      </c>
      <c r="AB195" s="26">
        <f>IF(U195=0,"",ROUND(AA195/U195*100,1))</f>
        <v/>
      </c>
      <c r="AC195" s="27">
        <f>Y195-AA195</f>
        <v/>
      </c>
      <c r="AD195" s="26">
        <f>IF(U195=0,"",ROUND((Y195-AA195)/U195*100,1))</f>
        <v/>
      </c>
      <c r="AE195" s="33" t="inlineStr">
        <is>
          <t>NO TOTALS — list prints none; check page</t>
        </is>
      </c>
      <c r="AF195" s="29" t="inlineStr">
        <is>
          <t>https://stenius.com.br/wp-content/uploads/2026/08/1°-EDITAL-GRUPO-TENDAS.pdf</t>
        </is>
      </c>
      <c r="AG195" s="28" t="inlineStr">
        <is>
          <t>p5 r19</t>
        </is>
      </c>
      <c r="AH195" s="28" t="inlineStr">
        <is>
          <t>p5: R$ 1.500.000,00</t>
        </is>
      </c>
      <c r="AI195" s="28" t="inlineStr">
        <is>
          <t>AJ list (art. 7 §2)</t>
        </is>
      </c>
      <c r="AJ195" s="28" t="inlineStr">
        <is>
          <t>2026-08-13</t>
        </is>
      </c>
      <c r="AK195" s="28" t="inlineStr">
        <is>
          <t>NONE FOUND</t>
        </is>
      </c>
      <c r="AL195" s="30" t="inlineStr">
        <is>
          <t>5401053-70.2026.8.09.0051</t>
        </is>
      </c>
      <c r="AM195" s="30" t="inlineStr">
        <is>
          <t>TJGO</t>
        </is>
      </c>
      <c r="AN195" s="30" t="inlineStr">
        <is>
          <t>ACTIVE</t>
        </is>
      </c>
      <c r="AO195" s="30" t="n">
        <v>2026</v>
      </c>
      <c r="AP195" s="30" t="inlineStr">
        <is>
          <t>live case, no plan document yet</t>
        </is>
      </c>
      <c r="AQ195" s="30" t="inlineStr">
        <is>
          <t>05.047.886/0001-42</t>
        </is>
      </c>
      <c r="AR195" s="30" t="inlineStr">
        <is>
          <t>printed on the list (read twice)</t>
        </is>
      </c>
      <c r="AS195" s="30" t="inlineStr">
        <is>
          <t>SAO PAULO</t>
        </is>
      </c>
      <c r="AT195" s="30" t="inlineStr">
        <is>
          <t>SP</t>
        </is>
      </c>
      <c r="AU195" s="30" t="inlineStr">
        <is>
          <t>Bancos comerciais</t>
        </is>
      </c>
      <c r="AV195" s="30" t="inlineStr">
        <is>
          <t>DEMAIS</t>
        </is>
      </c>
      <c r="AW195" s="31" t="n">
        <v>76200000000</v>
      </c>
      <c r="AX195" s="30" t="inlineStr">
        <is>
          <t>LARGE CORP</t>
        </is>
      </c>
      <c r="AY195" s="30" t="inlineStr">
        <is>
          <t>60701190</t>
        </is>
      </c>
      <c r="AZ195" s="30" t="n">
        <v>1</v>
      </c>
      <c r="BA195" s="30" t="inlineStr">
        <is>
          <t>LIKELY_FINANCIAL_BY_NAME ROWS:p5r19 UNRECONCILED_SOURCE VALUE_COL:Valor</t>
        </is>
      </c>
    </row>
    <row r="196">
      <c r="A196" s="16" t="inlineStr">
        <is>
          <t>CAIXA ECONOMICA FEDERAL</t>
        </is>
      </c>
      <c r="B196" s="17" t="n">
        <v>2786495.38</v>
      </c>
      <c r="C196" s="37" t="inlineStr">
        <is>
          <t>(debtor not identified — see proof)</t>
        </is>
      </c>
      <c r="D196" s="19" t="inlineStr">
        <is>
          <t>NEW</t>
        </is>
      </c>
      <c r="E196" s="20" t="inlineStr"/>
      <c r="F196" s="19" t="inlineStr"/>
      <c r="G196" s="20" t="inlineStr"/>
      <c r="H196" s="19" t="inlineStr"/>
      <c r="I196" s="21" t="inlineStr">
        <is>
          <t>Livia Serikaku</t>
        </is>
      </c>
      <c r="J196" s="21" t="inlineStr">
        <is>
          <t>Gerente de Clientes e Negócios | Recuperação de Crédito</t>
        </is>
      </c>
      <c r="K196" s="21" t="inlineStr">
        <is>
          <t>(00) 4004-0104</t>
        </is>
      </c>
      <c r="L196" s="21" t="inlineStr"/>
      <c r="M196" s="21" t="inlineStr"/>
      <c r="N196" s="21" t="inlineStr"/>
      <c r="O196" s="21" t="inlineStr"/>
      <c r="P196" s="21" t="inlineStr">
        <is>
          <t>Rodolfo Trevizan</t>
        </is>
      </c>
      <c r="Q196" s="21" t="inlineStr">
        <is>
          <t>Investment Banking | Distressed Assets | Project Finance</t>
        </is>
      </c>
      <c r="R196" s="21" t="inlineStr"/>
      <c r="S196" s="21" t="inlineStr"/>
      <c r="T196" s="21" t="inlineStr">
        <is>
          <t>no work email found in Apollo</t>
        </is>
      </c>
      <c r="U196" s="22" t="n">
        <v>2786495.38</v>
      </c>
      <c r="V196" s="32" t="inlineStr">
        <is>
          <t>U</t>
        </is>
      </c>
      <c r="W196" s="24">
        <f>IFERROR(VLOOKUP(V196,Assumptions!$A$7:$F$11,2,FALSE),0)</f>
        <v/>
      </c>
      <c r="X196" s="25">
        <f>IF(V196="A",MAX(1,IFERROR(VLOOKUP(V196,Assumptions!$A$7:$F$11,3,FALSE),3)+IFERROR(VLOOKUP(V196,Assumptions!$A$7:$F$11,4,FALSE),8)/2-MAX(0,IF(AO196="",0,YEAR(TODAY())-AO196)-IFERROR(VLOOKUP(V196,Assumptions!$A$7:$F$11,5,FALSE),1.5))),IFERROR(VLOOKUP(V196,Assumptions!$A$7:$F$11,5,FALSE),2.5)+IFERROR(VLOOKUP(V196,Assumptions!$A$7:$F$11,3,FALSE),3)+IFERROR(VLOOKUP(V196,Assumptions!$A$7:$F$11,4,FALSE),8)/2)</f>
        <v/>
      </c>
      <c r="Y196" s="22">
        <f>U196*W196/(1+Assumptions!$B$3)^X196</f>
        <v/>
      </c>
      <c r="Z196" s="26">
        <f>IF(U196=0,"",ROUND(Y196/U196*100,1))</f>
        <v/>
      </c>
      <c r="AA196" s="27">
        <f>Y196*Assumptions!$B$4</f>
        <v/>
      </c>
      <c r="AB196" s="26">
        <f>IF(U196=0,"",ROUND(AA196/U196*100,1))</f>
        <v/>
      </c>
      <c r="AC196" s="27">
        <f>Y196-AA196</f>
        <v/>
      </c>
      <c r="AD196" s="26">
        <f>IF(U196=0,"",ROUND((Y196-AA196)/U196*100,1))</f>
        <v/>
      </c>
      <c r="AE196" s="28" t="inlineStr">
        <is>
          <t>OK — totals reconciled</t>
        </is>
      </c>
      <c r="AF196" s="29" t="inlineStr">
        <is>
          <t>http://bernardobicalho.com.br/login/app/documents/Rela%C3%A7%C3%A3o%20de%20Credores/6.%20RVC-%20Nutricium%20-%20simplificada.pdf</t>
        </is>
      </c>
      <c r="AG196" s="28" t="inlineStr">
        <is>
          <t>p3 r11</t>
        </is>
      </c>
      <c r="AH196" s="28" t="inlineStr">
        <is>
          <t>p3: R$ 2.786.495,38</t>
        </is>
      </c>
      <c r="AI196" s="28" t="inlineStr">
        <is>
          <t>AJ list (art. 7 §2)</t>
        </is>
      </c>
      <c r="AJ196" s="28" t="inlineStr"/>
      <c r="AK196" s="28" t="inlineStr">
        <is>
          <t>NONE FOUND</t>
        </is>
      </c>
      <c r="AL196" s="30" t="inlineStr">
        <is>
          <t>(not printed)</t>
        </is>
      </c>
      <c r="AM196" s="30" t="inlineStr"/>
      <c r="AN196" s="30" t="inlineStr"/>
      <c r="AO196" s="30" t="inlineStr"/>
      <c r="AP196" s="30" t="inlineStr">
        <is>
          <t>RJ case number not identified on the document</t>
        </is>
      </c>
      <c r="AQ196" s="30" t="inlineStr"/>
      <c r="AR196" s="30" t="inlineStr">
        <is>
          <t>not identified</t>
        </is>
      </c>
      <c r="AS196" s="30" t="inlineStr">
        <is>
          <t>BRASILIA</t>
        </is>
      </c>
      <c r="AT196" s="30" t="inlineStr">
        <is>
          <t>DF</t>
        </is>
      </c>
      <c r="AU196" s="30" t="inlineStr">
        <is>
          <t>Caixas econômicas</t>
        </is>
      </c>
      <c r="AV196" s="30" t="inlineStr">
        <is>
          <t>DEMAIS</t>
        </is>
      </c>
      <c r="AW196" s="31" t="n">
        <v>105300000000</v>
      </c>
      <c r="AX196" s="30" t="inlineStr">
        <is>
          <t>LARGE CORP</t>
        </is>
      </c>
      <c r="AY196" s="30" t="inlineStr">
        <is>
          <t>00360305</t>
        </is>
      </c>
      <c r="AZ196" s="30" t="n">
        <v>1</v>
      </c>
      <c r="BA196" s="30" t="inlineStr">
        <is>
          <t>CASE_NUMBER_MISSING LIKELY_FINANCIAL_BY_NAME ROWS:p3r11</t>
        </is>
      </c>
    </row>
    <row r="197">
      <c r="A197" s="16" t="inlineStr">
        <is>
          <t>BANCO SAFRA S A</t>
        </is>
      </c>
      <c r="B197" s="17" t="n">
        <v>1465561.74</v>
      </c>
      <c r="C197" s="18" t="inlineStr">
        <is>
          <t>GRUPO DP4</t>
        </is>
      </c>
      <c r="D197" s="19" t="inlineStr">
        <is>
          <t>NEW</t>
        </is>
      </c>
      <c r="E197" s="20" t="inlineStr"/>
      <c r="F197" s="19" t="inlineStr"/>
      <c r="G197" s="20" t="inlineStr"/>
      <c r="H197" s="19" t="inlineStr"/>
      <c r="I197" s="21" t="inlineStr">
        <is>
          <t>Vanessa Biotti</t>
        </is>
      </c>
      <c r="J197" s="21" t="inlineStr">
        <is>
          <t>Gerente de Recuperação de Crédito</t>
        </is>
      </c>
      <c r="K197" s="21" t="inlineStr">
        <is>
          <t>(11) 3175-7575</t>
        </is>
      </c>
      <c r="L197" s="21" t="inlineStr"/>
      <c r="M197" s="21" t="inlineStr"/>
      <c r="N197" s="21" t="inlineStr">
        <is>
          <t>vanessa.biotti@safra.com.br</t>
        </is>
      </c>
      <c r="O197" s="21" t="inlineStr">
        <is>
          <t>rodrigo.anjos@safra.com.br</t>
        </is>
      </c>
      <c r="P197" s="21" t="inlineStr">
        <is>
          <t>Rodrigo Anjos</t>
        </is>
      </c>
      <c r="Q197" s="21" t="inlineStr">
        <is>
          <t>Advogado Sênior - Jurídico Contencioso - Recuperação de Crédito - NPL</t>
        </is>
      </c>
      <c r="R197" s="21" t="inlineStr"/>
      <c r="S197" s="21" t="inlineStr">
        <is>
          <t>rodrigo.anjos@safra.com.br</t>
        </is>
      </c>
      <c r="T197" s="21" t="inlineStr">
        <is>
          <t>email verified by Apollo</t>
        </is>
      </c>
      <c r="U197" s="22" t="n">
        <v>1465561.74</v>
      </c>
      <c r="V197" s="23" t="inlineStr">
        <is>
          <t>B</t>
        </is>
      </c>
      <c r="W197" s="24">
        <f>IFERROR(VLOOKUP(V197,Assumptions!$A$7:$F$11,2,FALSE),0)</f>
        <v/>
      </c>
      <c r="X197" s="25">
        <f>IF(V197="A",MAX(1,IFERROR(VLOOKUP(V197,Assumptions!$A$7:$F$11,3,FALSE),3)+IFERROR(VLOOKUP(V197,Assumptions!$A$7:$F$11,4,FALSE),8)/2-MAX(0,IF(AO197="",0,YEAR(TODAY())-AO197)-IFERROR(VLOOKUP(V197,Assumptions!$A$7:$F$11,5,FALSE),1.5))),IFERROR(VLOOKUP(V197,Assumptions!$A$7:$F$11,5,FALSE),2.5)+IFERROR(VLOOKUP(V197,Assumptions!$A$7:$F$11,3,FALSE),3)+IFERROR(VLOOKUP(V197,Assumptions!$A$7:$F$11,4,FALSE),8)/2)</f>
        <v/>
      </c>
      <c r="Y197" s="22">
        <f>U197*W197/(1+Assumptions!$B$3)^X197</f>
        <v/>
      </c>
      <c r="Z197" s="26">
        <f>IF(U197=0,"",ROUND(Y197/U197*100,1))</f>
        <v/>
      </c>
      <c r="AA197" s="27">
        <f>Y197*Assumptions!$B$4</f>
        <v/>
      </c>
      <c r="AB197" s="26">
        <f>IF(U197=0,"",ROUND(AA197/U197*100,1))</f>
        <v/>
      </c>
      <c r="AC197" s="27">
        <f>Y197-AA197</f>
        <v/>
      </c>
      <c r="AD197" s="26">
        <f>IF(U197=0,"",ROUND((Y197-AA197)/U197*100,1))</f>
        <v/>
      </c>
      <c r="AE197" s="34" t="inlineStr">
        <is>
          <t>PARTIAL — class III reconciled, other classes not</t>
        </is>
      </c>
      <c r="AF197" s="29" t="inlineStr">
        <is>
          <t>https://marquesadmjudicial.com.br/sgc/download.php?file=files/processo_documento/processo_documento15293208032024_1_.pdf&amp;nome=Relação Nominal de Credores da AJ-Sintética</t>
        </is>
      </c>
      <c r="AG197" s="28" t="inlineStr">
        <is>
          <t>p21 r4</t>
        </is>
      </c>
      <c r="AH197" s="28" t="inlineStr">
        <is>
          <t>p21: R$ 1.465.561,74</t>
        </is>
      </c>
      <c r="AI197" s="28" t="inlineStr">
        <is>
          <t>AJ list (art. 7 §2)</t>
        </is>
      </c>
      <c r="AJ197" s="28" t="inlineStr">
        <is>
          <t>2023-03-02</t>
        </is>
      </c>
      <c r="AK197" s="28" t="inlineStr">
        <is>
          <t>NONE FOUND</t>
        </is>
      </c>
      <c r="AL197" s="30" t="inlineStr">
        <is>
          <t>0005010-98.2023.8.16.0001</t>
        </is>
      </c>
      <c r="AM197" s="30" t="inlineStr">
        <is>
          <t>TJPR</t>
        </is>
      </c>
      <c r="AN197" s="30" t="inlineStr">
        <is>
          <t>ACTIVE</t>
        </is>
      </c>
      <c r="AO197" s="30" t="n">
        <v>2023</v>
      </c>
      <c r="AP197" s="30" t="inlineStr">
        <is>
          <t>live case, no plan document yet</t>
        </is>
      </c>
      <c r="AQ197" s="30" t="inlineStr"/>
      <c r="AR197" s="30" t="inlineStr">
        <is>
          <t>printed on the list (read twice)</t>
        </is>
      </c>
      <c r="AS197" s="30" t="inlineStr">
        <is>
          <t>SAO PAULO</t>
        </is>
      </c>
      <c r="AT197" s="30" t="inlineStr">
        <is>
          <t>SP</t>
        </is>
      </c>
      <c r="AU197" s="30" t="inlineStr">
        <is>
          <t>Bancos múltiplos, com carteira comercial</t>
        </is>
      </c>
      <c r="AV197" s="30" t="inlineStr">
        <is>
          <t>DEMAIS</t>
        </is>
      </c>
      <c r="AW197" s="31" t="n">
        <v>13924903000</v>
      </c>
      <c r="AX197" s="30" t="inlineStr">
        <is>
          <t>LARGE CORP</t>
        </is>
      </c>
      <c r="AY197" s="30" t="inlineStr">
        <is>
          <t>58160789</t>
        </is>
      </c>
      <c r="AZ197" s="30" t="n">
        <v>1</v>
      </c>
      <c r="BA197" s="30" t="inlineStr">
        <is>
          <t>LIKELY_FINANCIAL_BY_NAME PARTIAL_DOC_CLASS_III_RECONCILED ROWS:p21r4</t>
        </is>
      </c>
    </row>
    <row r="198">
      <c r="A198" s="16" t="inlineStr">
        <is>
          <t>BANCO SANTANDER (BRASIL) S.A.</t>
        </is>
      </c>
      <c r="B198" s="17" t="n">
        <v>1400946.8</v>
      </c>
      <c r="C198" s="18" t="inlineStr">
        <is>
          <t>Grupo Arruda (ARRUDA &amp; MELO REPRESENTACAO DE ALIMENTOS E BEBIDAS LTDA, ARRUDA &amp; MELO COMERCIO E DISTRIBUICAO DE ALIMENTOS E BEBIDAS LTDA, ARRUDA &amp; MELO COMERCIO E DISTRIBUICAO DE ALIMENTOS E BEBIDAS DA BAHIA LTDA)</t>
        </is>
      </c>
      <c r="D198" s="19" t="inlineStr">
        <is>
          <t>NEW</t>
        </is>
      </c>
      <c r="E198" s="20" t="inlineStr"/>
      <c r="F198" s="19" t="inlineStr"/>
      <c r="G198" s="20" t="inlineStr"/>
      <c r="H198" s="19" t="inlineStr"/>
      <c r="I198" s="21" t="inlineStr">
        <is>
          <t>Igor Puertas</t>
        </is>
      </c>
      <c r="J198" s="21" t="inlineStr">
        <is>
          <t>Distressed Assets | NPL</t>
        </is>
      </c>
      <c r="K198" s="21" t="inlineStr">
        <is>
          <t>(11) 4004-3535</t>
        </is>
      </c>
      <c r="L198" s="21" t="inlineStr"/>
      <c r="M198" s="21" t="inlineStr"/>
      <c r="N198" s="21" t="inlineStr">
        <is>
          <t>igor.puertas@santander.com.br</t>
        </is>
      </c>
      <c r="O198" s="21" t="inlineStr">
        <is>
          <t>antonio.pequeno.junior@santander.com.br</t>
        </is>
      </c>
      <c r="P198" s="21" t="inlineStr">
        <is>
          <t>Antonio Junior</t>
        </is>
      </c>
      <c r="Q198" s="21" t="inlineStr">
        <is>
          <t>Superintendente Recuperação de Crédito</t>
        </is>
      </c>
      <c r="R198" s="21" t="inlineStr"/>
      <c r="S198" s="21" t="inlineStr">
        <is>
          <t>antonio.pequeno.junior@santander.com.br</t>
        </is>
      </c>
      <c r="T198" s="21" t="inlineStr">
        <is>
          <t>email verified by Apollo</t>
        </is>
      </c>
      <c r="U198" s="22" t="n">
        <v>1400946.8</v>
      </c>
      <c r="V198" s="23" t="inlineStr">
        <is>
          <t>B</t>
        </is>
      </c>
      <c r="W198" s="24">
        <f>IFERROR(VLOOKUP(V198,Assumptions!$A$7:$F$11,2,FALSE),0)</f>
        <v/>
      </c>
      <c r="X198" s="25">
        <f>IF(V198="A",MAX(1,IFERROR(VLOOKUP(V198,Assumptions!$A$7:$F$11,3,FALSE),3)+IFERROR(VLOOKUP(V198,Assumptions!$A$7:$F$11,4,FALSE),8)/2-MAX(0,IF(AO198="",0,YEAR(TODAY())-AO198)-IFERROR(VLOOKUP(V198,Assumptions!$A$7:$F$11,5,FALSE),1.5))),IFERROR(VLOOKUP(V198,Assumptions!$A$7:$F$11,5,FALSE),2.5)+IFERROR(VLOOKUP(V198,Assumptions!$A$7:$F$11,3,FALSE),3)+IFERROR(VLOOKUP(V198,Assumptions!$A$7:$F$11,4,FALSE),8)/2)</f>
        <v/>
      </c>
      <c r="Y198" s="22">
        <f>U198*W198/(1+Assumptions!$B$3)^X198</f>
        <v/>
      </c>
      <c r="Z198" s="26">
        <f>IF(U198=0,"",ROUND(Y198/U198*100,1))</f>
        <v/>
      </c>
      <c r="AA198" s="27">
        <f>Y198*Assumptions!$B$4</f>
        <v/>
      </c>
      <c r="AB198" s="26">
        <f>IF(U198=0,"",ROUND(AA198/U198*100,1))</f>
        <v/>
      </c>
      <c r="AC198" s="27">
        <f>Y198-AA198</f>
        <v/>
      </c>
      <c r="AD198" s="26">
        <f>IF(U198=0,"",ROUND((Y198-AA198)/U198*100,1))</f>
        <v/>
      </c>
      <c r="AE198" s="28" t="inlineStr">
        <is>
          <t>OK — totals reconciled</t>
        </is>
      </c>
      <c r="AF198" s="29" t="inlineStr">
        <is>
          <t>https://diligence.adm.br/wp-content/uploads/2025/06/Edital-1a-Lista-de-Credores.pdf</t>
        </is>
      </c>
      <c r="AG198" s="28" t="inlineStr">
        <is>
          <t>p5 r53</t>
        </is>
      </c>
      <c r="AH198" s="28" t="inlineStr">
        <is>
          <t>p5: R$ 1.400.946,80</t>
        </is>
      </c>
      <c r="AI198" s="28" t="inlineStr">
        <is>
          <t>Debtor list (art. 51)</t>
        </is>
      </c>
      <c r="AJ198" s="28" t="inlineStr">
        <is>
          <t>2025-06-10</t>
        </is>
      </c>
      <c r="AK198" s="28" t="inlineStr">
        <is>
          <t>NONE FOUND</t>
        </is>
      </c>
      <c r="AL198" s="30" t="inlineStr">
        <is>
          <t>0008526-45.2025.8.17.2001</t>
        </is>
      </c>
      <c r="AM198" s="30" t="inlineStr">
        <is>
          <t>TJPE</t>
        </is>
      </c>
      <c r="AN198" s="30" t="inlineStr">
        <is>
          <t>ACTIVE</t>
        </is>
      </c>
      <c r="AO198" s="30" t="n">
        <v>2025</v>
      </c>
      <c r="AP198" s="30" t="inlineStr">
        <is>
          <t>live case, no plan document yet</t>
        </is>
      </c>
      <c r="AQ198" s="30" t="inlineStr"/>
      <c r="AR198" s="30" t="inlineStr">
        <is>
          <t>printed on the list (read twice)</t>
        </is>
      </c>
      <c r="AS198" s="30" t="inlineStr">
        <is>
          <t>SAO PAULO</t>
        </is>
      </c>
      <c r="AT198" s="30" t="inlineStr">
        <is>
          <t>SP</t>
        </is>
      </c>
      <c r="AU198" s="30" t="inlineStr">
        <is>
          <t>Bancos múltiplos, com carteira comercial</t>
        </is>
      </c>
      <c r="AV198" s="30" t="inlineStr">
        <is>
          <t>DEMAIS</t>
        </is>
      </c>
      <c r="AW198" s="31" t="n">
        <v>65000000000</v>
      </c>
      <c r="AX198" s="30" t="inlineStr">
        <is>
          <t>LARGE CORP</t>
        </is>
      </c>
      <c r="AY198" s="30" t="inlineStr">
        <is>
          <t>90400888</t>
        </is>
      </c>
      <c r="AZ198" s="30" t="n">
        <v>1</v>
      </c>
      <c r="BA198" s="30" t="inlineStr">
        <is>
          <t>LIKELY_FINANCIAL_BY_NAME ROWS:p5r53</t>
        </is>
      </c>
    </row>
    <row r="199">
      <c r="A199" s="16" t="inlineStr">
        <is>
          <t>INTERBANK FUNDO DE INVESTIMENTO EM DIREITOS CREDITORIOS</t>
        </is>
      </c>
      <c r="B199" s="17" t="n">
        <v>1357782.33</v>
      </c>
      <c r="C199" s="18" t="inlineStr">
        <is>
          <t>Grupo Conduscabos</t>
        </is>
      </c>
      <c r="D199" s="19" t="inlineStr">
        <is>
          <t>NEW</t>
        </is>
      </c>
      <c r="E199" s="20" t="inlineStr"/>
      <c r="F199" s="19" t="inlineStr"/>
      <c r="G199" s="20" t="inlineStr"/>
      <c r="H199" s="19" t="inlineStr"/>
      <c r="I199" s="21" t="inlineStr">
        <is>
          <t>Talita Nicacio</t>
        </is>
      </c>
      <c r="J199" s="21" t="inlineStr">
        <is>
          <t>Coordenador(a) de Crédito, Cadastro e Formalização - FIDC</t>
        </is>
      </c>
      <c r="K199" s="21" t="inlineStr">
        <is>
          <t>(11) 2827-3500</t>
        </is>
      </c>
      <c r="L199" s="21" t="inlineStr"/>
      <c r="M199" s="21" t="inlineStr"/>
      <c r="N199" s="21" t="inlineStr">
        <is>
          <t>talita@lsinterbank.com.br</t>
        </is>
      </c>
      <c r="O199" s="21" t="inlineStr"/>
      <c r="P199" s="21" t="inlineStr"/>
      <c r="Q199" s="21" t="inlineStr"/>
      <c r="R199" s="21" t="inlineStr"/>
      <c r="S199" s="21" t="inlineStr"/>
      <c r="T199" s="21" t="inlineStr">
        <is>
          <t>email verified by Apollo</t>
        </is>
      </c>
      <c r="U199" s="22" t="n">
        <v>1357782.33</v>
      </c>
      <c r="V199" s="23" t="inlineStr">
        <is>
          <t>B</t>
        </is>
      </c>
      <c r="W199" s="24">
        <f>IFERROR(VLOOKUP(V199,Assumptions!$A$7:$F$11,2,FALSE),0)</f>
        <v/>
      </c>
      <c r="X199" s="25">
        <f>IF(V199="A",MAX(1,IFERROR(VLOOKUP(V199,Assumptions!$A$7:$F$11,3,FALSE),3)+IFERROR(VLOOKUP(V199,Assumptions!$A$7:$F$11,4,FALSE),8)/2-MAX(0,IF(AO199="",0,YEAR(TODAY())-AO199)-IFERROR(VLOOKUP(V199,Assumptions!$A$7:$F$11,5,FALSE),1.5))),IFERROR(VLOOKUP(V199,Assumptions!$A$7:$F$11,5,FALSE),2.5)+IFERROR(VLOOKUP(V199,Assumptions!$A$7:$F$11,3,FALSE),3)+IFERROR(VLOOKUP(V199,Assumptions!$A$7:$F$11,4,FALSE),8)/2)</f>
        <v/>
      </c>
      <c r="Y199" s="22">
        <f>U199*W199/(1+Assumptions!$B$3)^X199</f>
        <v/>
      </c>
      <c r="Z199" s="26">
        <f>IF(U199=0,"",ROUND(Y199/U199*100,1))</f>
        <v/>
      </c>
      <c r="AA199" s="27">
        <f>Y199*Assumptions!$B$4</f>
        <v/>
      </c>
      <c r="AB199" s="26">
        <f>IF(U199=0,"",ROUND(AA199/U199*100,1))</f>
        <v/>
      </c>
      <c r="AC199" s="27">
        <f>Y199-AA199</f>
        <v/>
      </c>
      <c r="AD199" s="26">
        <f>IF(U199=0,"",ROUND((Y199-AA199)/U199*100,1))</f>
        <v/>
      </c>
      <c r="AE199" s="33" t="inlineStr">
        <is>
          <t>NO TOTALS — list prints none; check page</t>
        </is>
      </c>
      <c r="AF199" s="29" t="inlineStr">
        <is>
          <t>https://assistjud.com.br/wp-content/uploads/elementor/forms/65098c80a5824.pdf</t>
        </is>
      </c>
      <c r="AG199" s="28" t="inlineStr">
        <is>
          <t>p8 r14</t>
        </is>
      </c>
      <c r="AH199" s="28" t="inlineStr">
        <is>
          <t>p8: R$ 1.357.782,33</t>
        </is>
      </c>
      <c r="AI199" s="28" t="inlineStr">
        <is>
          <t>AJ list (art. 7 §2)</t>
        </is>
      </c>
      <c r="AJ199" s="28" t="inlineStr">
        <is>
          <t>2023-09-18</t>
        </is>
      </c>
      <c r="AK199" s="28" t="inlineStr">
        <is>
          <t>NONE FOUND</t>
        </is>
      </c>
      <c r="AL199" s="30" t="inlineStr">
        <is>
          <t>8005129-09.2023.8.05.0039</t>
        </is>
      </c>
      <c r="AM199" s="30" t="inlineStr">
        <is>
          <t>TJBA</t>
        </is>
      </c>
      <c r="AN199" s="30" t="inlineStr">
        <is>
          <t>ACTIVE</t>
        </is>
      </c>
      <c r="AO199" s="30" t="n">
        <v>2023</v>
      </c>
      <c r="AP199" s="30" t="inlineStr">
        <is>
          <t>live case, no plan document yet</t>
        </is>
      </c>
      <c r="AQ199" s="30" t="inlineStr"/>
      <c r="AR199" s="30" t="inlineStr">
        <is>
          <t>printed on the list (read twice)</t>
        </is>
      </c>
      <c r="AS199" s="30" t="inlineStr">
        <is>
          <t>SAO PAULO</t>
        </is>
      </c>
      <c r="AT199" s="30" t="inlineStr">
        <is>
          <t>SP</t>
        </is>
      </c>
      <c r="AU199" s="30" t="inlineStr">
        <is>
          <t>Fundos de investimento, exceto previdenciários e imobiliários</t>
        </is>
      </c>
      <c r="AV199" s="30" t="inlineStr">
        <is>
          <t>DEMAIS</t>
        </is>
      </c>
      <c r="AW199" s="31" t="inlineStr"/>
      <c r="AX199" s="30" t="inlineStr">
        <is>
          <t>MID-MARKET</t>
        </is>
      </c>
      <c r="AY199" s="30" t="inlineStr">
        <is>
          <t>20791371</t>
        </is>
      </c>
      <c r="AZ199" s="30" t="n">
        <v>1</v>
      </c>
      <c r="BA199" s="30" t="inlineStr">
        <is>
          <t>ROWS:p8r14 UNRECONCILED_SOURCE</t>
        </is>
      </c>
    </row>
    <row r="200">
      <c r="A200" s="16" t="inlineStr">
        <is>
          <t>BANCO BRADESCO S.A.</t>
        </is>
      </c>
      <c r="B200" s="17" t="n">
        <v>1341594.91</v>
      </c>
      <c r="C200" s="18" t="inlineStr">
        <is>
          <t>Grupo Rech</t>
        </is>
      </c>
      <c r="D200" s="19" t="inlineStr">
        <is>
          <t>NEW</t>
        </is>
      </c>
      <c r="E200" s="20" t="inlineStr"/>
      <c r="F200" s="19" t="inlineStr"/>
      <c r="G200" s="20" t="inlineStr"/>
      <c r="H200" s="19" t="inlineStr"/>
      <c r="I200" s="21" t="inlineStr">
        <is>
          <t>Marcela Martins</t>
        </is>
      </c>
      <c r="J200" s="21" t="inlineStr">
        <is>
          <t>Superintendente de Recuperação de Crédito - Canais e Operações</t>
        </is>
      </c>
      <c r="K200" s="21" t="inlineStr">
        <is>
          <t>(11) 3684-5122</t>
        </is>
      </c>
      <c r="L200" s="21" t="inlineStr"/>
      <c r="M200" s="21" t="inlineStr"/>
      <c r="N200" s="21" t="inlineStr"/>
      <c r="O200" s="21" t="inlineStr">
        <is>
          <t>sl@bradesco.com.br</t>
        </is>
      </c>
      <c r="P200" s="21" t="inlineStr">
        <is>
          <t>Luis S</t>
        </is>
      </c>
      <c r="Q200" s="21" t="inlineStr">
        <is>
          <t>DRC - Departamento de Recuperação de Crédito - Gerente de Reestruturação de Crédito</t>
        </is>
      </c>
      <c r="R200" s="21" t="inlineStr"/>
      <c r="S200" s="21" t="inlineStr">
        <is>
          <t>sl@bradesco.com.br</t>
        </is>
      </c>
      <c r="T200" s="21" t="inlineStr">
        <is>
          <t>no work email found in Apollo</t>
        </is>
      </c>
      <c r="U200" s="22" t="n">
        <v>1341594.91</v>
      </c>
      <c r="V200" s="23" t="inlineStr">
        <is>
          <t>B</t>
        </is>
      </c>
      <c r="W200" s="24">
        <f>IFERROR(VLOOKUP(V200,Assumptions!$A$7:$F$11,2,FALSE),0)</f>
        <v/>
      </c>
      <c r="X200" s="25">
        <f>IF(V200="A",MAX(1,IFERROR(VLOOKUP(V200,Assumptions!$A$7:$F$11,3,FALSE),3)+IFERROR(VLOOKUP(V200,Assumptions!$A$7:$F$11,4,FALSE),8)/2-MAX(0,IF(AO200="",0,YEAR(TODAY())-AO200)-IFERROR(VLOOKUP(V200,Assumptions!$A$7:$F$11,5,FALSE),1.5))),IFERROR(VLOOKUP(V200,Assumptions!$A$7:$F$11,5,FALSE),2.5)+IFERROR(VLOOKUP(V200,Assumptions!$A$7:$F$11,3,FALSE),3)+IFERROR(VLOOKUP(V200,Assumptions!$A$7:$F$11,4,FALSE),8)/2)</f>
        <v/>
      </c>
      <c r="Y200" s="22">
        <f>U200*W200/(1+Assumptions!$B$3)^X200</f>
        <v/>
      </c>
      <c r="Z200" s="26">
        <f>IF(U200=0,"",ROUND(Y200/U200*100,1))</f>
        <v/>
      </c>
      <c r="AA200" s="27">
        <f>Y200*Assumptions!$B$4</f>
        <v/>
      </c>
      <c r="AB200" s="26">
        <f>IF(U200=0,"",ROUND(AA200/U200*100,1))</f>
        <v/>
      </c>
      <c r="AC200" s="27">
        <f>Y200-AA200</f>
        <v/>
      </c>
      <c r="AD200" s="26">
        <f>IF(U200=0,"",ROUND((Y200-AA200)/U200*100,1))</f>
        <v/>
      </c>
      <c r="AE200" s="36" t="inlineStr">
        <is>
          <t>CHECK — source is not a statutory creditor list</t>
        </is>
      </c>
      <c r="AF200" s="29" t="inlineStr">
        <is>
          <t>https://credibilita.com.br/wp-content/uploads/2025/09/Relacao-Credores-29.04.2026.pdf</t>
        </is>
      </c>
      <c r="AG200" s="28" t="inlineStr">
        <is>
          <t>p1 r9</t>
        </is>
      </c>
      <c r="AH200" s="28" t="inlineStr">
        <is>
          <t>p1: R$ 1.341.594,91</t>
        </is>
      </c>
      <c r="AI200" s="28" t="inlineStr">
        <is>
          <t>Quorum list — NOT an art. 7/51 list</t>
        </is>
      </c>
      <c r="AJ200" s="28" t="inlineStr"/>
      <c r="AK200" s="28" t="inlineStr">
        <is>
          <t>NONE FOUND</t>
        </is>
      </c>
      <c r="AL200" s="30" t="inlineStr">
        <is>
          <t>5057720-48.2025.8.24.0023</t>
        </is>
      </c>
      <c r="AM200" s="30" t="inlineStr">
        <is>
          <t>TJSC</t>
        </is>
      </c>
      <c r="AN200" s="30" t="inlineStr"/>
      <c r="AO200" s="30" t="n">
        <v>2025</v>
      </c>
      <c r="AP200" s="30" t="inlineStr">
        <is>
          <t>live case, no plan document yet</t>
        </is>
      </c>
      <c r="AQ200" s="30" t="inlineStr"/>
      <c r="AR200" s="30" t="inlineStr">
        <is>
          <t>portal page title / URL — not printed on the list</t>
        </is>
      </c>
      <c r="AS200" s="30" t="inlineStr">
        <is>
          <t>OSASCO</t>
        </is>
      </c>
      <c r="AT200" s="30" t="inlineStr">
        <is>
          <t>SP</t>
        </is>
      </c>
      <c r="AU200" s="30" t="inlineStr">
        <is>
          <t>Bancos múltiplos, com carteira comercial</t>
        </is>
      </c>
      <c r="AV200" s="30" t="inlineStr">
        <is>
          <t>DEMAIS</t>
        </is>
      </c>
      <c r="AW200" s="31" t="n">
        <v>93770000000</v>
      </c>
      <c r="AX200" s="30" t="inlineStr">
        <is>
          <t>LARGE CORP</t>
        </is>
      </c>
      <c r="AY200" s="30" t="inlineStr">
        <is>
          <t>60746948</t>
        </is>
      </c>
      <c r="AZ200" s="30" t="n">
        <v>1</v>
      </c>
      <c r="BA200" s="30" t="inlineStr">
        <is>
          <t>ROWS:p1r9 UNRECONCILED_SOURCE VALUE_COL:Valor_Após_Analise CASE_NUMBER_CORRECTED</t>
        </is>
      </c>
    </row>
    <row r="201">
      <c r="A201" s="16" t="inlineStr">
        <is>
          <t>BB ADMINISTRADORA DE CONSORCIOS S.A.</t>
        </is>
      </c>
      <c r="B201" s="17" t="n">
        <v>1332074.41</v>
      </c>
      <c r="C201" s="18" t="inlineStr">
        <is>
          <t>Grupo Agromeal</t>
        </is>
      </c>
      <c r="D201" s="19" t="inlineStr">
        <is>
          <t>NEW</t>
        </is>
      </c>
      <c r="E201" s="20" t="inlineStr"/>
      <c r="F201" s="19" t="inlineStr"/>
      <c r="G201" s="20" t="inlineStr"/>
      <c r="H201" s="19" t="inlineStr"/>
      <c r="I201" s="21" t="inlineStr">
        <is>
          <t>RENATO BARRETO DE SOUZA</t>
        </is>
      </c>
      <c r="J201" s="21" t="inlineStr">
        <is>
          <t>Presidente (RFB partner)</t>
        </is>
      </c>
      <c r="K201" s="21" t="inlineStr">
        <is>
          <t>(61) 3493-9002</t>
        </is>
      </c>
      <c r="L201" s="21" t="inlineStr">
        <is>
          <t>(61) 3493-1118</t>
        </is>
      </c>
      <c r="M201" s="21" t="inlineStr"/>
      <c r="N201" s="21" t="inlineStr"/>
      <c r="O201" s="21" t="inlineStr"/>
      <c r="P201" s="21" t="inlineStr">
        <is>
          <t>JEAN MICHEL MOURA DA CAMARA</t>
        </is>
      </c>
      <c r="Q201" s="21" t="inlineStr">
        <is>
          <t>Diretor (RFB partner)</t>
        </is>
      </c>
      <c r="R201" s="21" t="inlineStr"/>
      <c r="S201" s="21" t="inlineStr"/>
      <c r="T201" s="21" t="inlineStr">
        <is>
          <t>RFB partner (QSA); no Apollo match</t>
        </is>
      </c>
      <c r="U201" s="22" t="n">
        <v>1332074.41</v>
      </c>
      <c r="V201" s="23" t="inlineStr">
        <is>
          <t>B</t>
        </is>
      </c>
      <c r="W201" s="24">
        <f>IFERROR(VLOOKUP(V201,Assumptions!$A$7:$F$11,2,FALSE),0)</f>
        <v/>
      </c>
      <c r="X201" s="25">
        <f>IF(V201="A",MAX(1,IFERROR(VLOOKUP(V201,Assumptions!$A$7:$F$11,3,FALSE),3)+IFERROR(VLOOKUP(V201,Assumptions!$A$7:$F$11,4,FALSE),8)/2-MAX(0,IF(AO201="",0,YEAR(TODAY())-AO201)-IFERROR(VLOOKUP(V201,Assumptions!$A$7:$F$11,5,FALSE),1.5))),IFERROR(VLOOKUP(V201,Assumptions!$A$7:$F$11,5,FALSE),2.5)+IFERROR(VLOOKUP(V201,Assumptions!$A$7:$F$11,3,FALSE),3)+IFERROR(VLOOKUP(V201,Assumptions!$A$7:$F$11,4,FALSE),8)/2)</f>
        <v/>
      </c>
      <c r="Y201" s="22">
        <f>U201*W201/(1+Assumptions!$B$3)^X201</f>
        <v/>
      </c>
      <c r="Z201" s="26">
        <f>IF(U201=0,"",ROUND(Y201/U201*100,1))</f>
        <v/>
      </c>
      <c r="AA201" s="27">
        <f>Y201*Assumptions!$B$4</f>
        <v/>
      </c>
      <c r="AB201" s="26">
        <f>IF(U201=0,"",ROUND(AA201/U201*100,1))</f>
        <v/>
      </c>
      <c r="AC201" s="27">
        <f>Y201-AA201</f>
        <v/>
      </c>
      <c r="AD201" s="26">
        <f>IF(U201=0,"",ROUND((Y201-AA201)/U201*100,1))</f>
        <v/>
      </c>
      <c r="AE201" s="34" t="inlineStr">
        <is>
          <t>PARTIAL — class III reconciled, other classes not</t>
        </is>
      </c>
      <c r="AF201" s="29" t="inlineStr">
        <is>
          <t>https://marquesadmjudicial.com.br/sgc/download.php?file=files/processo_documento/processo_documento17040729052024_1_.pdf&amp;nome=Relação Nominal de Credores AJ-Sintética</t>
        </is>
      </c>
      <c r="AG201" s="28" t="inlineStr">
        <is>
          <t>p10 r7</t>
        </is>
      </c>
      <c r="AH201" s="28" t="inlineStr">
        <is>
          <t>p10: R$ 1.332.074,41</t>
        </is>
      </c>
      <c r="AI201" s="28" t="inlineStr">
        <is>
          <t>AJ list (art. 7 §2)</t>
        </is>
      </c>
      <c r="AJ201" s="28" t="inlineStr">
        <is>
          <t>2024-05-27</t>
        </is>
      </c>
      <c r="AK201" s="28" t="inlineStr">
        <is>
          <t>NONE FOUND</t>
        </is>
      </c>
      <c r="AL201" s="30" t="inlineStr">
        <is>
          <t>0003971-03.2023.8.16.0119</t>
        </is>
      </c>
      <c r="AM201" s="30" t="inlineStr">
        <is>
          <t>TJPR</t>
        </is>
      </c>
      <c r="AN201" s="30" t="inlineStr">
        <is>
          <t>ACTIVE</t>
        </is>
      </c>
      <c r="AO201" s="30" t="n">
        <v>2023</v>
      </c>
      <c r="AP201" s="30" t="inlineStr">
        <is>
          <t>live case, no plan document yet</t>
        </is>
      </c>
      <c r="AQ201" s="30" t="inlineStr">
        <is>
          <t>11.624.776/0001-07</t>
        </is>
      </c>
      <c r="AR201" s="30" t="inlineStr">
        <is>
          <t>printed on the list (read twice)</t>
        </is>
      </c>
      <c r="AS201" s="30" t="inlineStr">
        <is>
          <t>BRASILIA</t>
        </is>
      </c>
      <c r="AT201" s="30" t="inlineStr">
        <is>
          <t>DF</t>
        </is>
      </c>
      <c r="AU201" s="30" t="inlineStr">
        <is>
          <t>Administração de consórcios para aquisição de bens e direitos</t>
        </is>
      </c>
      <c r="AV201" s="30" t="inlineStr">
        <is>
          <t>DEMAIS</t>
        </is>
      </c>
      <c r="AW201" s="31" t="n">
        <v>727543400</v>
      </c>
      <c r="AX201" s="30" t="inlineStr">
        <is>
          <t>LARGE CORP</t>
        </is>
      </c>
      <c r="AY201" s="30" t="inlineStr">
        <is>
          <t>06043050</t>
        </is>
      </c>
      <c r="AZ201" s="30" t="n">
        <v>1</v>
      </c>
      <c r="BA201" s="30" t="inlineStr">
        <is>
          <t>PARTIAL_DOC_CLASS_III_RECONCILED ROWS:p10r7</t>
        </is>
      </c>
    </row>
    <row r="202">
      <c r="A202" s="16" t="inlineStr">
        <is>
          <t>BANCO DO BRASIL SA</t>
        </is>
      </c>
      <c r="B202" s="17" t="n">
        <v>5148206.49</v>
      </c>
      <c r="C202" s="18" t="inlineStr">
        <is>
          <t>CREDIMÓVEIS NOVOLAR LTDA.</t>
        </is>
      </c>
      <c r="D202" s="19" t="inlineStr">
        <is>
          <t>NEW</t>
        </is>
      </c>
      <c r="E202" s="20" t="inlineStr"/>
      <c r="F202" s="19" t="inlineStr"/>
      <c r="G202" s="20" t="inlineStr"/>
      <c r="H202" s="19" t="inlineStr"/>
      <c r="I202" s="21" t="inlineStr">
        <is>
          <t>Thiago Cavichioli</t>
        </is>
      </c>
      <c r="J202" s="21" t="inlineStr">
        <is>
          <t>Gerente de Cobrança e Recuperação de Crédito</t>
        </is>
      </c>
      <c r="K202" s="21" t="inlineStr">
        <is>
          <t>(61) 3493-9002</t>
        </is>
      </c>
      <c r="L202" s="21" t="inlineStr"/>
      <c r="M202" s="21" t="inlineStr"/>
      <c r="N202" s="21" t="inlineStr">
        <is>
          <t>thiago.cavichioli@bb.com.br</t>
        </is>
      </c>
      <c r="O202" s="21" t="inlineStr">
        <is>
          <t>suelenmondador@bb.com.br</t>
        </is>
      </c>
      <c r="P202" s="21" t="inlineStr">
        <is>
          <t>Suelen Mondador</t>
        </is>
      </c>
      <c r="Q202" s="21" t="inlineStr">
        <is>
          <t>Gerente Especialista em Recuperação de Crédito</t>
        </is>
      </c>
      <c r="R202" s="21" t="inlineStr"/>
      <c r="S202" s="21" t="inlineStr">
        <is>
          <t>suelenmondador@bb.com.br</t>
        </is>
      </c>
      <c r="T202" s="21" t="inlineStr">
        <is>
          <t>email verified by Apollo</t>
        </is>
      </c>
      <c r="U202" s="22" t="n">
        <v>5148206.49</v>
      </c>
      <c r="V202" s="38" t="inlineStr">
        <is>
          <t>C</t>
        </is>
      </c>
      <c r="W202" s="24">
        <f>IFERROR(VLOOKUP(V202,Assumptions!$A$7:$F$11,2,FALSE),0)</f>
        <v/>
      </c>
      <c r="X202" s="25">
        <f>IF(V202="A",MAX(1,IFERROR(VLOOKUP(V202,Assumptions!$A$7:$F$11,3,FALSE),3)+IFERROR(VLOOKUP(V202,Assumptions!$A$7:$F$11,4,FALSE),8)/2-MAX(0,IF(AO202="",0,YEAR(TODAY())-AO202)-IFERROR(VLOOKUP(V202,Assumptions!$A$7:$F$11,5,FALSE),1.5))),IFERROR(VLOOKUP(V202,Assumptions!$A$7:$F$11,5,FALSE),2.5)+IFERROR(VLOOKUP(V202,Assumptions!$A$7:$F$11,3,FALSE),3)+IFERROR(VLOOKUP(V202,Assumptions!$A$7:$F$11,4,FALSE),8)/2)</f>
        <v/>
      </c>
      <c r="Y202" s="22">
        <f>U202*W202/(1+Assumptions!$B$3)^X202</f>
        <v/>
      </c>
      <c r="Z202" s="26">
        <f>IF(U202=0,"",ROUND(Y202/U202*100,1))</f>
        <v/>
      </c>
      <c r="AA202" s="27">
        <f>Y202*Assumptions!$B$4</f>
        <v/>
      </c>
      <c r="AB202" s="26">
        <f>IF(U202=0,"",ROUND(AA202/U202*100,1))</f>
        <v/>
      </c>
      <c r="AC202" s="27">
        <f>Y202-AA202</f>
        <v/>
      </c>
      <c r="AD202" s="26">
        <f>IF(U202=0,"",ROUND((Y202-AA202)/U202*100,1))</f>
        <v/>
      </c>
      <c r="AE202" s="28" t="inlineStr">
        <is>
          <t>OK — totals reconciled</t>
        </is>
      </c>
      <c r="AF202" s="29" t="inlineStr">
        <is>
          <t>https://recuperacaojudicial.squarespace.com/s/RJ-Credimoveis-QGC-01082025.pdf</t>
        </is>
      </c>
      <c r="AG202" s="28" t="inlineStr">
        <is>
          <t>p15 r14</t>
        </is>
      </c>
      <c r="AH202" s="28" t="inlineStr">
        <is>
          <t>p15: R$ 5.148.206,49</t>
        </is>
      </c>
      <c r="AI202" s="28" t="inlineStr">
        <is>
          <t>QGC (art. 18)</t>
        </is>
      </c>
      <c r="AJ202" s="28" t="inlineStr">
        <is>
          <t>2026-01-28</t>
        </is>
      </c>
      <c r="AK202" s="28" t="inlineStr">
        <is>
          <t>NONE FOUND</t>
        </is>
      </c>
      <c r="AL202" s="30" t="inlineStr">
        <is>
          <t>0007565-40.2020.8.17.2370</t>
        </is>
      </c>
      <c r="AM202" s="30" t="inlineStr">
        <is>
          <t>TJPE</t>
        </is>
      </c>
      <c r="AN202" s="30" t="inlineStr">
        <is>
          <t>ACTIVE</t>
        </is>
      </c>
      <c r="AO202" s="30" t="n">
        <v>2020</v>
      </c>
      <c r="AP202" s="30" t="inlineStr">
        <is>
          <t>6y since filing, no plan document</t>
        </is>
      </c>
      <c r="AQ202" s="30" t="inlineStr">
        <is>
          <t>09.930.165/0001-37</t>
        </is>
      </c>
      <c r="AR202" s="30" t="inlineStr">
        <is>
          <t>printed on the list (read twice)</t>
        </is>
      </c>
      <c r="AS202" s="30" t="inlineStr">
        <is>
          <t>BRASILIA</t>
        </is>
      </c>
      <c r="AT202" s="30" t="inlineStr">
        <is>
          <t>DF</t>
        </is>
      </c>
      <c r="AU202" s="30" t="inlineStr">
        <is>
          <t>Bancos múltiplos, com carteira comercial</t>
        </is>
      </c>
      <c r="AV202" s="30" t="inlineStr">
        <is>
          <t>DEMAIS</t>
        </is>
      </c>
      <c r="AW202" s="31" t="n">
        <v>120000000000</v>
      </c>
      <c r="AX202" s="30" t="inlineStr">
        <is>
          <t>LARGE CORP</t>
        </is>
      </c>
      <c r="AY202" s="30" t="inlineStr">
        <is>
          <t>00000000</t>
        </is>
      </c>
      <c r="AZ202" s="30" t="n">
        <v>1</v>
      </c>
      <c r="BA202" s="30" t="inlineStr">
        <is>
          <t>ROWS:p15r14</t>
        </is>
      </c>
    </row>
    <row r="203">
      <c r="A203" s="16" t="inlineStr">
        <is>
          <t>BANCO C6 S.A.</t>
        </is>
      </c>
      <c r="B203" s="17" t="n">
        <v>1260000</v>
      </c>
      <c r="C203" s="18" t="inlineStr">
        <is>
          <t>VENEZA SERVIÇOS ADMINISTRATIVOS LTDA.</t>
        </is>
      </c>
      <c r="D203" s="19" t="inlineStr">
        <is>
          <t>NEW</t>
        </is>
      </c>
      <c r="E203" s="20" t="inlineStr"/>
      <c r="F203" s="19" t="inlineStr"/>
      <c r="G203" s="20" t="inlineStr"/>
      <c r="H203" s="19" t="inlineStr"/>
      <c r="I203" s="21" t="inlineStr">
        <is>
          <t>Camilla Moriki</t>
        </is>
      </c>
      <c r="J203" s="21" t="inlineStr">
        <is>
          <t>Gerente de Recuperação de Crédito | Reestruturação - Atacado</t>
        </is>
      </c>
      <c r="K203" s="21" t="inlineStr">
        <is>
          <t>(11) 2832-6000</t>
        </is>
      </c>
      <c r="L203" s="21" t="inlineStr"/>
      <c r="M203" s="21" t="inlineStr"/>
      <c r="N203" s="21" t="inlineStr">
        <is>
          <t>camilla.moriki@c6bank.com</t>
        </is>
      </c>
      <c r="O203" s="21" t="inlineStr">
        <is>
          <t>kevin.santana@c6bank.com</t>
        </is>
      </c>
      <c r="P203" s="21" t="inlineStr">
        <is>
          <t>Kevin Santana</t>
        </is>
      </c>
      <c r="Q203" s="21" t="inlineStr">
        <is>
          <t>Gerente de Estratégia de Recuperação de Crédito</t>
        </is>
      </c>
      <c r="R203" s="21" t="inlineStr"/>
      <c r="S203" s="21" t="inlineStr">
        <is>
          <t>kevin.santana@c6bank.com</t>
        </is>
      </c>
      <c r="T203" s="21" t="inlineStr">
        <is>
          <t>email verified by Apollo</t>
        </is>
      </c>
      <c r="U203" s="22" t="n">
        <v>1260000</v>
      </c>
      <c r="V203" s="23" t="inlineStr">
        <is>
          <t>B</t>
        </is>
      </c>
      <c r="W203" s="24">
        <f>IFERROR(VLOOKUP(V203,Assumptions!$A$7:$F$11,2,FALSE),0)</f>
        <v/>
      </c>
      <c r="X203" s="25">
        <f>IF(V203="A",MAX(1,IFERROR(VLOOKUP(V203,Assumptions!$A$7:$F$11,3,FALSE),3)+IFERROR(VLOOKUP(V203,Assumptions!$A$7:$F$11,4,FALSE),8)/2-MAX(0,IF(AO203="",0,YEAR(TODAY())-AO203)-IFERROR(VLOOKUP(V203,Assumptions!$A$7:$F$11,5,FALSE),1.5))),IFERROR(VLOOKUP(V203,Assumptions!$A$7:$F$11,5,FALSE),2.5)+IFERROR(VLOOKUP(V203,Assumptions!$A$7:$F$11,3,FALSE),3)+IFERROR(VLOOKUP(V203,Assumptions!$A$7:$F$11,4,FALSE),8)/2)</f>
        <v/>
      </c>
      <c r="Y203" s="22">
        <f>U203*W203/(1+Assumptions!$B$3)^X203</f>
        <v/>
      </c>
      <c r="Z203" s="26">
        <f>IF(U203=0,"",ROUND(Y203/U203*100,1))</f>
        <v/>
      </c>
      <c r="AA203" s="27">
        <f>Y203*Assumptions!$B$4</f>
        <v/>
      </c>
      <c r="AB203" s="26">
        <f>IF(U203=0,"",ROUND(AA203/U203*100,1))</f>
        <v/>
      </c>
      <c r="AC203" s="27">
        <f>Y203-AA203</f>
        <v/>
      </c>
      <c r="AD203" s="26">
        <f>IF(U203=0,"",ROUND((Y203-AA203)/U203*100,1))</f>
        <v/>
      </c>
      <c r="AE203" s="28" t="inlineStr">
        <is>
          <t>OK — totals reconciled</t>
        </is>
      </c>
      <c r="AF203" s="29" t="inlineStr">
        <is>
          <t>https://bugarimecoelho.com.br/ws/media-library/b6b7ea42b9fa2afe30bc728fe00cd5c6/07---edital-do-processamento-da-recuperacao-judicial.pdf</t>
        </is>
      </c>
      <c r="AG203" s="28" t="inlineStr">
        <is>
          <t>p16 r5</t>
        </is>
      </c>
      <c r="AH203" s="28" t="inlineStr">
        <is>
          <t>p16: R$ 1.260.000,00</t>
        </is>
      </c>
      <c r="AI203" s="28" t="inlineStr">
        <is>
          <t>Unclassified list</t>
        </is>
      </c>
      <c r="AJ203" s="28" t="inlineStr">
        <is>
          <t>2026-07-09</t>
        </is>
      </c>
      <c r="AK203" s="28" t="inlineStr">
        <is>
          <t>NONE FOUND</t>
        </is>
      </c>
      <c r="AL203" s="30" t="inlineStr">
        <is>
          <t>3000117-40.2025.8.06.0512</t>
        </is>
      </c>
      <c r="AM203" s="30" t="inlineStr">
        <is>
          <t>TJCE</t>
        </is>
      </c>
      <c r="AN203" s="30" t="inlineStr">
        <is>
          <t>ACTIVE</t>
        </is>
      </c>
      <c r="AO203" s="30" t="n">
        <v>2025</v>
      </c>
      <c r="AP203" s="30" t="inlineStr">
        <is>
          <t>live case, no plan document yet</t>
        </is>
      </c>
      <c r="AQ203" s="30" t="inlineStr">
        <is>
          <t>11.399.787/0001-22</t>
        </is>
      </c>
      <c r="AR203" s="30" t="inlineStr">
        <is>
          <t>printed on the list (read twice)</t>
        </is>
      </c>
      <c r="AS203" s="30" t="inlineStr">
        <is>
          <t>SAO PAULO</t>
        </is>
      </c>
      <c r="AT203" s="30" t="inlineStr">
        <is>
          <t>SP</t>
        </is>
      </c>
      <c r="AU203" s="30" t="inlineStr">
        <is>
          <t>Bancos múltiplos, com carteira comercial</t>
        </is>
      </c>
      <c r="AV203" s="30" t="inlineStr">
        <is>
          <t>DEMAIS</t>
        </is>
      </c>
      <c r="AW203" s="31" t="n">
        <v>1131957000</v>
      </c>
      <c r="AX203" s="30" t="inlineStr">
        <is>
          <t>LARGE CORP</t>
        </is>
      </c>
      <c r="AY203" s="30" t="inlineStr">
        <is>
          <t>31872495</t>
        </is>
      </c>
      <c r="AZ203" s="30" t="n">
        <v>1</v>
      </c>
      <c r="BA203" s="30" t="inlineStr">
        <is>
          <t>LIKELY_FINANCIAL_BY_NAME ROWS:p16r5</t>
        </is>
      </c>
    </row>
    <row r="204">
      <c r="A204" s="16" t="inlineStr">
        <is>
          <t>COOPERATIVA DE CREDITO DE LIVRE ADMISSAO DE ASSOCIADOS DO ALTO URUGUAI CATARINENSE - SICOOB - CREDIAUC/SC</t>
        </is>
      </c>
      <c r="B204" s="17" t="n">
        <v>1259657.63</v>
      </c>
      <c r="C204" s="18" t="inlineStr">
        <is>
          <t>GRUPO CASAS BAHIA S.A.</t>
        </is>
      </c>
      <c r="D204" s="19" t="inlineStr">
        <is>
          <t>NEW</t>
        </is>
      </c>
      <c r="E204" s="20" t="inlineStr"/>
      <c r="F204" s="19" t="inlineStr"/>
      <c r="G204" s="20" t="inlineStr"/>
      <c r="H204" s="19" t="inlineStr"/>
      <c r="I204" s="21" t="inlineStr">
        <is>
          <t>Simone Grando</t>
        </is>
      </c>
      <c r="J204" s="21" t="inlineStr">
        <is>
          <t>Superintedente de Ciclo de Crédito</t>
        </is>
      </c>
      <c r="K204" s="21" t="inlineStr"/>
      <c r="L204" s="21" t="inlineStr"/>
      <c r="M204" s="21" t="inlineStr"/>
      <c r="N204" s="21" t="inlineStr"/>
      <c r="O204" s="21" t="inlineStr"/>
      <c r="P204" s="21" t="inlineStr">
        <is>
          <t>Lauro Donadel</t>
        </is>
      </c>
      <c r="Q204" s="21" t="inlineStr">
        <is>
          <t>Especialista de Recuperação de Ativo</t>
        </is>
      </c>
      <c r="R204" s="21" t="inlineStr"/>
      <c r="S204" s="21" t="inlineStr"/>
      <c r="T204" s="21" t="inlineStr">
        <is>
          <t>no work email found in Apollo</t>
        </is>
      </c>
      <c r="U204" s="22" t="n">
        <v>1259657.63</v>
      </c>
      <c r="V204" s="23" t="inlineStr">
        <is>
          <t>B</t>
        </is>
      </c>
      <c r="W204" s="24">
        <f>IFERROR(VLOOKUP(V204,Assumptions!$A$7:$F$11,2,FALSE),0)</f>
        <v/>
      </c>
      <c r="X204" s="25">
        <f>IF(V204="A",MAX(1,IFERROR(VLOOKUP(V204,Assumptions!$A$7:$F$11,3,FALSE),3)+IFERROR(VLOOKUP(V204,Assumptions!$A$7:$F$11,4,FALSE),8)/2-MAX(0,IF(AO204="",0,YEAR(TODAY())-AO204)-IFERROR(VLOOKUP(V204,Assumptions!$A$7:$F$11,5,FALSE),1.5))),IFERROR(VLOOKUP(V204,Assumptions!$A$7:$F$11,5,FALSE),2.5)+IFERROR(VLOOKUP(V204,Assumptions!$A$7:$F$11,3,FALSE),3)+IFERROR(VLOOKUP(V204,Assumptions!$A$7:$F$11,4,FALSE),8)/2)</f>
        <v/>
      </c>
      <c r="Y204" s="22">
        <f>U204*W204/(1+Assumptions!$B$3)^X204</f>
        <v/>
      </c>
      <c r="Z204" s="26">
        <f>IF(U204=0,"",ROUND(Y204/U204*100,1))</f>
        <v/>
      </c>
      <c r="AA204" s="27">
        <f>Y204*Assumptions!$B$4</f>
        <v/>
      </c>
      <c r="AB204" s="26">
        <f>IF(U204=0,"",ROUND(AA204/U204*100,1))</f>
        <v/>
      </c>
      <c r="AC204" s="27">
        <f>Y204-AA204</f>
        <v/>
      </c>
      <c r="AD204" s="26">
        <f>IF(U204=0,"",ROUND((Y204-AA204)/U204*100,1))</f>
        <v/>
      </c>
      <c r="AE204" s="33" t="inlineStr">
        <is>
          <t>NO TOTALS — list prints none; check page</t>
        </is>
      </c>
      <c r="AF204" s="29" t="inlineStr">
        <is>
          <t>https://scalzilliaj.com.br/sgc/download.php?file=files/processo_documento/processo_documento15180810062026_1_.pdf&amp;nome=10 - Relação de credores do art. 7º, §2º, da Lei 11.101/2005</t>
        </is>
      </c>
      <c r="AG204" s="28" t="inlineStr">
        <is>
          <t>p1 r37; p2 r34</t>
        </is>
      </c>
      <c r="AH204" s="28" t="inlineStr">
        <is>
          <t>p1: R$ 284.215,97; p2: R$ 975.441,66</t>
        </is>
      </c>
      <c r="AI204" s="28" t="inlineStr">
        <is>
          <t>AJ list (art. 7 §2)</t>
        </is>
      </c>
      <c r="AJ204" s="28" t="inlineStr"/>
      <c r="AK204" s="28" t="inlineStr">
        <is>
          <t>NONE FOUND</t>
        </is>
      </c>
      <c r="AL204" s="30" t="inlineStr">
        <is>
          <t>5009529-81.2025.8.24.0019</t>
        </is>
      </c>
      <c r="AM204" s="30" t="inlineStr">
        <is>
          <t>TJSC</t>
        </is>
      </c>
      <c r="AN204" s="30" t="inlineStr"/>
      <c r="AO204" s="30" t="n">
        <v>2025</v>
      </c>
      <c r="AP204" s="30" t="inlineStr">
        <is>
          <t>live case, no plan document yet</t>
        </is>
      </c>
      <c r="AQ204" s="30" t="inlineStr">
        <is>
          <t>33.041.260/0652-90</t>
        </is>
      </c>
      <c r="AR204" s="30" t="inlineStr">
        <is>
          <t>registry (RFB) match</t>
        </is>
      </c>
      <c r="AS204" s="30" t="inlineStr"/>
      <c r="AT204" s="30" t="inlineStr"/>
      <c r="AU204" s="30" t="inlineStr"/>
      <c r="AV204" s="30" t="inlineStr"/>
      <c r="AW204" s="31" t="inlineStr"/>
      <c r="AX204" s="30" t="inlineStr">
        <is>
          <t>MID-MARKET</t>
        </is>
      </c>
      <c r="AY204" s="30" t="inlineStr">
        <is>
          <t>78840071</t>
        </is>
      </c>
      <c r="AZ204" s="30" t="n">
        <v>2</v>
      </c>
      <c r="BA204" s="30" t="inlineStr">
        <is>
          <t>LIKELY_FINANCIAL_BY_NAME ROWS:p1r37,p2r34 UNRECONCILED_SOURCE VALUE_COL:Valor_(Art._7º,_§2º)</t>
        </is>
      </c>
    </row>
    <row r="205">
      <c r="A205" s="16" t="inlineStr">
        <is>
          <t>BANCO DO NORDESTE DO BRASIL SA</t>
        </is>
      </c>
      <c r="B205" s="17" t="n">
        <v>4771560.11</v>
      </c>
      <c r="C205" s="18" t="inlineStr">
        <is>
          <t>Roque Materiais para Construção</t>
        </is>
      </c>
      <c r="D205" s="19" t="inlineStr">
        <is>
          <t>NEW</t>
        </is>
      </c>
      <c r="E205" s="20" t="inlineStr"/>
      <c r="F205" s="19" t="inlineStr"/>
      <c r="G205" s="20" t="inlineStr"/>
      <c r="H205" s="19" t="inlineStr"/>
      <c r="I205" s="21" t="inlineStr">
        <is>
          <t>Layslan Medeiros</t>
        </is>
      </c>
      <c r="J205" s="21" t="inlineStr">
        <is>
          <t>Gerente Executivo Operacional e de Recuperação de Crédito</t>
        </is>
      </c>
      <c r="K205" s="21" t="inlineStr">
        <is>
          <t>(85) 3299-3000</t>
        </is>
      </c>
      <c r="L205" s="21" t="inlineStr"/>
      <c r="M205" s="21" t="inlineStr"/>
      <c r="N205" s="21" t="inlineStr"/>
      <c r="O205" s="21" t="inlineStr">
        <is>
          <t>alexsander@bnb.gov.br</t>
        </is>
      </c>
      <c r="P205" s="21" t="inlineStr">
        <is>
          <t>Alexsander Farias</t>
        </is>
      </c>
      <c r="Q205" s="21" t="inlineStr">
        <is>
          <t>Gerente de Recuperação de Crédito</t>
        </is>
      </c>
      <c r="R205" s="21" t="inlineStr"/>
      <c r="S205" s="21" t="inlineStr">
        <is>
          <t>alexsander@bnb.gov.br</t>
        </is>
      </c>
      <c r="T205" s="21" t="inlineStr">
        <is>
          <t>no work email found in Apollo</t>
        </is>
      </c>
      <c r="U205" s="22" t="n">
        <v>4771560.11</v>
      </c>
      <c r="V205" s="38" t="inlineStr">
        <is>
          <t>C</t>
        </is>
      </c>
      <c r="W205" s="24">
        <f>IFERROR(VLOOKUP(V205,Assumptions!$A$7:$F$11,2,FALSE),0)</f>
        <v/>
      </c>
      <c r="X205" s="25">
        <f>IF(V205="A",MAX(1,IFERROR(VLOOKUP(V205,Assumptions!$A$7:$F$11,3,FALSE),3)+IFERROR(VLOOKUP(V205,Assumptions!$A$7:$F$11,4,FALSE),8)/2-MAX(0,IF(AO205="",0,YEAR(TODAY())-AO205)-IFERROR(VLOOKUP(V205,Assumptions!$A$7:$F$11,5,FALSE),1.5))),IFERROR(VLOOKUP(V205,Assumptions!$A$7:$F$11,5,FALSE),2.5)+IFERROR(VLOOKUP(V205,Assumptions!$A$7:$F$11,3,FALSE),3)+IFERROR(VLOOKUP(V205,Assumptions!$A$7:$F$11,4,FALSE),8)/2)</f>
        <v/>
      </c>
      <c r="Y205" s="22">
        <f>U205*W205/(1+Assumptions!$B$3)^X205</f>
        <v/>
      </c>
      <c r="Z205" s="26">
        <f>IF(U205=0,"",ROUND(Y205/U205*100,1))</f>
        <v/>
      </c>
      <c r="AA205" s="27">
        <f>Y205*Assumptions!$B$4</f>
        <v/>
      </c>
      <c r="AB205" s="26">
        <f>IF(U205=0,"",ROUND(AA205/U205*100,1))</f>
        <v/>
      </c>
      <c r="AC205" s="27">
        <f>Y205-AA205</f>
        <v/>
      </c>
      <c r="AD205" s="26">
        <f>IF(U205=0,"",ROUND((Y205-AA205)/U205*100,1))</f>
        <v/>
      </c>
      <c r="AE205" s="28" t="inlineStr">
        <is>
          <t>OK — totals reconciled</t>
        </is>
      </c>
      <c r="AF205" s="29" t="inlineStr">
        <is>
          <t>https://realbrasil.com.br/wp-content/uploads/2018/06/2_LISTA-DE-CREDORES-DA-RECUPERANDA_ROQUE.pdf</t>
        </is>
      </c>
      <c r="AG205" s="28" t="inlineStr">
        <is>
          <t>p2 r1</t>
        </is>
      </c>
      <c r="AH205" s="28" t="inlineStr">
        <is>
          <t>p2: R$ 4.771.560,11</t>
        </is>
      </c>
      <c r="AI205" s="28" t="inlineStr">
        <is>
          <t>Unclassified list</t>
        </is>
      </c>
      <c r="AJ205" s="28" t="inlineStr"/>
      <c r="AK205" s="28" t="inlineStr">
        <is>
          <t>NONE FOUND</t>
        </is>
      </c>
      <c r="AL205" s="30" t="inlineStr">
        <is>
          <t>0802426-35.2019.8.10.0000</t>
        </is>
      </c>
      <c r="AM205" s="30" t="inlineStr">
        <is>
          <t>TJMA</t>
        </is>
      </c>
      <c r="AN205" s="30" t="inlineStr"/>
      <c r="AO205" s="30" t="n">
        <v>2019</v>
      </c>
      <c r="AP205" s="30" t="inlineStr">
        <is>
          <t>7y since filing, no plan document</t>
        </is>
      </c>
      <c r="AQ205" s="30" t="inlineStr"/>
      <c r="AR205" s="30" t="inlineStr">
        <is>
          <t>portal page title / URL — not printed on the list</t>
        </is>
      </c>
      <c r="AS205" s="30" t="inlineStr">
        <is>
          <t>FORTALEZA</t>
        </is>
      </c>
      <c r="AT205" s="30" t="inlineStr">
        <is>
          <t>CE</t>
        </is>
      </c>
      <c r="AU205" s="30" t="inlineStr">
        <is>
          <t>Bancos múltiplos, com carteira comercial</t>
        </is>
      </c>
      <c r="AV205" s="30" t="inlineStr">
        <is>
          <t>DEMAIS</t>
        </is>
      </c>
      <c r="AW205" s="31" t="n">
        <v>15139032000</v>
      </c>
      <c r="AX205" s="30" t="inlineStr">
        <is>
          <t>LARGE CORP</t>
        </is>
      </c>
      <c r="AY205" s="30" t="inlineStr">
        <is>
          <t>07237373</t>
        </is>
      </c>
      <c r="AZ205" s="30" t="n">
        <v>1</v>
      </c>
      <c r="BA205" s="30" t="inlineStr">
        <is>
          <t>ROWS:p2r1 VALUE_COL:Saldo_Total</t>
        </is>
      </c>
    </row>
    <row r="206">
      <c r="A206" s="16" t="inlineStr">
        <is>
          <t>Gavea Open Fundo De Investimento Em Direitos Creditorios</t>
        </is>
      </c>
      <c r="B206" s="17" t="n">
        <v>1218763.3</v>
      </c>
      <c r="C206" s="18" t="inlineStr">
        <is>
          <t>Grupo Agromeal</t>
        </is>
      </c>
      <c r="D206" s="19" t="inlineStr">
        <is>
          <t>NEW</t>
        </is>
      </c>
      <c r="E206" s="20" t="inlineStr"/>
      <c r="F206" s="19" t="inlineStr"/>
      <c r="G206" s="20" t="inlineStr"/>
      <c r="H206" s="19" t="inlineStr"/>
      <c r="I206" s="21" t="inlineStr">
        <is>
          <t>Guilherme Serrano</t>
        </is>
      </c>
      <c r="J206" s="21" t="inlineStr">
        <is>
          <t>Risk and Operations Analyst</t>
        </is>
      </c>
      <c r="K206" s="21" t="inlineStr"/>
      <c r="L206" s="21" t="inlineStr"/>
      <c r="M206" s="21" t="inlineStr"/>
      <c r="N206" s="21" t="inlineStr">
        <is>
          <t>gserrano@gaveainvest.com.br</t>
        </is>
      </c>
      <c r="O206" s="21" t="inlineStr"/>
      <c r="P206" s="21" t="inlineStr"/>
      <c r="Q206" s="21" t="inlineStr"/>
      <c r="R206" s="21" t="inlineStr"/>
      <c r="S206" s="21" t="inlineStr"/>
      <c r="T206" s="21" t="inlineStr">
        <is>
          <t>email is pattern-guessed, not verified</t>
        </is>
      </c>
      <c r="U206" s="22" t="n">
        <v>1218763.3</v>
      </c>
      <c r="V206" s="23" t="inlineStr">
        <is>
          <t>B</t>
        </is>
      </c>
      <c r="W206" s="24">
        <f>IFERROR(VLOOKUP(V206,Assumptions!$A$7:$F$11,2,FALSE),0)</f>
        <v/>
      </c>
      <c r="X206" s="25">
        <f>IF(V206="A",MAX(1,IFERROR(VLOOKUP(V206,Assumptions!$A$7:$F$11,3,FALSE),3)+IFERROR(VLOOKUP(V206,Assumptions!$A$7:$F$11,4,FALSE),8)/2-MAX(0,IF(AO206="",0,YEAR(TODAY())-AO206)-IFERROR(VLOOKUP(V206,Assumptions!$A$7:$F$11,5,FALSE),1.5))),IFERROR(VLOOKUP(V206,Assumptions!$A$7:$F$11,5,FALSE),2.5)+IFERROR(VLOOKUP(V206,Assumptions!$A$7:$F$11,3,FALSE),3)+IFERROR(VLOOKUP(V206,Assumptions!$A$7:$F$11,4,FALSE),8)/2)</f>
        <v/>
      </c>
      <c r="Y206" s="22">
        <f>U206*W206/(1+Assumptions!$B$3)^X206</f>
        <v/>
      </c>
      <c r="Z206" s="26">
        <f>IF(U206=0,"",ROUND(Y206/U206*100,1))</f>
        <v/>
      </c>
      <c r="AA206" s="27">
        <f>Y206*Assumptions!$B$4</f>
        <v/>
      </c>
      <c r="AB206" s="26">
        <f>IF(U206=0,"",ROUND(AA206/U206*100,1))</f>
        <v/>
      </c>
      <c r="AC206" s="27">
        <f>Y206-AA206</f>
        <v/>
      </c>
      <c r="AD206" s="26">
        <f>IF(U206=0,"",ROUND((Y206-AA206)/U206*100,1))</f>
        <v/>
      </c>
      <c r="AE206" s="34" t="inlineStr">
        <is>
          <t>PARTIAL — class III reconciled, other classes not</t>
        </is>
      </c>
      <c r="AF206" s="29" t="inlineStr">
        <is>
          <t>https://marquesadmjudicial.com.br/sgc/download.php?file=files/processo_documento/processo_documento17040729052024_1_.pdf&amp;nome=Relação Nominal de Credores AJ-Sintética</t>
        </is>
      </c>
      <c r="AG206" s="28" t="inlineStr">
        <is>
          <t>p11 r10</t>
        </is>
      </c>
      <c r="AH206" s="28" t="inlineStr">
        <is>
          <t>p11: R$ 1.218.763,30</t>
        </is>
      </c>
      <c r="AI206" s="28" t="inlineStr">
        <is>
          <t>AJ list (art. 7 §2)</t>
        </is>
      </c>
      <c r="AJ206" s="28" t="inlineStr">
        <is>
          <t>2024-05-27</t>
        </is>
      </c>
      <c r="AK206" s="28" t="inlineStr">
        <is>
          <t>NONE FOUND</t>
        </is>
      </c>
      <c r="AL206" s="30" t="inlineStr">
        <is>
          <t>0003971-03.2023.8.16.0119</t>
        </is>
      </c>
      <c r="AM206" s="30" t="inlineStr">
        <is>
          <t>TJPR</t>
        </is>
      </c>
      <c r="AN206" s="30" t="inlineStr">
        <is>
          <t>ACTIVE</t>
        </is>
      </c>
      <c r="AO206" s="30" t="n">
        <v>2023</v>
      </c>
      <c r="AP206" s="30" t="inlineStr">
        <is>
          <t>live case, no plan document yet</t>
        </is>
      </c>
      <c r="AQ206" s="30" t="inlineStr">
        <is>
          <t>11.624.776/0001-07</t>
        </is>
      </c>
      <c r="AR206" s="30" t="inlineStr">
        <is>
          <t>printed on the list (read twice)</t>
        </is>
      </c>
      <c r="AS206" s="30" t="inlineStr"/>
      <c r="AT206" s="30" t="inlineStr"/>
      <c r="AU206" s="30" t="inlineStr"/>
      <c r="AV206" s="30" t="inlineStr"/>
      <c r="AW206" s="31" t="inlineStr"/>
      <c r="AX206" s="30" t="inlineStr">
        <is>
          <t>MID-MARKET</t>
        </is>
      </c>
      <c r="AY206" s="30" t="inlineStr">
        <is>
          <t>31024386</t>
        </is>
      </c>
      <c r="AZ206" s="30" t="n">
        <v>1</v>
      </c>
      <c r="BA206" s="30" t="inlineStr">
        <is>
          <t>LIKELY_FINANCIAL_BY_NAME PARTIAL_DOC_CLASS_III_RECONCILED ROWS:p11r10</t>
        </is>
      </c>
    </row>
    <row r="207">
      <c r="A207" s="16" t="inlineStr">
        <is>
          <t>BRADESCO SAUDE S/A</t>
        </is>
      </c>
      <c r="B207" s="17" t="n">
        <v>1213228.4</v>
      </c>
      <c r="C207" s="18" t="inlineStr">
        <is>
          <t>TOP TEXTIL EMBALAGENS LTDA</t>
        </is>
      </c>
      <c r="D207" s="19" t="inlineStr">
        <is>
          <t>NEW</t>
        </is>
      </c>
      <c r="E207" s="20" t="inlineStr"/>
      <c r="F207" s="19" t="inlineStr"/>
      <c r="G207" s="20" t="inlineStr"/>
      <c r="H207" s="19" t="inlineStr"/>
      <c r="I207" s="21" t="inlineStr">
        <is>
          <t>Mariana Sbano</t>
        </is>
      </c>
      <c r="J207" s="21" t="inlineStr">
        <is>
          <t>Legal Coordinator</t>
        </is>
      </c>
      <c r="K207" s="21" t="inlineStr">
        <is>
          <t>(21) 2503-1111</t>
        </is>
      </c>
      <c r="L207" s="21" t="inlineStr"/>
      <c r="M207" s="21" t="inlineStr"/>
      <c r="N207" s="21" t="inlineStr"/>
      <c r="O207" s="21" t="inlineStr">
        <is>
          <t>carla.cordeiro@bradescosaude.com.br</t>
        </is>
      </c>
      <c r="P207" s="21" t="inlineStr">
        <is>
          <t>Carla Cordeiro</t>
        </is>
      </c>
      <c r="Q207" s="21" t="inlineStr">
        <is>
          <t>Suporte Jurídico</t>
        </is>
      </c>
      <c r="R207" s="21" t="inlineStr"/>
      <c r="S207" s="21" t="inlineStr">
        <is>
          <t>carla.cordeiro@bradescosaude.com.br</t>
        </is>
      </c>
      <c r="T207" s="21" t="inlineStr">
        <is>
          <t>no work email found in Apollo</t>
        </is>
      </c>
      <c r="U207" s="22" t="n">
        <v>1213228.4</v>
      </c>
      <c r="V207" s="23" t="inlineStr">
        <is>
          <t>B</t>
        </is>
      </c>
      <c r="W207" s="24">
        <f>IFERROR(VLOOKUP(V207,Assumptions!$A$7:$F$11,2,FALSE),0)</f>
        <v/>
      </c>
      <c r="X207" s="25">
        <f>IF(V207="A",MAX(1,IFERROR(VLOOKUP(V207,Assumptions!$A$7:$F$11,3,FALSE),3)+IFERROR(VLOOKUP(V207,Assumptions!$A$7:$F$11,4,FALSE),8)/2-MAX(0,IF(AO207="",0,YEAR(TODAY())-AO207)-IFERROR(VLOOKUP(V207,Assumptions!$A$7:$F$11,5,FALSE),1.5))),IFERROR(VLOOKUP(V207,Assumptions!$A$7:$F$11,5,FALSE),2.5)+IFERROR(VLOOKUP(V207,Assumptions!$A$7:$F$11,3,FALSE),3)+IFERROR(VLOOKUP(V207,Assumptions!$A$7:$F$11,4,FALSE),8)/2)</f>
        <v/>
      </c>
      <c r="Y207" s="22">
        <f>U207*W207/(1+Assumptions!$B$3)^X207</f>
        <v/>
      </c>
      <c r="Z207" s="26">
        <f>IF(U207=0,"",ROUND(Y207/U207*100,1))</f>
        <v/>
      </c>
      <c r="AA207" s="27">
        <f>Y207*Assumptions!$B$4</f>
        <v/>
      </c>
      <c r="AB207" s="26">
        <f>IF(U207=0,"",ROUND(AA207/U207*100,1))</f>
        <v/>
      </c>
      <c r="AC207" s="27">
        <f>Y207-AA207</f>
        <v/>
      </c>
      <c r="AD207" s="26">
        <f>IF(U207=0,"",ROUND((Y207-AA207)/U207*100,1))</f>
        <v/>
      </c>
      <c r="AE207" s="33" t="inlineStr">
        <is>
          <t>NO TOTALS — list prints none; check page</t>
        </is>
      </c>
      <c r="AF207" s="29" t="inlineStr">
        <is>
          <t>https://cataliseaj.com.br/sgc/download.php?file=files/processo_documento/processo_documento15092204102024_1_.pdf&amp;nome=02. RELAÇÃO DE CREDORES</t>
        </is>
      </c>
      <c r="AG207" s="28" t="inlineStr">
        <is>
          <t>p2 r12</t>
        </is>
      </c>
      <c r="AH207" s="28" t="inlineStr">
        <is>
          <t>p2: R$ 1.213.228,40</t>
        </is>
      </c>
      <c r="AI207" s="28" t="inlineStr">
        <is>
          <t>Debtor list (art. 51)</t>
        </is>
      </c>
      <c r="AJ207" s="28" t="inlineStr"/>
      <c r="AK207" s="28" t="inlineStr">
        <is>
          <t>NONE FOUND</t>
        </is>
      </c>
      <c r="AL207" s="30" t="inlineStr">
        <is>
          <t>5011460-87.2023.8.24.0020</t>
        </is>
      </c>
      <c r="AM207" s="30" t="inlineStr">
        <is>
          <t>TJSC</t>
        </is>
      </c>
      <c r="AN207" s="30" t="inlineStr">
        <is>
          <t>ACTIVE</t>
        </is>
      </c>
      <c r="AO207" s="30" t="n">
        <v>2023</v>
      </c>
      <c r="AP207" s="30" t="inlineStr">
        <is>
          <t>live case, no plan document yet</t>
        </is>
      </c>
      <c r="AQ207" s="30" t="inlineStr">
        <is>
          <t>26.588.741/0001-29</t>
        </is>
      </c>
      <c r="AR207" s="30" t="inlineStr">
        <is>
          <t>printed on the list (read twice)</t>
        </is>
      </c>
      <c r="AS207" s="30" t="inlineStr">
        <is>
          <t>RIO DE JANEIRO</t>
        </is>
      </c>
      <c r="AT207" s="30" t="inlineStr">
        <is>
          <t>RJ</t>
        </is>
      </c>
      <c r="AU207" s="30" t="inlineStr">
        <is>
          <t>Sociedade seguradora de seguros saúde</t>
        </is>
      </c>
      <c r="AV207" s="30" t="inlineStr">
        <is>
          <t>DEMAIS</t>
        </is>
      </c>
      <c r="AW207" s="31" t="n">
        <v>4400199000</v>
      </c>
      <c r="AX207" s="30" t="inlineStr">
        <is>
          <t>LARGE CORP</t>
        </is>
      </c>
      <c r="AY207" s="30" t="inlineStr">
        <is>
          <t>92693118</t>
        </is>
      </c>
      <c r="AZ207" s="30" t="n">
        <v>1</v>
      </c>
      <c r="BA207" s="30" t="inlineStr">
        <is>
          <t>ROWS:p2r12 UNRECONCILED_SOURCE</t>
        </is>
      </c>
    </row>
    <row r="208">
      <c r="A208" s="16" t="inlineStr">
        <is>
          <t>BANCO DAYCOVAL S.A.</t>
        </is>
      </c>
      <c r="B208" s="17" t="n">
        <v>1201117.72</v>
      </c>
      <c r="C208" s="18" t="inlineStr">
        <is>
          <t>TOP TEXTIL EMBALAGENS LTDA</t>
        </is>
      </c>
      <c r="D208" s="19" t="inlineStr">
        <is>
          <t>NEW</t>
        </is>
      </c>
      <c r="E208" s="20" t="inlineStr"/>
      <c r="F208" s="19" t="inlineStr"/>
      <c r="G208" s="20" t="inlineStr"/>
      <c r="H208" s="19" t="inlineStr"/>
      <c r="I208" s="21" t="inlineStr">
        <is>
          <t>Celso Araujo</t>
        </is>
      </c>
      <c r="J208" s="21" t="inlineStr">
        <is>
          <t>Gerente de Recuperação de Crédito</t>
        </is>
      </c>
      <c r="K208" s="21" t="inlineStr">
        <is>
          <t>(11) 3138-0500</t>
        </is>
      </c>
      <c r="L208" s="21" t="inlineStr"/>
      <c r="M208" s="21" t="inlineStr"/>
      <c r="N208" s="21" t="inlineStr">
        <is>
          <t>celso.araujo@bancodaycoval.com.br</t>
        </is>
      </c>
      <c r="O208" s="21" t="inlineStr">
        <is>
          <t>andreia.matiel@daycoval.com.br</t>
        </is>
      </c>
      <c r="P208" s="21" t="inlineStr">
        <is>
          <t>Andreia Matiel</t>
        </is>
      </c>
      <c r="Q208" s="21" t="inlineStr">
        <is>
          <t>Advogada Recuperação de Crédito Empresas</t>
        </is>
      </c>
      <c r="R208" s="21" t="inlineStr"/>
      <c r="S208" s="21" t="inlineStr">
        <is>
          <t>andreia.matiel@daycoval.com.br</t>
        </is>
      </c>
      <c r="T208" s="21" t="inlineStr">
        <is>
          <t>email verified by Apollo</t>
        </is>
      </c>
      <c r="U208" s="22" t="n">
        <v>1201117.72</v>
      </c>
      <c r="V208" s="23" t="inlineStr">
        <is>
          <t>B</t>
        </is>
      </c>
      <c r="W208" s="24">
        <f>IFERROR(VLOOKUP(V208,Assumptions!$A$7:$F$11,2,FALSE),0)</f>
        <v/>
      </c>
      <c r="X208" s="25">
        <f>IF(V208="A",MAX(1,IFERROR(VLOOKUP(V208,Assumptions!$A$7:$F$11,3,FALSE),3)+IFERROR(VLOOKUP(V208,Assumptions!$A$7:$F$11,4,FALSE),8)/2-MAX(0,IF(AO208="",0,YEAR(TODAY())-AO208)-IFERROR(VLOOKUP(V208,Assumptions!$A$7:$F$11,5,FALSE),1.5))),IFERROR(VLOOKUP(V208,Assumptions!$A$7:$F$11,5,FALSE),2.5)+IFERROR(VLOOKUP(V208,Assumptions!$A$7:$F$11,3,FALSE),3)+IFERROR(VLOOKUP(V208,Assumptions!$A$7:$F$11,4,FALSE),8)/2)</f>
        <v/>
      </c>
      <c r="Y208" s="22">
        <f>U208*W208/(1+Assumptions!$B$3)^X208</f>
        <v/>
      </c>
      <c r="Z208" s="26">
        <f>IF(U208=0,"",ROUND(Y208/U208*100,1))</f>
        <v/>
      </c>
      <c r="AA208" s="27">
        <f>Y208*Assumptions!$B$4</f>
        <v/>
      </c>
      <c r="AB208" s="26">
        <f>IF(U208=0,"",ROUND(AA208/U208*100,1))</f>
        <v/>
      </c>
      <c r="AC208" s="27">
        <f>Y208-AA208</f>
        <v/>
      </c>
      <c r="AD208" s="26">
        <f>IF(U208=0,"",ROUND((Y208-AA208)/U208*100,1))</f>
        <v/>
      </c>
      <c r="AE208" s="33" t="inlineStr">
        <is>
          <t>NO TOTALS — list prints none; check page</t>
        </is>
      </c>
      <c r="AF208" s="29" t="inlineStr">
        <is>
          <t>https://cataliseaj.com.br/sgc/download.php?file=files/processo_documento/processo_documento15092204102024_1_.pdf&amp;nome=02. RELAÇÃO DE CREDORES</t>
        </is>
      </c>
      <c r="AG208" s="28" t="inlineStr">
        <is>
          <t>p2 r13</t>
        </is>
      </c>
      <c r="AH208" s="28" t="inlineStr">
        <is>
          <t>p2: R$ 1.201.117,72</t>
        </is>
      </c>
      <c r="AI208" s="28" t="inlineStr">
        <is>
          <t>Debtor list (art. 51)</t>
        </is>
      </c>
      <c r="AJ208" s="28" t="inlineStr"/>
      <c r="AK208" s="28" t="inlineStr">
        <is>
          <t>NONE FOUND</t>
        </is>
      </c>
      <c r="AL208" s="30" t="inlineStr">
        <is>
          <t>5011460-87.2023.8.24.0020</t>
        </is>
      </c>
      <c r="AM208" s="30" t="inlineStr">
        <is>
          <t>TJSC</t>
        </is>
      </c>
      <c r="AN208" s="30" t="inlineStr">
        <is>
          <t>ACTIVE</t>
        </is>
      </c>
      <c r="AO208" s="30" t="n">
        <v>2023</v>
      </c>
      <c r="AP208" s="30" t="inlineStr">
        <is>
          <t>live case, no plan document yet</t>
        </is>
      </c>
      <c r="AQ208" s="30" t="inlineStr">
        <is>
          <t>26.588.741/0001-29</t>
        </is>
      </c>
      <c r="AR208" s="30" t="inlineStr">
        <is>
          <t>printed on the list (read twice)</t>
        </is>
      </c>
      <c r="AS208" s="30" t="inlineStr">
        <is>
          <t>SAO PAULO</t>
        </is>
      </c>
      <c r="AT208" s="30" t="inlineStr">
        <is>
          <t>SP</t>
        </is>
      </c>
      <c r="AU208" s="30" t="inlineStr">
        <is>
          <t>Bancos múltiplos, com carteira comercial</t>
        </is>
      </c>
      <c r="AV208" s="30" t="inlineStr">
        <is>
          <t>DEMAIS</t>
        </is>
      </c>
      <c r="AW208" s="31" t="n">
        <v>6907260000</v>
      </c>
      <c r="AX208" s="30" t="inlineStr">
        <is>
          <t>LARGE CORP</t>
        </is>
      </c>
      <c r="AY208" s="30" t="inlineStr">
        <is>
          <t>62232889</t>
        </is>
      </c>
      <c r="AZ208" s="30" t="n">
        <v>1</v>
      </c>
      <c r="BA208" s="30" t="inlineStr">
        <is>
          <t>ROWS:p2r13 UNRECONCILED_SOURCE</t>
        </is>
      </c>
    </row>
    <row r="209">
      <c r="A209" s="16" t="inlineStr">
        <is>
          <t>BANCO DAYCOVAL S.A.</t>
        </is>
      </c>
      <c r="B209" s="17" t="n">
        <v>1163007.18</v>
      </c>
      <c r="C209" s="18" t="inlineStr">
        <is>
          <t>Cerealista Safrasul Ltda</t>
        </is>
      </c>
      <c r="D209" s="19" t="inlineStr">
        <is>
          <t>NEW</t>
        </is>
      </c>
      <c r="E209" s="20" t="inlineStr"/>
      <c r="F209" s="19" t="inlineStr"/>
      <c r="G209" s="20" t="inlineStr"/>
      <c r="H209" s="19" t="inlineStr"/>
      <c r="I209" s="21" t="inlineStr">
        <is>
          <t>Celso Araujo</t>
        </is>
      </c>
      <c r="J209" s="21" t="inlineStr">
        <is>
          <t>Gerente de Recuperação de Crédito</t>
        </is>
      </c>
      <c r="K209" s="21" t="inlineStr">
        <is>
          <t>(11) 3138-0500</t>
        </is>
      </c>
      <c r="L209" s="21" t="inlineStr"/>
      <c r="M209" s="21" t="inlineStr"/>
      <c r="N209" s="21" t="inlineStr">
        <is>
          <t>celso.araujo@bancodaycoval.com.br</t>
        </is>
      </c>
      <c r="O209" s="21" t="inlineStr">
        <is>
          <t>andreia.matiel@daycoval.com.br</t>
        </is>
      </c>
      <c r="P209" s="21" t="inlineStr">
        <is>
          <t>Andreia Matiel</t>
        </is>
      </c>
      <c r="Q209" s="21" t="inlineStr">
        <is>
          <t>Advogada Recuperação de Crédito Empresas</t>
        </is>
      </c>
      <c r="R209" s="21" t="inlineStr"/>
      <c r="S209" s="21" t="inlineStr">
        <is>
          <t>andreia.matiel@daycoval.com.br</t>
        </is>
      </c>
      <c r="T209" s="21" t="inlineStr">
        <is>
          <t>email verified by Apollo</t>
        </is>
      </c>
      <c r="U209" s="22" t="n">
        <v>1163007.18</v>
      </c>
      <c r="V209" s="23" t="inlineStr">
        <is>
          <t>B</t>
        </is>
      </c>
      <c r="W209" s="24">
        <f>IFERROR(VLOOKUP(V209,Assumptions!$A$7:$F$11,2,FALSE),0)</f>
        <v/>
      </c>
      <c r="X209" s="25">
        <f>IF(V209="A",MAX(1,IFERROR(VLOOKUP(V209,Assumptions!$A$7:$F$11,3,FALSE),3)+IFERROR(VLOOKUP(V209,Assumptions!$A$7:$F$11,4,FALSE),8)/2-MAX(0,IF(AO209="",0,YEAR(TODAY())-AO209)-IFERROR(VLOOKUP(V209,Assumptions!$A$7:$F$11,5,FALSE),1.5))),IFERROR(VLOOKUP(V209,Assumptions!$A$7:$F$11,5,FALSE),2.5)+IFERROR(VLOOKUP(V209,Assumptions!$A$7:$F$11,3,FALSE),3)+IFERROR(VLOOKUP(V209,Assumptions!$A$7:$F$11,4,FALSE),8)/2)</f>
        <v/>
      </c>
      <c r="Y209" s="22">
        <f>U209*W209/(1+Assumptions!$B$3)^X209</f>
        <v/>
      </c>
      <c r="Z209" s="26">
        <f>IF(U209=0,"",ROUND(Y209/U209*100,1))</f>
        <v/>
      </c>
      <c r="AA209" s="27">
        <f>Y209*Assumptions!$B$4</f>
        <v/>
      </c>
      <c r="AB209" s="26">
        <f>IF(U209=0,"",ROUND(AA209/U209*100,1))</f>
        <v/>
      </c>
      <c r="AC209" s="27">
        <f>Y209-AA209</f>
        <v/>
      </c>
      <c r="AD209" s="26">
        <f>IF(U209=0,"",ROUND((Y209-AA209)/U209*100,1))</f>
        <v/>
      </c>
      <c r="AE209" s="33" t="inlineStr">
        <is>
          <t>NO TOTALS — list prints none; check page</t>
        </is>
      </c>
      <c r="AF209" s="29" t="inlineStr">
        <is>
          <t>https://ajruiz.com.br/sites/default/files/public/arquivos-processos/2026-01/safrasul_relacao_de_credores_recuperanda.pdf</t>
        </is>
      </c>
      <c r="AG209" s="28" t="inlineStr">
        <is>
          <t>p8 r5; p8 r6; p8 r7; p8 r8; p8 r9</t>
        </is>
      </c>
      <c r="AH209" s="28" t="inlineStr">
        <is>
          <t>p8: R$ 93.549,74; p8: R$ 390.904,62; p8: R$ 143.386,16; p8: R$ 450.000,00; p8: R$ 85.166,66</t>
        </is>
      </c>
      <c r="AI209" s="28" t="inlineStr">
        <is>
          <t>AJ list (art. 7 §2)</t>
        </is>
      </c>
      <c r="AJ209" s="28" t="inlineStr">
        <is>
          <t>2026-01-14</t>
        </is>
      </c>
      <c r="AK209" s="28" t="inlineStr">
        <is>
          <t>NONE FOUND</t>
        </is>
      </c>
      <c r="AL209" s="30" t="inlineStr">
        <is>
          <t>4000167-23.2025.8.26.0373</t>
        </is>
      </c>
      <c r="AM209" s="30" t="inlineStr">
        <is>
          <t>TJSP</t>
        </is>
      </c>
      <c r="AN209" s="30" t="inlineStr">
        <is>
          <t>ACTIVE</t>
        </is>
      </c>
      <c r="AO209" s="30" t="n">
        <v>2025</v>
      </c>
      <c r="AP209" s="30" t="inlineStr">
        <is>
          <t>live case, no plan document yet</t>
        </is>
      </c>
      <c r="AQ209" s="30" t="inlineStr"/>
      <c r="AR209" s="30" t="inlineStr">
        <is>
          <t>printed on the list (read twice)</t>
        </is>
      </c>
      <c r="AS209" s="30" t="inlineStr">
        <is>
          <t>SAO PAULO</t>
        </is>
      </c>
      <c r="AT209" s="30" t="inlineStr">
        <is>
          <t>SP</t>
        </is>
      </c>
      <c r="AU209" s="30" t="inlineStr">
        <is>
          <t>Bancos múltiplos, com carteira comercial</t>
        </is>
      </c>
      <c r="AV209" s="30" t="inlineStr">
        <is>
          <t>DEMAIS</t>
        </is>
      </c>
      <c r="AW209" s="31" t="n">
        <v>6907260000</v>
      </c>
      <c r="AX209" s="30" t="inlineStr">
        <is>
          <t>LARGE CORP</t>
        </is>
      </c>
      <c r="AY209" s="30" t="inlineStr">
        <is>
          <t>62232889</t>
        </is>
      </c>
      <c r="AZ209" s="30" t="n">
        <v>5</v>
      </c>
      <c r="BA209" s="30" t="inlineStr">
        <is>
          <t>LIKELY_FINANCIAL_BY_NAME ROWS:p8r5,p8r6,p8r7,p8r8,p8r9 UNRECONCILED_SOURCE</t>
        </is>
      </c>
    </row>
    <row r="210">
      <c r="A210" s="16" t="inlineStr">
        <is>
          <t>Banco Volvo (Brasil) S.A.</t>
        </is>
      </c>
      <c r="B210" s="17" t="n">
        <v>622937.34</v>
      </c>
      <c r="C210" s="18" t="inlineStr">
        <is>
          <t>GRUPO 3E</t>
        </is>
      </c>
      <c r="D210" s="19" t="inlineStr">
        <is>
          <t>NEW</t>
        </is>
      </c>
      <c r="E210" s="20" t="inlineStr"/>
      <c r="F210" s="19" t="inlineStr"/>
      <c r="G210" s="20" t="inlineStr"/>
      <c r="H210" s="19" t="inlineStr"/>
      <c r="I210" s="21" t="inlineStr">
        <is>
          <t>Fabio Moreira</t>
        </is>
      </c>
      <c r="J210" s="21" t="inlineStr">
        <is>
          <t>Analista Recuperação de Crédito</t>
        </is>
      </c>
      <c r="K210" s="21" t="inlineStr"/>
      <c r="L210" s="21" t="inlineStr"/>
      <c r="M210" s="21" t="inlineStr"/>
      <c r="N210" s="21" t="inlineStr">
        <is>
          <t>fabio.moreira@gasparimsantos.com.br</t>
        </is>
      </c>
      <c r="O210" s="21" t="inlineStr"/>
      <c r="P210" s="21" t="inlineStr">
        <is>
          <t>Luis Fonseca</t>
        </is>
      </c>
      <c r="Q210" s="21" t="inlineStr">
        <is>
          <t>Gestor Jurídico | Recuperação de Crédito – Carteira Banco Volvo (Brasil) S/A</t>
        </is>
      </c>
      <c r="R210" s="21" t="inlineStr"/>
      <c r="S210" s="21" t="inlineStr"/>
      <c r="T210" s="21" t="inlineStr">
        <is>
          <t>email verified by Apollo</t>
        </is>
      </c>
      <c r="U210" s="22" t="n">
        <v>622937.34</v>
      </c>
      <c r="V210" s="35" t="inlineStr">
        <is>
          <t>A</t>
        </is>
      </c>
      <c r="W210" s="24">
        <f>IFERROR(VLOOKUP(V210,Assumptions!$A$7:$F$11,2,FALSE),0)</f>
        <v/>
      </c>
      <c r="X210" s="25">
        <f>IF(V210="A",MAX(1,IFERROR(VLOOKUP(V210,Assumptions!$A$7:$F$11,3,FALSE),3)+IFERROR(VLOOKUP(V210,Assumptions!$A$7:$F$11,4,FALSE),8)/2-MAX(0,IF(AO210="",0,YEAR(TODAY())-AO210)-IFERROR(VLOOKUP(V210,Assumptions!$A$7:$F$11,5,FALSE),1.5))),IFERROR(VLOOKUP(V210,Assumptions!$A$7:$F$11,5,FALSE),2.5)+IFERROR(VLOOKUP(V210,Assumptions!$A$7:$F$11,3,FALSE),3)+IFERROR(VLOOKUP(V210,Assumptions!$A$7:$F$11,4,FALSE),8)/2)</f>
        <v/>
      </c>
      <c r="Y210" s="22">
        <f>U210*W210/(1+Assumptions!$B$3)^X210</f>
        <v/>
      </c>
      <c r="Z210" s="26">
        <f>IF(U210=0,"",ROUND(Y210/U210*100,1))</f>
        <v/>
      </c>
      <c r="AA210" s="27">
        <f>Y210*Assumptions!$B$4</f>
        <v/>
      </c>
      <c r="AB210" s="26">
        <f>IF(U210=0,"",ROUND(AA210/U210*100,1))</f>
        <v/>
      </c>
      <c r="AC210" s="27">
        <f>Y210-AA210</f>
        <v/>
      </c>
      <c r="AD210" s="26">
        <f>IF(U210=0,"",ROUND((Y210-AA210)/U210*100,1))</f>
        <v/>
      </c>
      <c r="AE210" s="33" t="inlineStr">
        <is>
          <t>NO TOTALS — list prints none; check page</t>
        </is>
      </c>
      <c r="AF210" s="29" t="inlineStr">
        <is>
          <t>https://stenius.com.br/wp-content/uploads/2026/06/EDITAL-GRUPO-3E.pdf</t>
        </is>
      </c>
      <c r="AG210" s="28" t="inlineStr">
        <is>
          <t>p10 r41</t>
        </is>
      </c>
      <c r="AH210" s="28" t="inlineStr">
        <is>
          <t>p10: R$ 622.937,34</t>
        </is>
      </c>
      <c r="AI210" s="28" t="inlineStr">
        <is>
          <t>Debtor list (art. 51)</t>
        </is>
      </c>
      <c r="AJ210" s="28" t="inlineStr">
        <is>
          <t>2026-06-22</t>
        </is>
      </c>
      <c r="AK210" s="28" t="inlineStr">
        <is>
          <t>PLAN DOC FOUND</t>
        </is>
      </c>
      <c r="AL210" s="30" t="inlineStr">
        <is>
          <t>5341375-33.2026.8.09.0049</t>
        </is>
      </c>
      <c r="AM210" s="30" t="inlineStr">
        <is>
          <t>TJGO</t>
        </is>
      </c>
      <c r="AN210" s="30" t="inlineStr">
        <is>
          <t>ACTIVE</t>
        </is>
      </c>
      <c r="AO210" s="30" t="n">
        <v>2026</v>
      </c>
      <c r="AP210" s="30" t="inlineStr">
        <is>
          <t>plan/homologation document found</t>
        </is>
      </c>
      <c r="AQ210" s="30" t="inlineStr"/>
      <c r="AR210" s="30" t="inlineStr">
        <is>
          <t>printed on the list (read twice)</t>
        </is>
      </c>
      <c r="AS210" s="30" t="inlineStr"/>
      <c r="AT210" s="30" t="inlineStr"/>
      <c r="AU210" s="30" t="inlineStr"/>
      <c r="AV210" s="30" t="inlineStr"/>
      <c r="AW210" s="31" t="inlineStr"/>
      <c r="AX210" s="30" t="inlineStr">
        <is>
          <t>MID-MARKET</t>
        </is>
      </c>
      <c r="AY210" s="30" t="inlineStr">
        <is>
          <t>58017179</t>
        </is>
      </c>
      <c r="AZ210" s="30" t="n">
        <v>1</v>
      </c>
      <c r="BA210" s="30" t="inlineStr">
        <is>
          <t>LIKELY_FINANCIAL_BY_NAME ROWS:p10r41 UNRECONCILED_SOURCE</t>
        </is>
      </c>
    </row>
    <row r="211">
      <c r="A211" s="16" t="inlineStr">
        <is>
          <t>MAGGI ADMINISTRADORA DE CONSORCIOS LTDA</t>
        </is>
      </c>
      <c r="B211" s="17" t="n">
        <v>617038.73</v>
      </c>
      <c r="C211" s="18" t="inlineStr">
        <is>
          <t>GRUPO 3E</t>
        </is>
      </c>
      <c r="D211" s="19" t="inlineStr">
        <is>
          <t>NEW</t>
        </is>
      </c>
      <c r="E211" s="20" t="inlineStr"/>
      <c r="F211" s="19" t="inlineStr"/>
      <c r="G211" s="20" t="inlineStr"/>
      <c r="H211" s="19" t="inlineStr"/>
      <c r="I211" s="21" t="inlineStr">
        <is>
          <t>Bruno Britto</t>
        </is>
      </c>
      <c r="J211" s="21" t="inlineStr">
        <is>
          <t>Supervisor Regional da Maggi Consórcios e do Consórcio Triumph</t>
        </is>
      </c>
      <c r="K211" s="21" t="inlineStr">
        <is>
          <t>(01) 14023-0001</t>
        </is>
      </c>
      <c r="L211" s="21" t="inlineStr"/>
      <c r="M211" s="21" t="inlineStr"/>
      <c r="N211" s="21" t="inlineStr"/>
      <c r="O211" s="21" t="inlineStr"/>
      <c r="P211" s="21" t="inlineStr">
        <is>
          <t>ANTONIO DE JESUS FRANCISCHINELLI</t>
        </is>
      </c>
      <c r="Q211" s="21" t="inlineStr">
        <is>
          <t>Sócio-Administrador (RFB partner)</t>
        </is>
      </c>
      <c r="R211" s="21" t="inlineStr"/>
      <c r="S211" s="21" t="inlineStr"/>
      <c r="T211" s="21" t="inlineStr">
        <is>
          <t>no work email found in Apollo</t>
        </is>
      </c>
      <c r="U211" s="22" t="n">
        <v>617038.73</v>
      </c>
      <c r="V211" s="35" t="inlineStr">
        <is>
          <t>A</t>
        </is>
      </c>
      <c r="W211" s="24">
        <f>IFERROR(VLOOKUP(V211,Assumptions!$A$7:$F$11,2,FALSE),0)</f>
        <v/>
      </c>
      <c r="X211" s="25">
        <f>IF(V211="A",MAX(1,IFERROR(VLOOKUP(V211,Assumptions!$A$7:$F$11,3,FALSE),3)+IFERROR(VLOOKUP(V211,Assumptions!$A$7:$F$11,4,FALSE),8)/2-MAX(0,IF(AO211="",0,YEAR(TODAY())-AO211)-IFERROR(VLOOKUP(V211,Assumptions!$A$7:$F$11,5,FALSE),1.5))),IFERROR(VLOOKUP(V211,Assumptions!$A$7:$F$11,5,FALSE),2.5)+IFERROR(VLOOKUP(V211,Assumptions!$A$7:$F$11,3,FALSE),3)+IFERROR(VLOOKUP(V211,Assumptions!$A$7:$F$11,4,FALSE),8)/2)</f>
        <v/>
      </c>
      <c r="Y211" s="22">
        <f>U211*W211/(1+Assumptions!$B$3)^X211</f>
        <v/>
      </c>
      <c r="Z211" s="26">
        <f>IF(U211=0,"",ROUND(Y211/U211*100,1))</f>
        <v/>
      </c>
      <c r="AA211" s="27">
        <f>Y211*Assumptions!$B$4</f>
        <v/>
      </c>
      <c r="AB211" s="26">
        <f>IF(U211=0,"",ROUND(AA211/U211*100,1))</f>
        <v/>
      </c>
      <c r="AC211" s="27">
        <f>Y211-AA211</f>
        <v/>
      </c>
      <c r="AD211" s="26">
        <f>IF(U211=0,"",ROUND((Y211-AA211)/U211*100,1))</f>
        <v/>
      </c>
      <c r="AE211" s="33" t="inlineStr">
        <is>
          <t>NO TOTALS — list prints none; check page</t>
        </is>
      </c>
      <c r="AF211" s="29" t="inlineStr">
        <is>
          <t>https://stenius.com.br/wp-content/uploads/2026/06/EDITAL-GRUPO-3E.pdf</t>
        </is>
      </c>
      <c r="AG211" s="28" t="inlineStr">
        <is>
          <t>p15 r42</t>
        </is>
      </c>
      <c r="AH211" s="28" t="inlineStr">
        <is>
          <t>p15: R$ 617.038,73</t>
        </is>
      </c>
      <c r="AI211" s="28" t="inlineStr">
        <is>
          <t>Debtor list (art. 51)</t>
        </is>
      </c>
      <c r="AJ211" s="28" t="inlineStr">
        <is>
          <t>2026-06-22</t>
        </is>
      </c>
      <c r="AK211" s="28" t="inlineStr">
        <is>
          <t>PLAN DOC FOUND</t>
        </is>
      </c>
      <c r="AL211" s="30" t="inlineStr">
        <is>
          <t>5341375-33.2026.8.09.0049</t>
        </is>
      </c>
      <c r="AM211" s="30" t="inlineStr">
        <is>
          <t>TJGO</t>
        </is>
      </c>
      <c r="AN211" s="30" t="inlineStr">
        <is>
          <t>ACTIVE</t>
        </is>
      </c>
      <c r="AO211" s="30" t="n">
        <v>2026</v>
      </c>
      <c r="AP211" s="30" t="inlineStr">
        <is>
          <t>plan/homologation document found</t>
        </is>
      </c>
      <c r="AQ211" s="30" t="inlineStr"/>
      <c r="AR211" s="30" t="inlineStr">
        <is>
          <t>printed on the list (read twice)</t>
        </is>
      </c>
      <c r="AS211" s="30" t="inlineStr">
        <is>
          <t>ITU</t>
        </is>
      </c>
      <c r="AT211" s="30" t="inlineStr">
        <is>
          <t>SP</t>
        </is>
      </c>
      <c r="AU211" s="30" t="inlineStr">
        <is>
          <t>Administração de consórcios para aquisição de bens e direitos</t>
        </is>
      </c>
      <c r="AV211" s="30" t="inlineStr">
        <is>
          <t>DEMAIS</t>
        </is>
      </c>
      <c r="AW211" s="31" t="n">
        <v>8262000</v>
      </c>
      <c r="AX211" s="30" t="inlineStr">
        <is>
          <t>MID-MARKET</t>
        </is>
      </c>
      <c r="AY211" s="30" t="inlineStr">
        <is>
          <t>04250224</t>
        </is>
      </c>
      <c r="AZ211" s="30" t="n">
        <v>1</v>
      </c>
      <c r="BA211" s="30" t="inlineStr">
        <is>
          <t>ROWS:p15r42 UNRECONCILED_SOURCE</t>
        </is>
      </c>
    </row>
    <row r="212">
      <c r="A212" s="16" t="inlineStr">
        <is>
          <t>LOTUS PERFOMANCE FUNDO DE INVESTIMENTO</t>
        </is>
      </c>
      <c r="B212" s="17" t="n">
        <v>1148564.16</v>
      </c>
      <c r="C212" s="18" t="inlineStr">
        <is>
          <t>FLAVOUR MIX IND. E REP. ALIM. E INGR. QUÍMICOS LTDA.</t>
        </is>
      </c>
      <c r="D212" s="19" t="inlineStr">
        <is>
          <t>NEW</t>
        </is>
      </c>
      <c r="E212" s="20" t="inlineStr"/>
      <c r="F212" s="19" t="inlineStr"/>
      <c r="G212" s="20" t="inlineStr"/>
      <c r="H212" s="19" t="inlineStr"/>
      <c r="I212" s="21" t="inlineStr"/>
      <c r="J212" s="21" t="inlineStr"/>
      <c r="K212" s="21" t="inlineStr"/>
      <c r="L212" s="21" t="inlineStr"/>
      <c r="M212" s="21" t="inlineStr"/>
      <c r="N212" s="21" t="inlineStr"/>
      <c r="O212" s="21" t="inlineStr"/>
      <c r="P212" s="21" t="inlineStr"/>
      <c r="Q212" s="21" t="inlineStr"/>
      <c r="R212" s="21" t="inlineStr"/>
      <c r="S212" s="21" t="inlineStr"/>
      <c r="T212" s="21" t="inlineStr">
        <is>
          <t>no named contact found</t>
        </is>
      </c>
      <c r="U212" s="22" t="n">
        <v>1148564.16</v>
      </c>
      <c r="V212" s="23" t="inlineStr">
        <is>
          <t>B</t>
        </is>
      </c>
      <c r="W212" s="24">
        <f>IFERROR(VLOOKUP(V212,Assumptions!$A$7:$F$11,2,FALSE),0)</f>
        <v/>
      </c>
      <c r="X212" s="25">
        <f>IF(V212="A",MAX(1,IFERROR(VLOOKUP(V212,Assumptions!$A$7:$F$11,3,FALSE),3)+IFERROR(VLOOKUP(V212,Assumptions!$A$7:$F$11,4,FALSE),8)/2-MAX(0,IF(AO212="",0,YEAR(TODAY())-AO212)-IFERROR(VLOOKUP(V212,Assumptions!$A$7:$F$11,5,FALSE),1.5))),IFERROR(VLOOKUP(V212,Assumptions!$A$7:$F$11,5,FALSE),2.5)+IFERROR(VLOOKUP(V212,Assumptions!$A$7:$F$11,3,FALSE),3)+IFERROR(VLOOKUP(V212,Assumptions!$A$7:$F$11,4,FALSE),8)/2)</f>
        <v/>
      </c>
      <c r="Y212" s="22">
        <f>U212*W212/(1+Assumptions!$B$3)^X212</f>
        <v/>
      </c>
      <c r="Z212" s="26">
        <f>IF(U212=0,"",ROUND(Y212/U212*100,1))</f>
        <v/>
      </c>
      <c r="AA212" s="27">
        <f>Y212*Assumptions!$B$4</f>
        <v/>
      </c>
      <c r="AB212" s="26">
        <f>IF(U212=0,"",ROUND(AA212/U212*100,1))</f>
        <v/>
      </c>
      <c r="AC212" s="27">
        <f>Y212-AA212</f>
        <v/>
      </c>
      <c r="AD212" s="26">
        <f>IF(U212=0,"",ROUND((Y212-AA212)/U212*100,1))</f>
        <v/>
      </c>
      <c r="AE212" s="33" t="inlineStr">
        <is>
          <t>NO TOTALS — list prints none; check page</t>
        </is>
      </c>
      <c r="AF212" s="29" t="inlineStr">
        <is>
          <t>https://ativosajce.com.br/admin/download.php?file=files/processo_documento/processo_documento13422625032025_1_.pdf&amp;nome=Relação de Credores - Art. 52º § 1º, da Lei nº 11.101/2005 - 25/02/2025</t>
        </is>
      </c>
      <c r="AG212" s="28" t="inlineStr">
        <is>
          <t>p4 r47; p4 r48</t>
        </is>
      </c>
      <c r="AH212" s="28" t="inlineStr">
        <is>
          <t>p4: R$ 456.179,92; p4: R$ 692.384,24</t>
        </is>
      </c>
      <c r="AI212" s="28" t="inlineStr">
        <is>
          <t>Unclassified list</t>
        </is>
      </c>
      <c r="AJ212" s="28" t="inlineStr">
        <is>
          <t>2025-02-28</t>
        </is>
      </c>
      <c r="AK212" s="28" t="inlineStr">
        <is>
          <t>NONE FOUND</t>
        </is>
      </c>
      <c r="AL212" s="30" t="inlineStr">
        <is>
          <t>1000119-75.2025.8.26.0354</t>
        </is>
      </c>
      <c r="AM212" s="30" t="inlineStr">
        <is>
          <t>TJSP</t>
        </is>
      </c>
      <c r="AN212" s="30" t="inlineStr">
        <is>
          <t>ACTIVE</t>
        </is>
      </c>
      <c r="AO212" s="30" t="n">
        <v>2025</v>
      </c>
      <c r="AP212" s="30" t="inlineStr">
        <is>
          <t>live case, no plan document yet</t>
        </is>
      </c>
      <c r="AQ212" s="30" t="inlineStr">
        <is>
          <t>09.357.504/0001-38</t>
        </is>
      </c>
      <c r="AR212" s="30" t="inlineStr">
        <is>
          <t>printed on the list (read twice)</t>
        </is>
      </c>
      <c r="AS212" s="30" t="inlineStr"/>
      <c r="AT212" s="30" t="inlineStr"/>
      <c r="AU212" s="30" t="inlineStr"/>
      <c r="AV212" s="30" t="inlineStr"/>
      <c r="AW212" s="31" t="inlineStr"/>
      <c r="AX212" s="30" t="inlineStr">
        <is>
          <t>MID-MARKET</t>
        </is>
      </c>
      <c r="AY212" s="30" t="inlineStr">
        <is>
          <t>40155056</t>
        </is>
      </c>
      <c r="AZ212" s="30" t="n">
        <v>2</v>
      </c>
      <c r="BA212" s="30" t="inlineStr">
        <is>
          <t>LIKELY_FINANCIAL_BY_NAME ROWS:p4r47,p4r48 UNRECONCILED_SOURCE</t>
        </is>
      </c>
    </row>
    <row r="213">
      <c r="A213" s="16" t="inlineStr">
        <is>
          <t>CREDMEI SECURITIZADORA II SPE S.A</t>
        </is>
      </c>
      <c r="B213" s="17" t="n">
        <v>1135255.25</v>
      </c>
      <c r="C213" s="18" t="inlineStr">
        <is>
          <t>Grupo Arruda (ARRUDA &amp; MELO REPRESENTACAO DE ALIMENTOS E BEBIDAS LTDA, ARRUDA &amp; MELO COMERCIO E DISTRIBUICAO DE ALIMENTOS E BEBIDAS LTDA, ARRUDA &amp; MELO COMERCIO E DISTRIBUICAO DE ALIMENTOS E BEBIDAS DA BAHIA LTDA)</t>
        </is>
      </c>
      <c r="D213" s="19" t="inlineStr">
        <is>
          <t>NEW</t>
        </is>
      </c>
      <c r="E213" s="20" t="inlineStr"/>
      <c r="F213" s="19" t="inlineStr"/>
      <c r="G213" s="20" t="inlineStr"/>
      <c r="H213" s="19" t="inlineStr"/>
      <c r="I213" s="21" t="inlineStr">
        <is>
          <t>Luan Vieira</t>
        </is>
      </c>
      <c r="J213" s="21" t="inlineStr">
        <is>
          <t>Head of Credit</t>
        </is>
      </c>
      <c r="K213" s="21" t="inlineStr"/>
      <c r="L213" s="21" t="inlineStr"/>
      <c r="M213" s="21" t="inlineStr"/>
      <c r="N213" s="21" t="inlineStr">
        <is>
          <t>luan@credmei.com.br</t>
        </is>
      </c>
      <c r="O213" s="21" t="inlineStr">
        <is>
          <t>nubia@credmei.com.br</t>
        </is>
      </c>
      <c r="P213" s="21" t="inlineStr">
        <is>
          <t>Nubia Silva</t>
        </is>
      </c>
      <c r="Q213" s="21" t="inlineStr">
        <is>
          <t>Credit Analyst</t>
        </is>
      </c>
      <c r="R213" s="21" t="inlineStr"/>
      <c r="S213" s="21" t="inlineStr">
        <is>
          <t>nubia@credmei.com.br</t>
        </is>
      </c>
      <c r="T213" s="21" t="inlineStr">
        <is>
          <t>email verified by Apollo</t>
        </is>
      </c>
      <c r="U213" s="22" t="n">
        <v>1135255.25</v>
      </c>
      <c r="V213" s="23" t="inlineStr">
        <is>
          <t>B</t>
        </is>
      </c>
      <c r="W213" s="24">
        <f>IFERROR(VLOOKUP(V213,Assumptions!$A$7:$F$11,2,FALSE),0)</f>
        <v/>
      </c>
      <c r="X213" s="25">
        <f>IF(V213="A",MAX(1,IFERROR(VLOOKUP(V213,Assumptions!$A$7:$F$11,3,FALSE),3)+IFERROR(VLOOKUP(V213,Assumptions!$A$7:$F$11,4,FALSE),8)/2-MAX(0,IF(AO213="",0,YEAR(TODAY())-AO213)-IFERROR(VLOOKUP(V213,Assumptions!$A$7:$F$11,5,FALSE),1.5))),IFERROR(VLOOKUP(V213,Assumptions!$A$7:$F$11,5,FALSE),2.5)+IFERROR(VLOOKUP(V213,Assumptions!$A$7:$F$11,3,FALSE),3)+IFERROR(VLOOKUP(V213,Assumptions!$A$7:$F$11,4,FALSE),8)/2)</f>
        <v/>
      </c>
      <c r="Y213" s="22">
        <f>U213*W213/(1+Assumptions!$B$3)^X213</f>
        <v/>
      </c>
      <c r="Z213" s="26">
        <f>IF(U213=0,"",ROUND(Y213/U213*100,1))</f>
        <v/>
      </c>
      <c r="AA213" s="27">
        <f>Y213*Assumptions!$B$4</f>
        <v/>
      </c>
      <c r="AB213" s="26">
        <f>IF(U213=0,"",ROUND(AA213/U213*100,1))</f>
        <v/>
      </c>
      <c r="AC213" s="27">
        <f>Y213-AA213</f>
        <v/>
      </c>
      <c r="AD213" s="26">
        <f>IF(U213=0,"",ROUND((Y213-AA213)/U213*100,1))</f>
        <v/>
      </c>
      <c r="AE213" s="28" t="inlineStr">
        <is>
          <t>OK — totals reconciled</t>
        </is>
      </c>
      <c r="AF213" s="29" t="inlineStr">
        <is>
          <t>https://diligence.adm.br/wp-content/uploads/2025/06/Edital-1a-Lista-de-Credores.pdf</t>
        </is>
      </c>
      <c r="AG213" s="28" t="inlineStr">
        <is>
          <t>p5 r54</t>
        </is>
      </c>
      <c r="AH213" s="28" t="inlineStr">
        <is>
          <t>p5: R$ 1.135.255,25</t>
        </is>
      </c>
      <c r="AI213" s="28" t="inlineStr">
        <is>
          <t>Debtor list (art. 51)</t>
        </is>
      </c>
      <c r="AJ213" s="28" t="inlineStr">
        <is>
          <t>2025-06-10</t>
        </is>
      </c>
      <c r="AK213" s="28" t="inlineStr">
        <is>
          <t>NONE FOUND</t>
        </is>
      </c>
      <c r="AL213" s="30" t="inlineStr">
        <is>
          <t>0008526-45.2025.8.17.2001</t>
        </is>
      </c>
      <c r="AM213" s="30" t="inlineStr">
        <is>
          <t>TJPE</t>
        </is>
      </c>
      <c r="AN213" s="30" t="inlineStr">
        <is>
          <t>ACTIVE</t>
        </is>
      </c>
      <c r="AO213" s="30" t="n">
        <v>2025</v>
      </c>
      <c r="AP213" s="30" t="inlineStr">
        <is>
          <t>live case, no plan document yet</t>
        </is>
      </c>
      <c r="AQ213" s="30" t="inlineStr"/>
      <c r="AR213" s="30" t="inlineStr">
        <is>
          <t>printed on the list (read twice)</t>
        </is>
      </c>
      <c r="AS213" s="30" t="inlineStr"/>
      <c r="AT213" s="30" t="inlineStr"/>
      <c r="AU213" s="30" t="inlineStr"/>
      <c r="AV213" s="30" t="inlineStr"/>
      <c r="AW213" s="31" t="inlineStr"/>
      <c r="AX213" s="30" t="inlineStr">
        <is>
          <t>MID-MARKET</t>
        </is>
      </c>
      <c r="AY213" s="30" t="inlineStr">
        <is>
          <t>50202890</t>
        </is>
      </c>
      <c r="AZ213" s="30" t="n">
        <v>1</v>
      </c>
      <c r="BA213" s="30" t="inlineStr">
        <is>
          <t>LIKELY_FINANCIAL_BY_NAME ROWS:p5r54</t>
        </is>
      </c>
    </row>
    <row r="214">
      <c r="A214" s="16" t="inlineStr">
        <is>
          <t>P.S FACTORING</t>
        </is>
      </c>
      <c r="B214" s="17" t="n">
        <v>1131366.06</v>
      </c>
      <c r="C214" s="18" t="inlineStr">
        <is>
          <t>GRUPO DIVINA</t>
        </is>
      </c>
      <c r="D214" s="19" t="inlineStr">
        <is>
          <t>NEW</t>
        </is>
      </c>
      <c r="E214" s="20" t="inlineStr"/>
      <c r="F214" s="19" t="inlineStr"/>
      <c r="G214" s="20" t="inlineStr"/>
      <c r="H214" s="19" t="inlineStr"/>
      <c r="I214" s="21" t="inlineStr">
        <is>
          <t>Roseane Fischer</t>
        </is>
      </c>
      <c r="J214" s="21" t="inlineStr">
        <is>
          <t>Commercial Manager</t>
        </is>
      </c>
      <c r="K214" s="21" t="inlineStr"/>
      <c r="L214" s="21" t="inlineStr"/>
      <c r="M214" s="21" t="inlineStr"/>
      <c r="N214" s="21" t="inlineStr"/>
      <c r="O214" s="21" t="inlineStr"/>
      <c r="P214" s="21" t="inlineStr"/>
      <c r="Q214" s="21" t="inlineStr"/>
      <c r="R214" s="21" t="inlineStr"/>
      <c r="S214" s="21" t="inlineStr"/>
      <c r="T214" s="21" t="inlineStr">
        <is>
          <t>no work email found in Apollo</t>
        </is>
      </c>
      <c r="U214" s="22" t="n">
        <v>1131366.06</v>
      </c>
      <c r="V214" s="23" t="inlineStr">
        <is>
          <t>B</t>
        </is>
      </c>
      <c r="W214" s="24">
        <f>IFERROR(VLOOKUP(V214,Assumptions!$A$7:$F$11,2,FALSE),0)</f>
        <v/>
      </c>
      <c r="X214" s="25">
        <f>IF(V214="A",MAX(1,IFERROR(VLOOKUP(V214,Assumptions!$A$7:$F$11,3,FALSE),3)+IFERROR(VLOOKUP(V214,Assumptions!$A$7:$F$11,4,FALSE),8)/2-MAX(0,IF(AO214="",0,YEAR(TODAY())-AO214)-IFERROR(VLOOKUP(V214,Assumptions!$A$7:$F$11,5,FALSE),1.5))),IFERROR(VLOOKUP(V214,Assumptions!$A$7:$F$11,5,FALSE),2.5)+IFERROR(VLOOKUP(V214,Assumptions!$A$7:$F$11,3,FALSE),3)+IFERROR(VLOOKUP(V214,Assumptions!$A$7:$F$11,4,FALSE),8)/2)</f>
        <v/>
      </c>
      <c r="Y214" s="22">
        <f>U214*W214/(1+Assumptions!$B$3)^X214</f>
        <v/>
      </c>
      <c r="Z214" s="26">
        <f>IF(U214=0,"",ROUND(Y214/U214*100,1))</f>
        <v/>
      </c>
      <c r="AA214" s="27">
        <f>Y214*Assumptions!$B$4</f>
        <v/>
      </c>
      <c r="AB214" s="26">
        <f>IF(U214=0,"",ROUND(AA214/U214*100,1))</f>
        <v/>
      </c>
      <c r="AC214" s="27">
        <f>Y214-AA214</f>
        <v/>
      </c>
      <c r="AD214" s="26">
        <f>IF(U214=0,"",ROUND((Y214-AA214)/U214*100,1))</f>
        <v/>
      </c>
      <c r="AE214" s="34" t="inlineStr">
        <is>
          <t>PARTIAL — class III reconciled, other classes not</t>
        </is>
      </c>
      <c r="AF214" s="29" t="inlineStr">
        <is>
          <t>https://lrflideres.com.br/wp-content/plugins/download-attachments/includes/download.php?id=6252</t>
        </is>
      </c>
      <c r="AG214" s="28" t="inlineStr">
        <is>
          <t>p2 r67</t>
        </is>
      </c>
      <c r="AH214" s="28" t="inlineStr">
        <is>
          <t>p2: R$ 1.131.366,06</t>
        </is>
      </c>
      <c r="AI214" s="28" t="inlineStr">
        <is>
          <t>AJ list (art. 7 §2)</t>
        </is>
      </c>
      <c r="AJ214" s="28" t="inlineStr">
        <is>
          <t>2024-11-27</t>
        </is>
      </c>
      <c r="AK214" s="28" t="inlineStr">
        <is>
          <t>NONE FOUND</t>
        </is>
      </c>
      <c r="AL214" s="30" t="inlineStr">
        <is>
          <t>0000721-61.2024.8.17.2620</t>
        </is>
      </c>
      <c r="AM214" s="30" t="inlineStr">
        <is>
          <t>TJPE</t>
        </is>
      </c>
      <c r="AN214" s="30" t="inlineStr">
        <is>
          <t>ACTIVE</t>
        </is>
      </c>
      <c r="AO214" s="30" t="n">
        <v>2024</v>
      </c>
      <c r="AP214" s="30" t="inlineStr">
        <is>
          <t>live case, no plan document yet</t>
        </is>
      </c>
      <c r="AQ214" s="30" t="inlineStr">
        <is>
          <t>08.785.522/0001-58</t>
        </is>
      </c>
      <c r="AR214" s="30" t="inlineStr">
        <is>
          <t>printed on the list (read twice)</t>
        </is>
      </c>
      <c r="AS214" s="30" t="inlineStr"/>
      <c r="AT214" s="30" t="inlineStr"/>
      <c r="AU214" s="30" t="inlineStr"/>
      <c r="AV214" s="30" t="inlineStr"/>
      <c r="AW214" s="31" t="inlineStr"/>
      <c r="AX214" s="30" t="inlineStr">
        <is>
          <t>MID-MARKET</t>
        </is>
      </c>
      <c r="AY214" s="30" t="inlineStr">
        <is>
          <t>40974616</t>
        </is>
      </c>
      <c r="AZ214" s="30" t="n">
        <v>1</v>
      </c>
      <c r="BA214" s="30" t="inlineStr">
        <is>
          <t>LIKELY_FINANCIAL_BY_NAME PARTIAL_DOC_CLASS_III_RECONCILED ROWS:p2r67</t>
        </is>
      </c>
    </row>
    <row r="215">
      <c r="A215" s="16" t="inlineStr">
        <is>
          <t>BANCO DO BRASIL SA</t>
        </is>
      </c>
      <c r="B215" s="17" t="n">
        <v>1125316.46</v>
      </c>
      <c r="C215" s="18" t="inlineStr">
        <is>
          <t>GAMAC IMPORTACAO E EXPORTACAO LTDA (EM RECUPERAÇÃO JUDICIAL)</t>
        </is>
      </c>
      <c r="D215" s="19" t="inlineStr">
        <is>
          <t>NEW</t>
        </is>
      </c>
      <c r="E215" s="20" t="inlineStr"/>
      <c r="F215" s="19" t="inlineStr"/>
      <c r="G215" s="20" t="inlineStr"/>
      <c r="H215" s="19" t="inlineStr"/>
      <c r="I215" s="21" t="inlineStr">
        <is>
          <t>Thiago Cavichioli</t>
        </is>
      </c>
      <c r="J215" s="21" t="inlineStr">
        <is>
          <t>Gerente de Cobrança e Recuperação de Crédito</t>
        </is>
      </c>
      <c r="K215" s="21" t="inlineStr">
        <is>
          <t>(61) 3493-9002</t>
        </is>
      </c>
      <c r="L215" s="21" t="inlineStr"/>
      <c r="M215" s="21" t="inlineStr"/>
      <c r="N215" s="21" t="inlineStr">
        <is>
          <t>thiago.cavichioli@bb.com.br</t>
        </is>
      </c>
      <c r="O215" s="21" t="inlineStr">
        <is>
          <t>suelenmondador@bb.com.br</t>
        </is>
      </c>
      <c r="P215" s="21" t="inlineStr">
        <is>
          <t>Suelen Mondador</t>
        </is>
      </c>
      <c r="Q215" s="21" t="inlineStr">
        <is>
          <t>Gerente Especialista em Recuperação de Crédito</t>
        </is>
      </c>
      <c r="R215" s="21" t="inlineStr"/>
      <c r="S215" s="21" t="inlineStr">
        <is>
          <t>suelenmondador@bb.com.br</t>
        </is>
      </c>
      <c r="T215" s="21" t="inlineStr">
        <is>
          <t>email verified by Apollo</t>
        </is>
      </c>
      <c r="U215" s="22" t="n">
        <v>1125316.46</v>
      </c>
      <c r="V215" s="23" t="inlineStr">
        <is>
          <t>B</t>
        </is>
      </c>
      <c r="W215" s="24">
        <f>IFERROR(VLOOKUP(V215,Assumptions!$A$7:$F$11,2,FALSE),0)</f>
        <v/>
      </c>
      <c r="X215" s="25">
        <f>IF(V215="A",MAX(1,IFERROR(VLOOKUP(V215,Assumptions!$A$7:$F$11,3,FALSE),3)+IFERROR(VLOOKUP(V215,Assumptions!$A$7:$F$11,4,FALSE),8)/2-MAX(0,IF(AO215="",0,YEAR(TODAY())-AO215)-IFERROR(VLOOKUP(V215,Assumptions!$A$7:$F$11,5,FALSE),1.5))),IFERROR(VLOOKUP(V215,Assumptions!$A$7:$F$11,5,FALSE),2.5)+IFERROR(VLOOKUP(V215,Assumptions!$A$7:$F$11,3,FALSE),3)+IFERROR(VLOOKUP(V215,Assumptions!$A$7:$F$11,4,FALSE),8)/2)</f>
        <v/>
      </c>
      <c r="Y215" s="22">
        <f>U215*W215/(1+Assumptions!$B$3)^X215</f>
        <v/>
      </c>
      <c r="Z215" s="26">
        <f>IF(U215=0,"",ROUND(Y215/U215*100,1))</f>
        <v/>
      </c>
      <c r="AA215" s="27">
        <f>Y215*Assumptions!$B$4</f>
        <v/>
      </c>
      <c r="AB215" s="26">
        <f>IF(U215=0,"",ROUND(AA215/U215*100,1))</f>
        <v/>
      </c>
      <c r="AC215" s="27">
        <f>Y215-AA215</f>
        <v/>
      </c>
      <c r="AD215" s="26">
        <f>IF(U215=0,"",ROUND((Y215-AA215)/U215*100,1))</f>
        <v/>
      </c>
      <c r="AE215" s="33" t="inlineStr">
        <is>
          <t>NO TOTALS — list prints none; check page</t>
        </is>
      </c>
      <c r="AF215" s="29" t="inlineStr">
        <is>
          <t>https://scalzilliaj.com.br/sgc/download.php?file=files/processo_documento/processo_documento10141405032024_1_.pdf&amp;nome=10 - Edital do art. 7º, §2º da Lei 11.101/2005 (segunda lista de credores)</t>
        </is>
      </c>
      <c r="AG215" s="28" t="inlineStr">
        <is>
          <t>p1 r10</t>
        </is>
      </c>
      <c r="AH215" s="28" t="inlineStr">
        <is>
          <t>p1: R$ 1.125.316,46</t>
        </is>
      </c>
      <c r="AI215" s="28" t="inlineStr">
        <is>
          <t>QGC (art. 18)</t>
        </is>
      </c>
      <c r="AJ215" s="28" t="inlineStr">
        <is>
          <t>2024-03-05</t>
        </is>
      </c>
      <c r="AK215" s="28" t="inlineStr">
        <is>
          <t>NONE FOUND</t>
        </is>
      </c>
      <c r="AL215" s="30" t="inlineStr">
        <is>
          <t>5012295-78.2023.8.24.0019</t>
        </is>
      </c>
      <c r="AM215" s="30" t="inlineStr">
        <is>
          <t>TJSC</t>
        </is>
      </c>
      <c r="AN215" s="30" t="inlineStr">
        <is>
          <t>ACTIVE</t>
        </is>
      </c>
      <c r="AO215" s="30" t="n">
        <v>2023</v>
      </c>
      <c r="AP215" s="30" t="inlineStr">
        <is>
          <t>live case, no plan document yet</t>
        </is>
      </c>
      <c r="AQ215" s="30" t="inlineStr"/>
      <c r="AR215" s="30" t="inlineStr">
        <is>
          <t>printed on the list (read twice)</t>
        </is>
      </c>
      <c r="AS215" s="30" t="inlineStr">
        <is>
          <t>BRASILIA</t>
        </is>
      </c>
      <c r="AT215" s="30" t="inlineStr">
        <is>
          <t>DF</t>
        </is>
      </c>
      <c r="AU215" s="30" t="inlineStr">
        <is>
          <t>Bancos múltiplos, com carteira comercial</t>
        </is>
      </c>
      <c r="AV215" s="30" t="inlineStr">
        <is>
          <t>DEMAIS</t>
        </is>
      </c>
      <c r="AW215" s="31" t="n">
        <v>120000000000</v>
      </c>
      <c r="AX215" s="30" t="inlineStr">
        <is>
          <t>LARGE CORP</t>
        </is>
      </c>
      <c r="AY215" s="30" t="inlineStr">
        <is>
          <t>00000000</t>
        </is>
      </c>
      <c r="AZ215" s="30" t="n">
        <v>1</v>
      </c>
      <c r="BA215" s="30" t="inlineStr">
        <is>
          <t>LIKELY_FINANCIAL_BY_NAME ROWS:p1r10 UNRECONCILED_SOURCE</t>
        </is>
      </c>
    </row>
    <row r="216">
      <c r="A216" s="16" t="inlineStr">
        <is>
          <t>BANCO LUSO BRASILEIRO SA</t>
        </is>
      </c>
      <c r="B216" s="17" t="n">
        <v>1113960</v>
      </c>
      <c r="C216" s="18" t="inlineStr">
        <is>
          <t>FLAVOUR MIX IND. E REP. ALIM. E INGR. QUÍMICOS LTDA.</t>
        </is>
      </c>
      <c r="D216" s="19" t="inlineStr">
        <is>
          <t>NEW</t>
        </is>
      </c>
      <c r="E216" s="20" t="inlineStr"/>
      <c r="F216" s="19" t="inlineStr"/>
      <c r="G216" s="20" t="inlineStr"/>
      <c r="H216" s="19" t="inlineStr"/>
      <c r="I216" s="21" t="inlineStr">
        <is>
          <t>Claudio Oliveira</t>
        </is>
      </c>
      <c r="J216" s="21" t="inlineStr">
        <is>
          <t>Coordenador de Cobrança, Retomados e BNDU</t>
        </is>
      </c>
      <c r="K216" s="21" t="inlineStr"/>
      <c r="L216" s="21" t="inlineStr"/>
      <c r="M216" s="21" t="inlineStr"/>
      <c r="N216" s="21" t="inlineStr"/>
      <c r="O216" s="21" t="inlineStr"/>
      <c r="P216" s="21" t="inlineStr">
        <is>
          <t>Dora Paula</t>
        </is>
      </c>
      <c r="Q216" s="21" t="inlineStr">
        <is>
          <t>Credit Manager</t>
        </is>
      </c>
      <c r="R216" s="21" t="inlineStr"/>
      <c r="S216" s="21" t="inlineStr"/>
      <c r="T216" s="21" t="inlineStr">
        <is>
          <t>no work email found in Apollo</t>
        </is>
      </c>
      <c r="U216" s="22" t="n">
        <v>1113960</v>
      </c>
      <c r="V216" s="23" t="inlineStr">
        <is>
          <t>B</t>
        </is>
      </c>
      <c r="W216" s="24">
        <f>IFERROR(VLOOKUP(V216,Assumptions!$A$7:$F$11,2,FALSE),0)</f>
        <v/>
      </c>
      <c r="X216" s="25">
        <f>IF(V216="A",MAX(1,IFERROR(VLOOKUP(V216,Assumptions!$A$7:$F$11,3,FALSE),3)+IFERROR(VLOOKUP(V216,Assumptions!$A$7:$F$11,4,FALSE),8)/2-MAX(0,IF(AO216="",0,YEAR(TODAY())-AO216)-IFERROR(VLOOKUP(V216,Assumptions!$A$7:$F$11,5,FALSE),1.5))),IFERROR(VLOOKUP(V216,Assumptions!$A$7:$F$11,5,FALSE),2.5)+IFERROR(VLOOKUP(V216,Assumptions!$A$7:$F$11,3,FALSE),3)+IFERROR(VLOOKUP(V216,Assumptions!$A$7:$F$11,4,FALSE),8)/2)</f>
        <v/>
      </c>
      <c r="Y216" s="22">
        <f>U216*W216/(1+Assumptions!$B$3)^X216</f>
        <v/>
      </c>
      <c r="Z216" s="26">
        <f>IF(U216=0,"",ROUND(Y216/U216*100,1))</f>
        <v/>
      </c>
      <c r="AA216" s="27">
        <f>Y216*Assumptions!$B$4</f>
        <v/>
      </c>
      <c r="AB216" s="26">
        <f>IF(U216=0,"",ROUND(AA216/U216*100,1))</f>
        <v/>
      </c>
      <c r="AC216" s="27">
        <f>Y216-AA216</f>
        <v/>
      </c>
      <c r="AD216" s="26">
        <f>IF(U216=0,"",ROUND((Y216-AA216)/U216*100,1))</f>
        <v/>
      </c>
      <c r="AE216" s="33" t="inlineStr">
        <is>
          <t>NO TOTALS — list prints none; check page</t>
        </is>
      </c>
      <c r="AF216" s="29" t="inlineStr">
        <is>
          <t>https://ativosajce.com.br/admin/download.php?file=files/processo_documento/processo_documento13422625032025_1_.pdf&amp;nome=Relação de Credores - Art. 52º § 1º, da Lei nº 11.101/2005 - 25/02/2025</t>
        </is>
      </c>
      <c r="AG216" s="28" t="inlineStr">
        <is>
          <t>p3 r21</t>
        </is>
      </c>
      <c r="AH216" s="28" t="inlineStr">
        <is>
          <t>p3: R$ 1.113.960,00</t>
        </is>
      </c>
      <c r="AI216" s="28" t="inlineStr">
        <is>
          <t>Unclassified list</t>
        </is>
      </c>
      <c r="AJ216" s="28" t="inlineStr">
        <is>
          <t>2025-02-28</t>
        </is>
      </c>
      <c r="AK216" s="28" t="inlineStr">
        <is>
          <t>NONE FOUND</t>
        </is>
      </c>
      <c r="AL216" s="30" t="inlineStr">
        <is>
          <t>1000119-75.2025.8.26.0354</t>
        </is>
      </c>
      <c r="AM216" s="30" t="inlineStr">
        <is>
          <t>TJSP</t>
        </is>
      </c>
      <c r="AN216" s="30" t="inlineStr">
        <is>
          <t>ACTIVE</t>
        </is>
      </c>
      <c r="AO216" s="30" t="n">
        <v>2025</v>
      </c>
      <c r="AP216" s="30" t="inlineStr">
        <is>
          <t>live case, no plan document yet</t>
        </is>
      </c>
      <c r="AQ216" s="30" t="inlineStr">
        <is>
          <t>09.357.504/0001-38</t>
        </is>
      </c>
      <c r="AR216" s="30" t="inlineStr">
        <is>
          <t>printed on the list (read twice)</t>
        </is>
      </c>
      <c r="AS216" s="30" t="inlineStr"/>
      <c r="AT216" s="30" t="inlineStr"/>
      <c r="AU216" s="30" t="inlineStr"/>
      <c r="AV216" s="30" t="inlineStr"/>
      <c r="AW216" s="31" t="inlineStr"/>
      <c r="AX216" s="30" t="inlineStr">
        <is>
          <t>MID-MARKET</t>
        </is>
      </c>
      <c r="AY216" s="30" t="inlineStr">
        <is>
          <t>59118133</t>
        </is>
      </c>
      <c r="AZ216" s="30" t="n">
        <v>1</v>
      </c>
      <c r="BA216" s="30" t="inlineStr">
        <is>
          <t>LIKELY_FINANCIAL_BY_NAME ROWS:p3r21 UNRECONCILED_SOURCE</t>
        </is>
      </c>
    </row>
    <row r="217">
      <c r="A217" s="16" t="inlineStr">
        <is>
          <t>Banco Cooperativo Sicredi S.A.</t>
        </is>
      </c>
      <c r="B217" s="17" t="n">
        <v>1110075.23</v>
      </c>
      <c r="C217" s="18" t="inlineStr">
        <is>
          <t>Grupo Agromeal</t>
        </is>
      </c>
      <c r="D217" s="19" t="inlineStr">
        <is>
          <t>NEW</t>
        </is>
      </c>
      <c r="E217" s="20" t="inlineStr"/>
      <c r="F217" s="19" t="inlineStr"/>
      <c r="G217" s="20" t="inlineStr"/>
      <c r="H217" s="19" t="inlineStr"/>
      <c r="I217" s="21" t="inlineStr"/>
      <c r="J217" s="21" t="inlineStr"/>
      <c r="K217" s="21" t="inlineStr"/>
      <c r="L217" s="21" t="inlineStr"/>
      <c r="M217" s="21" t="inlineStr"/>
      <c r="N217" s="21" t="inlineStr"/>
      <c r="O217" s="21" t="inlineStr"/>
      <c r="P217" s="21" t="inlineStr"/>
      <c r="Q217" s="21" t="inlineStr"/>
      <c r="R217" s="21" t="inlineStr"/>
      <c r="S217" s="21" t="inlineStr"/>
      <c r="T217" s="21" t="inlineStr">
        <is>
          <t>no named contact found</t>
        </is>
      </c>
      <c r="U217" s="22" t="n">
        <v>1110075.23</v>
      </c>
      <c r="V217" s="23" t="inlineStr">
        <is>
          <t>B</t>
        </is>
      </c>
      <c r="W217" s="24">
        <f>IFERROR(VLOOKUP(V217,Assumptions!$A$7:$F$11,2,FALSE),0)</f>
        <v/>
      </c>
      <c r="X217" s="25">
        <f>IF(V217="A",MAX(1,IFERROR(VLOOKUP(V217,Assumptions!$A$7:$F$11,3,FALSE),3)+IFERROR(VLOOKUP(V217,Assumptions!$A$7:$F$11,4,FALSE),8)/2-MAX(0,IF(AO217="",0,YEAR(TODAY())-AO217)-IFERROR(VLOOKUP(V217,Assumptions!$A$7:$F$11,5,FALSE),1.5))),IFERROR(VLOOKUP(V217,Assumptions!$A$7:$F$11,5,FALSE),2.5)+IFERROR(VLOOKUP(V217,Assumptions!$A$7:$F$11,3,FALSE),3)+IFERROR(VLOOKUP(V217,Assumptions!$A$7:$F$11,4,FALSE),8)/2)</f>
        <v/>
      </c>
      <c r="Y217" s="22">
        <f>U217*W217/(1+Assumptions!$B$3)^X217</f>
        <v/>
      </c>
      <c r="Z217" s="26">
        <f>IF(U217=0,"",ROUND(Y217/U217*100,1))</f>
        <v/>
      </c>
      <c r="AA217" s="27">
        <f>Y217*Assumptions!$B$4</f>
        <v/>
      </c>
      <c r="AB217" s="26">
        <f>IF(U217=0,"",ROUND(AA217/U217*100,1))</f>
        <v/>
      </c>
      <c r="AC217" s="27">
        <f>Y217-AA217</f>
        <v/>
      </c>
      <c r="AD217" s="26">
        <f>IF(U217=0,"",ROUND((Y217-AA217)/U217*100,1))</f>
        <v/>
      </c>
      <c r="AE217" s="34" t="inlineStr">
        <is>
          <t>PARTIAL — class III reconciled, other classes not</t>
        </is>
      </c>
      <c r="AF217" s="29" t="inlineStr">
        <is>
          <t>https://marquesadmjudicial.com.br/sgc/download.php?file=files/processo_documento/processo_documento17040729052024_1_.pdf&amp;nome=Relação Nominal de Credores AJ-Sintética</t>
        </is>
      </c>
      <c r="AG217" s="28" t="inlineStr">
        <is>
          <t>p9 r18</t>
        </is>
      </c>
      <c r="AH217" s="28" t="inlineStr">
        <is>
          <t>p9: R$ 1.110.075,23</t>
        </is>
      </c>
      <c r="AI217" s="28" t="inlineStr">
        <is>
          <t>AJ list (art. 7 §2)</t>
        </is>
      </c>
      <c r="AJ217" s="28" t="inlineStr">
        <is>
          <t>2024-05-27</t>
        </is>
      </c>
      <c r="AK217" s="28" t="inlineStr">
        <is>
          <t>NONE FOUND</t>
        </is>
      </c>
      <c r="AL217" s="30" t="inlineStr">
        <is>
          <t>0003971-03.2023.8.16.0119</t>
        </is>
      </c>
      <c r="AM217" s="30" t="inlineStr">
        <is>
          <t>TJPR</t>
        </is>
      </c>
      <c r="AN217" s="30" t="inlineStr">
        <is>
          <t>ACTIVE</t>
        </is>
      </c>
      <c r="AO217" s="30" t="n">
        <v>2023</v>
      </c>
      <c r="AP217" s="30" t="inlineStr">
        <is>
          <t>live case, no plan document yet</t>
        </is>
      </c>
      <c r="AQ217" s="30" t="inlineStr">
        <is>
          <t>11.624.776/0001-07</t>
        </is>
      </c>
      <c r="AR217" s="30" t="inlineStr">
        <is>
          <t>printed on the list (read twice)</t>
        </is>
      </c>
      <c r="AS217" s="30" t="inlineStr"/>
      <c r="AT217" s="30" t="inlineStr"/>
      <c r="AU217" s="30" t="inlineStr"/>
      <c r="AV217" s="30" t="inlineStr"/>
      <c r="AW217" s="31" t="inlineStr"/>
      <c r="AX217" s="30" t="inlineStr">
        <is>
          <t>MID-MARKET</t>
        </is>
      </c>
      <c r="AY217" s="30" t="inlineStr">
        <is>
          <t>79342069</t>
        </is>
      </c>
      <c r="AZ217" s="30" t="n">
        <v>1</v>
      </c>
      <c r="BA217" s="30" t="inlineStr">
        <is>
          <t>LIKELY_FINANCIAL_BY_NAME PARTIAL_DOC_CLASS_III_RECONCILED ROWS:p9r18</t>
        </is>
      </c>
    </row>
    <row r="218">
      <c r="A218" s="16" t="inlineStr">
        <is>
          <t>BANCO SOFISA S.A.</t>
        </is>
      </c>
      <c r="B218" s="17" t="n">
        <v>1101118</v>
      </c>
      <c r="C218" s="18" t="inlineStr">
        <is>
          <t>VENEZA SERVIÇOS ADMINISTRATIVOS LTDA.</t>
        </is>
      </c>
      <c r="D218" s="19" t="inlineStr">
        <is>
          <t>NEW</t>
        </is>
      </c>
      <c r="E218" s="20" t="inlineStr"/>
      <c r="F218" s="19" t="inlineStr"/>
      <c r="G218" s="20" t="inlineStr"/>
      <c r="H218" s="19" t="inlineStr"/>
      <c r="I218" s="21" t="inlineStr">
        <is>
          <t>Tiago Hendo</t>
        </is>
      </c>
      <c r="J218" s="21" t="inlineStr">
        <is>
          <t>Gerente de Reestruturação de Crédito</t>
        </is>
      </c>
      <c r="K218" s="21" t="inlineStr">
        <is>
          <t>(11) 3176-5500</t>
        </is>
      </c>
      <c r="L218" s="21" t="inlineStr"/>
      <c r="M218" s="21" t="inlineStr"/>
      <c r="N218" s="21" t="inlineStr"/>
      <c r="O218" s="21" t="inlineStr">
        <is>
          <t>rnurnberg@sofisa.com.br</t>
        </is>
      </c>
      <c r="P218" s="21" t="inlineStr">
        <is>
          <t>Rafael Nurnberg</t>
        </is>
      </c>
      <c r="Q218" s="21" t="inlineStr">
        <is>
          <t>Superintendente Executivo de Crédito e Cobrança Varejo (PF e PJ)</t>
        </is>
      </c>
      <c r="R218" s="21" t="inlineStr"/>
      <c r="S218" s="21" t="inlineStr">
        <is>
          <t>rnurnberg@sofisa.com.br</t>
        </is>
      </c>
      <c r="T218" s="21" t="inlineStr">
        <is>
          <t>no work email found in Apollo</t>
        </is>
      </c>
      <c r="U218" s="22" t="n">
        <v>1101118</v>
      </c>
      <c r="V218" s="23" t="inlineStr">
        <is>
          <t>B</t>
        </is>
      </c>
      <c r="W218" s="24">
        <f>IFERROR(VLOOKUP(V218,Assumptions!$A$7:$F$11,2,FALSE),0)</f>
        <v/>
      </c>
      <c r="X218" s="25">
        <f>IF(V218="A",MAX(1,IFERROR(VLOOKUP(V218,Assumptions!$A$7:$F$11,3,FALSE),3)+IFERROR(VLOOKUP(V218,Assumptions!$A$7:$F$11,4,FALSE),8)/2-MAX(0,IF(AO218="",0,YEAR(TODAY())-AO218)-IFERROR(VLOOKUP(V218,Assumptions!$A$7:$F$11,5,FALSE),1.5))),IFERROR(VLOOKUP(V218,Assumptions!$A$7:$F$11,5,FALSE),2.5)+IFERROR(VLOOKUP(V218,Assumptions!$A$7:$F$11,3,FALSE),3)+IFERROR(VLOOKUP(V218,Assumptions!$A$7:$F$11,4,FALSE),8)/2)</f>
        <v/>
      </c>
      <c r="Y218" s="22">
        <f>U218*W218/(1+Assumptions!$B$3)^X218</f>
        <v/>
      </c>
      <c r="Z218" s="26">
        <f>IF(U218=0,"",ROUND(Y218/U218*100,1))</f>
        <v/>
      </c>
      <c r="AA218" s="27">
        <f>Y218*Assumptions!$B$4</f>
        <v/>
      </c>
      <c r="AB218" s="26">
        <f>IF(U218=0,"",ROUND(AA218/U218*100,1))</f>
        <v/>
      </c>
      <c r="AC218" s="27">
        <f>Y218-AA218</f>
        <v/>
      </c>
      <c r="AD218" s="26">
        <f>IF(U218=0,"",ROUND((Y218-AA218)/U218*100,1))</f>
        <v/>
      </c>
      <c r="AE218" s="28" t="inlineStr">
        <is>
          <t>OK — totals reconciled</t>
        </is>
      </c>
      <c r="AF218" s="29" t="inlineStr">
        <is>
          <t>https://bugarimecoelho.com.br/ws/media-library/b6b7ea42b9fa2afe30bc728fe00cd5c6/07---edital-do-processamento-da-recuperacao-judicial.pdf</t>
        </is>
      </c>
      <c r="AG218" s="28" t="inlineStr">
        <is>
          <t>p16 r3</t>
        </is>
      </c>
      <c r="AH218" s="28" t="inlineStr">
        <is>
          <t>p16: R$ 1.101.118,00</t>
        </is>
      </c>
      <c r="AI218" s="28" t="inlineStr">
        <is>
          <t>Unclassified list</t>
        </is>
      </c>
      <c r="AJ218" s="28" t="inlineStr">
        <is>
          <t>2026-07-09</t>
        </is>
      </c>
      <c r="AK218" s="28" t="inlineStr">
        <is>
          <t>NONE FOUND</t>
        </is>
      </c>
      <c r="AL218" s="30" t="inlineStr">
        <is>
          <t>3000117-40.2025.8.06.0512</t>
        </is>
      </c>
      <c r="AM218" s="30" t="inlineStr">
        <is>
          <t>TJCE</t>
        </is>
      </c>
      <c r="AN218" s="30" t="inlineStr">
        <is>
          <t>ACTIVE</t>
        </is>
      </c>
      <c r="AO218" s="30" t="n">
        <v>2025</v>
      </c>
      <c r="AP218" s="30" t="inlineStr">
        <is>
          <t>live case, no plan document yet</t>
        </is>
      </c>
      <c r="AQ218" s="30" t="inlineStr">
        <is>
          <t>11.399.787/0001-22</t>
        </is>
      </c>
      <c r="AR218" s="30" t="inlineStr">
        <is>
          <t>printed on the list (read twice)</t>
        </is>
      </c>
      <c r="AS218" s="30" t="inlineStr">
        <is>
          <t>SAO PAULO</t>
        </is>
      </c>
      <c r="AT218" s="30" t="inlineStr">
        <is>
          <t>SP</t>
        </is>
      </c>
      <c r="AU218" s="30" t="inlineStr">
        <is>
          <t>Bancos múltiplos, com carteira comercial</t>
        </is>
      </c>
      <c r="AV218" s="30" t="inlineStr">
        <is>
          <t>DEMAIS</t>
        </is>
      </c>
      <c r="AW218" s="31" t="n">
        <v>1021700100</v>
      </c>
      <c r="AX218" s="30" t="inlineStr">
        <is>
          <t>LARGE CORP</t>
        </is>
      </c>
      <c r="AY218" s="30" t="inlineStr">
        <is>
          <t>60889128</t>
        </is>
      </c>
      <c r="AZ218" s="30" t="n">
        <v>1</v>
      </c>
      <c r="BA218" s="30" t="inlineStr">
        <is>
          <t>LIKELY_FINANCIAL_BY_NAME ROWS:p16r3</t>
        </is>
      </c>
    </row>
    <row r="219">
      <c r="A219" s="16" t="inlineStr">
        <is>
          <t>BANCO SANTANDER (BRASIL) S.A.</t>
        </is>
      </c>
      <c r="B219" s="17" t="n">
        <v>1097205.22</v>
      </c>
      <c r="C219" s="18" t="inlineStr">
        <is>
          <t>CENTURY CONSTRUÇÕES COMÉRCIO E SERVIÇOS LTDA.</t>
        </is>
      </c>
      <c r="D219" s="19" t="inlineStr">
        <is>
          <t>NEW</t>
        </is>
      </c>
      <c r="E219" s="20" t="inlineStr"/>
      <c r="F219" s="19" t="inlineStr"/>
      <c r="G219" s="20" t="inlineStr"/>
      <c r="H219" s="19" t="inlineStr"/>
      <c r="I219" s="21" t="inlineStr">
        <is>
          <t>Igor Puertas</t>
        </is>
      </c>
      <c r="J219" s="21" t="inlineStr">
        <is>
          <t>Distressed Assets | NPL</t>
        </is>
      </c>
      <c r="K219" s="21" t="inlineStr">
        <is>
          <t>(11) 4004-3535</t>
        </is>
      </c>
      <c r="L219" s="21" t="inlineStr"/>
      <c r="M219" s="21" t="inlineStr"/>
      <c r="N219" s="21" t="inlineStr">
        <is>
          <t>igor.puertas@santander.com.br</t>
        </is>
      </c>
      <c r="O219" s="21" t="inlineStr">
        <is>
          <t>antonio.pequeno.junior@santander.com.br</t>
        </is>
      </c>
      <c r="P219" s="21" t="inlineStr">
        <is>
          <t>Antonio Junior</t>
        </is>
      </c>
      <c r="Q219" s="21" t="inlineStr">
        <is>
          <t>Superintendente Recuperação de Crédito</t>
        </is>
      </c>
      <c r="R219" s="21" t="inlineStr"/>
      <c r="S219" s="21" t="inlineStr">
        <is>
          <t>antonio.pequeno.junior@santander.com.br</t>
        </is>
      </c>
      <c r="T219" s="21" t="inlineStr">
        <is>
          <t>email verified by Apollo</t>
        </is>
      </c>
      <c r="U219" s="22" t="n">
        <v>1097205.22</v>
      </c>
      <c r="V219" s="23" t="inlineStr">
        <is>
          <t>B</t>
        </is>
      </c>
      <c r="W219" s="24">
        <f>IFERROR(VLOOKUP(V219,Assumptions!$A$7:$F$11,2,FALSE),0)</f>
        <v/>
      </c>
      <c r="X219" s="25">
        <f>IF(V219="A",MAX(1,IFERROR(VLOOKUP(V219,Assumptions!$A$7:$F$11,3,FALSE),3)+IFERROR(VLOOKUP(V219,Assumptions!$A$7:$F$11,4,FALSE),8)/2-MAX(0,IF(AO219="",0,YEAR(TODAY())-AO219)-IFERROR(VLOOKUP(V219,Assumptions!$A$7:$F$11,5,FALSE),1.5))),IFERROR(VLOOKUP(V219,Assumptions!$A$7:$F$11,5,FALSE),2.5)+IFERROR(VLOOKUP(V219,Assumptions!$A$7:$F$11,3,FALSE),3)+IFERROR(VLOOKUP(V219,Assumptions!$A$7:$F$11,4,FALSE),8)/2)</f>
        <v/>
      </c>
      <c r="Y219" s="22">
        <f>U219*W219/(1+Assumptions!$B$3)^X219</f>
        <v/>
      </c>
      <c r="Z219" s="26">
        <f>IF(U219=0,"",ROUND(Y219/U219*100,1))</f>
        <v/>
      </c>
      <c r="AA219" s="27">
        <f>Y219*Assumptions!$B$4</f>
        <v/>
      </c>
      <c r="AB219" s="26">
        <f>IF(U219=0,"",ROUND(AA219/U219*100,1))</f>
        <v/>
      </c>
      <c r="AC219" s="27">
        <f>Y219-AA219</f>
        <v/>
      </c>
      <c r="AD219" s="26">
        <f>IF(U219=0,"",ROUND((Y219-AA219)/U219*100,1))</f>
        <v/>
      </c>
      <c r="AE219" s="33" t="inlineStr">
        <is>
          <t>NO TOTALS — list prints none; check page</t>
        </is>
      </c>
      <c r="AF219" s="29" t="inlineStr">
        <is>
          <t>https://ativosajce.com.br/admin/download.php?file=files/processo_documento/processo_documento16022716122025_1_.pdf&amp;nome=Relação de credores - art. 52, §1º da Lei 11.101/05 - 15/12/2025</t>
        </is>
      </c>
      <c r="AG219" s="28" t="inlineStr">
        <is>
          <t>p2 r20</t>
        </is>
      </c>
      <c r="AH219" s="28" t="inlineStr">
        <is>
          <t>p2: R$ 1.097.205,22</t>
        </is>
      </c>
      <c r="AI219" s="28" t="inlineStr">
        <is>
          <t>Unclassified list</t>
        </is>
      </c>
      <c r="AJ219" s="28" t="inlineStr"/>
      <c r="AK219" s="28" t="inlineStr">
        <is>
          <t>NONE FOUND</t>
        </is>
      </c>
      <c r="AL219" s="30" t="inlineStr">
        <is>
          <t>4054599-35.2025.8.26.0100</t>
        </is>
      </c>
      <c r="AM219" s="30" t="inlineStr">
        <is>
          <t>TJSP</t>
        </is>
      </c>
      <c r="AN219" s="30" t="inlineStr">
        <is>
          <t>ACTIVE</t>
        </is>
      </c>
      <c r="AO219" s="30" t="n">
        <v>2025</v>
      </c>
      <c r="AP219" s="30" t="inlineStr">
        <is>
          <t>live case, no plan document yet</t>
        </is>
      </c>
      <c r="AQ219" s="30" t="inlineStr">
        <is>
          <t>03.299.563/0001-10</t>
        </is>
      </c>
      <c r="AR219" s="30" t="inlineStr">
        <is>
          <t>printed on the list (read twice)</t>
        </is>
      </c>
      <c r="AS219" s="30" t="inlineStr">
        <is>
          <t>SAO PAULO</t>
        </is>
      </c>
      <c r="AT219" s="30" t="inlineStr">
        <is>
          <t>SP</t>
        </is>
      </c>
      <c r="AU219" s="30" t="inlineStr">
        <is>
          <t>Bancos múltiplos, com carteira comercial</t>
        </is>
      </c>
      <c r="AV219" s="30" t="inlineStr">
        <is>
          <t>DEMAIS</t>
        </is>
      </c>
      <c r="AW219" s="31" t="n">
        <v>65000000000</v>
      </c>
      <c r="AX219" s="30" t="inlineStr">
        <is>
          <t>LARGE CORP</t>
        </is>
      </c>
      <c r="AY219" s="30" t="inlineStr">
        <is>
          <t>90400888</t>
        </is>
      </c>
      <c r="AZ219" s="30" t="n">
        <v>1</v>
      </c>
      <c r="BA219" s="30" t="inlineStr">
        <is>
          <t>ROWS:p2r20 UNRECONCILED_SOURCE VALUE_COL:Valor</t>
        </is>
      </c>
    </row>
    <row r="220">
      <c r="A220" s="16" t="inlineStr">
        <is>
          <t>ITAU UNIBANCO S.A.</t>
        </is>
      </c>
      <c r="B220" s="17" t="n">
        <v>523997.83</v>
      </c>
      <c r="C220" s="18" t="inlineStr">
        <is>
          <t>JA SANTOS IMPORTACAO E EXPORTACAO DE FERRAMENTAS LTDA</t>
        </is>
      </c>
      <c r="D220" s="19" t="inlineStr">
        <is>
          <t>NEW</t>
        </is>
      </c>
      <c r="E220" s="20" t="inlineStr"/>
      <c r="F220" s="19" t="inlineStr"/>
      <c r="G220" s="20" t="inlineStr"/>
      <c r="H220" s="19" t="inlineStr"/>
      <c r="I220" s="21" t="inlineStr">
        <is>
          <t>Murilo Gigliucci</t>
        </is>
      </c>
      <c r="J220" s="21" t="inlineStr">
        <is>
          <t>Superintendente de Reestruturação de Crédito</t>
        </is>
      </c>
      <c r="K220" s="21" t="inlineStr">
        <is>
          <t>(11) 3003-4828</t>
        </is>
      </c>
      <c r="L220" s="21" t="inlineStr"/>
      <c r="M220" s="21" t="inlineStr"/>
      <c r="N220" s="21" t="inlineStr">
        <is>
          <t>murilo.gigliucci@itau-unibanco.com.br</t>
        </is>
      </c>
      <c r="O220" s="21" t="inlineStr">
        <is>
          <t>pedro.ornellas-geronimo@itau-unibanco.com.br</t>
        </is>
      </c>
      <c r="P220" s="21" t="inlineStr">
        <is>
          <t>Pedro Ornellas</t>
        </is>
      </c>
      <c r="Q220" s="21" t="inlineStr">
        <is>
          <t>Superintendente de Recuperação de Crédito</t>
        </is>
      </c>
      <c r="R220" s="21" t="inlineStr"/>
      <c r="S220" s="21" t="inlineStr">
        <is>
          <t>pedro.ornellas-geronimo@itau-unibanco.com.br</t>
        </is>
      </c>
      <c r="T220" s="21" t="inlineStr">
        <is>
          <t>email verified by Apollo</t>
        </is>
      </c>
      <c r="U220" s="22" t="n">
        <v>523997.83</v>
      </c>
      <c r="V220" s="35" t="inlineStr">
        <is>
          <t>A</t>
        </is>
      </c>
      <c r="W220" s="24">
        <f>IFERROR(VLOOKUP(V220,Assumptions!$A$7:$F$11,2,FALSE),0)</f>
        <v/>
      </c>
      <c r="X220" s="25">
        <f>IF(V220="A",MAX(1,IFERROR(VLOOKUP(V220,Assumptions!$A$7:$F$11,3,FALSE),3)+IFERROR(VLOOKUP(V220,Assumptions!$A$7:$F$11,4,FALSE),8)/2-MAX(0,IF(AO220="",0,YEAR(TODAY())-AO220)-IFERROR(VLOOKUP(V220,Assumptions!$A$7:$F$11,5,FALSE),1.5))),IFERROR(VLOOKUP(V220,Assumptions!$A$7:$F$11,5,FALSE),2.5)+IFERROR(VLOOKUP(V220,Assumptions!$A$7:$F$11,3,FALSE),3)+IFERROR(VLOOKUP(V220,Assumptions!$A$7:$F$11,4,FALSE),8)/2)</f>
        <v/>
      </c>
      <c r="Y220" s="22">
        <f>U220*W220/(1+Assumptions!$B$3)^X220</f>
        <v/>
      </c>
      <c r="Z220" s="26">
        <f>IF(U220=0,"",ROUND(Y220/U220*100,1))</f>
        <v/>
      </c>
      <c r="AA220" s="27">
        <f>Y220*Assumptions!$B$4</f>
        <v/>
      </c>
      <c r="AB220" s="26">
        <f>IF(U220=0,"",ROUND(AA220/U220*100,1))</f>
        <v/>
      </c>
      <c r="AC220" s="27">
        <f>Y220-AA220</f>
        <v/>
      </c>
      <c r="AD220" s="26">
        <f>IF(U220=0,"",ROUND((Y220-AA220)/U220*100,1))</f>
        <v/>
      </c>
      <c r="AE220" s="28" t="inlineStr">
        <is>
          <t>OK — totals reconciled</t>
        </is>
      </c>
      <c r="AF220" s="29" t="inlineStr">
        <is>
          <t>https://vivanteaj.com.br/wp-content/uploads/2024/11/1a-lista-de-credores-JA-Santos.pdf</t>
        </is>
      </c>
      <c r="AG220" s="28" t="inlineStr">
        <is>
          <t>p1 r7; p1 r8; p1 r9</t>
        </is>
      </c>
      <c r="AH220" s="28" t="inlineStr">
        <is>
          <t>p1: R$ 218.521,80; p1: R$ 14.934,30; p1: R$ 290.541,73</t>
        </is>
      </c>
      <c r="AI220" s="28" t="inlineStr">
        <is>
          <t>Unclassified list</t>
        </is>
      </c>
      <c r="AJ220" s="28" t="inlineStr">
        <is>
          <t>2022-11-02</t>
        </is>
      </c>
      <c r="AK220" s="28" t="inlineStr">
        <is>
          <t>PLAN DOC FOUND</t>
        </is>
      </c>
      <c r="AL220" s="30" t="inlineStr">
        <is>
          <t>1018313-46.2024.8.26.0100</t>
        </is>
      </c>
      <c r="AM220" s="30" t="inlineStr">
        <is>
          <t>TJSP</t>
        </is>
      </c>
      <c r="AN220" s="30" t="inlineStr">
        <is>
          <t>ACTIVE</t>
        </is>
      </c>
      <c r="AO220" s="30" t="n">
        <v>2024</v>
      </c>
      <c r="AP220" s="30" t="inlineStr">
        <is>
          <t>plan/homologation document found</t>
        </is>
      </c>
      <c r="AQ220" s="30" t="inlineStr">
        <is>
          <t>15.408.785/0001-03</t>
        </is>
      </c>
      <c r="AR220" s="30" t="inlineStr">
        <is>
          <t>printed on the list (read twice)</t>
        </is>
      </c>
      <c r="AS220" s="30" t="inlineStr">
        <is>
          <t>SAO PAULO</t>
        </is>
      </c>
      <c r="AT220" s="30" t="inlineStr">
        <is>
          <t>SP</t>
        </is>
      </c>
      <c r="AU220" s="30" t="inlineStr">
        <is>
          <t>Bancos comerciais</t>
        </is>
      </c>
      <c r="AV220" s="30" t="inlineStr">
        <is>
          <t>DEMAIS</t>
        </is>
      </c>
      <c r="AW220" s="31" t="n">
        <v>76200000000</v>
      </c>
      <c r="AX220" s="30" t="inlineStr">
        <is>
          <t>LARGE CORP</t>
        </is>
      </c>
      <c r="AY220" s="30" t="inlineStr">
        <is>
          <t>60701190</t>
        </is>
      </c>
      <c r="AZ220" s="30" t="n">
        <v>3</v>
      </c>
      <c r="BA220" s="30" t="inlineStr">
        <is>
          <t>ROWS:p1r7,p1r8,p1r9 VALUE_COL:Valor</t>
        </is>
      </c>
    </row>
    <row r="221">
      <c r="A221" s="16" t="inlineStr">
        <is>
          <t>BANCO DAYCOVAL S.A.</t>
        </is>
      </c>
      <c r="B221" s="17" t="n">
        <v>1081440.72</v>
      </c>
      <c r="C221" s="18" t="inlineStr">
        <is>
          <t>GRUPO GLP</t>
        </is>
      </c>
      <c r="D221" s="19" t="inlineStr">
        <is>
          <t>NEW</t>
        </is>
      </c>
      <c r="E221" s="20" t="inlineStr"/>
      <c r="F221" s="19" t="inlineStr"/>
      <c r="G221" s="20" t="inlineStr"/>
      <c r="H221" s="19" t="inlineStr"/>
      <c r="I221" s="21" t="inlineStr">
        <is>
          <t>Celso Araujo</t>
        </is>
      </c>
      <c r="J221" s="21" t="inlineStr">
        <is>
          <t>Gerente de Recuperação de Crédito</t>
        </is>
      </c>
      <c r="K221" s="21" t="inlineStr">
        <is>
          <t>(11) 3138-0500</t>
        </is>
      </c>
      <c r="L221" s="21" t="inlineStr"/>
      <c r="M221" s="21" t="inlineStr"/>
      <c r="N221" s="21" t="inlineStr">
        <is>
          <t>celso.araujo@bancodaycoval.com.br</t>
        </is>
      </c>
      <c r="O221" s="21" t="inlineStr">
        <is>
          <t>andreia.matiel@daycoval.com.br</t>
        </is>
      </c>
      <c r="P221" s="21" t="inlineStr">
        <is>
          <t>Andreia Matiel</t>
        </is>
      </c>
      <c r="Q221" s="21" t="inlineStr">
        <is>
          <t>Advogada Recuperação de Crédito Empresas</t>
        </is>
      </c>
      <c r="R221" s="21" t="inlineStr"/>
      <c r="S221" s="21" t="inlineStr">
        <is>
          <t>andreia.matiel@daycoval.com.br</t>
        </is>
      </c>
      <c r="T221" s="21" t="inlineStr">
        <is>
          <t>email verified by Apollo</t>
        </is>
      </c>
      <c r="U221" s="22" t="n">
        <v>1081440.72</v>
      </c>
      <c r="V221" s="23" t="inlineStr">
        <is>
          <t>B</t>
        </is>
      </c>
      <c r="W221" s="24">
        <f>IFERROR(VLOOKUP(V221,Assumptions!$A$7:$F$11,2,FALSE),0)</f>
        <v/>
      </c>
      <c r="X221" s="25">
        <f>IF(V221="A",MAX(1,IFERROR(VLOOKUP(V221,Assumptions!$A$7:$F$11,3,FALSE),3)+IFERROR(VLOOKUP(V221,Assumptions!$A$7:$F$11,4,FALSE),8)/2-MAX(0,IF(AO221="",0,YEAR(TODAY())-AO221)-IFERROR(VLOOKUP(V221,Assumptions!$A$7:$F$11,5,FALSE),1.5))),IFERROR(VLOOKUP(V221,Assumptions!$A$7:$F$11,5,FALSE),2.5)+IFERROR(VLOOKUP(V221,Assumptions!$A$7:$F$11,3,FALSE),3)+IFERROR(VLOOKUP(V221,Assumptions!$A$7:$F$11,4,FALSE),8)/2)</f>
        <v/>
      </c>
      <c r="Y221" s="22">
        <f>U221*W221/(1+Assumptions!$B$3)^X221</f>
        <v/>
      </c>
      <c r="Z221" s="26">
        <f>IF(U221=0,"",ROUND(Y221/U221*100,1))</f>
        <v/>
      </c>
      <c r="AA221" s="27">
        <f>Y221*Assumptions!$B$4</f>
        <v/>
      </c>
      <c r="AB221" s="26">
        <f>IF(U221=0,"",ROUND(AA221/U221*100,1))</f>
        <v/>
      </c>
      <c r="AC221" s="27">
        <f>Y221-AA221</f>
        <v/>
      </c>
      <c r="AD221" s="26">
        <f>IF(U221=0,"",ROUND((Y221-AA221)/U221*100,1))</f>
        <v/>
      </c>
      <c r="AE221" s="28" t="inlineStr">
        <is>
          <t>OK — totals reconciled</t>
        </is>
      </c>
      <c r="AF221" s="29" t="inlineStr">
        <is>
          <t>https://recuperasolucoes.com/wp-content/plugins/download-attachments/includes/download.php?id=1597</t>
        </is>
      </c>
      <c r="AG221" s="28" t="inlineStr">
        <is>
          <t>p13 r13</t>
        </is>
      </c>
      <c r="AH221" s="28" t="inlineStr">
        <is>
          <t>p13: R$ 1.081.440,72</t>
        </is>
      </c>
      <c r="AI221" s="28" t="inlineStr">
        <is>
          <t>Debtor list (art. 51)</t>
        </is>
      </c>
      <c r="AJ221" s="28" t="inlineStr">
        <is>
          <t>2026-05-21</t>
        </is>
      </c>
      <c r="AK221" s="28" t="inlineStr">
        <is>
          <t>NONE FOUND</t>
        </is>
      </c>
      <c r="AL221" s="30" t="inlineStr">
        <is>
          <t>0001639-09.2026.8.17.2810</t>
        </is>
      </c>
      <c r="AM221" s="30" t="inlineStr">
        <is>
          <t>TJPE</t>
        </is>
      </c>
      <c r="AN221" s="30" t="inlineStr">
        <is>
          <t>ACTIVE</t>
        </is>
      </c>
      <c r="AO221" s="30" t="n">
        <v>2026</v>
      </c>
      <c r="AP221" s="30" t="inlineStr">
        <is>
          <t>live case, no plan document yet</t>
        </is>
      </c>
      <c r="AQ221" s="30" t="inlineStr"/>
      <c r="AR221" s="30" t="inlineStr">
        <is>
          <t>printed on the list (read twice)</t>
        </is>
      </c>
      <c r="AS221" s="30" t="inlineStr">
        <is>
          <t>SAO PAULO</t>
        </is>
      </c>
      <c r="AT221" s="30" t="inlineStr">
        <is>
          <t>SP</t>
        </is>
      </c>
      <c r="AU221" s="30" t="inlineStr">
        <is>
          <t>Bancos múltiplos, com carteira comercial</t>
        </is>
      </c>
      <c r="AV221" s="30" t="inlineStr">
        <is>
          <t>DEMAIS</t>
        </is>
      </c>
      <c r="AW221" s="31" t="n">
        <v>6907260000</v>
      </c>
      <c r="AX221" s="30" t="inlineStr">
        <is>
          <t>LARGE CORP</t>
        </is>
      </c>
      <c r="AY221" s="30" t="inlineStr">
        <is>
          <t>62232889</t>
        </is>
      </c>
      <c r="AZ221" s="30" t="n">
        <v>1</v>
      </c>
      <c r="BA221" s="30" t="inlineStr">
        <is>
          <t>ROWS:p13r13</t>
        </is>
      </c>
    </row>
    <row r="222">
      <c r="A222" s="16" t="inlineStr">
        <is>
          <t>SAFRA LEASING S.A. ARRENDAMENTO MERCANTIL</t>
        </is>
      </c>
      <c r="B222" s="17" t="n">
        <v>2000000</v>
      </c>
      <c r="C222" s="37" t="inlineStr">
        <is>
          <t>(debtor not identified — see proof)</t>
        </is>
      </c>
      <c r="D222" s="19" t="inlineStr">
        <is>
          <t>NEW</t>
        </is>
      </c>
      <c r="E222" s="20" t="inlineStr"/>
      <c r="F222" s="19" t="inlineStr"/>
      <c r="G222" s="20" t="inlineStr"/>
      <c r="H222" s="19" t="inlineStr"/>
      <c r="I222" s="21" t="inlineStr">
        <is>
          <t>Vanessa Biotti</t>
        </is>
      </c>
      <c r="J222" s="21" t="inlineStr">
        <is>
          <t>Gerente de Recuperação de Crédito</t>
        </is>
      </c>
      <c r="K222" s="21" t="inlineStr">
        <is>
          <t>(11) 3175-7575</t>
        </is>
      </c>
      <c r="L222" s="21" t="inlineStr"/>
      <c r="M222" s="21" t="inlineStr"/>
      <c r="N222" s="21" t="inlineStr">
        <is>
          <t>vanessa.biotti@safra.com.br</t>
        </is>
      </c>
      <c r="O222" s="21" t="inlineStr">
        <is>
          <t>rodrigo.anjos@safra.com.br</t>
        </is>
      </c>
      <c r="P222" s="21" t="inlineStr">
        <is>
          <t>Rodrigo Anjos</t>
        </is>
      </c>
      <c r="Q222" s="21" t="inlineStr">
        <is>
          <t>Advogado Sênior - Jurídico Contencioso - Recuperação de Crédito - NPL</t>
        </is>
      </c>
      <c r="R222" s="21" t="inlineStr"/>
      <c r="S222" s="21" t="inlineStr">
        <is>
          <t>rodrigo.anjos@safra.com.br</t>
        </is>
      </c>
      <c r="T222" s="21" t="inlineStr">
        <is>
          <t>email verified by Apollo</t>
        </is>
      </c>
      <c r="U222" s="22" t="n">
        <v>2000000</v>
      </c>
      <c r="V222" s="32" t="inlineStr">
        <is>
          <t>U</t>
        </is>
      </c>
      <c r="W222" s="24">
        <f>IFERROR(VLOOKUP(V222,Assumptions!$A$7:$F$11,2,FALSE),0)</f>
        <v/>
      </c>
      <c r="X222" s="25">
        <f>IF(V222="A",MAX(1,IFERROR(VLOOKUP(V222,Assumptions!$A$7:$F$11,3,FALSE),3)+IFERROR(VLOOKUP(V222,Assumptions!$A$7:$F$11,4,FALSE),8)/2-MAX(0,IF(AO222="",0,YEAR(TODAY())-AO222)-IFERROR(VLOOKUP(V222,Assumptions!$A$7:$F$11,5,FALSE),1.5))),IFERROR(VLOOKUP(V222,Assumptions!$A$7:$F$11,5,FALSE),2.5)+IFERROR(VLOOKUP(V222,Assumptions!$A$7:$F$11,3,FALSE),3)+IFERROR(VLOOKUP(V222,Assumptions!$A$7:$F$11,4,FALSE),8)/2)</f>
        <v/>
      </c>
      <c r="Y222" s="22">
        <f>U222*W222/(1+Assumptions!$B$3)^X222</f>
        <v/>
      </c>
      <c r="Z222" s="26">
        <f>IF(U222=0,"",ROUND(Y222/U222*100,1))</f>
        <v/>
      </c>
      <c r="AA222" s="27">
        <f>Y222*Assumptions!$B$4</f>
        <v/>
      </c>
      <c r="AB222" s="26">
        <f>IF(U222=0,"",ROUND(AA222/U222*100,1))</f>
        <v/>
      </c>
      <c r="AC222" s="27">
        <f>Y222-AA222</f>
        <v/>
      </c>
      <c r="AD222" s="26">
        <f>IF(U222=0,"",ROUND((Y222-AA222)/U222*100,1))</f>
        <v/>
      </c>
      <c r="AE222" s="28" t="inlineStr">
        <is>
          <t>OK — totals reconciled</t>
        </is>
      </c>
      <c r="AF222" s="29" t="inlineStr">
        <is>
          <t>https://ajruiz.com.br/sites/default/files/public/arquivos-processos/2023-11/4_relacao_de_credores_analitica_art._51_iii_da_lre.pdf</t>
        </is>
      </c>
      <c r="AG222" s="28" t="inlineStr">
        <is>
          <t>p2 r15</t>
        </is>
      </c>
      <c r="AH222" s="28" t="inlineStr">
        <is>
          <t>p2: R$ 2.000.000,00</t>
        </is>
      </c>
      <c r="AI222" s="28" t="inlineStr">
        <is>
          <t>Unclassified list</t>
        </is>
      </c>
      <c r="AJ222" s="28" t="inlineStr"/>
      <c r="AK222" s="28" t="inlineStr">
        <is>
          <t>NONE FOUND</t>
        </is>
      </c>
      <c r="AL222" s="30" t="inlineStr">
        <is>
          <t>(not printed)</t>
        </is>
      </c>
      <c r="AM222" s="30" t="inlineStr"/>
      <c r="AN222" s="30" t="inlineStr"/>
      <c r="AO222" s="30" t="inlineStr"/>
      <c r="AP222" s="30" t="inlineStr">
        <is>
          <t>RJ case number not identified on the document</t>
        </is>
      </c>
      <c r="AQ222" s="30" t="inlineStr"/>
      <c r="AR222" s="30" t="inlineStr">
        <is>
          <t>not identified</t>
        </is>
      </c>
      <c r="AS222" s="30" t="inlineStr">
        <is>
          <t>SAO PAULO</t>
        </is>
      </c>
      <c r="AT222" s="30" t="inlineStr">
        <is>
          <t>SP</t>
        </is>
      </c>
      <c r="AU222" s="30" t="inlineStr">
        <is>
          <t>Arrendamento mercantil</t>
        </is>
      </c>
      <c r="AV222" s="30" t="inlineStr">
        <is>
          <t>DEMAIS</t>
        </is>
      </c>
      <c r="AW222" s="31" t="n">
        <v>883404600</v>
      </c>
      <c r="AX222" s="30" t="inlineStr">
        <is>
          <t>MID-MARKET</t>
        </is>
      </c>
      <c r="AY222" s="30" t="inlineStr">
        <is>
          <t>62063177</t>
        </is>
      </c>
      <c r="AZ222" s="30" t="n">
        <v>1</v>
      </c>
      <c r="BA222" s="30" t="inlineStr">
        <is>
          <t>ALT_VALUE:BANCOS ROWS:p2r15 VALUE_COL:Valor_Do_Crédito CASE_NUMBER_CORRECTED</t>
        </is>
      </c>
    </row>
    <row r="223">
      <c r="A223" s="16" t="inlineStr">
        <is>
          <t>COOPERATIVA DE CREDITO EVOLUA</t>
        </is>
      </c>
      <c r="B223" s="17" t="n">
        <v>1049021.3</v>
      </c>
      <c r="C223" s="18" t="inlineStr">
        <is>
          <t>AZEPLAST INDÚSTRIA E COMÉRCIO LTDA</t>
        </is>
      </c>
      <c r="D223" s="19" t="inlineStr">
        <is>
          <t>NEW</t>
        </is>
      </c>
      <c r="E223" s="20" t="inlineStr"/>
      <c r="F223" s="19" t="inlineStr"/>
      <c r="G223" s="20" t="inlineStr"/>
      <c r="H223" s="19" t="inlineStr"/>
      <c r="I223" s="21" t="inlineStr">
        <is>
          <t>Elmir Borges</t>
        </is>
      </c>
      <c r="J223" s="21" t="inlineStr">
        <is>
          <t>Credit Coordinator</t>
        </is>
      </c>
      <c r="K223" s="21" t="inlineStr"/>
      <c r="L223" s="21" t="inlineStr"/>
      <c r="M223" s="21" t="inlineStr"/>
      <c r="N223" s="21" t="inlineStr">
        <is>
          <t>elmir.borges@evolua.coop.br</t>
        </is>
      </c>
      <c r="O223" s="21" t="inlineStr">
        <is>
          <t>samuel.link@evolua.coop.br</t>
        </is>
      </c>
      <c r="P223" s="21" t="inlineStr">
        <is>
          <t>Samuel Link</t>
        </is>
      </c>
      <c r="Q223" s="21" t="inlineStr">
        <is>
          <t>Supervisor de Riscos e Controles</t>
        </is>
      </c>
      <c r="R223" s="21" t="inlineStr"/>
      <c r="S223" s="21" t="inlineStr">
        <is>
          <t>samuel.link@evolua.coop.br</t>
        </is>
      </c>
      <c r="T223" s="21" t="inlineStr">
        <is>
          <t>email is pattern-guessed, not verified</t>
        </is>
      </c>
      <c r="U223" s="22" t="n">
        <v>1049021.3</v>
      </c>
      <c r="V223" s="23" t="inlineStr">
        <is>
          <t>B</t>
        </is>
      </c>
      <c r="W223" s="24">
        <f>IFERROR(VLOOKUP(V223,Assumptions!$A$7:$F$11,2,FALSE),0)</f>
        <v/>
      </c>
      <c r="X223" s="25">
        <f>IF(V223="A",MAX(1,IFERROR(VLOOKUP(V223,Assumptions!$A$7:$F$11,3,FALSE),3)+IFERROR(VLOOKUP(V223,Assumptions!$A$7:$F$11,4,FALSE),8)/2-MAX(0,IF(AO223="",0,YEAR(TODAY())-AO223)-IFERROR(VLOOKUP(V223,Assumptions!$A$7:$F$11,5,FALSE),1.5))),IFERROR(VLOOKUP(V223,Assumptions!$A$7:$F$11,5,FALSE),2.5)+IFERROR(VLOOKUP(V223,Assumptions!$A$7:$F$11,3,FALSE),3)+IFERROR(VLOOKUP(V223,Assumptions!$A$7:$F$11,4,FALSE),8)/2)</f>
        <v/>
      </c>
      <c r="Y223" s="22">
        <f>U223*W223/(1+Assumptions!$B$3)^X223</f>
        <v/>
      </c>
      <c r="Z223" s="26">
        <f>IF(U223=0,"",ROUND(Y223/U223*100,1))</f>
        <v/>
      </c>
      <c r="AA223" s="27">
        <f>Y223*Assumptions!$B$4</f>
        <v/>
      </c>
      <c r="AB223" s="26">
        <f>IF(U223=0,"",ROUND(AA223/U223*100,1))</f>
        <v/>
      </c>
      <c r="AC223" s="27">
        <f>Y223-AA223</f>
        <v/>
      </c>
      <c r="AD223" s="26">
        <f>IF(U223=0,"",ROUND((Y223-AA223)/U223*100,1))</f>
        <v/>
      </c>
      <c r="AE223" s="34" t="inlineStr">
        <is>
          <t>PARTIAL — class III reconciled, other classes not</t>
        </is>
      </c>
      <c r="AF223" s="29" t="inlineStr">
        <is>
          <t>https://ajruiz.com.br/sites/default/files/public/arquivos-processos/2026-08/qgc_azeplast_julho_2026.pdf</t>
        </is>
      </c>
      <c r="AG223" s="28" t="inlineStr">
        <is>
          <t>p1 r16</t>
        </is>
      </c>
      <c r="AH223" s="28" t="inlineStr">
        <is>
          <t>p1: R$ 1.049.021,30</t>
        </is>
      </c>
      <c r="AI223" s="28" t="inlineStr">
        <is>
          <t>QGC (art. 18)</t>
        </is>
      </c>
      <c r="AJ223" s="28" t="inlineStr"/>
      <c r="AK223" s="28" t="inlineStr">
        <is>
          <t>NONE FOUND</t>
        </is>
      </c>
      <c r="AL223" s="30" t="inlineStr">
        <is>
          <t>5008793-34.2023.8.24.0019</t>
        </is>
      </c>
      <c r="AM223" s="30" t="inlineStr">
        <is>
          <t>TJSC</t>
        </is>
      </c>
      <c r="AN223" s="30" t="inlineStr">
        <is>
          <t>ACTIVE</t>
        </is>
      </c>
      <c r="AO223" s="30" t="n">
        <v>2023</v>
      </c>
      <c r="AP223" s="30" t="inlineStr">
        <is>
          <t>live case, no plan document yet</t>
        </is>
      </c>
      <c r="AQ223" s="30" t="inlineStr">
        <is>
          <t>05.378.317/0001-80</t>
        </is>
      </c>
      <c r="AR223" s="30" t="inlineStr">
        <is>
          <t>printed on the list (read twice)</t>
        </is>
      </c>
      <c r="AS223" s="30" t="inlineStr"/>
      <c r="AT223" s="30" t="inlineStr"/>
      <c r="AU223" s="30" t="inlineStr"/>
      <c r="AV223" s="30" t="inlineStr"/>
      <c r="AW223" s="31" t="inlineStr"/>
      <c r="AX223" s="30" t="inlineStr">
        <is>
          <t>MID-MARKET</t>
        </is>
      </c>
      <c r="AY223" s="30" t="inlineStr">
        <is>
          <t>10311218</t>
        </is>
      </c>
      <c r="AZ223" s="30" t="n">
        <v>1</v>
      </c>
      <c r="BA223" s="30" t="inlineStr">
        <is>
          <t>LIKELY_FINANCIAL_BY_NAME PARTIAL_DOC_CLASS_III_RECONCILED ROWS:p1r16</t>
        </is>
      </c>
    </row>
    <row r="224">
      <c r="A224" s="16" t="inlineStr">
        <is>
          <t>BANCO DO NORDESTE DO BRASIL SA</t>
        </is>
      </c>
      <c r="B224" s="17" t="n">
        <v>1031880.52</v>
      </c>
      <c r="C224" s="18" t="inlineStr">
        <is>
          <t>GRUPO CATTAN</t>
        </is>
      </c>
      <c r="D224" s="19" t="inlineStr">
        <is>
          <t>NEW</t>
        </is>
      </c>
      <c r="E224" s="20" t="inlineStr"/>
      <c r="F224" s="19" t="inlineStr"/>
      <c r="G224" s="20" t="inlineStr"/>
      <c r="H224" s="19" t="inlineStr"/>
      <c r="I224" s="21" t="inlineStr">
        <is>
          <t>Layslan Medeiros</t>
        </is>
      </c>
      <c r="J224" s="21" t="inlineStr">
        <is>
          <t>Gerente Executivo Operacional e de Recuperação de Crédito</t>
        </is>
      </c>
      <c r="K224" s="21" t="inlineStr">
        <is>
          <t>(85) 3299-3000</t>
        </is>
      </c>
      <c r="L224" s="21" t="inlineStr"/>
      <c r="M224" s="21" t="inlineStr"/>
      <c r="N224" s="21" t="inlineStr"/>
      <c r="O224" s="21" t="inlineStr">
        <is>
          <t>alexsander@bnb.gov.br</t>
        </is>
      </c>
      <c r="P224" s="21" t="inlineStr">
        <is>
          <t>Alexsander Farias</t>
        </is>
      </c>
      <c r="Q224" s="21" t="inlineStr">
        <is>
          <t>Gerente de Recuperação de Crédito</t>
        </is>
      </c>
      <c r="R224" s="21" t="inlineStr"/>
      <c r="S224" s="21" t="inlineStr">
        <is>
          <t>alexsander@bnb.gov.br</t>
        </is>
      </c>
      <c r="T224" s="21" t="inlineStr">
        <is>
          <t>no work email found in Apollo</t>
        </is>
      </c>
      <c r="U224" s="22" t="n">
        <v>1031880.52</v>
      </c>
      <c r="V224" s="23" t="inlineStr">
        <is>
          <t>B</t>
        </is>
      </c>
      <c r="W224" s="24">
        <f>IFERROR(VLOOKUP(V224,Assumptions!$A$7:$F$11,2,FALSE),0)</f>
        <v/>
      </c>
      <c r="X224" s="25">
        <f>IF(V224="A",MAX(1,IFERROR(VLOOKUP(V224,Assumptions!$A$7:$F$11,3,FALSE),3)+IFERROR(VLOOKUP(V224,Assumptions!$A$7:$F$11,4,FALSE),8)/2-MAX(0,IF(AO224="",0,YEAR(TODAY())-AO224)-IFERROR(VLOOKUP(V224,Assumptions!$A$7:$F$11,5,FALSE),1.5))),IFERROR(VLOOKUP(V224,Assumptions!$A$7:$F$11,5,FALSE),2.5)+IFERROR(VLOOKUP(V224,Assumptions!$A$7:$F$11,3,FALSE),3)+IFERROR(VLOOKUP(V224,Assumptions!$A$7:$F$11,4,FALSE),8)/2)</f>
        <v/>
      </c>
      <c r="Y224" s="22">
        <f>U224*W224/(1+Assumptions!$B$3)^X224</f>
        <v/>
      </c>
      <c r="Z224" s="26">
        <f>IF(U224=0,"",ROUND(Y224/U224*100,1))</f>
        <v/>
      </c>
      <c r="AA224" s="27">
        <f>Y224*Assumptions!$B$4</f>
        <v/>
      </c>
      <c r="AB224" s="26">
        <f>IF(U224=0,"",ROUND(AA224/U224*100,1))</f>
        <v/>
      </c>
      <c r="AC224" s="27">
        <f>Y224-AA224</f>
        <v/>
      </c>
      <c r="AD224" s="26">
        <f>IF(U224=0,"",ROUND((Y224-AA224)/U224*100,1))</f>
        <v/>
      </c>
      <c r="AE224" s="34" t="inlineStr">
        <is>
          <t>PARTIAL — class III reconciled, other classes not</t>
        </is>
      </c>
      <c r="AF224" s="29" t="inlineStr">
        <is>
          <t>https://lrflideres.com.br/wp-content/plugins/download-attachments/includes/download.php?id=4023</t>
        </is>
      </c>
      <c r="AG224" s="28" t="inlineStr">
        <is>
          <t>p7 r78; p9 r59</t>
        </is>
      </c>
      <c r="AH224" s="28" t="inlineStr">
        <is>
          <t>p7: R$ 837.075,43; p9: R$ 194.805,09</t>
        </is>
      </c>
      <c r="AI224" s="28" t="inlineStr">
        <is>
          <t>Debtor list (art. 51)</t>
        </is>
      </c>
      <c r="AJ224" s="28" t="inlineStr"/>
      <c r="AK224" s="28" t="inlineStr">
        <is>
          <t>NONE FOUND</t>
        </is>
      </c>
      <c r="AL224" s="30" t="inlineStr">
        <is>
          <t>0002484-82.2022.8.17.2001</t>
        </is>
      </c>
      <c r="AM224" s="30" t="inlineStr">
        <is>
          <t>TJPE</t>
        </is>
      </c>
      <c r="AN224" s="30" t="inlineStr">
        <is>
          <t>ACTIVE</t>
        </is>
      </c>
      <c r="AO224" s="30" t="n">
        <v>2022</v>
      </c>
      <c r="AP224" s="30" t="inlineStr">
        <is>
          <t>live case, no plan document yet</t>
        </is>
      </c>
      <c r="AQ224" s="30" t="inlineStr"/>
      <c r="AR224" s="30" t="inlineStr">
        <is>
          <t>printed on the list (read twice)</t>
        </is>
      </c>
      <c r="AS224" s="30" t="inlineStr">
        <is>
          <t>FORTALEZA</t>
        </is>
      </c>
      <c r="AT224" s="30" t="inlineStr">
        <is>
          <t>CE</t>
        </is>
      </c>
      <c r="AU224" s="30" t="inlineStr">
        <is>
          <t>Bancos múltiplos, com carteira comercial</t>
        </is>
      </c>
      <c r="AV224" s="30" t="inlineStr">
        <is>
          <t>DEMAIS</t>
        </is>
      </c>
      <c r="AW224" s="31" t="n">
        <v>15139032000</v>
      </c>
      <c r="AX224" s="30" t="inlineStr">
        <is>
          <t>LARGE CORP</t>
        </is>
      </c>
      <c r="AY224" s="30" t="inlineStr">
        <is>
          <t>07237373</t>
        </is>
      </c>
      <c r="AZ224" s="30" t="n">
        <v>2</v>
      </c>
      <c r="BA224" s="30" t="inlineStr">
        <is>
          <t>LIKELY_FINANCIAL_BY_NAME PARTIAL_DOC_CLASS_III_RECONCILED ROWS:p7r78,p9r59</t>
        </is>
      </c>
    </row>
    <row r="225">
      <c r="A225" s="16" t="inlineStr">
        <is>
          <t>BOCOM BBM CORPORATE CREDIT FIF - CLASSE DE INVESTIMENTO RF CRED PRIV - RESP LIMITADA</t>
        </is>
      </c>
      <c r="B225" s="17" t="n">
        <v>1031462.76</v>
      </c>
      <c r="C225" s="18" t="inlineStr">
        <is>
          <t>Grupo Rech</t>
        </is>
      </c>
      <c r="D225" s="19" t="inlineStr">
        <is>
          <t>NEW</t>
        </is>
      </c>
      <c r="E225" s="20" t="inlineStr"/>
      <c r="F225" s="19" t="inlineStr"/>
      <c r="G225" s="20" t="inlineStr"/>
      <c r="H225" s="19" t="inlineStr"/>
      <c r="I225" s="21" t="inlineStr">
        <is>
          <t>Rodrigo Caleiro</t>
        </is>
      </c>
      <c r="J225" s="21" t="inlineStr">
        <is>
          <t>Credit Manager | Large Corporate</t>
        </is>
      </c>
      <c r="K225" s="21" t="inlineStr">
        <is>
          <t>(11) 3684-5122</t>
        </is>
      </c>
      <c r="L225" s="21" t="inlineStr"/>
      <c r="M225" s="21" t="inlineStr"/>
      <c r="N225" s="21" t="inlineStr">
        <is>
          <t>rodrigocaleiro@bocombbm.com.br</t>
        </is>
      </c>
      <c r="O225" s="21" t="inlineStr">
        <is>
          <t>thaynafranca@bocombbm.com.br</t>
        </is>
      </c>
      <c r="P225" s="21" t="inlineStr">
        <is>
          <t>Thayna Franca</t>
        </is>
      </c>
      <c r="Q225" s="21" t="inlineStr">
        <is>
          <t>Analista de Controle de Crédito</t>
        </is>
      </c>
      <c r="R225" s="21" t="inlineStr"/>
      <c r="S225" s="21" t="inlineStr">
        <is>
          <t>thaynafranca@bocombbm.com.br</t>
        </is>
      </c>
      <c r="T225" s="21" t="inlineStr">
        <is>
          <t>email verified by Apollo</t>
        </is>
      </c>
      <c r="U225" s="22" t="n">
        <v>1031462.76</v>
      </c>
      <c r="V225" s="23" t="inlineStr">
        <is>
          <t>B</t>
        </is>
      </c>
      <c r="W225" s="24">
        <f>IFERROR(VLOOKUP(V225,Assumptions!$A$7:$F$11,2,FALSE),0)</f>
        <v/>
      </c>
      <c r="X225" s="25">
        <f>IF(V225="A",MAX(1,IFERROR(VLOOKUP(V225,Assumptions!$A$7:$F$11,3,FALSE),3)+IFERROR(VLOOKUP(V225,Assumptions!$A$7:$F$11,4,FALSE),8)/2-MAX(0,IF(AO225="",0,YEAR(TODAY())-AO225)-IFERROR(VLOOKUP(V225,Assumptions!$A$7:$F$11,5,FALSE),1.5))),IFERROR(VLOOKUP(V225,Assumptions!$A$7:$F$11,5,FALSE),2.5)+IFERROR(VLOOKUP(V225,Assumptions!$A$7:$F$11,3,FALSE),3)+IFERROR(VLOOKUP(V225,Assumptions!$A$7:$F$11,4,FALSE),8)/2)</f>
        <v/>
      </c>
      <c r="Y225" s="22">
        <f>U225*W225/(1+Assumptions!$B$3)^X225</f>
        <v/>
      </c>
      <c r="Z225" s="26">
        <f>IF(U225=0,"",ROUND(Y225/U225*100,1))</f>
        <v/>
      </c>
      <c r="AA225" s="27">
        <f>Y225*Assumptions!$B$4</f>
        <v/>
      </c>
      <c r="AB225" s="26">
        <f>IF(U225=0,"",ROUND(AA225/U225*100,1))</f>
        <v/>
      </c>
      <c r="AC225" s="27">
        <f>Y225-AA225</f>
        <v/>
      </c>
      <c r="AD225" s="26">
        <f>IF(U225=0,"",ROUND((Y225-AA225)/U225*100,1))</f>
        <v/>
      </c>
      <c r="AE225" s="36" t="inlineStr">
        <is>
          <t>CHECK — source is not a statutory creditor list</t>
        </is>
      </c>
      <c r="AF225" s="29" t="inlineStr">
        <is>
          <t>https://credibilita.com.br/wp-content/uploads/2025/09/Relacao-Credores-29.04.2026.pdf</t>
        </is>
      </c>
      <c r="AG225" s="28" t="inlineStr">
        <is>
          <t>p1 r16</t>
        </is>
      </c>
      <c r="AH225" s="28" t="inlineStr">
        <is>
          <t>p1: R$ 1.031.462,76</t>
        </is>
      </c>
      <c r="AI225" s="28" t="inlineStr">
        <is>
          <t>Quorum list — NOT an art. 7/51 list</t>
        </is>
      </c>
      <c r="AJ225" s="28" t="inlineStr"/>
      <c r="AK225" s="28" t="inlineStr">
        <is>
          <t>NONE FOUND</t>
        </is>
      </c>
      <c r="AL225" s="30" t="inlineStr">
        <is>
          <t>5057720-48.2025.8.24.0023</t>
        </is>
      </c>
      <c r="AM225" s="30" t="inlineStr">
        <is>
          <t>TJSC</t>
        </is>
      </c>
      <c r="AN225" s="30" t="inlineStr"/>
      <c r="AO225" s="30" t="n">
        <v>2025</v>
      </c>
      <c r="AP225" s="30" t="inlineStr">
        <is>
          <t>live case, no plan document yet</t>
        </is>
      </c>
      <c r="AQ225" s="30" t="inlineStr"/>
      <c r="AR225" s="30" t="inlineStr">
        <is>
          <t>portal page title / URL — not printed on the list</t>
        </is>
      </c>
      <c r="AS225" s="30" t="inlineStr">
        <is>
          <t>OSASCO</t>
        </is>
      </c>
      <c r="AT225" s="30" t="inlineStr">
        <is>
          <t>SP</t>
        </is>
      </c>
      <c r="AU225" s="30" t="inlineStr">
        <is>
          <t>Fundos de investimento, exceto previdenciários e imobiliários</t>
        </is>
      </c>
      <c r="AV225" s="30" t="inlineStr">
        <is>
          <t>DEMAIS</t>
        </is>
      </c>
      <c r="AW225" s="31" t="inlineStr"/>
      <c r="AX225" s="30" t="inlineStr">
        <is>
          <t>MID-MARKET</t>
        </is>
      </c>
      <c r="AY225" s="30" t="inlineStr">
        <is>
          <t>34799162</t>
        </is>
      </c>
      <c r="AZ225" s="30" t="n">
        <v>1</v>
      </c>
      <c r="BA225" s="30" t="inlineStr">
        <is>
          <t>ROWS:p1r16 UNRECONCILED_SOURCE VALUE_COL:Valor_Após_Analise CASE_NUMBER_CORRECTED</t>
        </is>
      </c>
    </row>
    <row r="226">
      <c r="A226" s="16" t="inlineStr">
        <is>
          <t>Fundo De Investimento Em Direitos Creditorios ML Bank II</t>
        </is>
      </c>
      <c r="B226" s="17" t="n">
        <v>1031250</v>
      </c>
      <c r="C226" s="18" t="inlineStr">
        <is>
          <t>GRUPO DP4</t>
        </is>
      </c>
      <c r="D226" s="19" t="inlineStr">
        <is>
          <t>NEW</t>
        </is>
      </c>
      <c r="E226" s="20" t="inlineStr"/>
      <c r="F226" s="19" t="inlineStr"/>
      <c r="G226" s="20" t="inlineStr"/>
      <c r="H226" s="19" t="inlineStr"/>
      <c r="I226" s="21" t="inlineStr"/>
      <c r="J226" s="21" t="inlineStr"/>
      <c r="K226" s="21" t="inlineStr"/>
      <c r="L226" s="21" t="inlineStr"/>
      <c r="M226" s="21" t="inlineStr"/>
      <c r="N226" s="21" t="inlineStr"/>
      <c r="O226" s="21" t="inlineStr"/>
      <c r="P226" s="21" t="inlineStr"/>
      <c r="Q226" s="21" t="inlineStr"/>
      <c r="R226" s="21" t="inlineStr"/>
      <c r="S226" s="21" t="inlineStr"/>
      <c r="T226" s="21" t="inlineStr">
        <is>
          <t>no named contact found</t>
        </is>
      </c>
      <c r="U226" s="22" t="n">
        <v>1031250</v>
      </c>
      <c r="V226" s="23" t="inlineStr">
        <is>
          <t>B</t>
        </is>
      </c>
      <c r="W226" s="24">
        <f>IFERROR(VLOOKUP(V226,Assumptions!$A$7:$F$11,2,FALSE),0)</f>
        <v/>
      </c>
      <c r="X226" s="25">
        <f>IF(V226="A",MAX(1,IFERROR(VLOOKUP(V226,Assumptions!$A$7:$F$11,3,FALSE),3)+IFERROR(VLOOKUP(V226,Assumptions!$A$7:$F$11,4,FALSE),8)/2-MAX(0,IF(AO226="",0,YEAR(TODAY())-AO226)-IFERROR(VLOOKUP(V226,Assumptions!$A$7:$F$11,5,FALSE),1.5))),IFERROR(VLOOKUP(V226,Assumptions!$A$7:$F$11,5,FALSE),2.5)+IFERROR(VLOOKUP(V226,Assumptions!$A$7:$F$11,3,FALSE),3)+IFERROR(VLOOKUP(V226,Assumptions!$A$7:$F$11,4,FALSE),8)/2)</f>
        <v/>
      </c>
      <c r="Y226" s="22">
        <f>U226*W226/(1+Assumptions!$B$3)^X226</f>
        <v/>
      </c>
      <c r="Z226" s="26">
        <f>IF(U226=0,"",ROUND(Y226/U226*100,1))</f>
        <v/>
      </c>
      <c r="AA226" s="27">
        <f>Y226*Assumptions!$B$4</f>
        <v/>
      </c>
      <c r="AB226" s="26">
        <f>IF(U226=0,"",ROUND(AA226/U226*100,1))</f>
        <v/>
      </c>
      <c r="AC226" s="27">
        <f>Y226-AA226</f>
        <v/>
      </c>
      <c r="AD226" s="26">
        <f>IF(U226=0,"",ROUND((Y226-AA226)/U226*100,1))</f>
        <v/>
      </c>
      <c r="AE226" s="34" t="inlineStr">
        <is>
          <t>PARTIAL — class III reconciled, other classes not</t>
        </is>
      </c>
      <c r="AF226" s="29" t="inlineStr">
        <is>
          <t>https://marquesadmjudicial.com.br/sgc/download.php?file=files/processo_documento/processo_documento15293208032024_1_.pdf&amp;nome=Relação Nominal de Credores da AJ-Sintética</t>
        </is>
      </c>
      <c r="AG226" s="28" t="inlineStr">
        <is>
          <t>p25 r11</t>
        </is>
      </c>
      <c r="AH226" s="28" t="inlineStr">
        <is>
          <t>p25: R$ 1.031.250,00</t>
        </is>
      </c>
      <c r="AI226" s="28" t="inlineStr">
        <is>
          <t>AJ list (art. 7 §2)</t>
        </is>
      </c>
      <c r="AJ226" s="28" t="inlineStr">
        <is>
          <t>2023-03-02</t>
        </is>
      </c>
      <c r="AK226" s="28" t="inlineStr">
        <is>
          <t>NONE FOUND</t>
        </is>
      </c>
      <c r="AL226" s="30" t="inlineStr">
        <is>
          <t>0005010-98.2023.8.16.0001</t>
        </is>
      </c>
      <c r="AM226" s="30" t="inlineStr">
        <is>
          <t>TJPR</t>
        </is>
      </c>
      <c r="AN226" s="30" t="inlineStr">
        <is>
          <t>ACTIVE</t>
        </is>
      </c>
      <c r="AO226" s="30" t="n">
        <v>2023</v>
      </c>
      <c r="AP226" s="30" t="inlineStr">
        <is>
          <t>live case, no plan document yet</t>
        </is>
      </c>
      <c r="AQ226" s="30" t="inlineStr"/>
      <c r="AR226" s="30" t="inlineStr">
        <is>
          <t>printed on the list (read twice)</t>
        </is>
      </c>
      <c r="AS226" s="30" t="inlineStr"/>
      <c r="AT226" s="30" t="inlineStr"/>
      <c r="AU226" s="30" t="inlineStr"/>
      <c r="AV226" s="30" t="inlineStr"/>
      <c r="AW226" s="31" t="inlineStr"/>
      <c r="AX226" s="30" t="inlineStr">
        <is>
          <t>MID-MARKET</t>
        </is>
      </c>
      <c r="AY226" s="30" t="inlineStr">
        <is>
          <t>39664088</t>
        </is>
      </c>
      <c r="AZ226" s="30" t="n">
        <v>1</v>
      </c>
      <c r="BA226" s="30" t="inlineStr">
        <is>
          <t>LIKELY_FINANCIAL_BY_NAME PARTIAL_DOC_CLASS_III_RECONCILED ROWS:p25r11</t>
        </is>
      </c>
    </row>
    <row r="227">
      <c r="A227" s="16" t="inlineStr">
        <is>
          <t>BANCO BOCOM BBM S.A.</t>
        </is>
      </c>
      <c r="B227" s="17" t="n">
        <v>1018255.6</v>
      </c>
      <c r="C227" s="18" t="inlineStr">
        <is>
          <t>GRUPO GLP</t>
        </is>
      </c>
      <c r="D227" s="19" t="inlineStr">
        <is>
          <t>NEW</t>
        </is>
      </c>
      <c r="E227" s="20" t="inlineStr"/>
      <c r="F227" s="19" t="inlineStr"/>
      <c r="G227" s="20" t="inlineStr"/>
      <c r="H227" s="19" t="inlineStr"/>
      <c r="I227" s="21" t="inlineStr">
        <is>
          <t>Rodrigo Caleiro</t>
        </is>
      </c>
      <c r="J227" s="21" t="inlineStr">
        <is>
          <t>Credit Manager | Large Corporate</t>
        </is>
      </c>
      <c r="K227" s="21" t="inlineStr">
        <is>
          <t>(71) 3243-2666</t>
        </is>
      </c>
      <c r="L227" s="21" t="inlineStr"/>
      <c r="M227" s="21" t="inlineStr"/>
      <c r="N227" s="21" t="inlineStr">
        <is>
          <t>rodrigocaleiro@bocombbm.com.br</t>
        </is>
      </c>
      <c r="O227" s="21" t="inlineStr">
        <is>
          <t>thaynafranca@bocombbm.com.br</t>
        </is>
      </c>
      <c r="P227" s="21" t="inlineStr">
        <is>
          <t>Thayna Franca</t>
        </is>
      </c>
      <c r="Q227" s="21" t="inlineStr">
        <is>
          <t>Analista de Controle de Crédito</t>
        </is>
      </c>
      <c r="R227" s="21" t="inlineStr"/>
      <c r="S227" s="21" t="inlineStr">
        <is>
          <t>thaynafranca@bocombbm.com.br</t>
        </is>
      </c>
      <c r="T227" s="21" t="inlineStr">
        <is>
          <t>email verified by Apollo</t>
        </is>
      </c>
      <c r="U227" s="22" t="n">
        <v>1018255.6</v>
      </c>
      <c r="V227" s="23" t="inlineStr">
        <is>
          <t>B</t>
        </is>
      </c>
      <c r="W227" s="24">
        <f>IFERROR(VLOOKUP(V227,Assumptions!$A$7:$F$11,2,FALSE),0)</f>
        <v/>
      </c>
      <c r="X227" s="25">
        <f>IF(V227="A",MAX(1,IFERROR(VLOOKUP(V227,Assumptions!$A$7:$F$11,3,FALSE),3)+IFERROR(VLOOKUP(V227,Assumptions!$A$7:$F$11,4,FALSE),8)/2-MAX(0,IF(AO227="",0,YEAR(TODAY())-AO227)-IFERROR(VLOOKUP(V227,Assumptions!$A$7:$F$11,5,FALSE),1.5))),IFERROR(VLOOKUP(V227,Assumptions!$A$7:$F$11,5,FALSE),2.5)+IFERROR(VLOOKUP(V227,Assumptions!$A$7:$F$11,3,FALSE),3)+IFERROR(VLOOKUP(V227,Assumptions!$A$7:$F$11,4,FALSE),8)/2)</f>
        <v/>
      </c>
      <c r="Y227" s="22">
        <f>U227*W227/(1+Assumptions!$B$3)^X227</f>
        <v/>
      </c>
      <c r="Z227" s="26">
        <f>IF(U227=0,"",ROUND(Y227/U227*100,1))</f>
        <v/>
      </c>
      <c r="AA227" s="27">
        <f>Y227*Assumptions!$B$4</f>
        <v/>
      </c>
      <c r="AB227" s="26">
        <f>IF(U227=0,"",ROUND(AA227/U227*100,1))</f>
        <v/>
      </c>
      <c r="AC227" s="27">
        <f>Y227-AA227</f>
        <v/>
      </c>
      <c r="AD227" s="26">
        <f>IF(U227=0,"",ROUND((Y227-AA227)/U227*100,1))</f>
        <v/>
      </c>
      <c r="AE227" s="28" t="inlineStr">
        <is>
          <t>OK — totals reconciled</t>
        </is>
      </c>
      <c r="AF227" s="29" t="inlineStr">
        <is>
          <t>https://recuperasolucoes.com/wp-content/plugins/download-attachments/includes/download.php?id=1597</t>
        </is>
      </c>
      <c r="AG227" s="28" t="inlineStr">
        <is>
          <t>p13 r6</t>
        </is>
      </c>
      <c r="AH227" s="28" t="inlineStr">
        <is>
          <t>p13: R$ 1.018.255,60</t>
        </is>
      </c>
      <c r="AI227" s="28" t="inlineStr">
        <is>
          <t>Debtor list (art. 51)</t>
        </is>
      </c>
      <c r="AJ227" s="28" t="inlineStr">
        <is>
          <t>2026-05-21</t>
        </is>
      </c>
      <c r="AK227" s="28" t="inlineStr">
        <is>
          <t>NONE FOUND</t>
        </is>
      </c>
      <c r="AL227" s="30" t="inlineStr">
        <is>
          <t>0001639-09.2026.8.17.2810</t>
        </is>
      </c>
      <c r="AM227" s="30" t="inlineStr">
        <is>
          <t>TJPE</t>
        </is>
      </c>
      <c r="AN227" s="30" t="inlineStr">
        <is>
          <t>ACTIVE</t>
        </is>
      </c>
      <c r="AO227" s="30" t="n">
        <v>2026</v>
      </c>
      <c r="AP227" s="30" t="inlineStr">
        <is>
          <t>live case, no plan document yet</t>
        </is>
      </c>
      <c r="AQ227" s="30" t="inlineStr"/>
      <c r="AR227" s="30" t="inlineStr">
        <is>
          <t>printed on the list (read twice)</t>
        </is>
      </c>
      <c r="AS227" s="30" t="inlineStr">
        <is>
          <t>SALVADOR</t>
        </is>
      </c>
      <c r="AT227" s="30" t="inlineStr">
        <is>
          <t>BA</t>
        </is>
      </c>
      <c r="AU227" s="30" t="inlineStr">
        <is>
          <t>Bancos múltiplos, com carteira comercial</t>
        </is>
      </c>
      <c r="AV227" s="30" t="inlineStr">
        <is>
          <t>DEMAIS</t>
        </is>
      </c>
      <c r="AW227" s="31" t="n">
        <v>469300380</v>
      </c>
      <c r="AX227" s="30" t="inlineStr">
        <is>
          <t>LARGE CORP</t>
        </is>
      </c>
      <c r="AY227" s="30" t="inlineStr">
        <is>
          <t>15114366</t>
        </is>
      </c>
      <c r="AZ227" s="30" t="n">
        <v>1</v>
      </c>
      <c r="BA227" s="30" t="inlineStr">
        <is>
          <t>ROWS:p13r6</t>
        </is>
      </c>
    </row>
    <row r="228">
      <c r="A228" s="16" t="inlineStr">
        <is>
          <t>BANCO SANTANDER (BRASIL) S.A.</t>
        </is>
      </c>
      <c r="B228" s="17" t="n">
        <v>1013805.75</v>
      </c>
      <c r="C228" s="18" t="inlineStr">
        <is>
          <t>GRUPO DP4</t>
        </is>
      </c>
      <c r="D228" s="19" t="inlineStr">
        <is>
          <t>NEW</t>
        </is>
      </c>
      <c r="E228" s="20" t="inlineStr"/>
      <c r="F228" s="19" t="inlineStr"/>
      <c r="G228" s="20" t="inlineStr"/>
      <c r="H228" s="19" t="inlineStr"/>
      <c r="I228" s="21" t="inlineStr">
        <is>
          <t>Igor Puertas</t>
        </is>
      </c>
      <c r="J228" s="21" t="inlineStr">
        <is>
          <t>Distressed Assets | NPL</t>
        </is>
      </c>
      <c r="K228" s="21" t="inlineStr">
        <is>
          <t>(11) 4004-3535</t>
        </is>
      </c>
      <c r="L228" s="21" t="inlineStr"/>
      <c r="M228" s="21" t="inlineStr"/>
      <c r="N228" s="21" t="inlineStr">
        <is>
          <t>igor.puertas@santander.com.br</t>
        </is>
      </c>
      <c r="O228" s="21" t="inlineStr">
        <is>
          <t>antonio.pequeno.junior@santander.com.br</t>
        </is>
      </c>
      <c r="P228" s="21" t="inlineStr">
        <is>
          <t>Antonio Junior</t>
        </is>
      </c>
      <c r="Q228" s="21" t="inlineStr">
        <is>
          <t>Superintendente Recuperação de Crédito</t>
        </is>
      </c>
      <c r="R228" s="21" t="inlineStr"/>
      <c r="S228" s="21" t="inlineStr">
        <is>
          <t>antonio.pequeno.junior@santander.com.br</t>
        </is>
      </c>
      <c r="T228" s="21" t="inlineStr">
        <is>
          <t>email verified by Apollo</t>
        </is>
      </c>
      <c r="U228" s="22" t="n">
        <v>1013805.75</v>
      </c>
      <c r="V228" s="23" t="inlineStr">
        <is>
          <t>B</t>
        </is>
      </c>
      <c r="W228" s="24">
        <f>IFERROR(VLOOKUP(V228,Assumptions!$A$7:$F$11,2,FALSE),0)</f>
        <v/>
      </c>
      <c r="X228" s="25">
        <f>IF(V228="A",MAX(1,IFERROR(VLOOKUP(V228,Assumptions!$A$7:$F$11,3,FALSE),3)+IFERROR(VLOOKUP(V228,Assumptions!$A$7:$F$11,4,FALSE),8)/2-MAX(0,IF(AO228="",0,YEAR(TODAY())-AO228)-IFERROR(VLOOKUP(V228,Assumptions!$A$7:$F$11,5,FALSE),1.5))),IFERROR(VLOOKUP(V228,Assumptions!$A$7:$F$11,5,FALSE),2.5)+IFERROR(VLOOKUP(V228,Assumptions!$A$7:$F$11,3,FALSE),3)+IFERROR(VLOOKUP(V228,Assumptions!$A$7:$F$11,4,FALSE),8)/2)</f>
        <v/>
      </c>
      <c r="Y228" s="22">
        <f>U228*W228/(1+Assumptions!$B$3)^X228</f>
        <v/>
      </c>
      <c r="Z228" s="26">
        <f>IF(U228=0,"",ROUND(Y228/U228*100,1))</f>
        <v/>
      </c>
      <c r="AA228" s="27">
        <f>Y228*Assumptions!$B$4</f>
        <v/>
      </c>
      <c r="AB228" s="26">
        <f>IF(U228=0,"",ROUND(AA228/U228*100,1))</f>
        <v/>
      </c>
      <c r="AC228" s="27">
        <f>Y228-AA228</f>
        <v/>
      </c>
      <c r="AD228" s="26">
        <f>IF(U228=0,"",ROUND((Y228-AA228)/U228*100,1))</f>
        <v/>
      </c>
      <c r="AE228" s="34" t="inlineStr">
        <is>
          <t>PARTIAL — class III reconciled, other classes not</t>
        </is>
      </c>
      <c r="AF228" s="29" t="inlineStr">
        <is>
          <t>https://marquesadmjudicial.com.br/sgc/download.php?file=files/processo_documento/processo_documento15293208032024_1_.pdf&amp;nome=Relação Nominal de Credores da AJ-Sintética</t>
        </is>
      </c>
      <c r="AG228" s="28" t="inlineStr">
        <is>
          <t>p21 r5</t>
        </is>
      </c>
      <c r="AH228" s="28" t="inlineStr">
        <is>
          <t>p21: R$ 1.013.805,75</t>
        </is>
      </c>
      <c r="AI228" s="28" t="inlineStr">
        <is>
          <t>AJ list (art. 7 §2)</t>
        </is>
      </c>
      <c r="AJ228" s="28" t="inlineStr">
        <is>
          <t>2023-03-02</t>
        </is>
      </c>
      <c r="AK228" s="28" t="inlineStr">
        <is>
          <t>NONE FOUND</t>
        </is>
      </c>
      <c r="AL228" s="30" t="inlineStr">
        <is>
          <t>0005010-98.2023.8.16.0001</t>
        </is>
      </c>
      <c r="AM228" s="30" t="inlineStr">
        <is>
          <t>TJPR</t>
        </is>
      </c>
      <c r="AN228" s="30" t="inlineStr">
        <is>
          <t>ACTIVE</t>
        </is>
      </c>
      <c r="AO228" s="30" t="n">
        <v>2023</v>
      </c>
      <c r="AP228" s="30" t="inlineStr">
        <is>
          <t>live case, no plan document yet</t>
        </is>
      </c>
      <c r="AQ228" s="30" t="inlineStr"/>
      <c r="AR228" s="30" t="inlineStr">
        <is>
          <t>printed on the list (read twice)</t>
        </is>
      </c>
      <c r="AS228" s="30" t="inlineStr">
        <is>
          <t>SAO PAULO</t>
        </is>
      </c>
      <c r="AT228" s="30" t="inlineStr">
        <is>
          <t>SP</t>
        </is>
      </c>
      <c r="AU228" s="30" t="inlineStr">
        <is>
          <t>Bancos múltiplos, com carteira comercial</t>
        </is>
      </c>
      <c r="AV228" s="30" t="inlineStr">
        <is>
          <t>DEMAIS</t>
        </is>
      </c>
      <c r="AW228" s="31" t="n">
        <v>65000000000</v>
      </c>
      <c r="AX228" s="30" t="inlineStr">
        <is>
          <t>LARGE CORP</t>
        </is>
      </c>
      <c r="AY228" s="30" t="inlineStr">
        <is>
          <t>90400888</t>
        </is>
      </c>
      <c r="AZ228" s="30" t="n">
        <v>1</v>
      </c>
      <c r="BA228" s="30" t="inlineStr">
        <is>
          <t>LIKELY_FINANCIAL_BY_NAME PARTIAL_DOC_CLASS_III_RECONCILED ROWS:p21r5</t>
        </is>
      </c>
    </row>
    <row r="229">
      <c r="A229" s="16" t="inlineStr">
        <is>
          <t>BANCO DAYCOVAL S.A.</t>
        </is>
      </c>
      <c r="B229" s="17" t="n">
        <v>1012247.65</v>
      </c>
      <c r="C229" s="18" t="inlineStr">
        <is>
          <t>Alto Uruguai Indústria e Comércio de Óleos Ltda</t>
        </is>
      </c>
      <c r="D229" s="19" t="inlineStr">
        <is>
          <t>NEW</t>
        </is>
      </c>
      <c r="E229" s="20" t="inlineStr"/>
      <c r="F229" s="19" t="inlineStr"/>
      <c r="G229" s="20" t="inlineStr"/>
      <c r="H229" s="19" t="inlineStr"/>
      <c r="I229" s="21" t="inlineStr">
        <is>
          <t>Celso Araujo</t>
        </is>
      </c>
      <c r="J229" s="21" t="inlineStr">
        <is>
          <t>Gerente de Recuperação de Crédito</t>
        </is>
      </c>
      <c r="K229" s="21" t="inlineStr">
        <is>
          <t>(11) 3138-0500</t>
        </is>
      </c>
      <c r="L229" s="21" t="inlineStr"/>
      <c r="M229" s="21" t="inlineStr"/>
      <c r="N229" s="21" t="inlineStr">
        <is>
          <t>celso.araujo@bancodaycoval.com.br</t>
        </is>
      </c>
      <c r="O229" s="21" t="inlineStr">
        <is>
          <t>andreia.matiel@daycoval.com.br</t>
        </is>
      </c>
      <c r="P229" s="21" t="inlineStr">
        <is>
          <t>Andreia Matiel</t>
        </is>
      </c>
      <c r="Q229" s="21" t="inlineStr">
        <is>
          <t>Advogada Recuperação de Crédito Empresas</t>
        </is>
      </c>
      <c r="R229" s="21" t="inlineStr"/>
      <c r="S229" s="21" t="inlineStr">
        <is>
          <t>andreia.matiel@daycoval.com.br</t>
        </is>
      </c>
      <c r="T229" s="21" t="inlineStr">
        <is>
          <t>email verified by Apollo</t>
        </is>
      </c>
      <c r="U229" s="22" t="n">
        <v>1012247.65</v>
      </c>
      <c r="V229" s="23" t="inlineStr">
        <is>
          <t>B</t>
        </is>
      </c>
      <c r="W229" s="24">
        <f>IFERROR(VLOOKUP(V229,Assumptions!$A$7:$F$11,2,FALSE),0)</f>
        <v/>
      </c>
      <c r="X229" s="25">
        <f>IF(V229="A",MAX(1,IFERROR(VLOOKUP(V229,Assumptions!$A$7:$F$11,3,FALSE),3)+IFERROR(VLOOKUP(V229,Assumptions!$A$7:$F$11,4,FALSE),8)/2-MAX(0,IF(AO229="",0,YEAR(TODAY())-AO229)-IFERROR(VLOOKUP(V229,Assumptions!$A$7:$F$11,5,FALSE),1.5))),IFERROR(VLOOKUP(V229,Assumptions!$A$7:$F$11,5,FALSE),2.5)+IFERROR(VLOOKUP(V229,Assumptions!$A$7:$F$11,3,FALSE),3)+IFERROR(VLOOKUP(V229,Assumptions!$A$7:$F$11,4,FALSE),8)/2)</f>
        <v/>
      </c>
      <c r="Y229" s="22">
        <f>U229*W229/(1+Assumptions!$B$3)^X229</f>
        <v/>
      </c>
      <c r="Z229" s="26">
        <f>IF(U229=0,"",ROUND(Y229/U229*100,1))</f>
        <v/>
      </c>
      <c r="AA229" s="27">
        <f>Y229*Assumptions!$B$4</f>
        <v/>
      </c>
      <c r="AB229" s="26">
        <f>IF(U229=0,"",ROUND(AA229/U229*100,1))</f>
        <v/>
      </c>
      <c r="AC229" s="27">
        <f>Y229-AA229</f>
        <v/>
      </c>
      <c r="AD229" s="26">
        <f>IF(U229=0,"",ROUND((Y229-AA229)/U229*100,1))</f>
        <v/>
      </c>
      <c r="AE229" s="28" t="inlineStr">
        <is>
          <t>OK — totals reconciled</t>
        </is>
      </c>
      <c r="AF229" s="29" t="inlineStr">
        <is>
          <t>https://ajruiz.com.br/sites/default/files/public/arquivos-processos/2026-06/alto_uruguai_qgc_junho.2026.pdf</t>
        </is>
      </c>
      <c r="AG229" s="28" t="inlineStr">
        <is>
          <t>p1 r8</t>
        </is>
      </c>
      <c r="AH229" s="28" t="inlineStr">
        <is>
          <t>p1: R$ 1.012.247,65</t>
        </is>
      </c>
      <c r="AI229" s="28" t="inlineStr">
        <is>
          <t>Unclassified list</t>
        </is>
      </c>
      <c r="AJ229" s="28" t="inlineStr"/>
      <c r="AK229" s="28" t="inlineStr">
        <is>
          <t>NONE FOUND</t>
        </is>
      </c>
      <c r="AL229" s="30" t="inlineStr">
        <is>
          <t>5012743-51.2023.8.24.0019</t>
        </is>
      </c>
      <c r="AM229" s="30" t="inlineStr">
        <is>
          <t>TJSC</t>
        </is>
      </c>
      <c r="AN229" s="30" t="inlineStr">
        <is>
          <t>ACTIVE</t>
        </is>
      </c>
      <c r="AO229" s="30" t="n">
        <v>2023</v>
      </c>
      <c r="AP229" s="30" t="inlineStr">
        <is>
          <t>live case, no plan document yet</t>
        </is>
      </c>
      <c r="AQ229" s="30" t="inlineStr"/>
      <c r="AR229" s="30" t="inlineStr">
        <is>
          <t>printed on the list (read twice)</t>
        </is>
      </c>
      <c r="AS229" s="30" t="inlineStr">
        <is>
          <t>SAO PAULO</t>
        </is>
      </c>
      <c r="AT229" s="30" t="inlineStr">
        <is>
          <t>SP</t>
        </is>
      </c>
      <c r="AU229" s="30" t="inlineStr">
        <is>
          <t>Bancos múltiplos, com carteira comercial</t>
        </is>
      </c>
      <c r="AV229" s="30" t="inlineStr">
        <is>
          <t>DEMAIS</t>
        </is>
      </c>
      <c r="AW229" s="31" t="n">
        <v>6907260000</v>
      </c>
      <c r="AX229" s="30" t="inlineStr">
        <is>
          <t>LARGE CORP</t>
        </is>
      </c>
      <c r="AY229" s="30" t="inlineStr">
        <is>
          <t>62232889</t>
        </is>
      </c>
      <c r="AZ229" s="30" t="n">
        <v>1</v>
      </c>
      <c r="BA229" s="30" t="inlineStr">
        <is>
          <t>LIKELY_FINANCIAL_BY_NAME ROWS:p1r8 VALUE_COL:Valor_Do_Crédito</t>
        </is>
      </c>
    </row>
    <row r="230">
      <c r="A230" s="16" t="inlineStr">
        <is>
          <t>BANCO C6 S.A.</t>
        </is>
      </c>
      <c r="B230" s="17" t="n">
        <v>1009368.3</v>
      </c>
      <c r="C230" s="18" t="inlineStr">
        <is>
          <t>Grupo Arruda (ARRUDA &amp; MELO REPRESENTACAO DE ALIMENTOS E BEBIDAS LTDA, ARRUDA &amp; MELO COMERCIO E DISTRIBUICAO DE ALIMENTOS E BEBIDAS LTDA, ARRUDA &amp; MELO COMERCIO E DISTRIBUICAO DE ALIMENTOS E BEBIDAS DA BAHIA LTDA)</t>
        </is>
      </c>
      <c r="D230" s="19" t="inlineStr">
        <is>
          <t>NEW</t>
        </is>
      </c>
      <c r="E230" s="20" t="inlineStr"/>
      <c r="F230" s="19" t="inlineStr"/>
      <c r="G230" s="20" t="inlineStr"/>
      <c r="H230" s="19" t="inlineStr"/>
      <c r="I230" s="21" t="inlineStr">
        <is>
          <t>Camilla Moriki</t>
        </is>
      </c>
      <c r="J230" s="21" t="inlineStr">
        <is>
          <t>Gerente de Recuperação de Crédito | Reestruturação - Atacado</t>
        </is>
      </c>
      <c r="K230" s="21" t="inlineStr">
        <is>
          <t>(11) 2832-6000</t>
        </is>
      </c>
      <c r="L230" s="21" t="inlineStr"/>
      <c r="M230" s="21" t="inlineStr"/>
      <c r="N230" s="21" t="inlineStr">
        <is>
          <t>camilla.moriki@c6bank.com</t>
        </is>
      </c>
      <c r="O230" s="21" t="inlineStr">
        <is>
          <t>kevin.santana@c6bank.com</t>
        </is>
      </c>
      <c r="P230" s="21" t="inlineStr">
        <is>
          <t>Kevin Santana</t>
        </is>
      </c>
      <c r="Q230" s="21" t="inlineStr">
        <is>
          <t>Gerente de Estratégia de Recuperação de Crédito</t>
        </is>
      </c>
      <c r="R230" s="21" t="inlineStr"/>
      <c r="S230" s="21" t="inlineStr">
        <is>
          <t>kevin.santana@c6bank.com</t>
        </is>
      </c>
      <c r="T230" s="21" t="inlineStr">
        <is>
          <t>email verified by Apollo</t>
        </is>
      </c>
      <c r="U230" s="22" t="n">
        <v>1009368.3</v>
      </c>
      <c r="V230" s="23" t="inlineStr">
        <is>
          <t>B</t>
        </is>
      </c>
      <c r="W230" s="24">
        <f>IFERROR(VLOOKUP(V230,Assumptions!$A$7:$F$11,2,FALSE),0)</f>
        <v/>
      </c>
      <c r="X230" s="25">
        <f>IF(V230="A",MAX(1,IFERROR(VLOOKUP(V230,Assumptions!$A$7:$F$11,3,FALSE),3)+IFERROR(VLOOKUP(V230,Assumptions!$A$7:$F$11,4,FALSE),8)/2-MAX(0,IF(AO230="",0,YEAR(TODAY())-AO230)-IFERROR(VLOOKUP(V230,Assumptions!$A$7:$F$11,5,FALSE),1.5))),IFERROR(VLOOKUP(V230,Assumptions!$A$7:$F$11,5,FALSE),2.5)+IFERROR(VLOOKUP(V230,Assumptions!$A$7:$F$11,3,FALSE),3)+IFERROR(VLOOKUP(V230,Assumptions!$A$7:$F$11,4,FALSE),8)/2)</f>
        <v/>
      </c>
      <c r="Y230" s="22">
        <f>U230*W230/(1+Assumptions!$B$3)^X230</f>
        <v/>
      </c>
      <c r="Z230" s="26">
        <f>IF(U230=0,"",ROUND(Y230/U230*100,1))</f>
        <v/>
      </c>
      <c r="AA230" s="27">
        <f>Y230*Assumptions!$B$4</f>
        <v/>
      </c>
      <c r="AB230" s="26">
        <f>IF(U230=0,"",ROUND(AA230/U230*100,1))</f>
        <v/>
      </c>
      <c r="AC230" s="27">
        <f>Y230-AA230</f>
        <v/>
      </c>
      <c r="AD230" s="26">
        <f>IF(U230=0,"",ROUND((Y230-AA230)/U230*100,1))</f>
        <v/>
      </c>
      <c r="AE230" s="28" t="inlineStr">
        <is>
          <t>OK — totals reconciled</t>
        </is>
      </c>
      <c r="AF230" s="29" t="inlineStr">
        <is>
          <t>https://diligence.adm.br/wp-content/uploads/2025/06/Edital-1a-Lista-de-Credores.pdf</t>
        </is>
      </c>
      <c r="AG230" s="28" t="inlineStr">
        <is>
          <t>p5 r65</t>
        </is>
      </c>
      <c r="AH230" s="28" t="inlineStr">
        <is>
          <t>p5: R$ 1.009.368,30</t>
        </is>
      </c>
      <c r="AI230" s="28" t="inlineStr">
        <is>
          <t>Debtor list (art. 51)</t>
        </is>
      </c>
      <c r="AJ230" s="28" t="inlineStr">
        <is>
          <t>2025-06-10</t>
        </is>
      </c>
      <c r="AK230" s="28" t="inlineStr">
        <is>
          <t>NONE FOUND</t>
        </is>
      </c>
      <c r="AL230" s="30" t="inlineStr">
        <is>
          <t>0008526-45.2025.8.17.2001</t>
        </is>
      </c>
      <c r="AM230" s="30" t="inlineStr">
        <is>
          <t>TJPE</t>
        </is>
      </c>
      <c r="AN230" s="30" t="inlineStr">
        <is>
          <t>ACTIVE</t>
        </is>
      </c>
      <c r="AO230" s="30" t="n">
        <v>2025</v>
      </c>
      <c r="AP230" s="30" t="inlineStr">
        <is>
          <t>live case, no plan document yet</t>
        </is>
      </c>
      <c r="AQ230" s="30" t="inlineStr"/>
      <c r="AR230" s="30" t="inlineStr">
        <is>
          <t>printed on the list (read twice)</t>
        </is>
      </c>
      <c r="AS230" s="30" t="inlineStr">
        <is>
          <t>SAO PAULO</t>
        </is>
      </c>
      <c r="AT230" s="30" t="inlineStr">
        <is>
          <t>SP</t>
        </is>
      </c>
      <c r="AU230" s="30" t="inlineStr">
        <is>
          <t>Bancos múltiplos, com carteira comercial</t>
        </is>
      </c>
      <c r="AV230" s="30" t="inlineStr">
        <is>
          <t>DEMAIS</t>
        </is>
      </c>
      <c r="AW230" s="31" t="n">
        <v>1131957000</v>
      </c>
      <c r="AX230" s="30" t="inlineStr">
        <is>
          <t>LARGE CORP</t>
        </is>
      </c>
      <c r="AY230" s="30" t="inlineStr">
        <is>
          <t>31872495</t>
        </is>
      </c>
      <c r="AZ230" s="30" t="n">
        <v>1</v>
      </c>
      <c r="BA230" s="30" t="inlineStr">
        <is>
          <t>LIKELY_FINANCIAL_BY_NAME ROWS:p5r65</t>
        </is>
      </c>
    </row>
    <row r="231">
      <c r="A231" s="16" t="inlineStr">
        <is>
          <t>Banco Industrial Do Brasil S.A.</t>
        </is>
      </c>
      <c r="B231" s="17" t="n">
        <v>1003333.32</v>
      </c>
      <c r="C231" s="18" t="inlineStr">
        <is>
          <t>GRUPO DP4</t>
        </is>
      </c>
      <c r="D231" s="19" t="inlineStr">
        <is>
          <t>NEW</t>
        </is>
      </c>
      <c r="E231" s="20" t="inlineStr"/>
      <c r="F231" s="19" t="inlineStr"/>
      <c r="G231" s="20" t="inlineStr"/>
      <c r="H231" s="19" t="inlineStr"/>
      <c r="I231" s="21" t="inlineStr">
        <is>
          <t>Eduardo Fernandes</t>
        </is>
      </c>
      <c r="J231" s="21" t="inlineStr">
        <is>
          <t>Gerente de Recuperação de Crédito</t>
        </is>
      </c>
      <c r="K231" s="21" t="inlineStr"/>
      <c r="L231" s="21" t="inlineStr"/>
      <c r="M231" s="21" t="inlineStr"/>
      <c r="N231" s="21" t="inlineStr">
        <is>
          <t>eduardo.fernandes@bancoindustrial.com.br</t>
        </is>
      </c>
      <c r="O231" s="21" t="inlineStr"/>
      <c r="P231" s="21" t="inlineStr"/>
      <c r="Q231" s="21" t="inlineStr"/>
      <c r="R231" s="21" t="inlineStr"/>
      <c r="S231" s="21" t="inlineStr"/>
      <c r="T231" s="21" t="inlineStr">
        <is>
          <t>email verified by Apollo</t>
        </is>
      </c>
      <c r="U231" s="22" t="n">
        <v>1003333.32</v>
      </c>
      <c r="V231" s="23" t="inlineStr">
        <is>
          <t>B</t>
        </is>
      </c>
      <c r="W231" s="24">
        <f>IFERROR(VLOOKUP(V231,Assumptions!$A$7:$F$11,2,FALSE),0)</f>
        <v/>
      </c>
      <c r="X231" s="25">
        <f>IF(V231="A",MAX(1,IFERROR(VLOOKUP(V231,Assumptions!$A$7:$F$11,3,FALSE),3)+IFERROR(VLOOKUP(V231,Assumptions!$A$7:$F$11,4,FALSE),8)/2-MAX(0,IF(AO231="",0,YEAR(TODAY())-AO231)-IFERROR(VLOOKUP(V231,Assumptions!$A$7:$F$11,5,FALSE),1.5))),IFERROR(VLOOKUP(V231,Assumptions!$A$7:$F$11,5,FALSE),2.5)+IFERROR(VLOOKUP(V231,Assumptions!$A$7:$F$11,3,FALSE),3)+IFERROR(VLOOKUP(V231,Assumptions!$A$7:$F$11,4,FALSE),8)/2)</f>
        <v/>
      </c>
      <c r="Y231" s="22">
        <f>U231*W231/(1+Assumptions!$B$3)^X231</f>
        <v/>
      </c>
      <c r="Z231" s="26">
        <f>IF(U231=0,"",ROUND(Y231/U231*100,1))</f>
        <v/>
      </c>
      <c r="AA231" s="27">
        <f>Y231*Assumptions!$B$4</f>
        <v/>
      </c>
      <c r="AB231" s="26">
        <f>IF(U231=0,"",ROUND(AA231/U231*100,1))</f>
        <v/>
      </c>
      <c r="AC231" s="27">
        <f>Y231-AA231</f>
        <v/>
      </c>
      <c r="AD231" s="26">
        <f>IF(U231=0,"",ROUND((Y231-AA231)/U231*100,1))</f>
        <v/>
      </c>
      <c r="AE231" s="34" t="inlineStr">
        <is>
          <t>PARTIAL — class III reconciled, other classes not</t>
        </is>
      </c>
      <c r="AF231" s="29" t="inlineStr">
        <is>
          <t>https://marquesadmjudicial.com.br/sgc/download.php?file=files/processo_documento/processo_documento15293208032024_1_.pdf&amp;nome=Relação Nominal de Credores da AJ-Sintética</t>
        </is>
      </c>
      <c r="AG231" s="28" t="inlineStr">
        <is>
          <t>p21 r3</t>
        </is>
      </c>
      <c r="AH231" s="28" t="inlineStr">
        <is>
          <t>p21: R$ 1.003.333,32</t>
        </is>
      </c>
      <c r="AI231" s="28" t="inlineStr">
        <is>
          <t>AJ list (art. 7 §2)</t>
        </is>
      </c>
      <c r="AJ231" s="28" t="inlineStr">
        <is>
          <t>2023-03-02</t>
        </is>
      </c>
      <c r="AK231" s="28" t="inlineStr">
        <is>
          <t>NONE FOUND</t>
        </is>
      </c>
      <c r="AL231" s="30" t="inlineStr">
        <is>
          <t>0005010-98.2023.8.16.0001</t>
        </is>
      </c>
      <c r="AM231" s="30" t="inlineStr">
        <is>
          <t>TJPR</t>
        </is>
      </c>
      <c r="AN231" s="30" t="inlineStr">
        <is>
          <t>ACTIVE</t>
        </is>
      </c>
      <c r="AO231" s="30" t="n">
        <v>2023</v>
      </c>
      <c r="AP231" s="30" t="inlineStr">
        <is>
          <t>live case, no plan document yet</t>
        </is>
      </c>
      <c r="AQ231" s="30" t="inlineStr"/>
      <c r="AR231" s="30" t="inlineStr">
        <is>
          <t>printed on the list (read twice)</t>
        </is>
      </c>
      <c r="AS231" s="30" t="inlineStr"/>
      <c r="AT231" s="30" t="inlineStr"/>
      <c r="AU231" s="30" t="inlineStr"/>
      <c r="AV231" s="30" t="inlineStr"/>
      <c r="AW231" s="31" t="inlineStr"/>
      <c r="AX231" s="30" t="inlineStr">
        <is>
          <t>MID-MARKET</t>
        </is>
      </c>
      <c r="AY231" s="30" t="inlineStr">
        <is>
          <t>31895683</t>
        </is>
      </c>
      <c r="AZ231" s="30" t="n">
        <v>1</v>
      </c>
      <c r="BA231" s="30" t="inlineStr">
        <is>
          <t>LIKELY_FINANCIAL_BY_NAME PARTIAL_DOC_CLASS_III_RECONCILED ROWS:p21r3</t>
        </is>
      </c>
    </row>
    <row r="232">
      <c r="A232" s="16" t="inlineStr">
        <is>
          <t>SICOOB ADMINISTRADORA DE CONSORCIOS LTDA</t>
        </is>
      </c>
      <c r="B232" s="17" t="n">
        <v>1000149.31</v>
      </c>
      <c r="C232" s="18" t="inlineStr">
        <is>
          <t>FLAVOUR MIX IND. E REP. ALIM. E INGR. QUÍMICOS LTDA.</t>
        </is>
      </c>
      <c r="D232" s="19" t="inlineStr">
        <is>
          <t>NEW</t>
        </is>
      </c>
      <c r="E232" s="20" t="inlineStr"/>
      <c r="F232" s="19" t="inlineStr"/>
      <c r="G232" s="20" t="inlineStr"/>
      <c r="H232" s="19" t="inlineStr"/>
      <c r="I232" s="21" t="inlineStr">
        <is>
          <t>Itamar Filho</t>
        </is>
      </c>
      <c r="J232" s="21" t="inlineStr">
        <is>
          <t>Gerente Comercial de Consórcios e Cobrança Bancária</t>
        </is>
      </c>
      <c r="K232" s="21" t="inlineStr"/>
      <c r="L232" s="21" t="inlineStr"/>
      <c r="M232" s="21" t="inlineStr"/>
      <c r="N232" s="21" t="inlineStr">
        <is>
          <t>itamar.filho@sicoob.com.br</t>
        </is>
      </c>
      <c r="O232" s="21" t="inlineStr">
        <is>
          <t>laiane.augusta@sicoob.com.br</t>
        </is>
      </c>
      <c r="P232" s="21" t="inlineStr">
        <is>
          <t>Laiane Augusta</t>
        </is>
      </c>
      <c r="Q232" s="21" t="inlineStr">
        <is>
          <t>Assistente de Operações no Sicoob Consórcios</t>
        </is>
      </c>
      <c r="R232" s="21" t="inlineStr"/>
      <c r="S232" s="21" t="inlineStr">
        <is>
          <t>laiane.augusta@sicoob.com.br</t>
        </is>
      </c>
      <c r="T232" s="21" t="inlineStr">
        <is>
          <t>email verified by Apollo</t>
        </is>
      </c>
      <c r="U232" s="22" t="n">
        <v>1000149.31</v>
      </c>
      <c r="V232" s="23" t="inlineStr">
        <is>
          <t>B</t>
        </is>
      </c>
      <c r="W232" s="24">
        <f>IFERROR(VLOOKUP(V232,Assumptions!$A$7:$F$11,2,FALSE),0)</f>
        <v/>
      </c>
      <c r="X232" s="25">
        <f>IF(V232="A",MAX(1,IFERROR(VLOOKUP(V232,Assumptions!$A$7:$F$11,3,FALSE),3)+IFERROR(VLOOKUP(V232,Assumptions!$A$7:$F$11,4,FALSE),8)/2-MAX(0,IF(AO232="",0,YEAR(TODAY())-AO232)-IFERROR(VLOOKUP(V232,Assumptions!$A$7:$F$11,5,FALSE),1.5))),IFERROR(VLOOKUP(V232,Assumptions!$A$7:$F$11,5,FALSE),2.5)+IFERROR(VLOOKUP(V232,Assumptions!$A$7:$F$11,3,FALSE),3)+IFERROR(VLOOKUP(V232,Assumptions!$A$7:$F$11,4,FALSE),8)/2)</f>
        <v/>
      </c>
      <c r="Y232" s="22">
        <f>U232*W232/(1+Assumptions!$B$3)^X232</f>
        <v/>
      </c>
      <c r="Z232" s="26">
        <f>IF(U232=0,"",ROUND(Y232/U232*100,1))</f>
        <v/>
      </c>
      <c r="AA232" s="27">
        <f>Y232*Assumptions!$B$4</f>
        <v/>
      </c>
      <c r="AB232" s="26">
        <f>IF(U232=0,"",ROUND(AA232/U232*100,1))</f>
        <v/>
      </c>
      <c r="AC232" s="27">
        <f>Y232-AA232</f>
        <v/>
      </c>
      <c r="AD232" s="26">
        <f>IF(U232=0,"",ROUND((Y232-AA232)/U232*100,1))</f>
        <v/>
      </c>
      <c r="AE232" s="33" t="inlineStr">
        <is>
          <t>NO TOTALS — list prints none; check page</t>
        </is>
      </c>
      <c r="AF232" s="29" t="inlineStr">
        <is>
          <t>https://ativosajce.com.br/admin/download.php?file=files/processo_documento/processo_documento13422625032025_1_.pdf&amp;nome=Relação de Credores - Art. 52º § 1º, da Lei nº 11.101/2005 - 25/02/2025</t>
        </is>
      </c>
      <c r="AG232" s="28" t="inlineStr">
        <is>
          <t>p5 r3; p5 r4; p5 r5; p5 r6; p5 r7; p5 r8; p5 r9; p5 r10; p5 r11; p5 r12; p5 r13; p5 r14; p5 r15; p5 r16; p5 r17; p5 r18; p5 r19; p5 r20; p5 r21; p5 r22</t>
        </is>
      </c>
      <c r="AH232" s="28" t="inlineStr">
        <is>
          <t>p5: R$ 5.049,41; p5: R$ 5.099,90; p5: R$ 5.099,90; p5: R$ 5.099,90; p5: R$ 5.099,90; p5: R$ 5.099,90; p5: R$ 5.099,90; p5: R$ 5.099,90; p5: R$ 5.099,90; p5: R$ 5.099,90; p5: R$ 5.099,90; p5: R$ 5.099,90; p5: R$ 5.099,90; p5: R$ 5.099,90; p5: R$ 5.099,90; p5: R$ 5.099,90; p5: R$ 5.099,90; p5: R$ 5.099,90; p5: R$ 5.099,90; p5: R$ 990.000,00</t>
        </is>
      </c>
      <c r="AI232" s="28" t="inlineStr">
        <is>
          <t>Unclassified list</t>
        </is>
      </c>
      <c r="AJ232" s="28" t="inlineStr">
        <is>
          <t>2025-02-28</t>
        </is>
      </c>
      <c r="AK232" s="28" t="inlineStr">
        <is>
          <t>NONE FOUND</t>
        </is>
      </c>
      <c r="AL232" s="30" t="inlineStr">
        <is>
          <t>1000119-75.2025.8.26.0354</t>
        </is>
      </c>
      <c r="AM232" s="30" t="inlineStr">
        <is>
          <t>TJSP</t>
        </is>
      </c>
      <c r="AN232" s="30" t="inlineStr">
        <is>
          <t>ACTIVE</t>
        </is>
      </c>
      <c r="AO232" s="30" t="n">
        <v>2025</v>
      </c>
      <c r="AP232" s="30" t="inlineStr">
        <is>
          <t>live case, no plan document yet</t>
        </is>
      </c>
      <c r="AQ232" s="30" t="inlineStr">
        <is>
          <t>09.357.504/0001-38</t>
        </is>
      </c>
      <c r="AR232" s="30" t="inlineStr">
        <is>
          <t>printed on the list (read twice)</t>
        </is>
      </c>
      <c r="AS232" s="30" t="inlineStr"/>
      <c r="AT232" s="30" t="inlineStr"/>
      <c r="AU232" s="30" t="inlineStr"/>
      <c r="AV232" s="30" t="inlineStr"/>
      <c r="AW232" s="31" t="inlineStr"/>
      <c r="AX232" s="30" t="inlineStr">
        <is>
          <t>MID-MARKET</t>
        </is>
      </c>
      <c r="AY232" s="30" t="inlineStr">
        <is>
          <t>16551061</t>
        </is>
      </c>
      <c r="AZ232" s="30" t="n">
        <v>3</v>
      </c>
      <c r="BA232" s="30" t="inlineStr">
        <is>
          <t>LIKELY_FINANCIAL_BY_NAME ROWS:p5r3,p5r4,p5r22 UNRECONCILED_SOURCE</t>
        </is>
      </c>
    </row>
    <row r="233">
      <c r="A233" s="16" t="inlineStr">
        <is>
          <t>BANCO SAFRA S A</t>
        </is>
      </c>
      <c r="B233" s="17" t="n">
        <v>997900.2</v>
      </c>
      <c r="C233" s="18" t="inlineStr">
        <is>
          <t>Grupo Conduscabos</t>
        </is>
      </c>
      <c r="D233" s="19" t="inlineStr">
        <is>
          <t>NEW</t>
        </is>
      </c>
      <c r="E233" s="20" t="inlineStr"/>
      <c r="F233" s="19" t="inlineStr"/>
      <c r="G233" s="20" t="inlineStr"/>
      <c r="H233" s="19" t="inlineStr"/>
      <c r="I233" s="21" t="inlineStr">
        <is>
          <t>Vanessa Biotti</t>
        </is>
      </c>
      <c r="J233" s="21" t="inlineStr">
        <is>
          <t>Gerente de Recuperação de Crédito</t>
        </is>
      </c>
      <c r="K233" s="21" t="inlineStr">
        <is>
          <t>(11) 3175-7575</t>
        </is>
      </c>
      <c r="L233" s="21" t="inlineStr"/>
      <c r="M233" s="21" t="inlineStr"/>
      <c r="N233" s="21" t="inlineStr">
        <is>
          <t>vanessa.biotti@safra.com.br</t>
        </is>
      </c>
      <c r="O233" s="21" t="inlineStr">
        <is>
          <t>rodrigo.anjos@safra.com.br</t>
        </is>
      </c>
      <c r="P233" s="21" t="inlineStr">
        <is>
          <t>Rodrigo Anjos</t>
        </is>
      </c>
      <c r="Q233" s="21" t="inlineStr">
        <is>
          <t>Advogado Sênior - Jurídico Contencioso - Recuperação de Crédito - NPL</t>
        </is>
      </c>
      <c r="R233" s="21" t="inlineStr"/>
      <c r="S233" s="21" t="inlineStr">
        <is>
          <t>rodrigo.anjos@safra.com.br</t>
        </is>
      </c>
      <c r="T233" s="21" t="inlineStr">
        <is>
          <t>email verified by Apollo</t>
        </is>
      </c>
      <c r="U233" s="22" t="n">
        <v>997900.2</v>
      </c>
      <c r="V233" s="23" t="inlineStr">
        <is>
          <t>B</t>
        </is>
      </c>
      <c r="W233" s="24">
        <f>IFERROR(VLOOKUP(V233,Assumptions!$A$7:$F$11,2,FALSE),0)</f>
        <v/>
      </c>
      <c r="X233" s="25">
        <f>IF(V233="A",MAX(1,IFERROR(VLOOKUP(V233,Assumptions!$A$7:$F$11,3,FALSE),3)+IFERROR(VLOOKUP(V233,Assumptions!$A$7:$F$11,4,FALSE),8)/2-MAX(0,IF(AO233="",0,YEAR(TODAY())-AO233)-IFERROR(VLOOKUP(V233,Assumptions!$A$7:$F$11,5,FALSE),1.5))),IFERROR(VLOOKUP(V233,Assumptions!$A$7:$F$11,5,FALSE),2.5)+IFERROR(VLOOKUP(V233,Assumptions!$A$7:$F$11,3,FALSE),3)+IFERROR(VLOOKUP(V233,Assumptions!$A$7:$F$11,4,FALSE),8)/2)</f>
        <v/>
      </c>
      <c r="Y233" s="22">
        <f>U233*W233/(1+Assumptions!$B$3)^X233</f>
        <v/>
      </c>
      <c r="Z233" s="26">
        <f>IF(U233=0,"",ROUND(Y233/U233*100,1))</f>
        <v/>
      </c>
      <c r="AA233" s="27">
        <f>Y233*Assumptions!$B$4</f>
        <v/>
      </c>
      <c r="AB233" s="26">
        <f>IF(U233=0,"",ROUND(AA233/U233*100,1))</f>
        <v/>
      </c>
      <c r="AC233" s="27">
        <f>Y233-AA233</f>
        <v/>
      </c>
      <c r="AD233" s="26">
        <f>IF(U233=0,"",ROUND((Y233-AA233)/U233*100,1))</f>
        <v/>
      </c>
      <c r="AE233" s="33" t="inlineStr">
        <is>
          <t>NO TOTALS — list prints none; check page</t>
        </is>
      </c>
      <c r="AF233" s="29" t="inlineStr">
        <is>
          <t>https://assistjud.com.br/wp-content/uploads/elementor/forms/65098c80a5824.pdf</t>
        </is>
      </c>
      <c r="AG233" s="28" t="inlineStr">
        <is>
          <t>p5 r12; p17 r6</t>
        </is>
      </c>
      <c r="AH233" s="28" t="inlineStr">
        <is>
          <t>p5: R$ 796.286,94; p17: R$ 201.613,26</t>
        </is>
      </c>
      <c r="AI233" s="28" t="inlineStr">
        <is>
          <t>AJ list (art. 7 §2)</t>
        </is>
      </c>
      <c r="AJ233" s="28" t="inlineStr">
        <is>
          <t>2023-09-18</t>
        </is>
      </c>
      <c r="AK233" s="28" t="inlineStr">
        <is>
          <t>NONE FOUND</t>
        </is>
      </c>
      <c r="AL233" s="30" t="inlineStr">
        <is>
          <t>8005129-09.2023.8.05.0039</t>
        </is>
      </c>
      <c r="AM233" s="30" t="inlineStr">
        <is>
          <t>TJBA</t>
        </is>
      </c>
      <c r="AN233" s="30" t="inlineStr">
        <is>
          <t>ACTIVE</t>
        </is>
      </c>
      <c r="AO233" s="30" t="n">
        <v>2023</v>
      </c>
      <c r="AP233" s="30" t="inlineStr">
        <is>
          <t>live case, no plan document yet</t>
        </is>
      </c>
      <c r="AQ233" s="30" t="inlineStr"/>
      <c r="AR233" s="30" t="inlineStr">
        <is>
          <t>printed on the list (read twice)</t>
        </is>
      </c>
      <c r="AS233" s="30" t="inlineStr">
        <is>
          <t>SAO PAULO</t>
        </is>
      </c>
      <c r="AT233" s="30" t="inlineStr">
        <is>
          <t>SP</t>
        </is>
      </c>
      <c r="AU233" s="30" t="inlineStr">
        <is>
          <t>Bancos múltiplos, com carteira comercial</t>
        </is>
      </c>
      <c r="AV233" s="30" t="inlineStr">
        <is>
          <t>DEMAIS</t>
        </is>
      </c>
      <c r="AW233" s="31" t="n">
        <v>13924903000</v>
      </c>
      <c r="AX233" s="30" t="inlineStr">
        <is>
          <t>LARGE CORP</t>
        </is>
      </c>
      <c r="AY233" s="30" t="inlineStr">
        <is>
          <t>58160789</t>
        </is>
      </c>
      <c r="AZ233" s="30" t="n">
        <v>2</v>
      </c>
      <c r="BA233" s="30" t="inlineStr">
        <is>
          <t>LIKELY_FINANCIAL_BY_NAME ROWS:p5r12,p17r6 UNRECONCILED_SOURCE VALUE_COL:Valor_Do_Crédito_2º_Edital_De_Credores</t>
        </is>
      </c>
    </row>
    <row r="234">
      <c r="A234" s="16" t="inlineStr">
        <is>
          <t>BANCO ABC BRASIL S.A.</t>
        </is>
      </c>
      <c r="B234" s="17" t="n">
        <v>991010.33</v>
      </c>
      <c r="C234" s="18" t="inlineStr">
        <is>
          <t>FLAVOUR MIX IND. E REP. ALIM. E INGR. QUÍMICOS LTDA.</t>
        </is>
      </c>
      <c r="D234" s="19" t="inlineStr">
        <is>
          <t>NEW</t>
        </is>
      </c>
      <c r="E234" s="20" t="inlineStr"/>
      <c r="F234" s="19" t="inlineStr"/>
      <c r="G234" s="20" t="inlineStr"/>
      <c r="H234" s="19" t="inlineStr"/>
      <c r="I234" s="21" t="inlineStr">
        <is>
          <t>Luciano Makino</t>
        </is>
      </c>
      <c r="J234" s="21" t="inlineStr">
        <is>
          <t>Especialista de Recuperação de Crédito</t>
        </is>
      </c>
      <c r="K234" s="21" t="inlineStr">
        <is>
          <t>(11) 3170-2000</t>
        </is>
      </c>
      <c r="L234" s="21" t="inlineStr"/>
      <c r="M234" s="21" t="inlineStr"/>
      <c r="N234" s="21" t="inlineStr">
        <is>
          <t>luciano.makino@abcbrasil.com.br</t>
        </is>
      </c>
      <c r="O234" s="21" t="inlineStr">
        <is>
          <t>marilia.neves@abcbrasil.com.br</t>
        </is>
      </c>
      <c r="P234" s="21" t="inlineStr">
        <is>
          <t>Marilia Neves</t>
        </is>
      </c>
      <c r="Q234" s="21" t="inlineStr">
        <is>
          <t>Advogado Especialista em Recuperação de Crédito</t>
        </is>
      </c>
      <c r="R234" s="21" t="inlineStr"/>
      <c r="S234" s="21" t="inlineStr">
        <is>
          <t>marilia.neves@abcbrasil.com.br</t>
        </is>
      </c>
      <c r="T234" s="21" t="inlineStr">
        <is>
          <t>email verified by Apollo</t>
        </is>
      </c>
      <c r="U234" s="22" t="n">
        <v>991010.33</v>
      </c>
      <c r="V234" s="23" t="inlineStr">
        <is>
          <t>B</t>
        </is>
      </c>
      <c r="W234" s="24">
        <f>IFERROR(VLOOKUP(V234,Assumptions!$A$7:$F$11,2,FALSE),0)</f>
        <v/>
      </c>
      <c r="X234" s="25">
        <f>IF(V234="A",MAX(1,IFERROR(VLOOKUP(V234,Assumptions!$A$7:$F$11,3,FALSE),3)+IFERROR(VLOOKUP(V234,Assumptions!$A$7:$F$11,4,FALSE),8)/2-MAX(0,IF(AO234="",0,YEAR(TODAY())-AO234)-IFERROR(VLOOKUP(V234,Assumptions!$A$7:$F$11,5,FALSE),1.5))),IFERROR(VLOOKUP(V234,Assumptions!$A$7:$F$11,5,FALSE),2.5)+IFERROR(VLOOKUP(V234,Assumptions!$A$7:$F$11,3,FALSE),3)+IFERROR(VLOOKUP(V234,Assumptions!$A$7:$F$11,4,FALSE),8)/2)</f>
        <v/>
      </c>
      <c r="Y234" s="22">
        <f>U234*W234/(1+Assumptions!$B$3)^X234</f>
        <v/>
      </c>
      <c r="Z234" s="26">
        <f>IF(U234=0,"",ROUND(Y234/U234*100,1))</f>
        <v/>
      </c>
      <c r="AA234" s="27">
        <f>Y234*Assumptions!$B$4</f>
        <v/>
      </c>
      <c r="AB234" s="26">
        <f>IF(U234=0,"",ROUND(AA234/U234*100,1))</f>
        <v/>
      </c>
      <c r="AC234" s="27">
        <f>Y234-AA234</f>
        <v/>
      </c>
      <c r="AD234" s="26">
        <f>IF(U234=0,"",ROUND((Y234-AA234)/U234*100,1))</f>
        <v/>
      </c>
      <c r="AE234" s="33" t="inlineStr">
        <is>
          <t>NO TOTALS — list prints none; check page</t>
        </is>
      </c>
      <c r="AF234" s="29" t="inlineStr">
        <is>
          <t>https://ativosajce.com.br/admin/download.php?file=files/processo_documento/processo_documento13422625032025_1_.pdf&amp;nome=Relação de Credores - Art. 52º § 1º, da Lei nº 11.101/2005 - 25/02/2025</t>
        </is>
      </c>
      <c r="AG234" s="28" t="inlineStr">
        <is>
          <t>p3 r15</t>
        </is>
      </c>
      <c r="AH234" s="28" t="inlineStr">
        <is>
          <t>p3: R$ 991.010,33</t>
        </is>
      </c>
      <c r="AI234" s="28" t="inlineStr">
        <is>
          <t>Unclassified list</t>
        </is>
      </c>
      <c r="AJ234" s="28" t="inlineStr">
        <is>
          <t>2025-02-28</t>
        </is>
      </c>
      <c r="AK234" s="28" t="inlineStr">
        <is>
          <t>NONE FOUND</t>
        </is>
      </c>
      <c r="AL234" s="30" t="inlineStr">
        <is>
          <t>1000119-75.2025.8.26.0354</t>
        </is>
      </c>
      <c r="AM234" s="30" t="inlineStr">
        <is>
          <t>TJSP</t>
        </is>
      </c>
      <c r="AN234" s="30" t="inlineStr">
        <is>
          <t>ACTIVE</t>
        </is>
      </c>
      <c r="AO234" s="30" t="n">
        <v>2025</v>
      </c>
      <c r="AP234" s="30" t="inlineStr">
        <is>
          <t>live case, no plan document yet</t>
        </is>
      </c>
      <c r="AQ234" s="30" t="inlineStr">
        <is>
          <t>09.357.504/0001-38</t>
        </is>
      </c>
      <c r="AR234" s="30" t="inlineStr">
        <is>
          <t>printed on the list (read twice)</t>
        </is>
      </c>
      <c r="AS234" s="30" t="inlineStr">
        <is>
          <t>SAO PAULO</t>
        </is>
      </c>
      <c r="AT234" s="30" t="inlineStr">
        <is>
          <t>SP</t>
        </is>
      </c>
      <c r="AU234" s="30" t="inlineStr">
        <is>
          <t>Bancos múltiplos, com carteira comercial</t>
        </is>
      </c>
      <c r="AV234" s="30" t="inlineStr">
        <is>
          <t>DEMAIS</t>
        </is>
      </c>
      <c r="AW234" s="31" t="n">
        <v>6012662300</v>
      </c>
      <c r="AX234" s="30" t="inlineStr">
        <is>
          <t>LARGE CORP</t>
        </is>
      </c>
      <c r="AY234" s="30" t="inlineStr">
        <is>
          <t>28195667</t>
        </is>
      </c>
      <c r="AZ234" s="30" t="n">
        <v>1</v>
      </c>
      <c r="BA234" s="30" t="inlineStr">
        <is>
          <t>LIKELY_FINANCIAL_BY_NAME ROWS:p3r15 UNRECONCILED_SOURCE</t>
        </is>
      </c>
    </row>
    <row r="235">
      <c r="A235" s="16" t="inlineStr">
        <is>
          <t>UNIMED MACEIO COOPERATIVA DE TRABALHO MEDICO</t>
        </is>
      </c>
      <c r="B235" s="17" t="n">
        <v>3860405.37</v>
      </c>
      <c r="C235" s="18" t="inlineStr">
        <is>
          <t>GRUPO ARNON DE MELLO</t>
        </is>
      </c>
      <c r="D235" s="19" t="inlineStr">
        <is>
          <t>NEW</t>
        </is>
      </c>
      <c r="E235" s="20" t="inlineStr"/>
      <c r="F235" s="19" t="inlineStr"/>
      <c r="G235" s="20" t="inlineStr"/>
      <c r="H235" s="19" t="inlineStr"/>
      <c r="I235" s="21" t="inlineStr">
        <is>
          <t>Eder Soares</t>
        </is>
      </c>
      <c r="J235" s="21" t="inlineStr">
        <is>
          <t>Financial Administrative Director</t>
        </is>
      </c>
      <c r="K235" s="21" t="inlineStr">
        <is>
          <t>(82) 2121-1600</t>
        </is>
      </c>
      <c r="L235" s="21" t="inlineStr">
        <is>
          <t>(82) 2121-1746</t>
        </is>
      </c>
      <c r="M235" s="21" t="inlineStr"/>
      <c r="N235" s="21" t="inlineStr">
        <is>
          <t>eder.soares@unimedmaceio.com.br</t>
        </is>
      </c>
      <c r="O235" s="21" t="inlineStr"/>
      <c r="P235" s="21" t="inlineStr">
        <is>
          <t>Ederson Pontes</t>
        </is>
      </c>
      <c r="Q235" s="21" t="inlineStr">
        <is>
          <t>Financial Manager</t>
        </is>
      </c>
      <c r="R235" s="21" t="inlineStr"/>
      <c r="S235" s="21" t="inlineStr"/>
      <c r="T235" s="21" t="inlineStr">
        <is>
          <t>email verified by Apollo</t>
        </is>
      </c>
      <c r="U235" s="22" t="n">
        <v>3860405.37</v>
      </c>
      <c r="V235" s="38" t="inlineStr">
        <is>
          <t>C</t>
        </is>
      </c>
      <c r="W235" s="24">
        <f>IFERROR(VLOOKUP(V235,Assumptions!$A$7:$F$11,2,FALSE),0)</f>
        <v/>
      </c>
      <c r="X235" s="25">
        <f>IF(V235="A",MAX(1,IFERROR(VLOOKUP(V235,Assumptions!$A$7:$F$11,3,FALSE),3)+IFERROR(VLOOKUP(V235,Assumptions!$A$7:$F$11,4,FALSE),8)/2-MAX(0,IF(AO235="",0,YEAR(TODAY())-AO235)-IFERROR(VLOOKUP(V235,Assumptions!$A$7:$F$11,5,FALSE),1.5))),IFERROR(VLOOKUP(V235,Assumptions!$A$7:$F$11,5,FALSE),2.5)+IFERROR(VLOOKUP(V235,Assumptions!$A$7:$F$11,3,FALSE),3)+IFERROR(VLOOKUP(V235,Assumptions!$A$7:$F$11,4,FALSE),8)/2)</f>
        <v/>
      </c>
      <c r="Y235" s="22">
        <f>U235*W235/(1+Assumptions!$B$3)^X235</f>
        <v/>
      </c>
      <c r="Z235" s="26">
        <f>IF(U235=0,"",ROUND(Y235/U235*100,1))</f>
        <v/>
      </c>
      <c r="AA235" s="27">
        <f>Y235*Assumptions!$B$4</f>
        <v/>
      </c>
      <c r="AB235" s="26">
        <f>IF(U235=0,"",ROUND(AA235/U235*100,1))</f>
        <v/>
      </c>
      <c r="AC235" s="27">
        <f>Y235-AA235</f>
        <v/>
      </c>
      <c r="AD235" s="26">
        <f>IF(U235=0,"",ROUND((Y235-AA235)/U235*100,1))</f>
        <v/>
      </c>
      <c r="AE235" s="33" t="inlineStr">
        <is>
          <t>NO TOTALS — list prints none; check page</t>
        </is>
      </c>
      <c r="AF235" s="29" t="inlineStr">
        <is>
          <t>https://recuperacaojudicial.squarespace.com/s/RJ-Grupo-Arnon-de-Melo-Lista-de-Credores-Consolidada-abril-2022.pdf</t>
        </is>
      </c>
      <c r="AG235" s="28" t="inlineStr">
        <is>
          <t>p9 r42</t>
        </is>
      </c>
      <c r="AH235" s="28" t="inlineStr">
        <is>
          <t>p9: R$ 3.860.405,37</t>
        </is>
      </c>
      <c r="AI235" s="28" t="inlineStr">
        <is>
          <t>AJ list (art. 7 §2)</t>
        </is>
      </c>
      <c r="AJ235" s="28" t="inlineStr"/>
      <c r="AK235" s="28" t="inlineStr">
        <is>
          <t>NONE FOUND</t>
        </is>
      </c>
      <c r="AL235" s="30" t="inlineStr">
        <is>
          <t>0700256-03.2019.8.02.0066</t>
        </is>
      </c>
      <c r="AM235" s="30" t="inlineStr">
        <is>
          <t>TJAL</t>
        </is>
      </c>
      <c r="AN235" s="30" t="inlineStr"/>
      <c r="AO235" s="30" t="n">
        <v>2019</v>
      </c>
      <c r="AP235" s="30" t="inlineStr">
        <is>
          <t>7y since filing, no plan document</t>
        </is>
      </c>
      <c r="AQ235" s="30" t="inlineStr">
        <is>
          <t>12.503.801/0001-59</t>
        </is>
      </c>
      <c r="AR235" s="30" t="inlineStr">
        <is>
          <t>printed on the list (read twice)</t>
        </is>
      </c>
      <c r="AS235" s="30" t="inlineStr">
        <is>
          <t>MACEIO</t>
        </is>
      </c>
      <c r="AT235" s="30" t="inlineStr">
        <is>
          <t>AL</t>
        </is>
      </c>
      <c r="AU235" s="30" t="inlineStr">
        <is>
          <t>Planos de saúde</t>
        </is>
      </c>
      <c r="AV235" s="30" t="inlineStr">
        <is>
          <t>DEMAIS</t>
        </is>
      </c>
      <c r="AW235" s="31" t="inlineStr"/>
      <c r="AX235" s="30" t="inlineStr">
        <is>
          <t>MID-MARKET</t>
        </is>
      </c>
      <c r="AY235" s="30" t="inlineStr">
        <is>
          <t>12442737</t>
        </is>
      </c>
      <c r="AZ235" s="30" t="n">
        <v>1</v>
      </c>
      <c r="BA235" s="30" t="inlineStr">
        <is>
          <t>ROWS:p9r42 UNRECONCILED_SOURCE</t>
        </is>
      </c>
    </row>
    <row r="236">
      <c r="A236" s="16" t="inlineStr">
        <is>
          <t>Brasfor Fundo De Investimento Em Direitos Creditorios Multisetorial</t>
        </is>
      </c>
      <c r="B236" s="17" t="n">
        <v>980674</v>
      </c>
      <c r="C236" s="18" t="inlineStr">
        <is>
          <t>Grupo Agromeal</t>
        </is>
      </c>
      <c r="D236" s="19" t="inlineStr">
        <is>
          <t>NEW</t>
        </is>
      </c>
      <c r="E236" s="20" t="inlineStr"/>
      <c r="F236" s="19" t="inlineStr"/>
      <c r="G236" s="20" t="inlineStr"/>
      <c r="H236" s="19" t="inlineStr"/>
      <c r="I236" s="21" t="inlineStr">
        <is>
          <t>Madalena Moraes</t>
        </is>
      </c>
      <c r="J236" s="21" t="inlineStr">
        <is>
          <t>Head de Crédito</t>
        </is>
      </c>
      <c r="K236" s="21" t="inlineStr"/>
      <c r="L236" s="21" t="inlineStr"/>
      <c r="M236" s="21" t="inlineStr"/>
      <c r="N236" s="21" t="inlineStr">
        <is>
          <t>madalena@grupobrasfor.com.br</t>
        </is>
      </c>
      <c r="O236" s="21" t="inlineStr">
        <is>
          <t>juliano@grupobrasfor.com.br</t>
        </is>
      </c>
      <c r="P236" s="21" t="inlineStr">
        <is>
          <t>Juliano Pereira</t>
        </is>
      </c>
      <c r="Q236" s="21" t="inlineStr">
        <is>
          <t>Supervisor de Crédito</t>
        </is>
      </c>
      <c r="R236" s="21" t="inlineStr"/>
      <c r="S236" s="21" t="inlineStr">
        <is>
          <t>juliano@grupobrasfor.com.br</t>
        </is>
      </c>
      <c r="T236" s="21" t="inlineStr">
        <is>
          <t>DM verified email; VERIFY org: Grupo Brasfor (originator/sponsor of Brasfor FIDC Multisetorial?); email verified by Apollo</t>
        </is>
      </c>
      <c r="U236" s="22" t="n">
        <v>980674</v>
      </c>
      <c r="V236" s="23" t="inlineStr">
        <is>
          <t>B</t>
        </is>
      </c>
      <c r="W236" s="24">
        <f>IFERROR(VLOOKUP(V236,Assumptions!$A$7:$F$11,2,FALSE),0)</f>
        <v/>
      </c>
      <c r="X236" s="25">
        <f>IF(V236="A",MAX(1,IFERROR(VLOOKUP(V236,Assumptions!$A$7:$F$11,3,FALSE),3)+IFERROR(VLOOKUP(V236,Assumptions!$A$7:$F$11,4,FALSE),8)/2-MAX(0,IF(AO236="",0,YEAR(TODAY())-AO236)-IFERROR(VLOOKUP(V236,Assumptions!$A$7:$F$11,5,FALSE),1.5))),IFERROR(VLOOKUP(V236,Assumptions!$A$7:$F$11,5,FALSE),2.5)+IFERROR(VLOOKUP(V236,Assumptions!$A$7:$F$11,3,FALSE),3)+IFERROR(VLOOKUP(V236,Assumptions!$A$7:$F$11,4,FALSE),8)/2)</f>
        <v/>
      </c>
      <c r="Y236" s="22">
        <f>U236*W236/(1+Assumptions!$B$3)^X236</f>
        <v/>
      </c>
      <c r="Z236" s="26">
        <f>IF(U236=0,"",ROUND(Y236/U236*100,1))</f>
        <v/>
      </c>
      <c r="AA236" s="27">
        <f>Y236*Assumptions!$B$4</f>
        <v/>
      </c>
      <c r="AB236" s="26">
        <f>IF(U236=0,"",ROUND(AA236/U236*100,1))</f>
        <v/>
      </c>
      <c r="AC236" s="27">
        <f>Y236-AA236</f>
        <v/>
      </c>
      <c r="AD236" s="26">
        <f>IF(U236=0,"",ROUND((Y236-AA236)/U236*100,1))</f>
        <v/>
      </c>
      <c r="AE236" s="34" t="inlineStr">
        <is>
          <t>PARTIAL — class III reconciled, other classes not</t>
        </is>
      </c>
      <c r="AF236" s="29" t="inlineStr">
        <is>
          <t>https://marquesadmjudicial.com.br/sgc/download.php?file=files/processo_documento/processo_documento17040729052024_1_.pdf&amp;nome=Relação Nominal de Credores AJ-Sintética</t>
        </is>
      </c>
      <c r="AG236" s="28" t="inlineStr">
        <is>
          <t>p10 r10</t>
        </is>
      </c>
      <c r="AH236" s="28" t="inlineStr">
        <is>
          <t>p10: R$ 980.674,00</t>
        </is>
      </c>
      <c r="AI236" s="28" t="inlineStr">
        <is>
          <t>AJ list (art. 7 §2)</t>
        </is>
      </c>
      <c r="AJ236" s="28" t="inlineStr">
        <is>
          <t>2024-05-27</t>
        </is>
      </c>
      <c r="AK236" s="28" t="inlineStr">
        <is>
          <t>NONE FOUND</t>
        </is>
      </c>
      <c r="AL236" s="30" t="inlineStr">
        <is>
          <t>0003971-03.2023.8.16.0119</t>
        </is>
      </c>
      <c r="AM236" s="30" t="inlineStr">
        <is>
          <t>TJPR</t>
        </is>
      </c>
      <c r="AN236" s="30" t="inlineStr">
        <is>
          <t>ACTIVE</t>
        </is>
      </c>
      <c r="AO236" s="30" t="n">
        <v>2023</v>
      </c>
      <c r="AP236" s="30" t="inlineStr">
        <is>
          <t>live case, no plan document yet</t>
        </is>
      </c>
      <c r="AQ236" s="30" t="inlineStr">
        <is>
          <t>11.624.776/0001-07</t>
        </is>
      </c>
      <c r="AR236" s="30" t="inlineStr">
        <is>
          <t>printed on the list (read twice)</t>
        </is>
      </c>
      <c r="AS236" s="30" t="inlineStr"/>
      <c r="AT236" s="30" t="inlineStr"/>
      <c r="AU236" s="30" t="inlineStr"/>
      <c r="AV236" s="30" t="inlineStr"/>
      <c r="AW236" s="31" t="inlineStr"/>
      <c r="AX236" s="30" t="inlineStr">
        <is>
          <t>MID-MARKET</t>
        </is>
      </c>
      <c r="AY236" s="30" t="inlineStr">
        <is>
          <t>18862277</t>
        </is>
      </c>
      <c r="AZ236" s="30" t="n">
        <v>1</v>
      </c>
      <c r="BA236" s="30" t="inlineStr">
        <is>
          <t>LIKELY_FINANCIAL_BY_NAME PARTIAL_DOC_CLASS_III_RECONCILED ROWS:p10r10</t>
        </is>
      </c>
    </row>
    <row r="237">
      <c r="A237" s="16" t="inlineStr">
        <is>
          <t>BANCO DO BRASIL SA</t>
        </is>
      </c>
      <c r="B237" s="17" t="n">
        <v>968216.1899999999</v>
      </c>
      <c r="C237" s="18" t="inlineStr">
        <is>
          <t>GRUPO ADLIM</t>
        </is>
      </c>
      <c r="D237" s="19" t="inlineStr">
        <is>
          <t>NEW</t>
        </is>
      </c>
      <c r="E237" s="20" t="inlineStr"/>
      <c r="F237" s="19" t="inlineStr"/>
      <c r="G237" s="20" t="inlineStr"/>
      <c r="H237" s="19" t="inlineStr"/>
      <c r="I237" s="21" t="inlineStr">
        <is>
          <t>Thiago Cavichioli</t>
        </is>
      </c>
      <c r="J237" s="21" t="inlineStr">
        <is>
          <t>Gerente de Cobrança e Recuperação de Crédito</t>
        </is>
      </c>
      <c r="K237" s="21" t="inlineStr">
        <is>
          <t>(61) 3493-9002</t>
        </is>
      </c>
      <c r="L237" s="21" t="inlineStr"/>
      <c r="M237" s="21" t="inlineStr"/>
      <c r="N237" s="21" t="inlineStr">
        <is>
          <t>thiago.cavichioli@bb.com.br</t>
        </is>
      </c>
      <c r="O237" s="21" t="inlineStr">
        <is>
          <t>suelenmondador@bb.com.br</t>
        </is>
      </c>
      <c r="P237" s="21" t="inlineStr">
        <is>
          <t>Suelen Mondador</t>
        </is>
      </c>
      <c r="Q237" s="21" t="inlineStr">
        <is>
          <t>Gerente Especialista em Recuperação de Crédito</t>
        </is>
      </c>
      <c r="R237" s="21" t="inlineStr"/>
      <c r="S237" s="21" t="inlineStr">
        <is>
          <t>suelenmondador@bb.com.br</t>
        </is>
      </c>
      <c r="T237" s="21" t="inlineStr">
        <is>
          <t>email verified by Apollo</t>
        </is>
      </c>
      <c r="U237" s="22" t="n">
        <v>968216.1899999999</v>
      </c>
      <c r="V237" s="23" t="inlineStr">
        <is>
          <t>B</t>
        </is>
      </c>
      <c r="W237" s="24">
        <f>IFERROR(VLOOKUP(V237,Assumptions!$A$7:$F$11,2,FALSE),0)</f>
        <v/>
      </c>
      <c r="X237" s="25">
        <f>IF(V237="A",MAX(1,IFERROR(VLOOKUP(V237,Assumptions!$A$7:$F$11,3,FALSE),3)+IFERROR(VLOOKUP(V237,Assumptions!$A$7:$F$11,4,FALSE),8)/2-MAX(0,IF(AO237="",0,YEAR(TODAY())-AO237)-IFERROR(VLOOKUP(V237,Assumptions!$A$7:$F$11,5,FALSE),1.5))),IFERROR(VLOOKUP(V237,Assumptions!$A$7:$F$11,5,FALSE),2.5)+IFERROR(VLOOKUP(V237,Assumptions!$A$7:$F$11,3,FALSE),3)+IFERROR(VLOOKUP(V237,Assumptions!$A$7:$F$11,4,FALSE),8)/2)</f>
        <v/>
      </c>
      <c r="Y237" s="22">
        <f>U237*W237/(1+Assumptions!$B$3)^X237</f>
        <v/>
      </c>
      <c r="Z237" s="26">
        <f>IF(U237=0,"",ROUND(Y237/U237*100,1))</f>
        <v/>
      </c>
      <c r="AA237" s="27">
        <f>Y237*Assumptions!$B$4</f>
        <v/>
      </c>
      <c r="AB237" s="26">
        <f>IF(U237=0,"",ROUND(AA237/U237*100,1))</f>
        <v/>
      </c>
      <c r="AC237" s="27">
        <f>Y237-AA237</f>
        <v/>
      </c>
      <c r="AD237" s="26">
        <f>IF(U237=0,"",ROUND((Y237-AA237)/U237*100,1))</f>
        <v/>
      </c>
      <c r="AE237" s="34" t="inlineStr">
        <is>
          <t>PARTIAL — class III reconciled, other classes not</t>
        </is>
      </c>
      <c r="AF237" s="29" t="inlineStr">
        <is>
          <t>https://lrflideres.com.br/wp-content/plugins/download-attachments/includes/download.php?id=6051</t>
        </is>
      </c>
      <c r="AG237" s="28" t="inlineStr">
        <is>
          <t>p66 r69; p97 r21</t>
        </is>
      </c>
      <c r="AH237" s="28" t="inlineStr">
        <is>
          <t>p66: R$ 421489,53; p97: R$ 546726,66</t>
        </is>
      </c>
      <c r="AI237" s="28" t="inlineStr">
        <is>
          <t>AJ list (art. 7 §2)</t>
        </is>
      </c>
      <c r="AJ237" s="28" t="inlineStr">
        <is>
          <t>2024-08-12</t>
        </is>
      </c>
      <c r="AK237" s="28" t="inlineStr">
        <is>
          <t>NONE FOUND</t>
        </is>
      </c>
      <c r="AL237" s="30" t="inlineStr">
        <is>
          <t>0019761-43.2024.8.17.2001</t>
        </is>
      </c>
      <c r="AM237" s="30" t="inlineStr">
        <is>
          <t>TJPE</t>
        </is>
      </c>
      <c r="AN237" s="30" t="inlineStr">
        <is>
          <t>ACTIVE</t>
        </is>
      </c>
      <c r="AO237" s="30" t="n">
        <v>2024</v>
      </c>
      <c r="AP237" s="30" t="inlineStr">
        <is>
          <t>live case, no plan document yet</t>
        </is>
      </c>
      <c r="AQ237" s="30" t="inlineStr"/>
      <c r="AR237" s="30" t="inlineStr">
        <is>
          <t>printed on the list (read twice)</t>
        </is>
      </c>
      <c r="AS237" s="30" t="inlineStr">
        <is>
          <t>BRASILIA</t>
        </is>
      </c>
      <c r="AT237" s="30" t="inlineStr">
        <is>
          <t>DF</t>
        </is>
      </c>
      <c r="AU237" s="30" t="inlineStr">
        <is>
          <t>Bancos múltiplos, com carteira comercial</t>
        </is>
      </c>
      <c r="AV237" s="30" t="inlineStr">
        <is>
          <t>DEMAIS</t>
        </is>
      </c>
      <c r="AW237" s="31" t="n">
        <v>120000000000</v>
      </c>
      <c r="AX237" s="30" t="inlineStr">
        <is>
          <t>LARGE CORP</t>
        </is>
      </c>
      <c r="AY237" s="30" t="inlineStr">
        <is>
          <t>00000000</t>
        </is>
      </c>
      <c r="AZ237" s="30" t="n">
        <v>2</v>
      </c>
      <c r="BA237" s="30" t="inlineStr">
        <is>
          <t>LIKELY_FINANCIAL_BY_NAME PARTIAL_DOC_CLASS_III_RECONCILED ROWS:p66r69,p97r21</t>
        </is>
      </c>
    </row>
    <row r="238">
      <c r="A238" s="16" t="inlineStr">
        <is>
          <t>BANCO BRADESCO S.A.</t>
        </is>
      </c>
      <c r="B238" s="17" t="n">
        <v>947813.16</v>
      </c>
      <c r="C238" s="18" t="inlineStr">
        <is>
          <t>GRUPO CASAS BAHIA S.A.</t>
        </is>
      </c>
      <c r="D238" s="19" t="inlineStr">
        <is>
          <t>NEW</t>
        </is>
      </c>
      <c r="E238" s="20" t="inlineStr"/>
      <c r="F238" s="19" t="inlineStr"/>
      <c r="G238" s="20" t="inlineStr"/>
      <c r="H238" s="19" t="inlineStr"/>
      <c r="I238" s="21" t="inlineStr">
        <is>
          <t>Marcela Martins</t>
        </is>
      </c>
      <c r="J238" s="21" t="inlineStr">
        <is>
          <t>Superintendente de Recuperação de Crédito - Canais e Operações</t>
        </is>
      </c>
      <c r="K238" s="21" t="inlineStr">
        <is>
          <t>(11) 3684-5122</t>
        </is>
      </c>
      <c r="L238" s="21" t="inlineStr"/>
      <c r="M238" s="21" t="inlineStr"/>
      <c r="N238" s="21" t="inlineStr"/>
      <c r="O238" s="21" t="inlineStr">
        <is>
          <t>sl@bradesco.com.br</t>
        </is>
      </c>
      <c r="P238" s="21" t="inlineStr">
        <is>
          <t>Luis S</t>
        </is>
      </c>
      <c r="Q238" s="21" t="inlineStr">
        <is>
          <t>DRC - Departamento de Recuperação de Crédito - Gerente de Reestruturação de Crédito</t>
        </is>
      </c>
      <c r="R238" s="21" t="inlineStr"/>
      <c r="S238" s="21" t="inlineStr">
        <is>
          <t>sl@bradesco.com.br</t>
        </is>
      </c>
      <c r="T238" s="21" t="inlineStr">
        <is>
          <t>no work email found in Apollo</t>
        </is>
      </c>
      <c r="U238" s="22" t="n">
        <v>947813.16</v>
      </c>
      <c r="V238" s="23" t="inlineStr">
        <is>
          <t>B</t>
        </is>
      </c>
      <c r="W238" s="24">
        <f>IFERROR(VLOOKUP(V238,Assumptions!$A$7:$F$11,2,FALSE),0)</f>
        <v/>
      </c>
      <c r="X238" s="25">
        <f>IF(V238="A",MAX(1,IFERROR(VLOOKUP(V238,Assumptions!$A$7:$F$11,3,FALSE),3)+IFERROR(VLOOKUP(V238,Assumptions!$A$7:$F$11,4,FALSE),8)/2-MAX(0,IF(AO238="",0,YEAR(TODAY())-AO238)-IFERROR(VLOOKUP(V238,Assumptions!$A$7:$F$11,5,FALSE),1.5))),IFERROR(VLOOKUP(V238,Assumptions!$A$7:$F$11,5,FALSE),2.5)+IFERROR(VLOOKUP(V238,Assumptions!$A$7:$F$11,3,FALSE),3)+IFERROR(VLOOKUP(V238,Assumptions!$A$7:$F$11,4,FALSE),8)/2)</f>
        <v/>
      </c>
      <c r="Y238" s="22">
        <f>U238*W238/(1+Assumptions!$B$3)^X238</f>
        <v/>
      </c>
      <c r="Z238" s="26">
        <f>IF(U238=0,"",ROUND(Y238/U238*100,1))</f>
        <v/>
      </c>
      <c r="AA238" s="27">
        <f>Y238*Assumptions!$B$4</f>
        <v/>
      </c>
      <c r="AB238" s="26">
        <f>IF(U238=0,"",ROUND(AA238/U238*100,1))</f>
        <v/>
      </c>
      <c r="AC238" s="27">
        <f>Y238-AA238</f>
        <v/>
      </c>
      <c r="AD238" s="26">
        <f>IF(U238=0,"",ROUND((Y238-AA238)/U238*100,1))</f>
        <v/>
      </c>
      <c r="AE238" s="33" t="inlineStr">
        <is>
          <t>NO TOTALS — list prints none; check page</t>
        </is>
      </c>
      <c r="AF238" s="29" t="inlineStr">
        <is>
          <t>https://scalzilliaj.com.br/sgc/download.php?file=files/processo_documento/processo_documento15180810062026_1_.pdf&amp;nome=10 - Relação de credores do art. 7º, §2º, da Lei 11.101/2005</t>
        </is>
      </c>
      <c r="AG238" s="28" t="inlineStr">
        <is>
          <t>p2 r26</t>
        </is>
      </c>
      <c r="AH238" s="28" t="inlineStr">
        <is>
          <t>p2: R$ 947.813,16</t>
        </is>
      </c>
      <c r="AI238" s="28" t="inlineStr">
        <is>
          <t>AJ list (art. 7 §2)</t>
        </is>
      </c>
      <c r="AJ238" s="28" t="inlineStr"/>
      <c r="AK238" s="28" t="inlineStr">
        <is>
          <t>NONE FOUND</t>
        </is>
      </c>
      <c r="AL238" s="30" t="inlineStr">
        <is>
          <t>5009529-81.2025.8.24.0019</t>
        </is>
      </c>
      <c r="AM238" s="30" t="inlineStr">
        <is>
          <t>TJSC</t>
        </is>
      </c>
      <c r="AN238" s="30" t="inlineStr"/>
      <c r="AO238" s="30" t="n">
        <v>2025</v>
      </c>
      <c r="AP238" s="30" t="inlineStr">
        <is>
          <t>live case, no plan document yet</t>
        </is>
      </c>
      <c r="AQ238" s="30" t="inlineStr">
        <is>
          <t>33.041.260/0652-90</t>
        </is>
      </c>
      <c r="AR238" s="30" t="inlineStr">
        <is>
          <t>registry (RFB) match</t>
        </is>
      </c>
      <c r="AS238" s="30" t="inlineStr">
        <is>
          <t>OSASCO</t>
        </is>
      </c>
      <c r="AT238" s="30" t="inlineStr">
        <is>
          <t>SP</t>
        </is>
      </c>
      <c r="AU238" s="30" t="inlineStr">
        <is>
          <t>Bancos múltiplos, com carteira comercial</t>
        </is>
      </c>
      <c r="AV238" s="30" t="inlineStr">
        <is>
          <t>DEMAIS</t>
        </is>
      </c>
      <c r="AW238" s="31" t="n">
        <v>93770000000</v>
      </c>
      <c r="AX238" s="30" t="inlineStr">
        <is>
          <t>LARGE CORP</t>
        </is>
      </c>
      <c r="AY238" s="30" t="inlineStr">
        <is>
          <t>60746948</t>
        </is>
      </c>
      <c r="AZ238" s="30" t="n">
        <v>1</v>
      </c>
      <c r="BA238" s="30" t="inlineStr">
        <is>
          <t>LIKELY_FINANCIAL_BY_NAME ROWS:p2r26 UNRECONCILED_SOURCE</t>
        </is>
      </c>
    </row>
    <row r="239">
      <c r="A239" s="16" t="inlineStr">
        <is>
          <t>DANIELE MÚLTIPLO FUNDO DE INVESTIMENTO EM DIREITOS CREDITÓRIOS – NÃO PADRONIZADOS</t>
        </is>
      </c>
      <c r="B239" s="17" t="n">
        <v>926408.5</v>
      </c>
      <c r="C239" s="18" t="inlineStr">
        <is>
          <t>Grupo Conduscabos</t>
        </is>
      </c>
      <c r="D239" s="19" t="inlineStr">
        <is>
          <t>NEW</t>
        </is>
      </c>
      <c r="E239" s="20" t="inlineStr"/>
      <c r="F239" s="19" t="inlineStr"/>
      <c r="G239" s="20" t="inlineStr"/>
      <c r="H239" s="19" t="inlineStr"/>
      <c r="I239" s="21" t="inlineStr"/>
      <c r="J239" s="21" t="inlineStr"/>
      <c r="K239" s="21" t="inlineStr"/>
      <c r="L239" s="21" t="inlineStr"/>
      <c r="M239" s="21" t="inlineStr"/>
      <c r="N239" s="21" t="inlineStr"/>
      <c r="O239" s="21" t="inlineStr"/>
      <c r="P239" s="21" t="inlineStr"/>
      <c r="Q239" s="21" t="inlineStr"/>
      <c r="R239" s="21" t="inlineStr"/>
      <c r="S239" s="21" t="inlineStr"/>
      <c r="T239" s="21" t="inlineStr">
        <is>
          <t>no named contact found</t>
        </is>
      </c>
      <c r="U239" s="22" t="n">
        <v>926408.5</v>
      </c>
      <c r="V239" s="23" t="inlineStr">
        <is>
          <t>B</t>
        </is>
      </c>
      <c r="W239" s="24">
        <f>IFERROR(VLOOKUP(V239,Assumptions!$A$7:$F$11,2,FALSE),0)</f>
        <v/>
      </c>
      <c r="X239" s="25">
        <f>IF(V239="A",MAX(1,IFERROR(VLOOKUP(V239,Assumptions!$A$7:$F$11,3,FALSE),3)+IFERROR(VLOOKUP(V239,Assumptions!$A$7:$F$11,4,FALSE),8)/2-MAX(0,IF(AO239="",0,YEAR(TODAY())-AO239)-IFERROR(VLOOKUP(V239,Assumptions!$A$7:$F$11,5,FALSE),1.5))),IFERROR(VLOOKUP(V239,Assumptions!$A$7:$F$11,5,FALSE),2.5)+IFERROR(VLOOKUP(V239,Assumptions!$A$7:$F$11,3,FALSE),3)+IFERROR(VLOOKUP(V239,Assumptions!$A$7:$F$11,4,FALSE),8)/2)</f>
        <v/>
      </c>
      <c r="Y239" s="22">
        <f>U239*W239/(1+Assumptions!$B$3)^X239</f>
        <v/>
      </c>
      <c r="Z239" s="26">
        <f>IF(U239=0,"",ROUND(Y239/U239*100,1))</f>
        <v/>
      </c>
      <c r="AA239" s="27">
        <f>Y239*Assumptions!$B$4</f>
        <v/>
      </c>
      <c r="AB239" s="26">
        <f>IF(U239=0,"",ROUND(AA239/U239*100,1))</f>
        <v/>
      </c>
      <c r="AC239" s="27">
        <f>Y239-AA239</f>
        <v/>
      </c>
      <c r="AD239" s="26">
        <f>IF(U239=0,"",ROUND((Y239-AA239)/U239*100,1))</f>
        <v/>
      </c>
      <c r="AE239" s="33" t="inlineStr">
        <is>
          <t>NO TOTALS — list prints none; check page</t>
        </is>
      </c>
      <c r="AF239" s="29" t="inlineStr">
        <is>
          <t>https://assistjud.com.br/wp-content/uploads/elementor/forms/65098c80a5824.pdf</t>
        </is>
      </c>
      <c r="AG239" s="28" t="inlineStr">
        <is>
          <t>p7 r1</t>
        </is>
      </c>
      <c r="AH239" s="28" t="inlineStr">
        <is>
          <t>p7: R$ 926.408,50</t>
        </is>
      </c>
      <c r="AI239" s="28" t="inlineStr">
        <is>
          <t>AJ list (art. 7 §2)</t>
        </is>
      </c>
      <c r="AJ239" s="28" t="inlineStr">
        <is>
          <t>2023-09-18</t>
        </is>
      </c>
      <c r="AK239" s="28" t="inlineStr">
        <is>
          <t>NONE FOUND</t>
        </is>
      </c>
      <c r="AL239" s="30" t="inlineStr">
        <is>
          <t>8005129-09.2023.8.05.0039</t>
        </is>
      </c>
      <c r="AM239" s="30" t="inlineStr">
        <is>
          <t>TJBA</t>
        </is>
      </c>
      <c r="AN239" s="30" t="inlineStr">
        <is>
          <t>ACTIVE</t>
        </is>
      </c>
      <c r="AO239" s="30" t="n">
        <v>2023</v>
      </c>
      <c r="AP239" s="30" t="inlineStr">
        <is>
          <t>live case, no plan document yet</t>
        </is>
      </c>
      <c r="AQ239" s="30" t="inlineStr"/>
      <c r="AR239" s="30" t="inlineStr">
        <is>
          <t>printed on the list (read twice)</t>
        </is>
      </c>
      <c r="AS239" s="30" t="inlineStr"/>
      <c r="AT239" s="30" t="inlineStr"/>
      <c r="AU239" s="30" t="inlineStr"/>
      <c r="AV239" s="30" t="inlineStr"/>
      <c r="AW239" s="31" t="inlineStr"/>
      <c r="AX239" s="30" t="inlineStr">
        <is>
          <t>MID-MARKET</t>
        </is>
      </c>
      <c r="AY239" s="30" t="inlineStr">
        <is>
          <t>09414255</t>
        </is>
      </c>
      <c r="AZ239" s="30" t="n">
        <v>1</v>
      </c>
      <c r="BA239" s="30" t="inlineStr">
        <is>
          <t>LIKELY_FINANCIAL_BY_NAME ROWS:p7r1 UNRECONCILED_SOURCE</t>
        </is>
      </c>
    </row>
    <row r="240">
      <c r="A240" s="16" t="inlineStr">
        <is>
          <t>BANCO SAFRA S A</t>
        </is>
      </c>
      <c r="B240" s="17" t="n">
        <v>3576397.17</v>
      </c>
      <c r="C240" s="18" t="inlineStr">
        <is>
          <t>FORMAPLAN FORMAS PLANEJADAS INDÚSTRIA E COMÉRCIO LTDA</t>
        </is>
      </c>
      <c r="D240" s="19" t="inlineStr">
        <is>
          <t>NEW</t>
        </is>
      </c>
      <c r="E240" s="20" t="inlineStr"/>
      <c r="F240" s="19" t="inlineStr"/>
      <c r="G240" s="20" t="inlineStr"/>
      <c r="H240" s="19" t="inlineStr"/>
      <c r="I240" s="21" t="inlineStr">
        <is>
          <t>Vanessa Biotti</t>
        </is>
      </c>
      <c r="J240" s="21" t="inlineStr">
        <is>
          <t>Gerente de Recuperação de Crédito</t>
        </is>
      </c>
      <c r="K240" s="21" t="inlineStr">
        <is>
          <t>(11) 3175-7575</t>
        </is>
      </c>
      <c r="L240" s="21" t="inlineStr"/>
      <c r="M240" s="21" t="inlineStr"/>
      <c r="N240" s="21" t="inlineStr">
        <is>
          <t>vanessa.biotti@safra.com.br</t>
        </is>
      </c>
      <c r="O240" s="21" t="inlineStr">
        <is>
          <t>rodrigo.anjos@safra.com.br</t>
        </is>
      </c>
      <c r="P240" s="21" t="inlineStr">
        <is>
          <t>Rodrigo Anjos</t>
        </is>
      </c>
      <c r="Q240" s="21" t="inlineStr">
        <is>
          <t>Advogado Sênior - Jurídico Contencioso - Recuperação de Crédito - NPL</t>
        </is>
      </c>
      <c r="R240" s="21" t="inlineStr"/>
      <c r="S240" s="21" t="inlineStr">
        <is>
          <t>rodrigo.anjos@safra.com.br</t>
        </is>
      </c>
      <c r="T240" s="21" t="inlineStr">
        <is>
          <t>email verified by Apollo</t>
        </is>
      </c>
      <c r="U240" s="22" t="n">
        <v>3576397.17</v>
      </c>
      <c r="V240" s="38" t="inlineStr">
        <is>
          <t>C</t>
        </is>
      </c>
      <c r="W240" s="24">
        <f>IFERROR(VLOOKUP(V240,Assumptions!$A$7:$F$11,2,FALSE),0)</f>
        <v/>
      </c>
      <c r="X240" s="25">
        <f>IF(V240="A",MAX(1,IFERROR(VLOOKUP(V240,Assumptions!$A$7:$F$11,3,FALSE),3)+IFERROR(VLOOKUP(V240,Assumptions!$A$7:$F$11,4,FALSE),8)/2-MAX(0,IF(AO240="",0,YEAR(TODAY())-AO240)-IFERROR(VLOOKUP(V240,Assumptions!$A$7:$F$11,5,FALSE),1.5))),IFERROR(VLOOKUP(V240,Assumptions!$A$7:$F$11,5,FALSE),2.5)+IFERROR(VLOOKUP(V240,Assumptions!$A$7:$F$11,3,FALSE),3)+IFERROR(VLOOKUP(V240,Assumptions!$A$7:$F$11,4,FALSE),8)/2)</f>
        <v/>
      </c>
      <c r="Y240" s="22">
        <f>U240*W240/(1+Assumptions!$B$3)^X240</f>
        <v/>
      </c>
      <c r="Z240" s="26">
        <f>IF(U240=0,"",ROUND(Y240/U240*100,1))</f>
        <v/>
      </c>
      <c r="AA240" s="27">
        <f>Y240*Assumptions!$B$4</f>
        <v/>
      </c>
      <c r="AB240" s="26">
        <f>IF(U240=0,"",ROUND(AA240/U240*100,1))</f>
        <v/>
      </c>
      <c r="AC240" s="27">
        <f>Y240-AA240</f>
        <v/>
      </c>
      <c r="AD240" s="26">
        <f>IF(U240=0,"",ROUND((Y240-AA240)/U240*100,1))</f>
        <v/>
      </c>
      <c r="AE240" s="34" t="inlineStr">
        <is>
          <t>PARTIAL — class III reconciled, other classes not</t>
        </is>
      </c>
      <c r="AF240" s="29" t="inlineStr">
        <is>
          <t>https://marquesadmjudicial.com.br/sgc/download.php?file=files/processo_documento/processo_documento15232121112024_1_.pdf&amp;nome=Relação de Credores</t>
        </is>
      </c>
      <c r="AG240" s="28" t="inlineStr">
        <is>
          <t>p13 r9</t>
        </is>
      </c>
      <c r="AH240" s="28" t="inlineStr">
        <is>
          <t>p13: R$ 3.576.397,17</t>
        </is>
      </c>
      <c r="AI240" s="28" t="inlineStr">
        <is>
          <t>AJ list (art. 7 §2)</t>
        </is>
      </c>
      <c r="AJ240" s="28" t="inlineStr">
        <is>
          <t>2021-01-22</t>
        </is>
      </c>
      <c r="AK240" s="28" t="inlineStr">
        <is>
          <t>NONE FOUND</t>
        </is>
      </c>
      <c r="AL240" s="30" t="inlineStr">
        <is>
          <t>0000410-68.2021.8.16.0174</t>
        </is>
      </c>
      <c r="AM240" s="30" t="inlineStr">
        <is>
          <t>TJPR</t>
        </is>
      </c>
      <c r="AN240" s="30" t="inlineStr">
        <is>
          <t>ACTIVE</t>
        </is>
      </c>
      <c r="AO240" s="30" t="n">
        <v>2021</v>
      </c>
      <c r="AP240" s="30" t="inlineStr">
        <is>
          <t>5y since filing, no plan document</t>
        </is>
      </c>
      <c r="AQ240" s="30" t="inlineStr">
        <is>
          <t>00.262.371/0001-41</t>
        </is>
      </c>
      <c r="AR240" s="30" t="inlineStr">
        <is>
          <t>printed on the list (read twice)</t>
        </is>
      </c>
      <c r="AS240" s="30" t="inlineStr">
        <is>
          <t>SAO PAULO</t>
        </is>
      </c>
      <c r="AT240" s="30" t="inlineStr">
        <is>
          <t>SP</t>
        </is>
      </c>
      <c r="AU240" s="30" t="inlineStr">
        <is>
          <t>Bancos múltiplos, com carteira comercial</t>
        </is>
      </c>
      <c r="AV240" s="30" t="inlineStr">
        <is>
          <t>DEMAIS</t>
        </is>
      </c>
      <c r="AW240" s="31" t="n">
        <v>13924903000</v>
      </c>
      <c r="AX240" s="30" t="inlineStr">
        <is>
          <t>LARGE CORP</t>
        </is>
      </c>
      <c r="AY240" s="30" t="inlineStr">
        <is>
          <t>58160789</t>
        </is>
      </c>
      <c r="AZ240" s="30" t="n">
        <v>1</v>
      </c>
      <c r="BA240" s="30" t="inlineStr">
        <is>
          <t>LIKELY_FINANCIAL_BY_NAME PARTIAL_DOC_CLASS_III_RECONCILED ROWS:p13r9</t>
        </is>
      </c>
    </row>
    <row r="241">
      <c r="A241" s="16" t="inlineStr">
        <is>
          <t>BANCO FIBRA SA</t>
        </is>
      </c>
      <c r="B241" s="17" t="n">
        <v>912282.02</v>
      </c>
      <c r="C241" s="18" t="inlineStr">
        <is>
          <t>Grupo Rech</t>
        </is>
      </c>
      <c r="D241" s="19" t="inlineStr">
        <is>
          <t>NEW</t>
        </is>
      </c>
      <c r="E241" s="20" t="inlineStr"/>
      <c r="F241" s="19" t="inlineStr"/>
      <c r="G241" s="20" t="inlineStr"/>
      <c r="H241" s="19" t="inlineStr"/>
      <c r="I241" s="21" t="inlineStr">
        <is>
          <t>Carlota Schwarz</t>
        </is>
      </c>
      <c r="J241" s="21" t="inlineStr">
        <is>
          <t>Superintendente de Reestruturação de Crédito</t>
        </is>
      </c>
      <c r="K241" s="21" t="inlineStr">
        <is>
          <t>(11) 3847-6943</t>
        </is>
      </c>
      <c r="L241" s="21" t="inlineStr"/>
      <c r="M241" s="21" t="inlineStr"/>
      <c r="N241" s="21" t="inlineStr">
        <is>
          <t>carlota.schwarz@bancofibra.com.br</t>
        </is>
      </c>
      <c r="O241" s="21" t="inlineStr">
        <is>
          <t>acardoso@bancofibra.com.br</t>
        </is>
      </c>
      <c r="P241" s="21" t="inlineStr">
        <is>
          <t>Augusto Cardoso</t>
        </is>
      </c>
      <c r="Q241" s="21" t="inlineStr">
        <is>
          <t>Gerente de Recuperação de Crédito e Cobrança</t>
        </is>
      </c>
      <c r="R241" s="21" t="inlineStr"/>
      <c r="S241" s="21" t="inlineStr">
        <is>
          <t>acardoso@bancofibra.com.br</t>
        </is>
      </c>
      <c r="T241" s="21" t="inlineStr">
        <is>
          <t>email verified by Apollo</t>
        </is>
      </c>
      <c r="U241" s="22" t="n">
        <v>912282.02</v>
      </c>
      <c r="V241" s="23" t="inlineStr">
        <is>
          <t>B</t>
        </is>
      </c>
      <c r="W241" s="24">
        <f>IFERROR(VLOOKUP(V241,Assumptions!$A$7:$F$11,2,FALSE),0)</f>
        <v/>
      </c>
      <c r="X241" s="25">
        <f>IF(V241="A",MAX(1,IFERROR(VLOOKUP(V241,Assumptions!$A$7:$F$11,3,FALSE),3)+IFERROR(VLOOKUP(V241,Assumptions!$A$7:$F$11,4,FALSE),8)/2-MAX(0,IF(AO241="",0,YEAR(TODAY())-AO241)-IFERROR(VLOOKUP(V241,Assumptions!$A$7:$F$11,5,FALSE),1.5))),IFERROR(VLOOKUP(V241,Assumptions!$A$7:$F$11,5,FALSE),2.5)+IFERROR(VLOOKUP(V241,Assumptions!$A$7:$F$11,3,FALSE),3)+IFERROR(VLOOKUP(V241,Assumptions!$A$7:$F$11,4,FALSE),8)/2)</f>
        <v/>
      </c>
      <c r="Y241" s="22">
        <f>U241*W241/(1+Assumptions!$B$3)^X241</f>
        <v/>
      </c>
      <c r="Z241" s="26">
        <f>IF(U241=0,"",ROUND(Y241/U241*100,1))</f>
        <v/>
      </c>
      <c r="AA241" s="27">
        <f>Y241*Assumptions!$B$4</f>
        <v/>
      </c>
      <c r="AB241" s="26">
        <f>IF(U241=0,"",ROUND(AA241/U241*100,1))</f>
        <v/>
      </c>
      <c r="AC241" s="27">
        <f>Y241-AA241</f>
        <v/>
      </c>
      <c r="AD241" s="26">
        <f>IF(U241=0,"",ROUND((Y241-AA241)/U241*100,1))</f>
        <v/>
      </c>
      <c r="AE241" s="36" t="inlineStr">
        <is>
          <t>CHECK — source is not a statutory creditor list</t>
        </is>
      </c>
      <c r="AF241" s="29" t="inlineStr">
        <is>
          <t>https://credibilita.com.br/wp-content/uploads/2025/09/Relacao-Credores-29.04.2026.pdf</t>
        </is>
      </c>
      <c r="AG241" s="28" t="inlineStr">
        <is>
          <t>p1 r11</t>
        </is>
      </c>
      <c r="AH241" s="28" t="inlineStr">
        <is>
          <t>p1: R$ 912.282,02</t>
        </is>
      </c>
      <c r="AI241" s="28" t="inlineStr">
        <is>
          <t>Quorum list — NOT an art. 7/51 list</t>
        </is>
      </c>
      <c r="AJ241" s="28" t="inlineStr"/>
      <c r="AK241" s="28" t="inlineStr">
        <is>
          <t>NONE FOUND</t>
        </is>
      </c>
      <c r="AL241" s="30" t="inlineStr">
        <is>
          <t>5057720-48.2025.8.24.0023</t>
        </is>
      </c>
      <c r="AM241" s="30" t="inlineStr">
        <is>
          <t>TJSC</t>
        </is>
      </c>
      <c r="AN241" s="30" t="inlineStr"/>
      <c r="AO241" s="30" t="n">
        <v>2025</v>
      </c>
      <c r="AP241" s="30" t="inlineStr">
        <is>
          <t>live case, no plan document yet</t>
        </is>
      </c>
      <c r="AQ241" s="30" t="inlineStr"/>
      <c r="AR241" s="30" t="inlineStr">
        <is>
          <t>portal page title / URL — not printed on the list</t>
        </is>
      </c>
      <c r="AS241" s="30" t="inlineStr">
        <is>
          <t>SAO PAULO</t>
        </is>
      </c>
      <c r="AT241" s="30" t="inlineStr">
        <is>
          <t>SP</t>
        </is>
      </c>
      <c r="AU241" s="30" t="inlineStr">
        <is>
          <t>Bancos múltiplos, com carteira comercial</t>
        </is>
      </c>
      <c r="AV241" s="30" t="inlineStr">
        <is>
          <t>DEMAIS</t>
        </is>
      </c>
      <c r="AW241" s="31" t="n">
        <v>1207776000</v>
      </c>
      <c r="AX241" s="30" t="inlineStr">
        <is>
          <t>LARGE CORP</t>
        </is>
      </c>
      <c r="AY241" s="30" t="inlineStr">
        <is>
          <t>58616418</t>
        </is>
      </c>
      <c r="AZ241" s="30" t="n">
        <v>1</v>
      </c>
      <c r="BA241" s="30" t="inlineStr">
        <is>
          <t>ROWS:p1r11 UNRECONCILED_SOURCE VALUE_COL:Valor_Após_Analise CASE_NUMBER_CORRECTED</t>
        </is>
      </c>
    </row>
    <row r="242">
      <c r="A242" s="16" t="inlineStr">
        <is>
          <t>COOPERATIVA DE CRÉD ITO UNICRED EVOLUÇÃO LTDA</t>
        </is>
      </c>
      <c r="B242" s="17" t="n">
        <v>890473.2</v>
      </c>
      <c r="C242" s="18" t="inlineStr">
        <is>
          <t>GRUPO DIAGSON</t>
        </is>
      </c>
      <c r="D242" s="19" t="inlineStr">
        <is>
          <t>NEW</t>
        </is>
      </c>
      <c r="E242" s="20" t="inlineStr"/>
      <c r="F242" s="19" t="inlineStr"/>
      <c r="G242" s="20" t="inlineStr"/>
      <c r="H242" s="19" t="inlineStr"/>
      <c r="I242" s="21" t="inlineStr">
        <is>
          <t>Wender Marra</t>
        </is>
      </c>
      <c r="J242" s="21" t="inlineStr">
        <is>
          <t>Coordenador de Recuperação de Crédito</t>
        </is>
      </c>
      <c r="K242" s="21" t="inlineStr"/>
      <c r="L242" s="21" t="inlineStr"/>
      <c r="M242" s="21" t="inlineStr"/>
      <c r="N242" s="21" t="inlineStr">
        <is>
          <t>wender.marra@unicred.com.br</t>
        </is>
      </c>
      <c r="O242" s="21" t="inlineStr"/>
      <c r="P242" s="21" t="inlineStr">
        <is>
          <t>Jardel Lacerda</t>
        </is>
      </c>
      <c r="Q242" s="21" t="inlineStr">
        <is>
          <t>Legal Manager</t>
        </is>
      </c>
      <c r="R242" s="21" t="inlineStr"/>
      <c r="S242" s="21" t="inlineStr"/>
      <c r="T242" s="21" t="inlineStr">
        <is>
          <t>email verified by Apollo</t>
        </is>
      </c>
      <c r="U242" s="22" t="n">
        <v>890473.2</v>
      </c>
      <c r="V242" s="23" t="inlineStr">
        <is>
          <t>B</t>
        </is>
      </c>
      <c r="W242" s="24">
        <f>IFERROR(VLOOKUP(V242,Assumptions!$A$7:$F$11,2,FALSE),0)</f>
        <v/>
      </c>
      <c r="X242" s="25">
        <f>IF(V242="A",MAX(1,IFERROR(VLOOKUP(V242,Assumptions!$A$7:$F$11,3,FALSE),3)+IFERROR(VLOOKUP(V242,Assumptions!$A$7:$F$11,4,FALSE),8)/2-MAX(0,IF(AO242="",0,YEAR(TODAY())-AO242)-IFERROR(VLOOKUP(V242,Assumptions!$A$7:$F$11,5,FALSE),1.5))),IFERROR(VLOOKUP(V242,Assumptions!$A$7:$F$11,5,FALSE),2.5)+IFERROR(VLOOKUP(V242,Assumptions!$A$7:$F$11,3,FALSE),3)+IFERROR(VLOOKUP(V242,Assumptions!$A$7:$F$11,4,FALSE),8)/2)</f>
        <v/>
      </c>
      <c r="Y242" s="22">
        <f>U242*W242/(1+Assumptions!$B$3)^X242</f>
        <v/>
      </c>
      <c r="Z242" s="26">
        <f>IF(U242=0,"",ROUND(Y242/U242*100,1))</f>
        <v/>
      </c>
      <c r="AA242" s="27">
        <f>Y242*Assumptions!$B$4</f>
        <v/>
      </c>
      <c r="AB242" s="26">
        <f>IF(U242=0,"",ROUND(AA242/U242*100,1))</f>
        <v/>
      </c>
      <c r="AC242" s="27">
        <f>Y242-AA242</f>
        <v/>
      </c>
      <c r="AD242" s="26">
        <f>IF(U242=0,"",ROUND((Y242-AA242)/U242*100,1))</f>
        <v/>
      </c>
      <c r="AE242" s="34" t="inlineStr">
        <is>
          <t>PARTIAL — class III reconciled, other classes not</t>
        </is>
      </c>
      <c r="AF242" s="29" t="inlineStr">
        <is>
          <t>https://lrflideres.com.br/wp-content/plugins/download-attachments/includes/download.php?id=7418</t>
        </is>
      </c>
      <c r="AG242" s="28" t="inlineStr">
        <is>
          <t>p2 r50</t>
        </is>
      </c>
      <c r="AH242" s="28" t="inlineStr">
        <is>
          <t>p2: R$ 890.473,20</t>
        </is>
      </c>
      <c r="AI242" s="28" t="inlineStr">
        <is>
          <t>Debtor list (art. 51)</t>
        </is>
      </c>
      <c r="AJ242" s="28" t="inlineStr">
        <is>
          <t>2026-07-28</t>
        </is>
      </c>
      <c r="AK242" s="28" t="inlineStr">
        <is>
          <t>NONE FOUND</t>
        </is>
      </c>
      <c r="AL242" s="30" t="inlineStr">
        <is>
          <t>0822279-56.2026.8.15.2001</t>
        </is>
      </c>
      <c r="AM242" s="30" t="inlineStr">
        <is>
          <t>TJPB</t>
        </is>
      </c>
      <c r="AN242" s="30" t="inlineStr">
        <is>
          <t>ACTIVE</t>
        </is>
      </c>
      <c r="AO242" s="30" t="n">
        <v>2026</v>
      </c>
      <c r="AP242" s="30" t="inlineStr">
        <is>
          <t>live case, no plan document yet</t>
        </is>
      </c>
      <c r="AQ242" s="30" t="inlineStr">
        <is>
          <t>00.149.703/0001-86</t>
        </is>
      </c>
      <c r="AR242" s="30" t="inlineStr">
        <is>
          <t>printed on the list (read twice)</t>
        </is>
      </c>
      <c r="AS242" s="30" t="inlineStr"/>
      <c r="AT242" s="30" t="inlineStr"/>
      <c r="AU242" s="30" t="inlineStr"/>
      <c r="AV242" s="30" t="inlineStr"/>
      <c r="AW242" s="31" t="inlineStr"/>
      <c r="AX242" s="30" t="inlineStr">
        <is>
          <t>MID-MARKET</t>
        </is>
      </c>
      <c r="AY242" s="30" t="inlineStr">
        <is>
          <t>01727929</t>
        </is>
      </c>
      <c r="AZ242" s="30" t="n">
        <v>1</v>
      </c>
      <c r="BA242" s="30" t="inlineStr">
        <is>
          <t>LIKELY_FINANCIAL_BY_NAME PARTIAL_DOC_CLASS_III_RECONCILED ROWS:p2r50</t>
        </is>
      </c>
    </row>
    <row r="243">
      <c r="A243" s="16" t="inlineStr">
        <is>
          <t>VP FOMENTO COMERCIAL LTDA</t>
        </is>
      </c>
      <c r="B243" s="17" t="n">
        <v>886711.5699999999</v>
      </c>
      <c r="C243" s="18" t="inlineStr">
        <is>
          <t>GRUPO DIVINA</t>
        </is>
      </c>
      <c r="D243" s="19" t="inlineStr">
        <is>
          <t>NEW</t>
        </is>
      </c>
      <c r="E243" s="20" t="inlineStr"/>
      <c r="F243" s="19" t="inlineStr"/>
      <c r="G243" s="20" t="inlineStr"/>
      <c r="H243" s="19" t="inlineStr"/>
      <c r="I243" s="21" t="inlineStr"/>
      <c r="J243" s="21" t="inlineStr"/>
      <c r="K243" s="21" t="inlineStr"/>
      <c r="L243" s="21" t="inlineStr"/>
      <c r="M243" s="21" t="inlineStr"/>
      <c r="N243" s="21" t="inlineStr"/>
      <c r="O243" s="21" t="inlineStr"/>
      <c r="P243" s="21" t="inlineStr"/>
      <c r="Q243" s="21" t="inlineStr"/>
      <c r="R243" s="21" t="inlineStr"/>
      <c r="S243" s="21" t="inlineStr"/>
      <c r="T243" s="21" t="inlineStr">
        <is>
          <t>no named contact found</t>
        </is>
      </c>
      <c r="U243" s="22" t="n">
        <v>886711.5699999999</v>
      </c>
      <c r="V243" s="23" t="inlineStr">
        <is>
          <t>B</t>
        </is>
      </c>
      <c r="W243" s="24">
        <f>IFERROR(VLOOKUP(V243,Assumptions!$A$7:$F$11,2,FALSE),0)</f>
        <v/>
      </c>
      <c r="X243" s="25">
        <f>IF(V243="A",MAX(1,IFERROR(VLOOKUP(V243,Assumptions!$A$7:$F$11,3,FALSE),3)+IFERROR(VLOOKUP(V243,Assumptions!$A$7:$F$11,4,FALSE),8)/2-MAX(0,IF(AO243="",0,YEAR(TODAY())-AO243)-IFERROR(VLOOKUP(V243,Assumptions!$A$7:$F$11,5,FALSE),1.5))),IFERROR(VLOOKUP(V243,Assumptions!$A$7:$F$11,5,FALSE),2.5)+IFERROR(VLOOKUP(V243,Assumptions!$A$7:$F$11,3,FALSE),3)+IFERROR(VLOOKUP(V243,Assumptions!$A$7:$F$11,4,FALSE),8)/2)</f>
        <v/>
      </c>
      <c r="Y243" s="22">
        <f>U243*W243/(1+Assumptions!$B$3)^X243</f>
        <v/>
      </c>
      <c r="Z243" s="26">
        <f>IF(U243=0,"",ROUND(Y243/U243*100,1))</f>
        <v/>
      </c>
      <c r="AA243" s="27">
        <f>Y243*Assumptions!$B$4</f>
        <v/>
      </c>
      <c r="AB243" s="26">
        <f>IF(U243=0,"",ROUND(AA243/U243*100,1))</f>
        <v/>
      </c>
      <c r="AC243" s="27">
        <f>Y243-AA243</f>
        <v/>
      </c>
      <c r="AD243" s="26">
        <f>IF(U243=0,"",ROUND((Y243-AA243)/U243*100,1))</f>
        <v/>
      </c>
      <c r="AE243" s="34" t="inlineStr">
        <is>
          <t>PARTIAL — class III reconciled, other classes not</t>
        </is>
      </c>
      <c r="AF243" s="29" t="inlineStr">
        <is>
          <t>https://lrflideres.com.br/wp-content/plugins/download-attachments/includes/download.php?id=6252</t>
        </is>
      </c>
      <c r="AG243" s="28" t="inlineStr">
        <is>
          <t>p3 r8</t>
        </is>
      </c>
      <c r="AH243" s="28" t="inlineStr">
        <is>
          <t>p3: R$ 886.711,57</t>
        </is>
      </c>
      <c r="AI243" s="28" t="inlineStr">
        <is>
          <t>AJ list (art. 7 §2)</t>
        </is>
      </c>
      <c r="AJ243" s="28" t="inlineStr">
        <is>
          <t>2024-11-27</t>
        </is>
      </c>
      <c r="AK243" s="28" t="inlineStr">
        <is>
          <t>NONE FOUND</t>
        </is>
      </c>
      <c r="AL243" s="30" t="inlineStr">
        <is>
          <t>0000721-61.2024.8.17.2620</t>
        </is>
      </c>
      <c r="AM243" s="30" t="inlineStr">
        <is>
          <t>TJPE</t>
        </is>
      </c>
      <c r="AN243" s="30" t="inlineStr">
        <is>
          <t>ACTIVE</t>
        </is>
      </c>
      <c r="AO243" s="30" t="n">
        <v>2024</v>
      </c>
      <c r="AP243" s="30" t="inlineStr">
        <is>
          <t>live case, no plan document yet</t>
        </is>
      </c>
      <c r="AQ243" s="30" t="inlineStr">
        <is>
          <t>08.785.522/0001-58</t>
        </is>
      </c>
      <c r="AR243" s="30" t="inlineStr">
        <is>
          <t>printed on the list (read twice)</t>
        </is>
      </c>
      <c r="AS243" s="30" t="inlineStr"/>
      <c r="AT243" s="30" t="inlineStr"/>
      <c r="AU243" s="30" t="inlineStr"/>
      <c r="AV243" s="30" t="inlineStr"/>
      <c r="AW243" s="31" t="inlineStr"/>
      <c r="AX243" s="30" t="inlineStr">
        <is>
          <t>MID-MARKET</t>
        </is>
      </c>
      <c r="AY243" s="30" t="inlineStr">
        <is>
          <t>34126828</t>
        </is>
      </c>
      <c r="AZ243" s="30" t="n">
        <v>1</v>
      </c>
      <c r="BA243" s="30" t="inlineStr">
        <is>
          <t>LIKELY_FINANCIAL_BY_NAME PARTIAL_DOC_CLASS_III_RECONCILED ROWS:p3r8</t>
        </is>
      </c>
    </row>
    <row r="244">
      <c r="A244" s="16" t="inlineStr">
        <is>
          <t>CONFIANÇA FUNDO DE INVESTIMENTO EM DIREITOS CREDITÓRI</t>
        </is>
      </c>
      <c r="B244" s="17" t="n">
        <v>858338.78</v>
      </c>
      <c r="C244" s="18" t="inlineStr">
        <is>
          <t>GRUPO DIVINA</t>
        </is>
      </c>
      <c r="D244" s="19" t="inlineStr">
        <is>
          <t>NEW</t>
        </is>
      </c>
      <c r="E244" s="20" t="inlineStr"/>
      <c r="F244" s="19" t="inlineStr"/>
      <c r="G244" s="20" t="inlineStr"/>
      <c r="H244" s="19" t="inlineStr"/>
      <c r="I244" s="21" t="inlineStr">
        <is>
          <t>Ana Costa</t>
        </is>
      </c>
      <c r="J244" s="21" t="inlineStr">
        <is>
          <t>Coordenadora de Recuperação de Crédito</t>
        </is>
      </c>
      <c r="K244" s="21" t="inlineStr"/>
      <c r="L244" s="21" t="inlineStr"/>
      <c r="M244" s="21" t="inlineStr"/>
      <c r="N244" s="21" t="inlineStr">
        <is>
          <t>anacosta@confiancafidc.com.br</t>
        </is>
      </c>
      <c r="O244" s="21" t="inlineStr">
        <is>
          <t>carloseduardo@confiancafidc.com.br</t>
        </is>
      </c>
      <c r="P244" s="21" t="inlineStr">
        <is>
          <t>Carlos Eduardo</t>
        </is>
      </c>
      <c r="Q244" s="21" t="inlineStr">
        <is>
          <t>Supervisor de Crédito</t>
        </is>
      </c>
      <c r="R244" s="21" t="inlineStr"/>
      <c r="S244" s="21" t="inlineStr">
        <is>
          <t>carloseduardo@confiancafidc.com.br</t>
        </is>
      </c>
      <c r="T244" s="21" t="inlineStr">
        <is>
          <t>email verified by Apollo</t>
        </is>
      </c>
      <c r="U244" s="22" t="n">
        <v>858338.78</v>
      </c>
      <c r="V244" s="23" t="inlineStr">
        <is>
          <t>B</t>
        </is>
      </c>
      <c r="W244" s="24">
        <f>IFERROR(VLOOKUP(V244,Assumptions!$A$7:$F$11,2,FALSE),0)</f>
        <v/>
      </c>
      <c r="X244" s="25">
        <f>IF(V244="A",MAX(1,IFERROR(VLOOKUP(V244,Assumptions!$A$7:$F$11,3,FALSE),3)+IFERROR(VLOOKUP(V244,Assumptions!$A$7:$F$11,4,FALSE),8)/2-MAX(0,IF(AO244="",0,YEAR(TODAY())-AO244)-IFERROR(VLOOKUP(V244,Assumptions!$A$7:$F$11,5,FALSE),1.5))),IFERROR(VLOOKUP(V244,Assumptions!$A$7:$F$11,5,FALSE),2.5)+IFERROR(VLOOKUP(V244,Assumptions!$A$7:$F$11,3,FALSE),3)+IFERROR(VLOOKUP(V244,Assumptions!$A$7:$F$11,4,FALSE),8)/2)</f>
        <v/>
      </c>
      <c r="Y244" s="22">
        <f>U244*W244/(1+Assumptions!$B$3)^X244</f>
        <v/>
      </c>
      <c r="Z244" s="26">
        <f>IF(U244=0,"",ROUND(Y244/U244*100,1))</f>
        <v/>
      </c>
      <c r="AA244" s="27">
        <f>Y244*Assumptions!$B$4</f>
        <v/>
      </c>
      <c r="AB244" s="26">
        <f>IF(U244=0,"",ROUND(AA244/U244*100,1))</f>
        <v/>
      </c>
      <c r="AC244" s="27">
        <f>Y244-AA244</f>
        <v/>
      </c>
      <c r="AD244" s="26">
        <f>IF(U244=0,"",ROUND((Y244-AA244)/U244*100,1))</f>
        <v/>
      </c>
      <c r="AE244" s="34" t="inlineStr">
        <is>
          <t>PARTIAL — class III reconciled, other classes not</t>
        </is>
      </c>
      <c r="AF244" s="29" t="inlineStr">
        <is>
          <t>https://lrflideres.com.br/wp-content/plugins/download-attachments/includes/download.php?id=6252</t>
        </is>
      </c>
      <c r="AG244" s="28" t="inlineStr">
        <is>
          <t>p2 r29</t>
        </is>
      </c>
      <c r="AH244" s="28" t="inlineStr">
        <is>
          <t>p2: R$ 858.338,78</t>
        </is>
      </c>
      <c r="AI244" s="28" t="inlineStr">
        <is>
          <t>AJ list (art. 7 §2)</t>
        </is>
      </c>
      <c r="AJ244" s="28" t="inlineStr">
        <is>
          <t>2024-11-27</t>
        </is>
      </c>
      <c r="AK244" s="28" t="inlineStr">
        <is>
          <t>NONE FOUND</t>
        </is>
      </c>
      <c r="AL244" s="30" t="inlineStr">
        <is>
          <t>0000721-61.2024.8.17.2620</t>
        </is>
      </c>
      <c r="AM244" s="30" t="inlineStr">
        <is>
          <t>TJPE</t>
        </is>
      </c>
      <c r="AN244" s="30" t="inlineStr">
        <is>
          <t>ACTIVE</t>
        </is>
      </c>
      <c r="AO244" s="30" t="n">
        <v>2024</v>
      </c>
      <c r="AP244" s="30" t="inlineStr">
        <is>
          <t>live case, no plan document yet</t>
        </is>
      </c>
      <c r="AQ244" s="30" t="inlineStr">
        <is>
          <t>08.785.522/0001-58</t>
        </is>
      </c>
      <c r="AR244" s="30" t="inlineStr">
        <is>
          <t>printed on the list (read twice)</t>
        </is>
      </c>
      <c r="AS244" s="30" t="inlineStr"/>
      <c r="AT244" s="30" t="inlineStr"/>
      <c r="AU244" s="30" t="inlineStr"/>
      <c r="AV244" s="30" t="inlineStr"/>
      <c r="AW244" s="31" t="inlineStr"/>
      <c r="AX244" s="30" t="inlineStr">
        <is>
          <t>MID-MARKET</t>
        </is>
      </c>
      <c r="AY244" s="30" t="inlineStr">
        <is>
          <t>31658884</t>
        </is>
      </c>
      <c r="AZ244" s="30" t="n">
        <v>1</v>
      </c>
      <c r="BA244" s="30" t="inlineStr">
        <is>
          <t>LIKELY_FINANCIAL_BY_NAME PARTIAL_DOC_CLASS_III_RECONCILED ROWS:p2r29</t>
        </is>
      </c>
    </row>
    <row r="245">
      <c r="A245" s="16" t="inlineStr">
        <is>
          <t>BANCO BRADESCO S.A.</t>
        </is>
      </c>
      <c r="B245" s="17" t="n">
        <v>846434.97</v>
      </c>
      <c r="C245" s="18" t="inlineStr">
        <is>
          <t>CARAVAGGIO CONSTRUTORA LTDA</t>
        </is>
      </c>
      <c r="D245" s="19" t="inlineStr">
        <is>
          <t>NEW</t>
        </is>
      </c>
      <c r="E245" s="20" t="inlineStr"/>
      <c r="F245" s="19" t="inlineStr"/>
      <c r="G245" s="20" t="inlineStr"/>
      <c r="H245" s="19" t="inlineStr"/>
      <c r="I245" s="21" t="inlineStr">
        <is>
          <t>Marcela Martins</t>
        </is>
      </c>
      <c r="J245" s="21" t="inlineStr">
        <is>
          <t>Superintendente de Recuperação de Crédito - Canais e Operações</t>
        </is>
      </c>
      <c r="K245" s="21" t="inlineStr">
        <is>
          <t>(11) 3684-5122</t>
        </is>
      </c>
      <c r="L245" s="21" t="inlineStr"/>
      <c r="M245" s="21" t="inlineStr"/>
      <c r="N245" s="21" t="inlineStr"/>
      <c r="O245" s="21" t="inlineStr">
        <is>
          <t>sl@bradesco.com.br</t>
        </is>
      </c>
      <c r="P245" s="21" t="inlineStr">
        <is>
          <t>Luis S</t>
        </is>
      </c>
      <c r="Q245" s="21" t="inlineStr">
        <is>
          <t>DRC - Departamento de Recuperação de Crédito - Gerente de Reestruturação de Crédito</t>
        </is>
      </c>
      <c r="R245" s="21" t="inlineStr"/>
      <c r="S245" s="21" t="inlineStr">
        <is>
          <t>sl@bradesco.com.br</t>
        </is>
      </c>
      <c r="T245" s="21" t="inlineStr">
        <is>
          <t>no work email found in Apollo</t>
        </is>
      </c>
      <c r="U245" s="22" t="n">
        <v>846434.97</v>
      </c>
      <c r="V245" s="23" t="inlineStr">
        <is>
          <t>B</t>
        </is>
      </c>
      <c r="W245" s="24">
        <f>IFERROR(VLOOKUP(V245,Assumptions!$A$7:$F$11,2,FALSE),0)</f>
        <v/>
      </c>
      <c r="X245" s="25">
        <f>IF(V245="A",MAX(1,IFERROR(VLOOKUP(V245,Assumptions!$A$7:$F$11,3,FALSE),3)+IFERROR(VLOOKUP(V245,Assumptions!$A$7:$F$11,4,FALSE),8)/2-MAX(0,IF(AO245="",0,YEAR(TODAY())-AO245)-IFERROR(VLOOKUP(V245,Assumptions!$A$7:$F$11,5,FALSE),1.5))),IFERROR(VLOOKUP(V245,Assumptions!$A$7:$F$11,5,FALSE),2.5)+IFERROR(VLOOKUP(V245,Assumptions!$A$7:$F$11,3,FALSE),3)+IFERROR(VLOOKUP(V245,Assumptions!$A$7:$F$11,4,FALSE),8)/2)</f>
        <v/>
      </c>
      <c r="Y245" s="22">
        <f>U245*W245/(1+Assumptions!$B$3)^X245</f>
        <v/>
      </c>
      <c r="Z245" s="26">
        <f>IF(U245=0,"",ROUND(Y245/U245*100,1))</f>
        <v/>
      </c>
      <c r="AA245" s="27">
        <f>Y245*Assumptions!$B$4</f>
        <v/>
      </c>
      <c r="AB245" s="26">
        <f>IF(U245=0,"",ROUND(AA245/U245*100,1))</f>
        <v/>
      </c>
      <c r="AC245" s="27">
        <f>Y245-AA245</f>
        <v/>
      </c>
      <c r="AD245" s="26">
        <f>IF(U245=0,"",ROUND((Y245-AA245)/U245*100,1))</f>
        <v/>
      </c>
      <c r="AE245" s="33" t="inlineStr">
        <is>
          <t>NO TOTALS — list prints none; check page</t>
        </is>
      </c>
      <c r="AF245" s="29" t="inlineStr">
        <is>
          <t>https://marquesadmjudicial.com.br/sgc/download.php?file=files/processo_documento/processo_documento16562707032024_1_.pdf&amp;nome=2º Edital-Relação de Credores do art. 7, §2 da LREF e do Plano de Recuperação Judicial</t>
        </is>
      </c>
      <c r="AG245" s="28" t="inlineStr">
        <is>
          <t>p1 r40</t>
        </is>
      </c>
      <c r="AH245" s="28" t="inlineStr">
        <is>
          <t>p1: R$ 846.434,97</t>
        </is>
      </c>
      <c r="AI245" s="28" t="inlineStr">
        <is>
          <t>AJ list (art. 7 §2)</t>
        </is>
      </c>
      <c r="AJ245" s="28" t="inlineStr">
        <is>
          <t>2022-11-17</t>
        </is>
      </c>
      <c r="AK245" s="28" t="inlineStr">
        <is>
          <t>NONE FOUND</t>
        </is>
      </c>
      <c r="AL245" s="30" t="inlineStr">
        <is>
          <t>0037411-27.2022.8.16.0021</t>
        </is>
      </c>
      <c r="AM245" s="30" t="inlineStr">
        <is>
          <t>TJPR</t>
        </is>
      </c>
      <c r="AN245" s="30" t="inlineStr">
        <is>
          <t>ACTIVE</t>
        </is>
      </c>
      <c r="AO245" s="30" t="n">
        <v>2022</v>
      </c>
      <c r="AP245" s="30" t="inlineStr">
        <is>
          <t>live case, no plan document yet</t>
        </is>
      </c>
      <c r="AQ245" s="30" t="inlineStr">
        <is>
          <t>04.929.130/0001-64</t>
        </is>
      </c>
      <c r="AR245" s="30" t="inlineStr">
        <is>
          <t>printed on the list (read twice)</t>
        </is>
      </c>
      <c r="AS245" s="30" t="inlineStr">
        <is>
          <t>OSASCO</t>
        </is>
      </c>
      <c r="AT245" s="30" t="inlineStr">
        <is>
          <t>SP</t>
        </is>
      </c>
      <c r="AU245" s="30" t="inlineStr">
        <is>
          <t>Bancos múltiplos, com carteira comercial</t>
        </is>
      </c>
      <c r="AV245" s="30" t="inlineStr">
        <is>
          <t>DEMAIS</t>
        </is>
      </c>
      <c r="AW245" s="31" t="n">
        <v>93770000000</v>
      </c>
      <c r="AX245" s="30" t="inlineStr">
        <is>
          <t>LARGE CORP</t>
        </is>
      </c>
      <c r="AY245" s="30" t="inlineStr">
        <is>
          <t>60746948</t>
        </is>
      </c>
      <c r="AZ245" s="30" t="n">
        <v>1</v>
      </c>
      <c r="BA245" s="30" t="inlineStr">
        <is>
          <t>LIKELY_FINANCIAL_BY_NAME ROWS:p1r40 UNRECONCILED_SOURCE</t>
        </is>
      </c>
    </row>
    <row r="246">
      <c r="A246" s="16" t="inlineStr">
        <is>
          <t>BANCO BRADESCO S.A.</t>
        </is>
      </c>
      <c r="B246" s="17" t="n">
        <v>840000</v>
      </c>
      <c r="C246" s="18" t="inlineStr">
        <is>
          <t>VENEZA SERVIÇOS ADMINISTRATIVOS LTDA.</t>
        </is>
      </c>
      <c r="D246" s="19" t="inlineStr">
        <is>
          <t>NEW</t>
        </is>
      </c>
      <c r="E246" s="20" t="inlineStr"/>
      <c r="F246" s="19" t="inlineStr"/>
      <c r="G246" s="20" t="inlineStr"/>
      <c r="H246" s="19" t="inlineStr"/>
      <c r="I246" s="21" t="inlineStr">
        <is>
          <t>Marcela Martins</t>
        </is>
      </c>
      <c r="J246" s="21" t="inlineStr">
        <is>
          <t>Superintendente de Recuperação de Crédito - Canais e Operações</t>
        </is>
      </c>
      <c r="K246" s="21" t="inlineStr">
        <is>
          <t>(11) 3684-5122</t>
        </is>
      </c>
      <c r="L246" s="21" t="inlineStr"/>
      <c r="M246" s="21" t="inlineStr"/>
      <c r="N246" s="21" t="inlineStr"/>
      <c r="O246" s="21" t="inlineStr">
        <is>
          <t>sl@bradesco.com.br</t>
        </is>
      </c>
      <c r="P246" s="21" t="inlineStr">
        <is>
          <t>Luis S</t>
        </is>
      </c>
      <c r="Q246" s="21" t="inlineStr">
        <is>
          <t>DRC - Departamento de Recuperação de Crédito - Gerente de Reestruturação de Crédito</t>
        </is>
      </c>
      <c r="R246" s="21" t="inlineStr"/>
      <c r="S246" s="21" t="inlineStr">
        <is>
          <t>sl@bradesco.com.br</t>
        </is>
      </c>
      <c r="T246" s="21" t="inlineStr">
        <is>
          <t>no work email found in Apollo</t>
        </is>
      </c>
      <c r="U246" s="22" t="n">
        <v>840000</v>
      </c>
      <c r="V246" s="23" t="inlineStr">
        <is>
          <t>B</t>
        </is>
      </c>
      <c r="W246" s="24">
        <f>IFERROR(VLOOKUP(V246,Assumptions!$A$7:$F$11,2,FALSE),0)</f>
        <v/>
      </c>
      <c r="X246" s="25">
        <f>IF(V246="A",MAX(1,IFERROR(VLOOKUP(V246,Assumptions!$A$7:$F$11,3,FALSE),3)+IFERROR(VLOOKUP(V246,Assumptions!$A$7:$F$11,4,FALSE),8)/2-MAX(0,IF(AO246="",0,YEAR(TODAY())-AO246)-IFERROR(VLOOKUP(V246,Assumptions!$A$7:$F$11,5,FALSE),1.5))),IFERROR(VLOOKUP(V246,Assumptions!$A$7:$F$11,5,FALSE),2.5)+IFERROR(VLOOKUP(V246,Assumptions!$A$7:$F$11,3,FALSE),3)+IFERROR(VLOOKUP(V246,Assumptions!$A$7:$F$11,4,FALSE),8)/2)</f>
        <v/>
      </c>
      <c r="Y246" s="22">
        <f>U246*W246/(1+Assumptions!$B$3)^X246</f>
        <v/>
      </c>
      <c r="Z246" s="26">
        <f>IF(U246=0,"",ROUND(Y246/U246*100,1))</f>
        <v/>
      </c>
      <c r="AA246" s="27">
        <f>Y246*Assumptions!$B$4</f>
        <v/>
      </c>
      <c r="AB246" s="26">
        <f>IF(U246=0,"",ROUND(AA246/U246*100,1))</f>
        <v/>
      </c>
      <c r="AC246" s="27">
        <f>Y246-AA246</f>
        <v/>
      </c>
      <c r="AD246" s="26">
        <f>IF(U246=0,"",ROUND((Y246-AA246)/U246*100,1))</f>
        <v/>
      </c>
      <c r="AE246" s="28" t="inlineStr">
        <is>
          <t>OK — totals reconciled</t>
        </is>
      </c>
      <c r="AF246" s="29" t="inlineStr">
        <is>
          <t>https://bugarimecoelho.com.br/ws/media-library/b6b7ea42b9fa2afe30bc728fe00cd5c6/07---edital-do-processamento-da-recuperacao-judicial.pdf</t>
        </is>
      </c>
      <c r="AG246" s="28" t="inlineStr">
        <is>
          <t>p16 r4</t>
        </is>
      </c>
      <c r="AH246" s="28" t="inlineStr">
        <is>
          <t>p16: R$ 840.000,00</t>
        </is>
      </c>
      <c r="AI246" s="28" t="inlineStr">
        <is>
          <t>Unclassified list</t>
        </is>
      </c>
      <c r="AJ246" s="28" t="inlineStr">
        <is>
          <t>2026-07-09</t>
        </is>
      </c>
      <c r="AK246" s="28" t="inlineStr">
        <is>
          <t>NONE FOUND</t>
        </is>
      </c>
      <c r="AL246" s="30" t="inlineStr">
        <is>
          <t>3000117-40.2025.8.06.0512</t>
        </is>
      </c>
      <c r="AM246" s="30" t="inlineStr">
        <is>
          <t>TJCE</t>
        </is>
      </c>
      <c r="AN246" s="30" t="inlineStr">
        <is>
          <t>ACTIVE</t>
        </is>
      </c>
      <c r="AO246" s="30" t="n">
        <v>2025</v>
      </c>
      <c r="AP246" s="30" t="inlineStr">
        <is>
          <t>live case, no plan document yet</t>
        </is>
      </c>
      <c r="AQ246" s="30" t="inlineStr">
        <is>
          <t>11.399.787/0001-22</t>
        </is>
      </c>
      <c r="AR246" s="30" t="inlineStr">
        <is>
          <t>printed on the list (read twice)</t>
        </is>
      </c>
      <c r="AS246" s="30" t="inlineStr">
        <is>
          <t>OSASCO</t>
        </is>
      </c>
      <c r="AT246" s="30" t="inlineStr">
        <is>
          <t>SP</t>
        </is>
      </c>
      <c r="AU246" s="30" t="inlineStr">
        <is>
          <t>Bancos múltiplos, com carteira comercial</t>
        </is>
      </c>
      <c r="AV246" s="30" t="inlineStr">
        <is>
          <t>DEMAIS</t>
        </is>
      </c>
      <c r="AW246" s="31" t="n">
        <v>93770000000</v>
      </c>
      <c r="AX246" s="30" t="inlineStr">
        <is>
          <t>LARGE CORP</t>
        </is>
      </c>
      <c r="AY246" s="30" t="inlineStr">
        <is>
          <t>60746948</t>
        </is>
      </c>
      <c r="AZ246" s="30" t="n">
        <v>1</v>
      </c>
      <c r="BA246" s="30" t="inlineStr">
        <is>
          <t>LIKELY_FINANCIAL_BY_NAME ROWS:p16r4</t>
        </is>
      </c>
    </row>
    <row r="247">
      <c r="A247" s="16" t="inlineStr">
        <is>
          <t>BANCO SANTANDER (BRASIL) S.A.</t>
        </is>
      </c>
      <c r="B247" s="17" t="n">
        <v>832680.36</v>
      </c>
      <c r="C247" s="18" t="inlineStr">
        <is>
          <t>VENEZA SERVIÇOS ADMINISTRATIVOS LTDA.</t>
        </is>
      </c>
      <c r="D247" s="19" t="inlineStr">
        <is>
          <t>NEW</t>
        </is>
      </c>
      <c r="E247" s="20" t="inlineStr"/>
      <c r="F247" s="19" t="inlineStr"/>
      <c r="G247" s="20" t="inlineStr"/>
      <c r="H247" s="19" t="inlineStr"/>
      <c r="I247" s="21" t="inlineStr">
        <is>
          <t>Igor Puertas</t>
        </is>
      </c>
      <c r="J247" s="21" t="inlineStr">
        <is>
          <t>Distressed Assets | NPL</t>
        </is>
      </c>
      <c r="K247" s="21" t="inlineStr">
        <is>
          <t>(11) 4004-3535</t>
        </is>
      </c>
      <c r="L247" s="21" t="inlineStr"/>
      <c r="M247" s="21" t="inlineStr"/>
      <c r="N247" s="21" t="inlineStr">
        <is>
          <t>igor.puertas@santander.com.br</t>
        </is>
      </c>
      <c r="O247" s="21" t="inlineStr">
        <is>
          <t>antonio.pequeno.junior@santander.com.br</t>
        </is>
      </c>
      <c r="P247" s="21" t="inlineStr">
        <is>
          <t>Antonio Junior</t>
        </is>
      </c>
      <c r="Q247" s="21" t="inlineStr">
        <is>
          <t>Superintendente Recuperação de Crédito</t>
        </is>
      </c>
      <c r="R247" s="21" t="inlineStr"/>
      <c r="S247" s="21" t="inlineStr">
        <is>
          <t>antonio.pequeno.junior@santander.com.br</t>
        </is>
      </c>
      <c r="T247" s="21" t="inlineStr">
        <is>
          <t>email verified by Apollo</t>
        </is>
      </c>
      <c r="U247" s="22" t="n">
        <v>832680.36</v>
      </c>
      <c r="V247" s="23" t="inlineStr">
        <is>
          <t>B</t>
        </is>
      </c>
      <c r="W247" s="24">
        <f>IFERROR(VLOOKUP(V247,Assumptions!$A$7:$F$11,2,FALSE),0)</f>
        <v/>
      </c>
      <c r="X247" s="25">
        <f>IF(V247="A",MAX(1,IFERROR(VLOOKUP(V247,Assumptions!$A$7:$F$11,3,FALSE),3)+IFERROR(VLOOKUP(V247,Assumptions!$A$7:$F$11,4,FALSE),8)/2-MAX(0,IF(AO247="",0,YEAR(TODAY())-AO247)-IFERROR(VLOOKUP(V247,Assumptions!$A$7:$F$11,5,FALSE),1.5))),IFERROR(VLOOKUP(V247,Assumptions!$A$7:$F$11,5,FALSE),2.5)+IFERROR(VLOOKUP(V247,Assumptions!$A$7:$F$11,3,FALSE),3)+IFERROR(VLOOKUP(V247,Assumptions!$A$7:$F$11,4,FALSE),8)/2)</f>
        <v/>
      </c>
      <c r="Y247" s="22">
        <f>U247*W247/(1+Assumptions!$B$3)^X247</f>
        <v/>
      </c>
      <c r="Z247" s="26">
        <f>IF(U247=0,"",ROUND(Y247/U247*100,1))</f>
        <v/>
      </c>
      <c r="AA247" s="27">
        <f>Y247*Assumptions!$B$4</f>
        <v/>
      </c>
      <c r="AB247" s="26">
        <f>IF(U247=0,"",ROUND(AA247/U247*100,1))</f>
        <v/>
      </c>
      <c r="AC247" s="27">
        <f>Y247-AA247</f>
        <v/>
      </c>
      <c r="AD247" s="26">
        <f>IF(U247=0,"",ROUND((Y247-AA247)/U247*100,1))</f>
        <v/>
      </c>
      <c r="AE247" s="28" t="inlineStr">
        <is>
          <t>OK — totals reconciled</t>
        </is>
      </c>
      <c r="AF247" s="29" t="inlineStr">
        <is>
          <t>https://bugarimecoelho.com.br/ws/media-library/b6b7ea42b9fa2afe30bc728fe00cd5c6/07---edital-do-processamento-da-recuperacao-judicial.pdf</t>
        </is>
      </c>
      <c r="AG247" s="28" t="inlineStr">
        <is>
          <t>p16 r20</t>
        </is>
      </c>
      <c r="AH247" s="28" t="inlineStr">
        <is>
          <t>p16: R$ 832.680,36</t>
        </is>
      </c>
      <c r="AI247" s="28" t="inlineStr">
        <is>
          <t>Unclassified list</t>
        </is>
      </c>
      <c r="AJ247" s="28" t="inlineStr">
        <is>
          <t>2026-07-09</t>
        </is>
      </c>
      <c r="AK247" s="28" t="inlineStr">
        <is>
          <t>NONE FOUND</t>
        </is>
      </c>
      <c r="AL247" s="30" t="inlineStr">
        <is>
          <t>3000117-40.2025.8.06.0512</t>
        </is>
      </c>
      <c r="AM247" s="30" t="inlineStr">
        <is>
          <t>TJCE</t>
        </is>
      </c>
      <c r="AN247" s="30" t="inlineStr">
        <is>
          <t>ACTIVE</t>
        </is>
      </c>
      <c r="AO247" s="30" t="n">
        <v>2025</v>
      </c>
      <c r="AP247" s="30" t="inlineStr">
        <is>
          <t>live case, no plan document yet</t>
        </is>
      </c>
      <c r="AQ247" s="30" t="inlineStr">
        <is>
          <t>11.399.787/0001-22</t>
        </is>
      </c>
      <c r="AR247" s="30" t="inlineStr">
        <is>
          <t>printed on the list (read twice)</t>
        </is>
      </c>
      <c r="AS247" s="30" t="inlineStr">
        <is>
          <t>SAO PAULO</t>
        </is>
      </c>
      <c r="AT247" s="30" t="inlineStr">
        <is>
          <t>SP</t>
        </is>
      </c>
      <c r="AU247" s="30" t="inlineStr">
        <is>
          <t>Bancos múltiplos, com carteira comercial</t>
        </is>
      </c>
      <c r="AV247" s="30" t="inlineStr">
        <is>
          <t>DEMAIS</t>
        </is>
      </c>
      <c r="AW247" s="31" t="n">
        <v>65000000000</v>
      </c>
      <c r="AX247" s="30" t="inlineStr">
        <is>
          <t>LARGE CORP</t>
        </is>
      </c>
      <c r="AY247" s="30" t="inlineStr">
        <is>
          <t>90400888</t>
        </is>
      </c>
      <c r="AZ247" s="30" t="n">
        <v>1</v>
      </c>
      <c r="BA247" s="30" t="inlineStr">
        <is>
          <t>LIKELY_FINANCIAL_BY_NAME ROWS:p16r20</t>
        </is>
      </c>
    </row>
    <row r="248">
      <c r="A248" s="16" t="inlineStr">
        <is>
          <t>BANCO DAYCOVAL S.A.</t>
        </is>
      </c>
      <c r="B248" s="17" t="n">
        <v>809807.28</v>
      </c>
      <c r="C248" s="18" t="inlineStr">
        <is>
          <t>FRIGORÍFICO ALFA INDÚSTRIA E COMÉRCIO DE CARNES E DERIVADOS LTDA e CTX LOGÍSTICA, TRANSPORTE E LOCAÇÕES LTDA</t>
        </is>
      </c>
      <c r="D248" s="19" t="inlineStr">
        <is>
          <t>NEW</t>
        </is>
      </c>
      <c r="E248" s="20" t="inlineStr"/>
      <c r="F248" s="19" t="inlineStr"/>
      <c r="G248" s="20" t="inlineStr"/>
      <c r="H248" s="19" t="inlineStr"/>
      <c r="I248" s="21" t="inlineStr">
        <is>
          <t>Celso Araujo</t>
        </is>
      </c>
      <c r="J248" s="21" t="inlineStr">
        <is>
          <t>Gerente de Recuperação de Crédito</t>
        </is>
      </c>
      <c r="K248" s="21" t="inlineStr">
        <is>
          <t>(11) 3138-0500</t>
        </is>
      </c>
      <c r="L248" s="21" t="inlineStr"/>
      <c r="M248" s="21" t="inlineStr"/>
      <c r="N248" s="21" t="inlineStr">
        <is>
          <t>celso.araujo@bancodaycoval.com.br</t>
        </is>
      </c>
      <c r="O248" s="21" t="inlineStr">
        <is>
          <t>andreia.matiel@daycoval.com.br</t>
        </is>
      </c>
      <c r="P248" s="21" t="inlineStr">
        <is>
          <t>Andreia Matiel</t>
        </is>
      </c>
      <c r="Q248" s="21" t="inlineStr">
        <is>
          <t>Advogada Recuperação de Crédito Empresas</t>
        </is>
      </c>
      <c r="R248" s="21" t="inlineStr"/>
      <c r="S248" s="21" t="inlineStr">
        <is>
          <t>andreia.matiel@daycoval.com.br</t>
        </is>
      </c>
      <c r="T248" s="21" t="inlineStr">
        <is>
          <t>email verified by Apollo</t>
        </is>
      </c>
      <c r="U248" s="22" t="n">
        <v>809807.28</v>
      </c>
      <c r="V248" s="23" t="inlineStr">
        <is>
          <t>B</t>
        </is>
      </c>
      <c r="W248" s="24">
        <f>IFERROR(VLOOKUP(V248,Assumptions!$A$7:$F$11,2,FALSE),0)</f>
        <v/>
      </c>
      <c r="X248" s="25">
        <f>IF(V248="A",MAX(1,IFERROR(VLOOKUP(V248,Assumptions!$A$7:$F$11,3,FALSE),3)+IFERROR(VLOOKUP(V248,Assumptions!$A$7:$F$11,4,FALSE),8)/2-MAX(0,IF(AO248="",0,YEAR(TODAY())-AO248)-IFERROR(VLOOKUP(V248,Assumptions!$A$7:$F$11,5,FALSE),1.5))),IFERROR(VLOOKUP(V248,Assumptions!$A$7:$F$11,5,FALSE),2.5)+IFERROR(VLOOKUP(V248,Assumptions!$A$7:$F$11,3,FALSE),3)+IFERROR(VLOOKUP(V248,Assumptions!$A$7:$F$11,4,FALSE),8)/2)</f>
        <v/>
      </c>
      <c r="Y248" s="22">
        <f>U248*W248/(1+Assumptions!$B$3)^X248</f>
        <v/>
      </c>
      <c r="Z248" s="26">
        <f>IF(U248=0,"",ROUND(Y248/U248*100,1))</f>
        <v/>
      </c>
      <c r="AA248" s="27">
        <f>Y248*Assumptions!$B$4</f>
        <v/>
      </c>
      <c r="AB248" s="26">
        <f>IF(U248=0,"",ROUND(AA248/U248*100,1))</f>
        <v/>
      </c>
      <c r="AC248" s="27">
        <f>Y248-AA248</f>
        <v/>
      </c>
      <c r="AD248" s="26">
        <f>IF(U248=0,"",ROUND((Y248-AA248)/U248*100,1))</f>
        <v/>
      </c>
      <c r="AE248" s="28" t="inlineStr">
        <is>
          <t>OK — totals reconciled</t>
        </is>
      </c>
      <c r="AF248" s="29" t="inlineStr">
        <is>
          <t>https://vtladm.com.br/wp-content/uploads/2024/04/09-–-EDITAL-DE-CONVOCACAO-DE-CREDORES-–-Frigorifico-Alfa-Industria-e-Comercio-de-Carnes-e-Derivados-Ltda.-e-Ctx-Logistica-Transporte-E-Locacoes-Ltda.pdf</t>
        </is>
      </c>
      <c r="AG248" s="28" t="inlineStr">
        <is>
          <t>p1 r14</t>
        </is>
      </c>
      <c r="AH248" s="28" t="inlineStr">
        <is>
          <t>p1: R$ 809.807,28</t>
        </is>
      </c>
      <c r="AI248" s="28" t="inlineStr">
        <is>
          <t>AJ list (art. 7 §2)</t>
        </is>
      </c>
      <c r="AJ248" s="28" t="inlineStr"/>
      <c r="AK248" s="28" t="inlineStr">
        <is>
          <t>NONE FOUND</t>
        </is>
      </c>
      <c r="AL248" s="30" t="inlineStr">
        <is>
          <t>1009827-02.2024.8.26.0576</t>
        </is>
      </c>
      <c r="AM248" s="30" t="inlineStr">
        <is>
          <t>TJSP</t>
        </is>
      </c>
      <c r="AN248" s="30" t="inlineStr">
        <is>
          <t>ACTIVE</t>
        </is>
      </c>
      <c r="AO248" s="30" t="n">
        <v>2024</v>
      </c>
      <c r="AP248" s="30" t="inlineStr">
        <is>
          <t>live case, no plan document yet</t>
        </is>
      </c>
      <c r="AQ248" s="30" t="inlineStr">
        <is>
          <t>00.975.846/0001-47</t>
        </is>
      </c>
      <c r="AR248" s="30" t="inlineStr">
        <is>
          <t>printed on the list (read twice)</t>
        </is>
      </c>
      <c r="AS248" s="30" t="inlineStr">
        <is>
          <t>SAO PAULO</t>
        </is>
      </c>
      <c r="AT248" s="30" t="inlineStr">
        <is>
          <t>SP</t>
        </is>
      </c>
      <c r="AU248" s="30" t="inlineStr">
        <is>
          <t>Bancos múltiplos, com carteira comercial</t>
        </is>
      </c>
      <c r="AV248" s="30" t="inlineStr">
        <is>
          <t>DEMAIS</t>
        </is>
      </c>
      <c r="AW248" s="31" t="n">
        <v>6907260000</v>
      </c>
      <c r="AX248" s="30" t="inlineStr">
        <is>
          <t>LARGE CORP</t>
        </is>
      </c>
      <c r="AY248" s="30" t="inlineStr">
        <is>
          <t>62232889</t>
        </is>
      </c>
      <c r="AZ248" s="30" t="n">
        <v>1</v>
      </c>
      <c r="BA248" s="30" t="inlineStr">
        <is>
          <t>LIKELY_FINANCIAL_BY_NAME ROWS:p1r14</t>
        </is>
      </c>
    </row>
    <row r="249">
      <c r="A249" s="16" t="inlineStr">
        <is>
          <t>BR CONSORCIOS ADMINISTRADORA DE CONSORCIOS LTDA</t>
        </is>
      </c>
      <c r="B249" s="17" t="n">
        <v>432821.52</v>
      </c>
      <c r="C249" s="18" t="inlineStr">
        <is>
          <t>GRUPO 3E</t>
        </is>
      </c>
      <c r="D249" s="19" t="inlineStr">
        <is>
          <t>NEW</t>
        </is>
      </c>
      <c r="E249" s="20" t="inlineStr"/>
      <c r="F249" s="19" t="inlineStr"/>
      <c r="G249" s="20" t="inlineStr"/>
      <c r="H249" s="19" t="inlineStr"/>
      <c r="I249" s="21" t="inlineStr">
        <is>
          <t>Victor Dantas</t>
        </is>
      </c>
      <c r="J249" s="21" t="inlineStr">
        <is>
          <t>Operational Manager</t>
        </is>
      </c>
      <c r="K249" s="21" t="inlineStr">
        <is>
          <t>(43) 3377-7400</t>
        </is>
      </c>
      <c r="L249" s="21" t="inlineStr"/>
      <c r="M249" s="21" t="inlineStr"/>
      <c r="N249" s="21" t="inlineStr">
        <is>
          <t>victor@brconsorcios.com</t>
        </is>
      </c>
      <c r="O249" s="21" t="inlineStr"/>
      <c r="P249" s="21" t="inlineStr">
        <is>
          <t>RODOLFO GARCIA MONTOSA</t>
        </is>
      </c>
      <c r="Q249" s="21" t="inlineStr">
        <is>
          <t>Administrador (RFB partner)</t>
        </is>
      </c>
      <c r="R249" s="21" t="inlineStr"/>
      <c r="S249" s="21" t="inlineStr"/>
      <c r="T249" s="21" t="inlineStr">
        <is>
          <t>email verified by Apollo</t>
        </is>
      </c>
      <c r="U249" s="22" t="n">
        <v>432821.52</v>
      </c>
      <c r="V249" s="35" t="inlineStr">
        <is>
          <t>A</t>
        </is>
      </c>
      <c r="W249" s="24">
        <f>IFERROR(VLOOKUP(V249,Assumptions!$A$7:$F$11,2,FALSE),0)</f>
        <v/>
      </c>
      <c r="X249" s="25">
        <f>IF(V249="A",MAX(1,IFERROR(VLOOKUP(V249,Assumptions!$A$7:$F$11,3,FALSE),3)+IFERROR(VLOOKUP(V249,Assumptions!$A$7:$F$11,4,FALSE),8)/2-MAX(0,IF(AO249="",0,YEAR(TODAY())-AO249)-IFERROR(VLOOKUP(V249,Assumptions!$A$7:$F$11,5,FALSE),1.5))),IFERROR(VLOOKUP(V249,Assumptions!$A$7:$F$11,5,FALSE),2.5)+IFERROR(VLOOKUP(V249,Assumptions!$A$7:$F$11,3,FALSE),3)+IFERROR(VLOOKUP(V249,Assumptions!$A$7:$F$11,4,FALSE),8)/2)</f>
        <v/>
      </c>
      <c r="Y249" s="22">
        <f>U249*W249/(1+Assumptions!$B$3)^X249</f>
        <v/>
      </c>
      <c r="Z249" s="26">
        <f>IF(U249=0,"",ROUND(Y249/U249*100,1))</f>
        <v/>
      </c>
      <c r="AA249" s="27">
        <f>Y249*Assumptions!$B$4</f>
        <v/>
      </c>
      <c r="AB249" s="26">
        <f>IF(U249=0,"",ROUND(AA249/U249*100,1))</f>
        <v/>
      </c>
      <c r="AC249" s="27">
        <f>Y249-AA249</f>
        <v/>
      </c>
      <c r="AD249" s="26">
        <f>IF(U249=0,"",ROUND((Y249-AA249)/U249*100,1))</f>
        <v/>
      </c>
      <c r="AE249" s="33" t="inlineStr">
        <is>
          <t>NO TOTALS — list prints none; check page</t>
        </is>
      </c>
      <c r="AF249" s="29" t="inlineStr">
        <is>
          <t>https://stenius.com.br/wp-content/uploads/2026/06/EDITAL-GRUPO-3E.pdf</t>
        </is>
      </c>
      <c r="AG249" s="28" t="inlineStr">
        <is>
          <t>p10 r71</t>
        </is>
      </c>
      <c r="AH249" s="28" t="inlineStr">
        <is>
          <t>p10: R$ 432.821,52</t>
        </is>
      </c>
      <c r="AI249" s="28" t="inlineStr">
        <is>
          <t>Debtor list (art. 51)</t>
        </is>
      </c>
      <c r="AJ249" s="28" t="inlineStr">
        <is>
          <t>2026-06-22</t>
        </is>
      </c>
      <c r="AK249" s="28" t="inlineStr">
        <is>
          <t>PLAN DOC FOUND</t>
        </is>
      </c>
      <c r="AL249" s="30" t="inlineStr">
        <is>
          <t>5341375-33.2026.8.09.0049</t>
        </is>
      </c>
      <c r="AM249" s="30" t="inlineStr">
        <is>
          <t>TJGO</t>
        </is>
      </c>
      <c r="AN249" s="30" t="inlineStr">
        <is>
          <t>ACTIVE</t>
        </is>
      </c>
      <c r="AO249" s="30" t="n">
        <v>2026</v>
      </c>
      <c r="AP249" s="30" t="inlineStr">
        <is>
          <t>plan/homologation document found</t>
        </is>
      </c>
      <c r="AQ249" s="30" t="inlineStr"/>
      <c r="AR249" s="30" t="inlineStr">
        <is>
          <t>printed on the list (read twice)</t>
        </is>
      </c>
      <c r="AS249" s="30" t="inlineStr">
        <is>
          <t>LONDRINA</t>
        </is>
      </c>
      <c r="AT249" s="30" t="inlineStr">
        <is>
          <t>PR</t>
        </is>
      </c>
      <c r="AU249" s="30" t="inlineStr">
        <is>
          <t>Administração de consórcios para aquisição de bens e direitos</t>
        </is>
      </c>
      <c r="AV249" s="30" t="inlineStr">
        <is>
          <t>DEMAIS</t>
        </is>
      </c>
      <c r="AW249" s="31" t="n">
        <v>6000000</v>
      </c>
      <c r="AX249" s="30" t="inlineStr">
        <is>
          <t>MID-MARKET</t>
        </is>
      </c>
      <c r="AY249" s="30" t="inlineStr">
        <is>
          <t>14723388</t>
        </is>
      </c>
      <c r="AZ249" s="30" t="n">
        <v>1</v>
      </c>
      <c r="BA249" s="30" t="inlineStr">
        <is>
          <t>ROWS:p10r71 UNRECONCILED_SOURCE</t>
        </is>
      </c>
    </row>
    <row r="250">
      <c r="A250" s="16" t="inlineStr">
        <is>
          <t>BANCO DO BRASIL SA</t>
        </is>
      </c>
      <c r="B250" s="17" t="n">
        <v>802157.46</v>
      </c>
      <c r="C250" s="18" t="inlineStr">
        <is>
          <t>FRIGORÍFICO ALFA INDÚSTRIA E COMÉRCIO DE CARNES E DERIVADOS LTDA e CTX LOGÍSTICA, TRANSPORTE E LOCAÇÕES LTDA</t>
        </is>
      </c>
      <c r="D250" s="19" t="inlineStr">
        <is>
          <t>NEW</t>
        </is>
      </c>
      <c r="E250" s="20" t="inlineStr"/>
      <c r="F250" s="19" t="inlineStr"/>
      <c r="G250" s="20" t="inlineStr"/>
      <c r="H250" s="19" t="inlineStr"/>
      <c r="I250" s="21" t="inlineStr">
        <is>
          <t>Thiago Cavichioli</t>
        </is>
      </c>
      <c r="J250" s="21" t="inlineStr">
        <is>
          <t>Gerente de Cobrança e Recuperação de Crédito</t>
        </is>
      </c>
      <c r="K250" s="21" t="inlineStr">
        <is>
          <t>(61) 3493-9002</t>
        </is>
      </c>
      <c r="L250" s="21" t="inlineStr"/>
      <c r="M250" s="21" t="inlineStr"/>
      <c r="N250" s="21" t="inlineStr">
        <is>
          <t>thiago.cavichioli@bb.com.br</t>
        </is>
      </c>
      <c r="O250" s="21" t="inlineStr">
        <is>
          <t>suelenmondador@bb.com.br</t>
        </is>
      </c>
      <c r="P250" s="21" t="inlineStr">
        <is>
          <t>Suelen Mondador</t>
        </is>
      </c>
      <c r="Q250" s="21" t="inlineStr">
        <is>
          <t>Gerente Especialista em Recuperação de Crédito</t>
        </is>
      </c>
      <c r="R250" s="21" t="inlineStr"/>
      <c r="S250" s="21" t="inlineStr">
        <is>
          <t>suelenmondador@bb.com.br</t>
        </is>
      </c>
      <c r="T250" s="21" t="inlineStr">
        <is>
          <t>email verified by Apollo</t>
        </is>
      </c>
      <c r="U250" s="22" t="n">
        <v>802157.46</v>
      </c>
      <c r="V250" s="23" t="inlineStr">
        <is>
          <t>B</t>
        </is>
      </c>
      <c r="W250" s="24">
        <f>IFERROR(VLOOKUP(V250,Assumptions!$A$7:$F$11,2,FALSE),0)</f>
        <v/>
      </c>
      <c r="X250" s="25">
        <f>IF(V250="A",MAX(1,IFERROR(VLOOKUP(V250,Assumptions!$A$7:$F$11,3,FALSE),3)+IFERROR(VLOOKUP(V250,Assumptions!$A$7:$F$11,4,FALSE),8)/2-MAX(0,IF(AO250="",0,YEAR(TODAY())-AO250)-IFERROR(VLOOKUP(V250,Assumptions!$A$7:$F$11,5,FALSE),1.5))),IFERROR(VLOOKUP(V250,Assumptions!$A$7:$F$11,5,FALSE),2.5)+IFERROR(VLOOKUP(V250,Assumptions!$A$7:$F$11,3,FALSE),3)+IFERROR(VLOOKUP(V250,Assumptions!$A$7:$F$11,4,FALSE),8)/2)</f>
        <v/>
      </c>
      <c r="Y250" s="22">
        <f>U250*W250/(1+Assumptions!$B$3)^X250</f>
        <v/>
      </c>
      <c r="Z250" s="26">
        <f>IF(U250=0,"",ROUND(Y250/U250*100,1))</f>
        <v/>
      </c>
      <c r="AA250" s="27">
        <f>Y250*Assumptions!$B$4</f>
        <v/>
      </c>
      <c r="AB250" s="26">
        <f>IF(U250=0,"",ROUND(AA250/U250*100,1))</f>
        <v/>
      </c>
      <c r="AC250" s="27">
        <f>Y250-AA250</f>
        <v/>
      </c>
      <c r="AD250" s="26">
        <f>IF(U250=0,"",ROUND((Y250-AA250)/U250*100,1))</f>
        <v/>
      </c>
      <c r="AE250" s="28" t="inlineStr">
        <is>
          <t>OK — totals reconciled</t>
        </is>
      </c>
      <c r="AF250" s="29" t="inlineStr">
        <is>
          <t>https://vtladm.com.br/wp-content/uploads/2024/04/09-–-EDITAL-DE-CONVOCACAO-DE-CREDORES-–-Frigorifico-Alfa-Industria-e-Comercio-de-Carnes-e-Derivados-Ltda.-e-Ctx-Logistica-Transporte-E-Locacoes-Ltda.pdf</t>
        </is>
      </c>
      <c r="AG250" s="28" t="inlineStr">
        <is>
          <t>p1 r15</t>
        </is>
      </c>
      <c r="AH250" s="28" t="inlineStr">
        <is>
          <t>p1: R$ 802.157,46</t>
        </is>
      </c>
      <c r="AI250" s="28" t="inlineStr">
        <is>
          <t>AJ list (art. 7 §2)</t>
        </is>
      </c>
      <c r="AJ250" s="28" t="inlineStr"/>
      <c r="AK250" s="28" t="inlineStr">
        <is>
          <t>NONE FOUND</t>
        </is>
      </c>
      <c r="AL250" s="30" t="inlineStr">
        <is>
          <t>1009827-02.2024.8.26.0576</t>
        </is>
      </c>
      <c r="AM250" s="30" t="inlineStr">
        <is>
          <t>TJSP</t>
        </is>
      </c>
      <c r="AN250" s="30" t="inlineStr">
        <is>
          <t>ACTIVE</t>
        </is>
      </c>
      <c r="AO250" s="30" t="n">
        <v>2024</v>
      </c>
      <c r="AP250" s="30" t="inlineStr">
        <is>
          <t>live case, no plan document yet</t>
        </is>
      </c>
      <c r="AQ250" s="30" t="inlineStr">
        <is>
          <t>00.975.846/0001-47</t>
        </is>
      </c>
      <c r="AR250" s="30" t="inlineStr">
        <is>
          <t>printed on the list (read twice)</t>
        </is>
      </c>
      <c r="AS250" s="30" t="inlineStr">
        <is>
          <t>BRASILIA</t>
        </is>
      </c>
      <c r="AT250" s="30" t="inlineStr">
        <is>
          <t>DF</t>
        </is>
      </c>
      <c r="AU250" s="30" t="inlineStr">
        <is>
          <t>Bancos múltiplos, com carteira comercial</t>
        </is>
      </c>
      <c r="AV250" s="30" t="inlineStr">
        <is>
          <t>DEMAIS</t>
        </is>
      </c>
      <c r="AW250" s="31" t="n">
        <v>120000000000</v>
      </c>
      <c r="AX250" s="30" t="inlineStr">
        <is>
          <t>LARGE CORP</t>
        </is>
      </c>
      <c r="AY250" s="30" t="inlineStr">
        <is>
          <t>00000000</t>
        </is>
      </c>
      <c r="AZ250" s="30" t="n">
        <v>1</v>
      </c>
      <c r="BA250" s="30" t="inlineStr">
        <is>
          <t>ALT_VALUE:802.157,46 LIKELY_FINANCIAL_BY_NAME ROWS:p1r15</t>
        </is>
      </c>
    </row>
    <row r="251">
      <c r="A251" s="16" t="inlineStr">
        <is>
          <t>BANCO ABC BRASIL S.A.</t>
        </is>
      </c>
      <c r="B251" s="17" t="n">
        <v>801043.63</v>
      </c>
      <c r="C251" s="18" t="inlineStr">
        <is>
          <t>GRUPO DP4</t>
        </is>
      </c>
      <c r="D251" s="19" t="inlineStr">
        <is>
          <t>NEW</t>
        </is>
      </c>
      <c r="E251" s="20" t="inlineStr"/>
      <c r="F251" s="19" t="inlineStr"/>
      <c r="G251" s="20" t="inlineStr"/>
      <c r="H251" s="19" t="inlineStr"/>
      <c r="I251" s="21" t="inlineStr">
        <is>
          <t>Luciano Makino</t>
        </is>
      </c>
      <c r="J251" s="21" t="inlineStr">
        <is>
          <t>Especialista de Recuperação de Crédito</t>
        </is>
      </c>
      <c r="K251" s="21" t="inlineStr">
        <is>
          <t>(11) 3170-2000</t>
        </is>
      </c>
      <c r="L251" s="21" t="inlineStr"/>
      <c r="M251" s="21" t="inlineStr"/>
      <c r="N251" s="21" t="inlineStr">
        <is>
          <t>luciano.makino@abcbrasil.com.br</t>
        </is>
      </c>
      <c r="O251" s="21" t="inlineStr">
        <is>
          <t>marilia.neves@abcbrasil.com.br</t>
        </is>
      </c>
      <c r="P251" s="21" t="inlineStr">
        <is>
          <t>Marilia Neves</t>
        </is>
      </c>
      <c r="Q251" s="21" t="inlineStr">
        <is>
          <t>Advogado Especialista em Recuperação de Crédito</t>
        </is>
      </c>
      <c r="R251" s="21" t="inlineStr"/>
      <c r="S251" s="21" t="inlineStr">
        <is>
          <t>marilia.neves@abcbrasil.com.br</t>
        </is>
      </c>
      <c r="T251" s="21" t="inlineStr">
        <is>
          <t>email verified by Apollo</t>
        </is>
      </c>
      <c r="U251" s="22" t="n">
        <v>801043.63</v>
      </c>
      <c r="V251" s="23" t="inlineStr">
        <is>
          <t>B</t>
        </is>
      </c>
      <c r="W251" s="24">
        <f>IFERROR(VLOOKUP(V251,Assumptions!$A$7:$F$11,2,FALSE),0)</f>
        <v/>
      </c>
      <c r="X251" s="25">
        <f>IF(V251="A",MAX(1,IFERROR(VLOOKUP(V251,Assumptions!$A$7:$F$11,3,FALSE),3)+IFERROR(VLOOKUP(V251,Assumptions!$A$7:$F$11,4,FALSE),8)/2-MAX(0,IF(AO251="",0,YEAR(TODAY())-AO251)-IFERROR(VLOOKUP(V251,Assumptions!$A$7:$F$11,5,FALSE),1.5))),IFERROR(VLOOKUP(V251,Assumptions!$A$7:$F$11,5,FALSE),2.5)+IFERROR(VLOOKUP(V251,Assumptions!$A$7:$F$11,3,FALSE),3)+IFERROR(VLOOKUP(V251,Assumptions!$A$7:$F$11,4,FALSE),8)/2)</f>
        <v/>
      </c>
      <c r="Y251" s="22">
        <f>U251*W251/(1+Assumptions!$B$3)^X251</f>
        <v/>
      </c>
      <c r="Z251" s="26">
        <f>IF(U251=0,"",ROUND(Y251/U251*100,1))</f>
        <v/>
      </c>
      <c r="AA251" s="27">
        <f>Y251*Assumptions!$B$4</f>
        <v/>
      </c>
      <c r="AB251" s="26">
        <f>IF(U251=0,"",ROUND(AA251/U251*100,1))</f>
        <v/>
      </c>
      <c r="AC251" s="27">
        <f>Y251-AA251</f>
        <v/>
      </c>
      <c r="AD251" s="26">
        <f>IF(U251=0,"",ROUND((Y251-AA251)/U251*100,1))</f>
        <v/>
      </c>
      <c r="AE251" s="34" t="inlineStr">
        <is>
          <t>PARTIAL — class III reconciled, other classes not</t>
        </is>
      </c>
      <c r="AF251" s="29" t="inlineStr">
        <is>
          <t>https://marquesadmjudicial.com.br/sgc/download.php?file=files/processo_documento/processo_documento15293208032024_1_.pdf&amp;nome=Relação Nominal de Credores da AJ-Sintética</t>
        </is>
      </c>
      <c r="AG251" s="28" t="inlineStr">
        <is>
          <t>p20 r5</t>
        </is>
      </c>
      <c r="AH251" s="28" t="inlineStr">
        <is>
          <t>p20: R$ 801.043,63</t>
        </is>
      </c>
      <c r="AI251" s="28" t="inlineStr">
        <is>
          <t>AJ list (art. 7 §2)</t>
        </is>
      </c>
      <c r="AJ251" s="28" t="inlineStr">
        <is>
          <t>2023-03-02</t>
        </is>
      </c>
      <c r="AK251" s="28" t="inlineStr">
        <is>
          <t>NONE FOUND</t>
        </is>
      </c>
      <c r="AL251" s="30" t="inlineStr">
        <is>
          <t>0005010-98.2023.8.16.0001</t>
        </is>
      </c>
      <c r="AM251" s="30" t="inlineStr">
        <is>
          <t>TJPR</t>
        </is>
      </c>
      <c r="AN251" s="30" t="inlineStr">
        <is>
          <t>ACTIVE</t>
        </is>
      </c>
      <c r="AO251" s="30" t="n">
        <v>2023</v>
      </c>
      <c r="AP251" s="30" t="inlineStr">
        <is>
          <t>live case, no plan document yet</t>
        </is>
      </c>
      <c r="AQ251" s="30" t="inlineStr"/>
      <c r="AR251" s="30" t="inlineStr">
        <is>
          <t>printed on the list (read twice)</t>
        </is>
      </c>
      <c r="AS251" s="30" t="inlineStr">
        <is>
          <t>SAO PAULO</t>
        </is>
      </c>
      <c r="AT251" s="30" t="inlineStr">
        <is>
          <t>SP</t>
        </is>
      </c>
      <c r="AU251" s="30" t="inlineStr">
        <is>
          <t>Bancos múltiplos, com carteira comercial</t>
        </is>
      </c>
      <c r="AV251" s="30" t="inlineStr">
        <is>
          <t>DEMAIS</t>
        </is>
      </c>
      <c r="AW251" s="31" t="n">
        <v>6012662300</v>
      </c>
      <c r="AX251" s="30" t="inlineStr">
        <is>
          <t>LARGE CORP</t>
        </is>
      </c>
      <c r="AY251" s="30" t="inlineStr">
        <is>
          <t>28195667</t>
        </is>
      </c>
      <c r="AZ251" s="30" t="n">
        <v>1</v>
      </c>
      <c r="BA251" s="30" t="inlineStr">
        <is>
          <t>LIKELY_FINANCIAL_BY_NAME PARTIAL_DOC_CLASS_III_RECONCILED ROWS:p20r5</t>
        </is>
      </c>
    </row>
    <row r="252">
      <c r="A252" s="16" t="inlineStr">
        <is>
          <t>ITAU UNIBANCO S.A.</t>
        </is>
      </c>
      <c r="B252" s="17" t="n">
        <v>796319.5699999999</v>
      </c>
      <c r="C252" s="18" t="inlineStr">
        <is>
          <t>GRUPO IMOBI</t>
        </is>
      </c>
      <c r="D252" s="19" t="inlineStr">
        <is>
          <t>NEW</t>
        </is>
      </c>
      <c r="E252" s="20" t="inlineStr"/>
      <c r="F252" s="19" t="inlineStr"/>
      <c r="G252" s="20" t="inlineStr"/>
      <c r="H252" s="19" t="inlineStr"/>
      <c r="I252" s="21" t="inlineStr">
        <is>
          <t>Murilo Gigliucci</t>
        </is>
      </c>
      <c r="J252" s="21" t="inlineStr">
        <is>
          <t>Superintendente de Reestruturação de Crédito</t>
        </is>
      </c>
      <c r="K252" s="21" t="inlineStr">
        <is>
          <t>(11) 3003-4828</t>
        </is>
      </c>
      <c r="L252" s="21" t="inlineStr"/>
      <c r="M252" s="21" t="inlineStr"/>
      <c r="N252" s="21" t="inlineStr">
        <is>
          <t>murilo.gigliucci@itau-unibanco.com.br</t>
        </is>
      </c>
      <c r="O252" s="21" t="inlineStr">
        <is>
          <t>pedro.ornellas-geronimo@itau-unibanco.com.br</t>
        </is>
      </c>
      <c r="P252" s="21" t="inlineStr">
        <is>
          <t>Pedro Ornellas</t>
        </is>
      </c>
      <c r="Q252" s="21" t="inlineStr">
        <is>
          <t>Superintendente de Recuperação de Crédito</t>
        </is>
      </c>
      <c r="R252" s="21" t="inlineStr"/>
      <c r="S252" s="21" t="inlineStr">
        <is>
          <t>pedro.ornellas-geronimo@itau-unibanco.com.br</t>
        </is>
      </c>
      <c r="T252" s="21" t="inlineStr">
        <is>
          <t>email verified by Apollo</t>
        </is>
      </c>
      <c r="U252" s="22" t="n">
        <v>796319.5699999999</v>
      </c>
      <c r="V252" s="23" t="inlineStr">
        <is>
          <t>B</t>
        </is>
      </c>
      <c r="W252" s="24">
        <f>IFERROR(VLOOKUP(V252,Assumptions!$A$7:$F$11,2,FALSE),0)</f>
        <v/>
      </c>
      <c r="X252" s="25">
        <f>IF(V252="A",MAX(1,IFERROR(VLOOKUP(V252,Assumptions!$A$7:$F$11,3,FALSE),3)+IFERROR(VLOOKUP(V252,Assumptions!$A$7:$F$11,4,FALSE),8)/2-MAX(0,IF(AO252="",0,YEAR(TODAY())-AO252)-IFERROR(VLOOKUP(V252,Assumptions!$A$7:$F$11,5,FALSE),1.5))),IFERROR(VLOOKUP(V252,Assumptions!$A$7:$F$11,5,FALSE),2.5)+IFERROR(VLOOKUP(V252,Assumptions!$A$7:$F$11,3,FALSE),3)+IFERROR(VLOOKUP(V252,Assumptions!$A$7:$F$11,4,FALSE),8)/2)</f>
        <v/>
      </c>
      <c r="Y252" s="22">
        <f>U252*W252/(1+Assumptions!$B$3)^X252</f>
        <v/>
      </c>
      <c r="Z252" s="26">
        <f>IF(U252=0,"",ROUND(Y252/U252*100,1))</f>
        <v/>
      </c>
      <c r="AA252" s="27">
        <f>Y252*Assumptions!$B$4</f>
        <v/>
      </c>
      <c r="AB252" s="26">
        <f>IF(U252=0,"",ROUND(AA252/U252*100,1))</f>
        <v/>
      </c>
      <c r="AC252" s="27">
        <f>Y252-AA252</f>
        <v/>
      </c>
      <c r="AD252" s="26">
        <f>IF(U252=0,"",ROUND((Y252-AA252)/U252*100,1))</f>
        <v/>
      </c>
      <c r="AE252" s="28" t="inlineStr">
        <is>
          <t>OK — totals reconciled</t>
        </is>
      </c>
      <c r="AF252" s="29" t="inlineStr">
        <is>
          <t>https://lrflideres.com.br/wp-content/plugins/download-attachments/includes/download.php?id=6273</t>
        </is>
      </c>
      <c r="AG252" s="28" t="inlineStr">
        <is>
          <t>p5 r2</t>
        </is>
      </c>
      <c r="AH252" s="28" t="inlineStr">
        <is>
          <t>p5: R$ 796.319,57</t>
        </is>
      </c>
      <c r="AI252" s="28" t="inlineStr">
        <is>
          <t>AJ list (art. 7 §2)</t>
        </is>
      </c>
      <c r="AJ252" s="28" t="inlineStr">
        <is>
          <t>2024-11-14</t>
        </is>
      </c>
      <c r="AK252" s="28" t="inlineStr">
        <is>
          <t>NONE FOUND</t>
        </is>
      </c>
      <c r="AL252" s="30" t="inlineStr">
        <is>
          <t>0074500-63.2024.8.17.2001</t>
        </is>
      </c>
      <c r="AM252" s="30" t="inlineStr">
        <is>
          <t>TJPE</t>
        </is>
      </c>
      <c r="AN252" s="30" t="inlineStr">
        <is>
          <t>ACTIVE</t>
        </is>
      </c>
      <c r="AO252" s="30" t="n">
        <v>2024</v>
      </c>
      <c r="AP252" s="30" t="inlineStr">
        <is>
          <t>live case, no plan document yet</t>
        </is>
      </c>
      <c r="AQ252" s="30" t="inlineStr">
        <is>
          <t>02.284.048/0001-02</t>
        </is>
      </c>
      <c r="AR252" s="30" t="inlineStr">
        <is>
          <t>printed on the list (read twice)</t>
        </is>
      </c>
      <c r="AS252" s="30" t="inlineStr">
        <is>
          <t>SAO PAULO</t>
        </is>
      </c>
      <c r="AT252" s="30" t="inlineStr">
        <is>
          <t>SP</t>
        </is>
      </c>
      <c r="AU252" s="30" t="inlineStr">
        <is>
          <t>Bancos comerciais</t>
        </is>
      </c>
      <c r="AV252" s="30" t="inlineStr">
        <is>
          <t>DEMAIS</t>
        </is>
      </c>
      <c r="AW252" s="31" t="n">
        <v>76200000000</v>
      </c>
      <c r="AX252" s="30" t="inlineStr">
        <is>
          <t>LARGE CORP</t>
        </is>
      </c>
      <c r="AY252" s="30" t="inlineStr">
        <is>
          <t>60701190</t>
        </is>
      </c>
      <c r="AZ252" s="30" t="n">
        <v>1</v>
      </c>
      <c r="BA252" s="30" t="inlineStr">
        <is>
          <t>LIKELY_FINANCIAL_BY_NAME ROWS:p5r2</t>
        </is>
      </c>
    </row>
    <row r="253">
      <c r="A253" s="16" t="inlineStr">
        <is>
          <t>BFC FUNDO DE INVESTIMENTO EM DIREITOS CREDITORIOS</t>
        </is>
      </c>
      <c r="B253" s="17" t="n">
        <v>783839.34</v>
      </c>
      <c r="C253" s="18" t="inlineStr">
        <is>
          <t>Grupo Conduscabos</t>
        </is>
      </c>
      <c r="D253" s="19" t="inlineStr">
        <is>
          <t>NEW</t>
        </is>
      </c>
      <c r="E253" s="20" t="inlineStr"/>
      <c r="F253" s="19" t="inlineStr"/>
      <c r="G253" s="20" t="inlineStr"/>
      <c r="H253" s="19" t="inlineStr"/>
      <c r="I253" s="21" t="inlineStr"/>
      <c r="J253" s="21" t="inlineStr"/>
      <c r="K253" s="21" t="inlineStr">
        <is>
          <t>(11) 2827-3500</t>
        </is>
      </c>
      <c r="L253" s="21" t="inlineStr"/>
      <c r="M253" s="21" t="inlineStr"/>
      <c r="N253" s="21" t="inlineStr"/>
      <c r="O253" s="21" t="inlineStr"/>
      <c r="P253" s="21" t="inlineStr"/>
      <c r="Q253" s="21" t="inlineStr"/>
      <c r="R253" s="21" t="inlineStr"/>
      <c r="S253" s="21" t="inlineStr"/>
      <c r="T253" s="21" t="inlineStr">
        <is>
          <t>no named contact found</t>
        </is>
      </c>
      <c r="U253" s="22" t="n">
        <v>783839.34</v>
      </c>
      <c r="V253" s="23" t="inlineStr">
        <is>
          <t>B</t>
        </is>
      </c>
      <c r="W253" s="24">
        <f>IFERROR(VLOOKUP(V253,Assumptions!$A$7:$F$11,2,FALSE),0)</f>
        <v/>
      </c>
      <c r="X253" s="25">
        <f>IF(V253="A",MAX(1,IFERROR(VLOOKUP(V253,Assumptions!$A$7:$F$11,3,FALSE),3)+IFERROR(VLOOKUP(V253,Assumptions!$A$7:$F$11,4,FALSE),8)/2-MAX(0,IF(AO253="",0,YEAR(TODAY())-AO253)-IFERROR(VLOOKUP(V253,Assumptions!$A$7:$F$11,5,FALSE),1.5))),IFERROR(VLOOKUP(V253,Assumptions!$A$7:$F$11,5,FALSE),2.5)+IFERROR(VLOOKUP(V253,Assumptions!$A$7:$F$11,3,FALSE),3)+IFERROR(VLOOKUP(V253,Assumptions!$A$7:$F$11,4,FALSE),8)/2)</f>
        <v/>
      </c>
      <c r="Y253" s="22">
        <f>U253*W253/(1+Assumptions!$B$3)^X253</f>
        <v/>
      </c>
      <c r="Z253" s="26">
        <f>IF(U253=0,"",ROUND(Y253/U253*100,1))</f>
        <v/>
      </c>
      <c r="AA253" s="27">
        <f>Y253*Assumptions!$B$4</f>
        <v/>
      </c>
      <c r="AB253" s="26">
        <f>IF(U253=0,"",ROUND(AA253/U253*100,1))</f>
        <v/>
      </c>
      <c r="AC253" s="27">
        <f>Y253-AA253</f>
        <v/>
      </c>
      <c r="AD253" s="26">
        <f>IF(U253=0,"",ROUND((Y253-AA253)/U253*100,1))</f>
        <v/>
      </c>
      <c r="AE253" s="33" t="inlineStr">
        <is>
          <t>NO TOTALS — list prints none; check page</t>
        </is>
      </c>
      <c r="AF253" s="29" t="inlineStr">
        <is>
          <t>https://assistjud.com.br/wp-content/uploads/elementor/forms/65098c80a5824.pdf</t>
        </is>
      </c>
      <c r="AG253" s="28" t="inlineStr">
        <is>
          <t>p5 r14</t>
        </is>
      </c>
      <c r="AH253" s="28" t="inlineStr">
        <is>
          <t>p5: R$ 783.839,34</t>
        </is>
      </c>
      <c r="AI253" s="28" t="inlineStr">
        <is>
          <t>AJ list (art. 7 §2)</t>
        </is>
      </c>
      <c r="AJ253" s="28" t="inlineStr">
        <is>
          <t>2023-09-18</t>
        </is>
      </c>
      <c r="AK253" s="28" t="inlineStr">
        <is>
          <t>NONE FOUND</t>
        </is>
      </c>
      <c r="AL253" s="30" t="inlineStr">
        <is>
          <t>8005129-09.2023.8.05.0039</t>
        </is>
      </c>
      <c r="AM253" s="30" t="inlineStr">
        <is>
          <t>TJBA</t>
        </is>
      </c>
      <c r="AN253" s="30" t="inlineStr">
        <is>
          <t>ACTIVE</t>
        </is>
      </c>
      <c r="AO253" s="30" t="n">
        <v>2023</v>
      </c>
      <c r="AP253" s="30" t="inlineStr">
        <is>
          <t>live case, no plan document yet</t>
        </is>
      </c>
      <c r="AQ253" s="30" t="inlineStr"/>
      <c r="AR253" s="30" t="inlineStr">
        <is>
          <t>printed on the list (read twice)</t>
        </is>
      </c>
      <c r="AS253" s="30" t="inlineStr">
        <is>
          <t>SAO PAULO</t>
        </is>
      </c>
      <c r="AT253" s="30" t="inlineStr">
        <is>
          <t>SP</t>
        </is>
      </c>
      <c r="AU253" s="30" t="inlineStr">
        <is>
          <t>Fundos de investimento, exceto previdenciários e imobiliários</t>
        </is>
      </c>
      <c r="AV253" s="30" t="inlineStr">
        <is>
          <t>DEMAIS</t>
        </is>
      </c>
      <c r="AW253" s="31" t="inlineStr"/>
      <c r="AX253" s="30" t="inlineStr">
        <is>
          <t>MID-MARKET</t>
        </is>
      </c>
      <c r="AY253" s="30" t="inlineStr">
        <is>
          <t>11507489</t>
        </is>
      </c>
      <c r="AZ253" s="30" t="n">
        <v>1</v>
      </c>
      <c r="BA253" s="30" t="inlineStr">
        <is>
          <t>ROWS:p5r14 UNRECONCILED_SOURCE VALUE_COL:Valor_Do_Crédito_2º_Edital_De_Credores</t>
        </is>
      </c>
    </row>
    <row r="254">
      <c r="A254" s="16" t="inlineStr">
        <is>
          <t>BANCO DO BRASIL SA</t>
        </is>
      </c>
      <c r="B254" s="17" t="n">
        <v>1456767.85</v>
      </c>
      <c r="C254" s="37" t="inlineStr">
        <is>
          <t>(debtor not identified — see proof)</t>
        </is>
      </c>
      <c r="D254" s="19" t="inlineStr">
        <is>
          <t>NEW</t>
        </is>
      </c>
      <c r="E254" s="20" t="inlineStr"/>
      <c r="F254" s="19" t="inlineStr"/>
      <c r="G254" s="20" t="inlineStr"/>
      <c r="H254" s="19" t="inlineStr"/>
      <c r="I254" s="21" t="inlineStr">
        <is>
          <t>Thiago Cavichioli</t>
        </is>
      </c>
      <c r="J254" s="21" t="inlineStr">
        <is>
          <t>Gerente de Cobrança e Recuperação de Crédito</t>
        </is>
      </c>
      <c r="K254" s="21" t="inlineStr">
        <is>
          <t>(61) 3493-9002</t>
        </is>
      </c>
      <c r="L254" s="21" t="inlineStr"/>
      <c r="M254" s="21" t="inlineStr"/>
      <c r="N254" s="21" t="inlineStr">
        <is>
          <t>thiago.cavichioli@bb.com.br</t>
        </is>
      </c>
      <c r="O254" s="21" t="inlineStr">
        <is>
          <t>suelenmondador@bb.com.br</t>
        </is>
      </c>
      <c r="P254" s="21" t="inlineStr">
        <is>
          <t>Suelen Mondador</t>
        </is>
      </c>
      <c r="Q254" s="21" t="inlineStr">
        <is>
          <t>Gerente Especialista em Recuperação de Crédito</t>
        </is>
      </c>
      <c r="R254" s="21" t="inlineStr"/>
      <c r="S254" s="21" t="inlineStr">
        <is>
          <t>suelenmondador@bb.com.br</t>
        </is>
      </c>
      <c r="T254" s="21" t="inlineStr">
        <is>
          <t>email verified by Apollo</t>
        </is>
      </c>
      <c r="U254" s="22" t="n">
        <v>1456767.85</v>
      </c>
      <c r="V254" s="32" t="inlineStr">
        <is>
          <t>U</t>
        </is>
      </c>
      <c r="W254" s="24">
        <f>IFERROR(VLOOKUP(V254,Assumptions!$A$7:$F$11,2,FALSE),0)</f>
        <v/>
      </c>
      <c r="X254" s="25">
        <f>IF(V254="A",MAX(1,IFERROR(VLOOKUP(V254,Assumptions!$A$7:$F$11,3,FALSE),3)+IFERROR(VLOOKUP(V254,Assumptions!$A$7:$F$11,4,FALSE),8)/2-MAX(0,IF(AO254="",0,YEAR(TODAY())-AO254)-IFERROR(VLOOKUP(V254,Assumptions!$A$7:$F$11,5,FALSE),1.5))),IFERROR(VLOOKUP(V254,Assumptions!$A$7:$F$11,5,FALSE),2.5)+IFERROR(VLOOKUP(V254,Assumptions!$A$7:$F$11,3,FALSE),3)+IFERROR(VLOOKUP(V254,Assumptions!$A$7:$F$11,4,FALSE),8)/2)</f>
        <v/>
      </c>
      <c r="Y254" s="22">
        <f>U254*W254/(1+Assumptions!$B$3)^X254</f>
        <v/>
      </c>
      <c r="Z254" s="26">
        <f>IF(U254=0,"",ROUND(Y254/U254*100,1))</f>
        <v/>
      </c>
      <c r="AA254" s="27">
        <f>Y254*Assumptions!$B$4</f>
        <v/>
      </c>
      <c r="AB254" s="26">
        <f>IF(U254=0,"",ROUND(AA254/U254*100,1))</f>
        <v/>
      </c>
      <c r="AC254" s="27">
        <f>Y254-AA254</f>
        <v/>
      </c>
      <c r="AD254" s="26">
        <f>IF(U254=0,"",ROUND((Y254-AA254)/U254*100,1))</f>
        <v/>
      </c>
      <c r="AE254" s="28" t="inlineStr">
        <is>
          <t>OK — totals reconciled</t>
        </is>
      </c>
      <c r="AF254" s="29" t="inlineStr">
        <is>
          <t>http://bernardobicalho.com.br/login/app/documents/Rela%C3%A7%C3%A3o%20de%20Credores/6.%20RVC-%20Nutricium%20-%20simplificada.pdf</t>
        </is>
      </c>
      <c r="AG254" s="28" t="inlineStr">
        <is>
          <t>p3 r3</t>
        </is>
      </c>
      <c r="AH254" s="28" t="inlineStr">
        <is>
          <t>p3: R$ 1.456.767,85</t>
        </is>
      </c>
      <c r="AI254" s="28" t="inlineStr">
        <is>
          <t>AJ list (art. 7 §2)</t>
        </is>
      </c>
      <c r="AJ254" s="28" t="inlineStr"/>
      <c r="AK254" s="28" t="inlineStr">
        <is>
          <t>NONE FOUND</t>
        </is>
      </c>
      <c r="AL254" s="30" t="inlineStr">
        <is>
          <t>(not printed)</t>
        </is>
      </c>
      <c r="AM254" s="30" t="inlineStr"/>
      <c r="AN254" s="30" t="inlineStr"/>
      <c r="AO254" s="30" t="inlineStr"/>
      <c r="AP254" s="30" t="inlineStr">
        <is>
          <t>RJ case number not identified on the document</t>
        </is>
      </c>
      <c r="AQ254" s="30" t="inlineStr"/>
      <c r="AR254" s="30" t="inlineStr">
        <is>
          <t>not identified</t>
        </is>
      </c>
      <c r="AS254" s="30" t="inlineStr">
        <is>
          <t>BRASILIA</t>
        </is>
      </c>
      <c r="AT254" s="30" t="inlineStr">
        <is>
          <t>DF</t>
        </is>
      </c>
      <c r="AU254" s="30" t="inlineStr">
        <is>
          <t>Bancos múltiplos, com carteira comercial</t>
        </is>
      </c>
      <c r="AV254" s="30" t="inlineStr">
        <is>
          <t>DEMAIS</t>
        </is>
      </c>
      <c r="AW254" s="31" t="n">
        <v>120000000000</v>
      </c>
      <c r="AX254" s="30" t="inlineStr">
        <is>
          <t>LARGE CORP</t>
        </is>
      </c>
      <c r="AY254" s="30" t="inlineStr">
        <is>
          <t>00000000</t>
        </is>
      </c>
      <c r="AZ254" s="30" t="n">
        <v>1</v>
      </c>
      <c r="BA254" s="30" t="inlineStr">
        <is>
          <t>CASE_NUMBER_MISSING LIKELY_FINANCIAL_BY_NAME ROWS:p3r3</t>
        </is>
      </c>
    </row>
    <row r="255">
      <c r="A255" s="16" t="inlineStr">
        <is>
          <t>BANCO SANTANDER (BRASIL) S.A.</t>
        </is>
      </c>
      <c r="B255" s="17" t="n">
        <v>3015539.04</v>
      </c>
      <c r="C255" s="18" t="inlineStr">
        <is>
          <t>CONSTRUTORA ANDRADE GUEDES LTDA</t>
        </is>
      </c>
      <c r="D255" s="19" t="inlineStr">
        <is>
          <t>NEW</t>
        </is>
      </c>
      <c r="E255" s="20" t="inlineStr"/>
      <c r="F255" s="19" t="inlineStr"/>
      <c r="G255" s="20" t="inlineStr"/>
      <c r="H255" s="19" t="inlineStr"/>
      <c r="I255" s="21" t="inlineStr">
        <is>
          <t>Igor Puertas</t>
        </is>
      </c>
      <c r="J255" s="21" t="inlineStr">
        <is>
          <t>Distressed Assets | NPL</t>
        </is>
      </c>
      <c r="K255" s="21" t="inlineStr">
        <is>
          <t>(11) 4004-3535</t>
        </is>
      </c>
      <c r="L255" s="21" t="inlineStr"/>
      <c r="M255" s="21" t="inlineStr"/>
      <c r="N255" s="21" t="inlineStr">
        <is>
          <t>igor.puertas@santander.com.br</t>
        </is>
      </c>
      <c r="O255" s="21" t="inlineStr">
        <is>
          <t>antonio.pequeno.junior@santander.com.br</t>
        </is>
      </c>
      <c r="P255" s="21" t="inlineStr">
        <is>
          <t>Antonio Junior</t>
        </is>
      </c>
      <c r="Q255" s="21" t="inlineStr">
        <is>
          <t>Superintendente Recuperação de Crédito</t>
        </is>
      </c>
      <c r="R255" s="21" t="inlineStr"/>
      <c r="S255" s="21" t="inlineStr">
        <is>
          <t>antonio.pequeno.junior@santander.com.br</t>
        </is>
      </c>
      <c r="T255" s="21" t="inlineStr">
        <is>
          <t>email verified by Apollo</t>
        </is>
      </c>
      <c r="U255" s="22" t="n">
        <v>3015539.04</v>
      </c>
      <c r="V255" s="38" t="inlineStr">
        <is>
          <t>C</t>
        </is>
      </c>
      <c r="W255" s="24">
        <f>IFERROR(VLOOKUP(V255,Assumptions!$A$7:$F$11,2,FALSE),0)</f>
        <v/>
      </c>
      <c r="X255" s="25">
        <f>IF(V255="A",MAX(1,IFERROR(VLOOKUP(V255,Assumptions!$A$7:$F$11,3,FALSE),3)+IFERROR(VLOOKUP(V255,Assumptions!$A$7:$F$11,4,FALSE),8)/2-MAX(0,IF(AO255="",0,YEAR(TODAY())-AO255)-IFERROR(VLOOKUP(V255,Assumptions!$A$7:$F$11,5,FALSE),1.5))),IFERROR(VLOOKUP(V255,Assumptions!$A$7:$F$11,5,FALSE),2.5)+IFERROR(VLOOKUP(V255,Assumptions!$A$7:$F$11,3,FALSE),3)+IFERROR(VLOOKUP(V255,Assumptions!$A$7:$F$11,4,FALSE),8)/2)</f>
        <v/>
      </c>
      <c r="Y255" s="22">
        <f>U255*W255/(1+Assumptions!$B$3)^X255</f>
        <v/>
      </c>
      <c r="Z255" s="26">
        <f>IF(U255=0,"",ROUND(Y255/U255*100,1))</f>
        <v/>
      </c>
      <c r="AA255" s="27">
        <f>Y255*Assumptions!$B$4</f>
        <v/>
      </c>
      <c r="AB255" s="26">
        <f>IF(U255=0,"",ROUND(AA255/U255*100,1))</f>
        <v/>
      </c>
      <c r="AC255" s="27">
        <f>Y255-AA255</f>
        <v/>
      </c>
      <c r="AD255" s="26">
        <f>IF(U255=0,"",ROUND((Y255-AA255)/U255*100,1))</f>
        <v/>
      </c>
      <c r="AE255" s="33" t="inlineStr">
        <is>
          <t>NO TOTALS — list prints none; check page</t>
        </is>
      </c>
      <c r="AF255" s="29" t="inlineStr">
        <is>
          <t>https://diligence.adm.br/wp-content/plugins/download-attachments/includes/download.php?id=4599</t>
        </is>
      </c>
      <c r="AG255" s="28" t="inlineStr">
        <is>
          <t>p10 r8</t>
        </is>
      </c>
      <c r="AH255" s="28" t="inlineStr">
        <is>
          <t>p10: R$ 3.015.539,04</t>
        </is>
      </c>
      <c r="AI255" s="28" t="inlineStr">
        <is>
          <t>AJ list (art. 7 §2)</t>
        </is>
      </c>
      <c r="AJ255" s="28" t="inlineStr">
        <is>
          <t>2024-06-25</t>
        </is>
      </c>
      <c r="AK255" s="28" t="inlineStr">
        <is>
          <t>NONE FOUND</t>
        </is>
      </c>
      <c r="AL255" s="30" t="inlineStr">
        <is>
          <t>0000880-57.2020.8.17.2001</t>
        </is>
      </c>
      <c r="AM255" s="30" t="inlineStr">
        <is>
          <t>TJPE</t>
        </is>
      </c>
      <c r="AN255" s="30" t="inlineStr">
        <is>
          <t>ACTIVE</t>
        </is>
      </c>
      <c r="AO255" s="30" t="n">
        <v>2020</v>
      </c>
      <c r="AP255" s="30" t="inlineStr">
        <is>
          <t>6y since filing, no plan document</t>
        </is>
      </c>
      <c r="AQ255" s="30" t="inlineStr">
        <is>
          <t>08.073.264/0001-87</t>
        </is>
      </c>
      <c r="AR255" s="30" t="inlineStr">
        <is>
          <t>printed on the list (read twice)</t>
        </is>
      </c>
      <c r="AS255" s="30" t="inlineStr">
        <is>
          <t>SAO PAULO</t>
        </is>
      </c>
      <c r="AT255" s="30" t="inlineStr">
        <is>
          <t>SP</t>
        </is>
      </c>
      <c r="AU255" s="30" t="inlineStr">
        <is>
          <t>Bancos múltiplos, com carteira comercial</t>
        </is>
      </c>
      <c r="AV255" s="30" t="inlineStr">
        <is>
          <t>DEMAIS</t>
        </is>
      </c>
      <c r="AW255" s="31" t="n">
        <v>65000000000</v>
      </c>
      <c r="AX255" s="30" t="inlineStr">
        <is>
          <t>LARGE CORP</t>
        </is>
      </c>
      <c r="AY255" s="30" t="inlineStr">
        <is>
          <t>90400888</t>
        </is>
      </c>
      <c r="AZ255" s="30" t="n">
        <v>1</v>
      </c>
      <c r="BA255" s="30" t="inlineStr">
        <is>
          <t>ALT_VALUE:R$15.539,04 ALT_VALUE:R$3.000.000,00 LIKELY_FINANCIAL_BY_NAME ROWS:p10r8 UNRECONCILED_SOURCE VALUE_COL:2ª_Lista</t>
        </is>
      </c>
    </row>
    <row r="256">
      <c r="A256" s="16" t="inlineStr">
        <is>
          <t>BANCO SANTANDER (BRASIL) S.A.</t>
        </is>
      </c>
      <c r="B256" s="17" t="n">
        <v>5449019.47</v>
      </c>
      <c r="C256" s="18" t="inlineStr">
        <is>
          <t>Mannes</t>
        </is>
      </c>
      <c r="D256" s="19" t="inlineStr">
        <is>
          <t>NEW</t>
        </is>
      </c>
      <c r="E256" s="20" t="inlineStr"/>
      <c r="F256" s="19" t="inlineStr"/>
      <c r="G256" s="20" t="inlineStr"/>
      <c r="H256" s="19" t="inlineStr"/>
      <c r="I256" s="21" t="inlineStr">
        <is>
          <t>Igor Puertas</t>
        </is>
      </c>
      <c r="J256" s="21" t="inlineStr">
        <is>
          <t>Distressed Assets | NPL</t>
        </is>
      </c>
      <c r="K256" s="21" t="inlineStr">
        <is>
          <t>(11) 4004-3535</t>
        </is>
      </c>
      <c r="L256" s="21" t="inlineStr"/>
      <c r="M256" s="21" t="inlineStr"/>
      <c r="N256" s="21" t="inlineStr">
        <is>
          <t>igor.puertas@santander.com.br</t>
        </is>
      </c>
      <c r="O256" s="21" t="inlineStr">
        <is>
          <t>antonio.pequeno.junior@santander.com.br</t>
        </is>
      </c>
      <c r="P256" s="21" t="inlineStr">
        <is>
          <t>Antonio Junior</t>
        </is>
      </c>
      <c r="Q256" s="21" t="inlineStr">
        <is>
          <t>Superintendente Recuperação de Crédito</t>
        </is>
      </c>
      <c r="R256" s="21" t="inlineStr"/>
      <c r="S256" s="21" t="inlineStr">
        <is>
          <t>antonio.pequeno.junior@santander.com.br</t>
        </is>
      </c>
      <c r="T256" s="21" t="inlineStr">
        <is>
          <t>email verified by Apollo</t>
        </is>
      </c>
      <c r="U256" s="22" t="n">
        <v>5449019.47</v>
      </c>
      <c r="V256" s="39" t="inlineStr">
        <is>
          <t>D</t>
        </is>
      </c>
      <c r="W256" s="24">
        <f>IFERROR(VLOOKUP(V256,Assumptions!$A$7:$F$11,2,FALSE),0)</f>
        <v/>
      </c>
      <c r="X256" s="25">
        <f>IF(V256="A",MAX(1,IFERROR(VLOOKUP(V256,Assumptions!$A$7:$F$11,3,FALSE),3)+IFERROR(VLOOKUP(V256,Assumptions!$A$7:$F$11,4,FALSE),8)/2-MAX(0,IF(AO256="",0,YEAR(TODAY())-AO256)-IFERROR(VLOOKUP(V256,Assumptions!$A$7:$F$11,5,FALSE),1.5))),IFERROR(VLOOKUP(V256,Assumptions!$A$7:$F$11,5,FALSE),2.5)+IFERROR(VLOOKUP(V256,Assumptions!$A$7:$F$11,3,FALSE),3)+IFERROR(VLOOKUP(V256,Assumptions!$A$7:$F$11,4,FALSE),8)/2)</f>
        <v/>
      </c>
      <c r="Y256" s="22">
        <f>U256*W256/(1+Assumptions!$B$3)^X256</f>
        <v/>
      </c>
      <c r="Z256" s="26">
        <f>IF(U256=0,"",ROUND(Y256/U256*100,1))</f>
        <v/>
      </c>
      <c r="AA256" s="27">
        <f>Y256*Assumptions!$B$4</f>
        <v/>
      </c>
      <c r="AB256" s="26">
        <f>IF(U256=0,"",ROUND(AA256/U256*100,1))</f>
        <v/>
      </c>
      <c r="AC256" s="27">
        <f>Y256-AA256</f>
        <v/>
      </c>
      <c r="AD256" s="26">
        <f>IF(U256=0,"",ROUND((Y256-AA256)/U256*100,1))</f>
        <v/>
      </c>
      <c r="AE256" s="36" t="inlineStr">
        <is>
          <t>CHECK — source is not a statutory creditor list</t>
        </is>
      </c>
      <c r="AF256" s="29" t="inlineStr">
        <is>
          <t>https://administradorajudicialgs.com.br/wp-content/uploads/2024/12/relacao-de-credores-da-falida.pdf</t>
        </is>
      </c>
      <c r="AG256" s="28" t="inlineStr">
        <is>
          <t>p13 r9</t>
        </is>
      </c>
      <c r="AH256" s="28" t="inlineStr">
        <is>
          <t>p13: R$ 5.449.019,47</t>
        </is>
      </c>
      <c r="AI256" s="28" t="inlineStr">
        <is>
          <t>Other filing — NOT an art. 7/51 list</t>
        </is>
      </c>
      <c r="AJ256" s="28" t="inlineStr">
        <is>
          <t>2025-03-25</t>
        </is>
      </c>
      <c r="AK256" s="28" t="inlineStr">
        <is>
          <t>NONE FOUND</t>
        </is>
      </c>
      <c r="AL256" s="30" t="inlineStr">
        <is>
          <t>0005010-50.2013.8.24.0026</t>
        </is>
      </c>
      <c r="AM256" s="30" t="inlineStr">
        <is>
          <t>TJSC</t>
        </is>
      </c>
      <c r="AN256" s="30" t="inlineStr"/>
      <c r="AO256" s="30" t="n">
        <v>2013</v>
      </c>
      <c r="AP256" s="30" t="inlineStr">
        <is>
          <t>document is a falência (bankruptcy) list</t>
        </is>
      </c>
      <c r="AQ256" s="30" t="inlineStr"/>
      <c r="AR256" s="30" t="inlineStr">
        <is>
          <t>printed on the list (read twice)</t>
        </is>
      </c>
      <c r="AS256" s="30" t="inlineStr">
        <is>
          <t>SAO PAULO</t>
        </is>
      </c>
      <c r="AT256" s="30" t="inlineStr">
        <is>
          <t>SP</t>
        </is>
      </c>
      <c r="AU256" s="30" t="inlineStr">
        <is>
          <t>Bancos múltiplos, com carteira comercial</t>
        </is>
      </c>
      <c r="AV256" s="30" t="inlineStr">
        <is>
          <t>DEMAIS</t>
        </is>
      </c>
      <c r="AW256" s="31" t="n">
        <v>65000000000</v>
      </c>
      <c r="AX256" s="30" t="inlineStr">
        <is>
          <t>LARGE CORP</t>
        </is>
      </c>
      <c r="AY256" s="30" t="inlineStr">
        <is>
          <t>90400888</t>
        </is>
      </c>
      <c r="AZ256" s="30" t="n">
        <v>1</v>
      </c>
      <c r="BA256" s="30" t="inlineStr">
        <is>
          <t>LIKELY_FINANCIAL_BY_NAME ROWS:p13r9 UNRECONCILED_SOURCE CASE_NUMBER_CORRECTED</t>
        </is>
      </c>
    </row>
    <row r="257">
      <c r="A257" s="16" t="inlineStr">
        <is>
          <t>NOVA S.R.M. ADMINISTRACAO DE RECURSOS E FINANCAS S/A</t>
        </is>
      </c>
      <c r="B257" s="17" t="n">
        <v>758973.08</v>
      </c>
      <c r="C257" s="18" t="inlineStr">
        <is>
          <t>GRUPO DP4</t>
        </is>
      </c>
      <c r="D257" s="19" t="inlineStr">
        <is>
          <t>NEW</t>
        </is>
      </c>
      <c r="E257" s="20" t="inlineStr"/>
      <c r="F257" s="19" t="inlineStr"/>
      <c r="G257" s="20" t="inlineStr"/>
      <c r="H257" s="19" t="inlineStr"/>
      <c r="I257" s="21" t="inlineStr">
        <is>
          <t>AQUILES FELDMAN</t>
        </is>
      </c>
      <c r="J257" s="21" t="inlineStr">
        <is>
          <t>Diretor (RFB partner)</t>
        </is>
      </c>
      <c r="K257" s="21" t="inlineStr">
        <is>
          <t>(11) 3334-2100</t>
        </is>
      </c>
      <c r="L257" s="21" t="inlineStr">
        <is>
          <t>(11) 3334-2151</t>
        </is>
      </c>
      <c r="M257" s="21" t="inlineStr"/>
      <c r="N257" s="21" t="inlineStr"/>
      <c r="O257" s="21" t="inlineStr"/>
      <c r="P257" s="21" t="inlineStr">
        <is>
          <t>EDUARDO VIEIRA DE SIQUEIRA</t>
        </is>
      </c>
      <c r="Q257" s="21" t="inlineStr">
        <is>
          <t>Diretor (RFB partner)</t>
        </is>
      </c>
      <c r="R257" s="21" t="inlineStr"/>
      <c r="S257" s="21" t="inlineStr"/>
      <c r="T257" s="21" t="inlineStr">
        <is>
          <t>RFB partner (QSA); no Apollo match</t>
        </is>
      </c>
      <c r="U257" s="22" t="n">
        <v>758973.08</v>
      </c>
      <c r="V257" s="23" t="inlineStr">
        <is>
          <t>B</t>
        </is>
      </c>
      <c r="W257" s="24">
        <f>IFERROR(VLOOKUP(V257,Assumptions!$A$7:$F$11,2,FALSE),0)</f>
        <v/>
      </c>
      <c r="X257" s="25">
        <f>IF(V257="A",MAX(1,IFERROR(VLOOKUP(V257,Assumptions!$A$7:$F$11,3,FALSE),3)+IFERROR(VLOOKUP(V257,Assumptions!$A$7:$F$11,4,FALSE),8)/2-MAX(0,IF(AO257="",0,YEAR(TODAY())-AO257)-IFERROR(VLOOKUP(V257,Assumptions!$A$7:$F$11,5,FALSE),1.5))),IFERROR(VLOOKUP(V257,Assumptions!$A$7:$F$11,5,FALSE),2.5)+IFERROR(VLOOKUP(V257,Assumptions!$A$7:$F$11,3,FALSE),3)+IFERROR(VLOOKUP(V257,Assumptions!$A$7:$F$11,4,FALSE),8)/2)</f>
        <v/>
      </c>
      <c r="Y257" s="22">
        <f>U257*W257/(1+Assumptions!$B$3)^X257</f>
        <v/>
      </c>
      <c r="Z257" s="26">
        <f>IF(U257=0,"",ROUND(Y257/U257*100,1))</f>
        <v/>
      </c>
      <c r="AA257" s="27">
        <f>Y257*Assumptions!$B$4</f>
        <v/>
      </c>
      <c r="AB257" s="26">
        <f>IF(U257=0,"",ROUND(AA257/U257*100,1))</f>
        <v/>
      </c>
      <c r="AC257" s="27">
        <f>Y257-AA257</f>
        <v/>
      </c>
      <c r="AD257" s="26">
        <f>IF(U257=0,"",ROUND((Y257-AA257)/U257*100,1))</f>
        <v/>
      </c>
      <c r="AE257" s="34" t="inlineStr">
        <is>
          <t>PARTIAL — class III reconciled, other classes not</t>
        </is>
      </c>
      <c r="AF257" s="29" t="inlineStr">
        <is>
          <t>https://marquesadmjudicial.com.br/sgc/download.php?file=files/processo_documento/processo_documento15293208032024_1_.pdf&amp;nome=Relação Nominal de Credores da AJ-Sintética</t>
        </is>
      </c>
      <c r="AG257" s="28" t="inlineStr">
        <is>
          <t>p29 r12</t>
        </is>
      </c>
      <c r="AH257" s="28" t="inlineStr">
        <is>
          <t>p29: R$ 758.973,08</t>
        </is>
      </c>
      <c r="AI257" s="28" t="inlineStr">
        <is>
          <t>AJ list (art. 7 §2)</t>
        </is>
      </c>
      <c r="AJ257" s="28" t="inlineStr">
        <is>
          <t>2023-03-02</t>
        </is>
      </c>
      <c r="AK257" s="28" t="inlineStr">
        <is>
          <t>NONE FOUND</t>
        </is>
      </c>
      <c r="AL257" s="30" t="inlineStr">
        <is>
          <t>0005010-98.2023.8.16.0001</t>
        </is>
      </c>
      <c r="AM257" s="30" t="inlineStr">
        <is>
          <t>TJPR</t>
        </is>
      </c>
      <c r="AN257" s="30" t="inlineStr">
        <is>
          <t>ACTIVE</t>
        </is>
      </c>
      <c r="AO257" s="30" t="n">
        <v>2023</v>
      </c>
      <c r="AP257" s="30" t="inlineStr">
        <is>
          <t>live case, no plan document yet</t>
        </is>
      </c>
      <c r="AQ257" s="30" t="inlineStr"/>
      <c r="AR257" s="30" t="inlineStr">
        <is>
          <t>printed on the list (read twice)</t>
        </is>
      </c>
      <c r="AS257" s="30" t="inlineStr">
        <is>
          <t>SAO PAULO</t>
        </is>
      </c>
      <c r="AT257" s="30" t="inlineStr">
        <is>
          <t>SP</t>
        </is>
      </c>
      <c r="AU257" s="30" t="inlineStr">
        <is>
          <t>Atividades de administração de fundos por contrato ou comissão</t>
        </is>
      </c>
      <c r="AV257" s="30" t="inlineStr">
        <is>
          <t>DEMAIS</t>
        </is>
      </c>
      <c r="AW257" s="31" t="n">
        <v>12006000</v>
      </c>
      <c r="AX257" s="30" t="inlineStr">
        <is>
          <t>MID-MARKET</t>
        </is>
      </c>
      <c r="AY257" s="30" t="inlineStr">
        <is>
          <t>11504852</t>
        </is>
      </c>
      <c r="AZ257" s="30" t="n">
        <v>1</v>
      </c>
      <c r="BA257" s="30" t="inlineStr">
        <is>
          <t>PARTIAL_DOC_CLASS_III_RECONCILED ROWS:p29r12</t>
        </is>
      </c>
    </row>
    <row r="258">
      <c r="A258" s="16" t="inlineStr">
        <is>
          <t>ASIA FIDC</t>
        </is>
      </c>
      <c r="B258" s="17" t="n">
        <v>758759.36</v>
      </c>
      <c r="C258" s="18" t="inlineStr">
        <is>
          <t>Grupo Conduscabos</t>
        </is>
      </c>
      <c r="D258" s="19" t="inlineStr">
        <is>
          <t>NEW</t>
        </is>
      </c>
      <c r="E258" s="20" t="inlineStr"/>
      <c r="F258" s="19" t="inlineStr"/>
      <c r="G258" s="20" t="inlineStr"/>
      <c r="H258" s="19" t="inlineStr"/>
      <c r="I258" s="21" t="inlineStr"/>
      <c r="J258" s="21" t="inlineStr"/>
      <c r="K258" s="21" t="inlineStr"/>
      <c r="L258" s="21" t="inlineStr"/>
      <c r="M258" s="21" t="inlineStr"/>
      <c r="N258" s="21" t="inlineStr"/>
      <c r="O258" s="21" t="inlineStr"/>
      <c r="P258" s="21" t="inlineStr"/>
      <c r="Q258" s="21" t="inlineStr"/>
      <c r="R258" s="21" t="inlineStr"/>
      <c r="S258" s="21" t="inlineStr"/>
      <c r="T258" s="21" t="inlineStr">
        <is>
          <t>no named contact found</t>
        </is>
      </c>
      <c r="U258" s="22" t="n">
        <v>758759.36</v>
      </c>
      <c r="V258" s="23" t="inlineStr">
        <is>
          <t>B</t>
        </is>
      </c>
      <c r="W258" s="24">
        <f>IFERROR(VLOOKUP(V258,Assumptions!$A$7:$F$11,2,FALSE),0)</f>
        <v/>
      </c>
      <c r="X258" s="25">
        <f>IF(V258="A",MAX(1,IFERROR(VLOOKUP(V258,Assumptions!$A$7:$F$11,3,FALSE),3)+IFERROR(VLOOKUP(V258,Assumptions!$A$7:$F$11,4,FALSE),8)/2-MAX(0,IF(AO258="",0,YEAR(TODAY())-AO258)-IFERROR(VLOOKUP(V258,Assumptions!$A$7:$F$11,5,FALSE),1.5))),IFERROR(VLOOKUP(V258,Assumptions!$A$7:$F$11,5,FALSE),2.5)+IFERROR(VLOOKUP(V258,Assumptions!$A$7:$F$11,3,FALSE),3)+IFERROR(VLOOKUP(V258,Assumptions!$A$7:$F$11,4,FALSE),8)/2)</f>
        <v/>
      </c>
      <c r="Y258" s="22">
        <f>U258*W258/(1+Assumptions!$B$3)^X258</f>
        <v/>
      </c>
      <c r="Z258" s="26">
        <f>IF(U258=0,"",ROUND(Y258/U258*100,1))</f>
        <v/>
      </c>
      <c r="AA258" s="27">
        <f>Y258*Assumptions!$B$4</f>
        <v/>
      </c>
      <c r="AB258" s="26">
        <f>IF(U258=0,"",ROUND(AA258/U258*100,1))</f>
        <v/>
      </c>
      <c r="AC258" s="27">
        <f>Y258-AA258</f>
        <v/>
      </c>
      <c r="AD258" s="26">
        <f>IF(U258=0,"",ROUND((Y258-AA258)/U258*100,1))</f>
        <v/>
      </c>
      <c r="AE258" s="33" t="inlineStr">
        <is>
          <t>NO TOTALS — list prints none; check page</t>
        </is>
      </c>
      <c r="AF258" s="29" t="inlineStr">
        <is>
          <t>https://assistjud.com.br/wp-content/uploads/elementor/forms/65098c80a5824.pdf</t>
        </is>
      </c>
      <c r="AG258" s="28" t="inlineStr">
        <is>
          <t>p5 r5</t>
        </is>
      </c>
      <c r="AH258" s="28" t="inlineStr">
        <is>
          <t>p5: R$ 758.759,36</t>
        </is>
      </c>
      <c r="AI258" s="28" t="inlineStr">
        <is>
          <t>AJ list (art. 7 §2)</t>
        </is>
      </c>
      <c r="AJ258" s="28" t="inlineStr">
        <is>
          <t>2023-09-18</t>
        </is>
      </c>
      <c r="AK258" s="28" t="inlineStr">
        <is>
          <t>NONE FOUND</t>
        </is>
      </c>
      <c r="AL258" s="30" t="inlineStr">
        <is>
          <t>8005129-09.2023.8.05.0039</t>
        </is>
      </c>
      <c r="AM258" s="30" t="inlineStr">
        <is>
          <t>TJBA</t>
        </is>
      </c>
      <c r="AN258" s="30" t="inlineStr">
        <is>
          <t>ACTIVE</t>
        </is>
      </c>
      <c r="AO258" s="30" t="n">
        <v>2023</v>
      </c>
      <c r="AP258" s="30" t="inlineStr">
        <is>
          <t>live case, no plan document yet</t>
        </is>
      </c>
      <c r="AQ258" s="30" t="inlineStr"/>
      <c r="AR258" s="30" t="inlineStr">
        <is>
          <t>printed on the list (read twice)</t>
        </is>
      </c>
      <c r="AS258" s="30" t="inlineStr"/>
      <c r="AT258" s="30" t="inlineStr"/>
      <c r="AU258" s="30" t="inlineStr"/>
      <c r="AV258" s="30" t="inlineStr"/>
      <c r="AW258" s="31" t="inlineStr"/>
      <c r="AX258" s="30" t="inlineStr">
        <is>
          <t>MID-MARKET</t>
        </is>
      </c>
      <c r="AY258" s="30" t="inlineStr">
        <is>
          <t>09172117</t>
        </is>
      </c>
      <c r="AZ258" s="30" t="n">
        <v>1</v>
      </c>
      <c r="BA258" s="30" t="inlineStr">
        <is>
          <t>LIKELY_FINANCIAL_BY_NAME ROWS:p5r5 UNRECONCILED_SOURCE VALUE_COL:Valor_Do_Crédito_2º_Edital_De_Credores</t>
        </is>
      </c>
    </row>
    <row r="259">
      <c r="A259" s="16" t="inlineStr">
        <is>
          <t>Mr Fundo De Investimento Em Direitos Creditorios</t>
        </is>
      </c>
      <c r="B259" s="17" t="n">
        <v>750053.4</v>
      </c>
      <c r="C259" s="18" t="inlineStr">
        <is>
          <t>Grupo Agromeal</t>
        </is>
      </c>
      <c r="D259" s="19" t="inlineStr">
        <is>
          <t>NEW</t>
        </is>
      </c>
      <c r="E259" s="20" t="inlineStr"/>
      <c r="F259" s="19" t="inlineStr"/>
      <c r="G259" s="20" t="inlineStr"/>
      <c r="H259" s="19" t="inlineStr"/>
      <c r="I259" s="21" t="inlineStr">
        <is>
          <t>Juliana Rodrigues</t>
        </is>
      </c>
      <c r="J259" s="21" t="inlineStr">
        <is>
          <t>Gerente de Crédito e Cobrança</t>
        </is>
      </c>
      <c r="K259" s="21" t="inlineStr"/>
      <c r="L259" s="21" t="inlineStr"/>
      <c r="M259" s="21" t="inlineStr"/>
      <c r="N259" s="21" t="inlineStr">
        <is>
          <t>juliana.rodrigues@mrfidc.com.br</t>
        </is>
      </c>
      <c r="O259" s="21" t="inlineStr">
        <is>
          <t>gustavo.abud@mrfidc.com.br</t>
        </is>
      </c>
      <c r="P259" s="21" t="inlineStr">
        <is>
          <t>Gustavo Abud</t>
        </is>
      </c>
      <c r="Q259" s="21" t="inlineStr">
        <is>
          <t>Coordenador de Cobrança Jr</t>
        </is>
      </c>
      <c r="R259" s="21" t="inlineStr"/>
      <c r="S259" s="21" t="inlineStr">
        <is>
          <t>gustavo.abud@mrfidc.com.br</t>
        </is>
      </c>
      <c r="T259" s="21" t="inlineStr">
        <is>
          <t>DM verified email; VERIFY org: MR FIDC (generic name); email verified by Apollo</t>
        </is>
      </c>
      <c r="U259" s="22" t="n">
        <v>750053.4</v>
      </c>
      <c r="V259" s="23" t="inlineStr">
        <is>
          <t>B</t>
        </is>
      </c>
      <c r="W259" s="24">
        <f>IFERROR(VLOOKUP(V259,Assumptions!$A$7:$F$11,2,FALSE),0)</f>
        <v/>
      </c>
      <c r="X259" s="25">
        <f>IF(V259="A",MAX(1,IFERROR(VLOOKUP(V259,Assumptions!$A$7:$F$11,3,FALSE),3)+IFERROR(VLOOKUP(V259,Assumptions!$A$7:$F$11,4,FALSE),8)/2-MAX(0,IF(AO259="",0,YEAR(TODAY())-AO259)-IFERROR(VLOOKUP(V259,Assumptions!$A$7:$F$11,5,FALSE),1.5))),IFERROR(VLOOKUP(V259,Assumptions!$A$7:$F$11,5,FALSE),2.5)+IFERROR(VLOOKUP(V259,Assumptions!$A$7:$F$11,3,FALSE),3)+IFERROR(VLOOKUP(V259,Assumptions!$A$7:$F$11,4,FALSE),8)/2)</f>
        <v/>
      </c>
      <c r="Y259" s="22">
        <f>U259*W259/(1+Assumptions!$B$3)^X259</f>
        <v/>
      </c>
      <c r="Z259" s="26">
        <f>IF(U259=0,"",ROUND(Y259/U259*100,1))</f>
        <v/>
      </c>
      <c r="AA259" s="27">
        <f>Y259*Assumptions!$B$4</f>
        <v/>
      </c>
      <c r="AB259" s="26">
        <f>IF(U259=0,"",ROUND(AA259/U259*100,1))</f>
        <v/>
      </c>
      <c r="AC259" s="27">
        <f>Y259-AA259</f>
        <v/>
      </c>
      <c r="AD259" s="26">
        <f>IF(U259=0,"",ROUND((Y259-AA259)/U259*100,1))</f>
        <v/>
      </c>
      <c r="AE259" s="34" t="inlineStr">
        <is>
          <t>PARTIAL — class III reconciled, other classes not</t>
        </is>
      </c>
      <c r="AF259" s="29" t="inlineStr">
        <is>
          <t>https://marquesadmjudicial.com.br/sgc/download.php?file=files/processo_documento/processo_documento17040729052024_1_.pdf&amp;nome=Relação Nominal de Credores AJ-Sintética</t>
        </is>
      </c>
      <c r="AG259" s="28" t="inlineStr">
        <is>
          <t>p12 r8</t>
        </is>
      </c>
      <c r="AH259" s="28" t="inlineStr">
        <is>
          <t>p12: R$ 750.053,40</t>
        </is>
      </c>
      <c r="AI259" s="28" t="inlineStr">
        <is>
          <t>AJ list (art. 7 §2)</t>
        </is>
      </c>
      <c r="AJ259" s="28" t="inlineStr">
        <is>
          <t>2024-05-27</t>
        </is>
      </c>
      <c r="AK259" s="28" t="inlineStr">
        <is>
          <t>NONE FOUND</t>
        </is>
      </c>
      <c r="AL259" s="30" t="inlineStr">
        <is>
          <t>0003971-03.2023.8.16.0119</t>
        </is>
      </c>
      <c r="AM259" s="30" t="inlineStr">
        <is>
          <t>TJPR</t>
        </is>
      </c>
      <c r="AN259" s="30" t="inlineStr">
        <is>
          <t>ACTIVE</t>
        </is>
      </c>
      <c r="AO259" s="30" t="n">
        <v>2023</v>
      </c>
      <c r="AP259" s="30" t="inlineStr">
        <is>
          <t>live case, no plan document yet</t>
        </is>
      </c>
      <c r="AQ259" s="30" t="inlineStr">
        <is>
          <t>11.624.776/0001-07</t>
        </is>
      </c>
      <c r="AR259" s="30" t="inlineStr">
        <is>
          <t>printed on the list (read twice)</t>
        </is>
      </c>
      <c r="AS259" s="30" t="inlineStr"/>
      <c r="AT259" s="30" t="inlineStr"/>
      <c r="AU259" s="30" t="inlineStr"/>
      <c r="AV259" s="30" t="inlineStr"/>
      <c r="AW259" s="31" t="inlineStr"/>
      <c r="AX259" s="30" t="inlineStr">
        <is>
          <t>MID-MARKET</t>
        </is>
      </c>
      <c r="AY259" s="30" t="inlineStr">
        <is>
          <t>22175405</t>
        </is>
      </c>
      <c r="AZ259" s="30" t="n">
        <v>1</v>
      </c>
      <c r="BA259" s="30" t="inlineStr">
        <is>
          <t>LIKELY_FINANCIAL_BY_NAME PARTIAL_DOC_CLASS_III_RECONCILED ROWS:p12r8</t>
        </is>
      </c>
    </row>
    <row r="260">
      <c r="A260" s="16" t="inlineStr">
        <is>
          <t>BANCO DO BRASIL SA</t>
        </is>
      </c>
      <c r="B260" s="17" t="n">
        <v>5244189.11</v>
      </c>
      <c r="C260" s="18" t="inlineStr">
        <is>
          <t>Mannes</t>
        </is>
      </c>
      <c r="D260" s="19" t="inlineStr">
        <is>
          <t>NEW</t>
        </is>
      </c>
      <c r="E260" s="20" t="inlineStr"/>
      <c r="F260" s="19" t="inlineStr"/>
      <c r="G260" s="20" t="inlineStr"/>
      <c r="H260" s="19" t="inlineStr"/>
      <c r="I260" s="21" t="inlineStr">
        <is>
          <t>Thiago Cavichioli</t>
        </is>
      </c>
      <c r="J260" s="21" t="inlineStr">
        <is>
          <t>Gerente de Cobrança e Recuperação de Crédito</t>
        </is>
      </c>
      <c r="K260" s="21" t="inlineStr">
        <is>
          <t>(61) 3493-9002</t>
        </is>
      </c>
      <c r="L260" s="21" t="inlineStr"/>
      <c r="M260" s="21" t="inlineStr"/>
      <c r="N260" s="21" t="inlineStr">
        <is>
          <t>thiago.cavichioli@bb.com.br</t>
        </is>
      </c>
      <c r="O260" s="21" t="inlineStr">
        <is>
          <t>suelenmondador@bb.com.br</t>
        </is>
      </c>
      <c r="P260" s="21" t="inlineStr">
        <is>
          <t>Suelen Mondador</t>
        </is>
      </c>
      <c r="Q260" s="21" t="inlineStr">
        <is>
          <t>Gerente Especialista em Recuperação de Crédito</t>
        </is>
      </c>
      <c r="R260" s="21" t="inlineStr"/>
      <c r="S260" s="21" t="inlineStr">
        <is>
          <t>suelenmondador@bb.com.br</t>
        </is>
      </c>
      <c r="T260" s="21" t="inlineStr">
        <is>
          <t>email verified by Apollo</t>
        </is>
      </c>
      <c r="U260" s="22" t="n">
        <v>5244189.11</v>
      </c>
      <c r="V260" s="39" t="inlineStr">
        <is>
          <t>D</t>
        </is>
      </c>
      <c r="W260" s="24">
        <f>IFERROR(VLOOKUP(V260,Assumptions!$A$7:$F$11,2,FALSE),0)</f>
        <v/>
      </c>
      <c r="X260" s="25">
        <f>IF(V260="A",MAX(1,IFERROR(VLOOKUP(V260,Assumptions!$A$7:$F$11,3,FALSE),3)+IFERROR(VLOOKUP(V260,Assumptions!$A$7:$F$11,4,FALSE),8)/2-MAX(0,IF(AO260="",0,YEAR(TODAY())-AO260)-IFERROR(VLOOKUP(V260,Assumptions!$A$7:$F$11,5,FALSE),1.5))),IFERROR(VLOOKUP(V260,Assumptions!$A$7:$F$11,5,FALSE),2.5)+IFERROR(VLOOKUP(V260,Assumptions!$A$7:$F$11,3,FALSE),3)+IFERROR(VLOOKUP(V260,Assumptions!$A$7:$F$11,4,FALSE),8)/2)</f>
        <v/>
      </c>
      <c r="Y260" s="22">
        <f>U260*W260/(1+Assumptions!$B$3)^X260</f>
        <v/>
      </c>
      <c r="Z260" s="26">
        <f>IF(U260=0,"",ROUND(Y260/U260*100,1))</f>
        <v/>
      </c>
      <c r="AA260" s="27">
        <f>Y260*Assumptions!$B$4</f>
        <v/>
      </c>
      <c r="AB260" s="26">
        <f>IF(U260=0,"",ROUND(AA260/U260*100,1))</f>
        <v/>
      </c>
      <c r="AC260" s="27">
        <f>Y260-AA260</f>
        <v/>
      </c>
      <c r="AD260" s="26">
        <f>IF(U260=0,"",ROUND((Y260-AA260)/U260*100,1))</f>
        <v/>
      </c>
      <c r="AE260" s="36" t="inlineStr">
        <is>
          <t>CHECK — source is not a statutory creditor list</t>
        </is>
      </c>
      <c r="AF260" s="29" t="inlineStr">
        <is>
          <t>https://administradorajudicialgs.com.br/wp-content/uploads/2024/12/relacao-de-credores-da-falida.pdf</t>
        </is>
      </c>
      <c r="AG260" s="28" t="inlineStr">
        <is>
          <t>p13 r4</t>
        </is>
      </c>
      <c r="AH260" s="28" t="inlineStr">
        <is>
          <t>p13: R$ 5.244.189,11</t>
        </is>
      </c>
      <c r="AI260" s="28" t="inlineStr">
        <is>
          <t>Other filing — NOT an art. 7/51 list</t>
        </is>
      </c>
      <c r="AJ260" s="28" t="inlineStr">
        <is>
          <t>2025-03-25</t>
        </is>
      </c>
      <c r="AK260" s="28" t="inlineStr">
        <is>
          <t>NONE FOUND</t>
        </is>
      </c>
      <c r="AL260" s="30" t="inlineStr">
        <is>
          <t>0005010-50.2013.8.24.0026</t>
        </is>
      </c>
      <c r="AM260" s="30" t="inlineStr">
        <is>
          <t>TJSC</t>
        </is>
      </c>
      <c r="AN260" s="30" t="inlineStr"/>
      <c r="AO260" s="30" t="n">
        <v>2013</v>
      </c>
      <c r="AP260" s="30" t="inlineStr">
        <is>
          <t>document is a falência (bankruptcy) list</t>
        </is>
      </c>
      <c r="AQ260" s="30" t="inlineStr"/>
      <c r="AR260" s="30" t="inlineStr">
        <is>
          <t>printed on the list (read twice)</t>
        </is>
      </c>
      <c r="AS260" s="30" t="inlineStr">
        <is>
          <t>BRASILIA</t>
        </is>
      </c>
      <c r="AT260" s="30" t="inlineStr">
        <is>
          <t>DF</t>
        </is>
      </c>
      <c r="AU260" s="30" t="inlineStr">
        <is>
          <t>Bancos múltiplos, com carteira comercial</t>
        </is>
      </c>
      <c r="AV260" s="30" t="inlineStr">
        <is>
          <t>DEMAIS</t>
        </is>
      </c>
      <c r="AW260" s="31" t="n">
        <v>120000000000</v>
      </c>
      <c r="AX260" s="30" t="inlineStr">
        <is>
          <t>LARGE CORP</t>
        </is>
      </c>
      <c r="AY260" s="30" t="inlineStr">
        <is>
          <t>00000000</t>
        </is>
      </c>
      <c r="AZ260" s="30" t="n">
        <v>1</v>
      </c>
      <c r="BA260" s="30" t="inlineStr">
        <is>
          <t>LIKELY_FINANCIAL_BY_NAME ROWS:p13r4 UNRECONCILED_SOURCE CASE_NUMBER_CORRECTED</t>
        </is>
      </c>
    </row>
    <row r="261">
      <c r="A261" s="16" t="inlineStr">
        <is>
          <t>COOPERATIVA DE CREDITO MAXI ALFA DE LIVRE ADMISSAO DE ASSOCIADOS - SICOOB MAXICREDITO</t>
        </is>
      </c>
      <c r="B261" s="17" t="n">
        <v>722007.6800000001</v>
      </c>
      <c r="C261" s="18" t="inlineStr">
        <is>
          <t>Alto Uruguai Indústria e Comércio de Óleos Ltda</t>
        </is>
      </c>
      <c r="D261" s="19" t="inlineStr">
        <is>
          <t>NEW</t>
        </is>
      </c>
      <c r="E261" s="20" t="inlineStr"/>
      <c r="F261" s="19" t="inlineStr"/>
      <c r="G261" s="20" t="inlineStr"/>
      <c r="H261" s="19" t="inlineStr"/>
      <c r="I261" s="21" t="inlineStr">
        <is>
          <t>Ana Masetti</t>
        </is>
      </c>
      <c r="J261" s="21" t="inlineStr">
        <is>
          <t>Coordenador de Cobranca e Recuperacao de Crédito</t>
        </is>
      </c>
      <c r="K261" s="21" t="inlineStr"/>
      <c r="L261" s="21" t="inlineStr"/>
      <c r="M261" s="21" t="inlineStr"/>
      <c r="N261" s="21" t="inlineStr">
        <is>
          <t>ana.masetti@maxicredito.coop.br</t>
        </is>
      </c>
      <c r="O261" s="21" t="inlineStr">
        <is>
          <t>luiz.piva@maxicredito.coop.br</t>
        </is>
      </c>
      <c r="P261" s="21" t="inlineStr">
        <is>
          <t>Luiz Piva</t>
        </is>
      </c>
      <c r="Q261" s="21" t="inlineStr">
        <is>
          <t>Gerente de Estratégia de Crédito</t>
        </is>
      </c>
      <c r="R261" s="21" t="inlineStr"/>
      <c r="S261" s="21" t="inlineStr">
        <is>
          <t>luiz.piva@maxicredito.coop.br</t>
        </is>
      </c>
      <c r="T261" s="21" t="inlineStr">
        <is>
          <t>email verified by Apollo</t>
        </is>
      </c>
      <c r="U261" s="22" t="n">
        <v>722007.6800000001</v>
      </c>
      <c r="V261" s="23" t="inlineStr">
        <is>
          <t>B</t>
        </is>
      </c>
      <c r="W261" s="24">
        <f>IFERROR(VLOOKUP(V261,Assumptions!$A$7:$F$11,2,FALSE),0)</f>
        <v/>
      </c>
      <c r="X261" s="25">
        <f>IF(V261="A",MAX(1,IFERROR(VLOOKUP(V261,Assumptions!$A$7:$F$11,3,FALSE),3)+IFERROR(VLOOKUP(V261,Assumptions!$A$7:$F$11,4,FALSE),8)/2-MAX(0,IF(AO261="",0,YEAR(TODAY())-AO261)-IFERROR(VLOOKUP(V261,Assumptions!$A$7:$F$11,5,FALSE),1.5))),IFERROR(VLOOKUP(V261,Assumptions!$A$7:$F$11,5,FALSE),2.5)+IFERROR(VLOOKUP(V261,Assumptions!$A$7:$F$11,3,FALSE),3)+IFERROR(VLOOKUP(V261,Assumptions!$A$7:$F$11,4,FALSE),8)/2)</f>
        <v/>
      </c>
      <c r="Y261" s="22">
        <f>U261*W261/(1+Assumptions!$B$3)^X261</f>
        <v/>
      </c>
      <c r="Z261" s="26">
        <f>IF(U261=0,"",ROUND(Y261/U261*100,1))</f>
        <v/>
      </c>
      <c r="AA261" s="27">
        <f>Y261*Assumptions!$B$4</f>
        <v/>
      </c>
      <c r="AB261" s="26">
        <f>IF(U261=0,"",ROUND(AA261/U261*100,1))</f>
        <v/>
      </c>
      <c r="AC261" s="27">
        <f>Y261-AA261</f>
        <v/>
      </c>
      <c r="AD261" s="26">
        <f>IF(U261=0,"",ROUND((Y261-AA261)/U261*100,1))</f>
        <v/>
      </c>
      <c r="AE261" s="28" t="inlineStr">
        <is>
          <t>OK — totals reconciled</t>
        </is>
      </c>
      <c r="AF261" s="29" t="inlineStr">
        <is>
          <t>https://ajruiz.com.br/sites/default/files/public/arquivos-processos/2026-06/alto_uruguai_qgc_junho.2026.pdf</t>
        </is>
      </c>
      <c r="AG261" s="28" t="inlineStr">
        <is>
          <t>p1 r19</t>
        </is>
      </c>
      <c r="AH261" s="28" t="inlineStr">
        <is>
          <t>p1: R$ 722.007,68</t>
        </is>
      </c>
      <c r="AI261" s="28" t="inlineStr">
        <is>
          <t>Unclassified list</t>
        </is>
      </c>
      <c r="AJ261" s="28" t="inlineStr"/>
      <c r="AK261" s="28" t="inlineStr">
        <is>
          <t>NONE FOUND</t>
        </is>
      </c>
      <c r="AL261" s="30" t="inlineStr">
        <is>
          <t>5012743-51.2023.8.24.0019</t>
        </is>
      </c>
      <c r="AM261" s="30" t="inlineStr">
        <is>
          <t>TJSC</t>
        </is>
      </c>
      <c r="AN261" s="30" t="inlineStr">
        <is>
          <t>ACTIVE</t>
        </is>
      </c>
      <c r="AO261" s="30" t="n">
        <v>2023</v>
      </c>
      <c r="AP261" s="30" t="inlineStr">
        <is>
          <t>live case, no plan document yet</t>
        </is>
      </c>
      <c r="AQ261" s="30" t="inlineStr"/>
      <c r="AR261" s="30" t="inlineStr">
        <is>
          <t>printed on the list (read twice)</t>
        </is>
      </c>
      <c r="AS261" s="30" t="inlineStr"/>
      <c r="AT261" s="30" t="inlineStr"/>
      <c r="AU261" s="30" t="inlineStr"/>
      <c r="AV261" s="30" t="inlineStr"/>
      <c r="AW261" s="31" t="inlineStr"/>
      <c r="AX261" s="30" t="inlineStr">
        <is>
          <t>MID-MARKET</t>
        </is>
      </c>
      <c r="AY261" s="30" t="inlineStr">
        <is>
          <t>78825270</t>
        </is>
      </c>
      <c r="AZ261" s="30" t="n">
        <v>1</v>
      </c>
      <c r="BA261" s="30" t="inlineStr">
        <is>
          <t>LIKELY_FINANCIAL_BY_NAME ROWS:p1r19 VALUE_COL:Valor_Do_Crédito</t>
        </is>
      </c>
    </row>
    <row r="262">
      <c r="A262" s="16" t="inlineStr">
        <is>
          <t>BANCO SANTANDER (BRASIL) S.A.</t>
        </is>
      </c>
      <c r="B262" s="17" t="n">
        <v>720900.58</v>
      </c>
      <c r="C262" s="18" t="inlineStr">
        <is>
          <t>Grupo Agromeal</t>
        </is>
      </c>
      <c r="D262" s="19" t="inlineStr">
        <is>
          <t>NEW</t>
        </is>
      </c>
      <c r="E262" s="20" t="inlineStr"/>
      <c r="F262" s="19" t="inlineStr"/>
      <c r="G262" s="20" t="inlineStr"/>
      <c r="H262" s="19" t="inlineStr"/>
      <c r="I262" s="21" t="inlineStr">
        <is>
          <t>Igor Puertas</t>
        </is>
      </c>
      <c r="J262" s="21" t="inlineStr">
        <is>
          <t>Distressed Assets | NPL</t>
        </is>
      </c>
      <c r="K262" s="21" t="inlineStr">
        <is>
          <t>(11) 4004-3535</t>
        </is>
      </c>
      <c r="L262" s="21" t="inlineStr"/>
      <c r="M262" s="21" t="inlineStr"/>
      <c r="N262" s="21" t="inlineStr">
        <is>
          <t>igor.puertas@santander.com.br</t>
        </is>
      </c>
      <c r="O262" s="21" t="inlineStr">
        <is>
          <t>antonio.pequeno.junior@santander.com.br</t>
        </is>
      </c>
      <c r="P262" s="21" t="inlineStr">
        <is>
          <t>Antonio Junior</t>
        </is>
      </c>
      <c r="Q262" s="21" t="inlineStr">
        <is>
          <t>Superintendente Recuperação de Crédito</t>
        </is>
      </c>
      <c r="R262" s="21" t="inlineStr"/>
      <c r="S262" s="21" t="inlineStr">
        <is>
          <t>antonio.pequeno.junior@santander.com.br</t>
        </is>
      </c>
      <c r="T262" s="21" t="inlineStr">
        <is>
          <t>email verified by Apollo</t>
        </is>
      </c>
      <c r="U262" s="22" t="n">
        <v>720900.58</v>
      </c>
      <c r="V262" s="23" t="inlineStr">
        <is>
          <t>B</t>
        </is>
      </c>
      <c r="W262" s="24">
        <f>IFERROR(VLOOKUP(V262,Assumptions!$A$7:$F$11,2,FALSE),0)</f>
        <v/>
      </c>
      <c r="X262" s="25">
        <f>IF(V262="A",MAX(1,IFERROR(VLOOKUP(V262,Assumptions!$A$7:$F$11,3,FALSE),3)+IFERROR(VLOOKUP(V262,Assumptions!$A$7:$F$11,4,FALSE),8)/2-MAX(0,IF(AO262="",0,YEAR(TODAY())-AO262)-IFERROR(VLOOKUP(V262,Assumptions!$A$7:$F$11,5,FALSE),1.5))),IFERROR(VLOOKUP(V262,Assumptions!$A$7:$F$11,5,FALSE),2.5)+IFERROR(VLOOKUP(V262,Assumptions!$A$7:$F$11,3,FALSE),3)+IFERROR(VLOOKUP(V262,Assumptions!$A$7:$F$11,4,FALSE),8)/2)</f>
        <v/>
      </c>
      <c r="Y262" s="22">
        <f>U262*W262/(1+Assumptions!$B$3)^X262</f>
        <v/>
      </c>
      <c r="Z262" s="26">
        <f>IF(U262=0,"",ROUND(Y262/U262*100,1))</f>
        <v/>
      </c>
      <c r="AA262" s="27">
        <f>Y262*Assumptions!$B$4</f>
        <v/>
      </c>
      <c r="AB262" s="26">
        <f>IF(U262=0,"",ROUND(AA262/U262*100,1))</f>
        <v/>
      </c>
      <c r="AC262" s="27">
        <f>Y262-AA262</f>
        <v/>
      </c>
      <c r="AD262" s="26">
        <f>IF(U262=0,"",ROUND((Y262-AA262)/U262*100,1))</f>
        <v/>
      </c>
      <c r="AE262" s="34" t="inlineStr">
        <is>
          <t>PARTIAL — class III reconciled, other classes not</t>
        </is>
      </c>
      <c r="AF262" s="29" t="inlineStr">
        <is>
          <t>https://marquesadmjudicial.com.br/sgc/download.php?file=files/processo_documento/processo_documento17040729052024_1_.pdf&amp;nome=Relação Nominal de Credores AJ-Sintética</t>
        </is>
      </c>
      <c r="AG262" s="28" t="inlineStr">
        <is>
          <t>p10 r6</t>
        </is>
      </c>
      <c r="AH262" s="28" t="inlineStr">
        <is>
          <t>p10: R$ 720.900,58</t>
        </is>
      </c>
      <c r="AI262" s="28" t="inlineStr">
        <is>
          <t>AJ list (art. 7 §2)</t>
        </is>
      </c>
      <c r="AJ262" s="28" t="inlineStr">
        <is>
          <t>2024-05-27</t>
        </is>
      </c>
      <c r="AK262" s="28" t="inlineStr">
        <is>
          <t>NONE FOUND</t>
        </is>
      </c>
      <c r="AL262" s="30" t="inlineStr">
        <is>
          <t>0003971-03.2023.8.16.0119</t>
        </is>
      </c>
      <c r="AM262" s="30" t="inlineStr">
        <is>
          <t>TJPR</t>
        </is>
      </c>
      <c r="AN262" s="30" t="inlineStr">
        <is>
          <t>ACTIVE</t>
        </is>
      </c>
      <c r="AO262" s="30" t="n">
        <v>2023</v>
      </c>
      <c r="AP262" s="30" t="inlineStr">
        <is>
          <t>live case, no plan document yet</t>
        </is>
      </c>
      <c r="AQ262" s="30" t="inlineStr">
        <is>
          <t>11.624.776/0001-07</t>
        </is>
      </c>
      <c r="AR262" s="30" t="inlineStr">
        <is>
          <t>printed on the list (read twice)</t>
        </is>
      </c>
      <c r="AS262" s="30" t="inlineStr">
        <is>
          <t>SAO PAULO</t>
        </is>
      </c>
      <c r="AT262" s="30" t="inlineStr">
        <is>
          <t>SP</t>
        </is>
      </c>
      <c r="AU262" s="30" t="inlineStr">
        <is>
          <t>Bancos múltiplos, com carteira comercial</t>
        </is>
      </c>
      <c r="AV262" s="30" t="inlineStr">
        <is>
          <t>DEMAIS</t>
        </is>
      </c>
      <c r="AW262" s="31" t="n">
        <v>65000000000</v>
      </c>
      <c r="AX262" s="30" t="inlineStr">
        <is>
          <t>LARGE CORP</t>
        </is>
      </c>
      <c r="AY262" s="30" t="inlineStr">
        <is>
          <t>90400888</t>
        </is>
      </c>
      <c r="AZ262" s="30" t="n">
        <v>1</v>
      </c>
      <c r="BA262" s="30" t="inlineStr">
        <is>
          <t>LIKELY_FINANCIAL_BY_NAME PARTIAL_DOC_CLASS_III_RECONCILED ROWS:p10r6</t>
        </is>
      </c>
    </row>
    <row r="263">
      <c r="A263" s="16" t="inlineStr">
        <is>
          <t>CNP Consorcio S.A. Administradora De Consorcios</t>
        </is>
      </c>
      <c r="B263" s="17" t="n">
        <v>713320.8199999999</v>
      </c>
      <c r="C263" s="18" t="inlineStr">
        <is>
          <t>GRUPO DP4</t>
        </is>
      </c>
      <c r="D263" s="19" t="inlineStr">
        <is>
          <t>NEW</t>
        </is>
      </c>
      <c r="E263" s="20" t="inlineStr"/>
      <c r="F263" s="19" t="inlineStr"/>
      <c r="G263" s="20" t="inlineStr"/>
      <c r="H263" s="19" t="inlineStr"/>
      <c r="I263" s="21" t="inlineStr">
        <is>
          <t>Mariana Starling</t>
        </is>
      </c>
      <c r="J263" s="21" t="inlineStr">
        <is>
          <t>Operations</t>
        </is>
      </c>
      <c r="K263" s="21" t="inlineStr"/>
      <c r="L263" s="21" t="inlineStr"/>
      <c r="M263" s="21" t="inlineStr"/>
      <c r="N263" s="21" t="inlineStr">
        <is>
          <t>mariana.cordeiro@cnpseguradora.com.br</t>
        </is>
      </c>
      <c r="O263" s="21" t="inlineStr"/>
      <c r="P263" s="21" t="inlineStr"/>
      <c r="Q263" s="21" t="inlineStr"/>
      <c r="R263" s="21" t="inlineStr"/>
      <c r="S263" s="21" t="inlineStr"/>
      <c r="T263" s="21" t="inlineStr">
        <is>
          <t>email verified by Apollo</t>
        </is>
      </c>
      <c r="U263" s="22" t="n">
        <v>713320.8199999999</v>
      </c>
      <c r="V263" s="23" t="inlineStr">
        <is>
          <t>B</t>
        </is>
      </c>
      <c r="W263" s="24">
        <f>IFERROR(VLOOKUP(V263,Assumptions!$A$7:$F$11,2,FALSE),0)</f>
        <v/>
      </c>
      <c r="X263" s="25">
        <f>IF(V263="A",MAX(1,IFERROR(VLOOKUP(V263,Assumptions!$A$7:$F$11,3,FALSE),3)+IFERROR(VLOOKUP(V263,Assumptions!$A$7:$F$11,4,FALSE),8)/2-MAX(0,IF(AO263="",0,YEAR(TODAY())-AO263)-IFERROR(VLOOKUP(V263,Assumptions!$A$7:$F$11,5,FALSE),1.5))),IFERROR(VLOOKUP(V263,Assumptions!$A$7:$F$11,5,FALSE),2.5)+IFERROR(VLOOKUP(V263,Assumptions!$A$7:$F$11,3,FALSE),3)+IFERROR(VLOOKUP(V263,Assumptions!$A$7:$F$11,4,FALSE),8)/2)</f>
        <v/>
      </c>
      <c r="Y263" s="22">
        <f>U263*W263/(1+Assumptions!$B$3)^X263</f>
        <v/>
      </c>
      <c r="Z263" s="26">
        <f>IF(U263=0,"",ROUND(Y263/U263*100,1))</f>
        <v/>
      </c>
      <c r="AA263" s="27">
        <f>Y263*Assumptions!$B$4</f>
        <v/>
      </c>
      <c r="AB263" s="26">
        <f>IF(U263=0,"",ROUND(AA263/U263*100,1))</f>
        <v/>
      </c>
      <c r="AC263" s="27">
        <f>Y263-AA263</f>
        <v/>
      </c>
      <c r="AD263" s="26">
        <f>IF(U263=0,"",ROUND((Y263-AA263)/U263*100,1))</f>
        <v/>
      </c>
      <c r="AE263" s="34" t="inlineStr">
        <is>
          <t>PARTIAL — class III reconciled, other classes not</t>
        </is>
      </c>
      <c r="AF263" s="29" t="inlineStr">
        <is>
          <t>https://marquesadmjudicial.com.br/sgc/download.php?file=files/processo_documento/processo_documento15293208032024_1_.pdf&amp;nome=Relação Nominal de Credores da AJ-Sintética</t>
        </is>
      </c>
      <c r="AG263" s="28" t="inlineStr">
        <is>
          <t>p23 r8</t>
        </is>
      </c>
      <c r="AH263" s="28" t="inlineStr">
        <is>
          <t>p23: R$ 713.320,82</t>
        </is>
      </c>
      <c r="AI263" s="28" t="inlineStr">
        <is>
          <t>AJ list (art. 7 §2)</t>
        </is>
      </c>
      <c r="AJ263" s="28" t="inlineStr">
        <is>
          <t>2023-03-02</t>
        </is>
      </c>
      <c r="AK263" s="28" t="inlineStr">
        <is>
          <t>NONE FOUND</t>
        </is>
      </c>
      <c r="AL263" s="30" t="inlineStr">
        <is>
          <t>0005010-98.2023.8.16.0001</t>
        </is>
      </c>
      <c r="AM263" s="30" t="inlineStr">
        <is>
          <t>TJPR</t>
        </is>
      </c>
      <c r="AN263" s="30" t="inlineStr">
        <is>
          <t>ACTIVE</t>
        </is>
      </c>
      <c r="AO263" s="30" t="n">
        <v>2023</v>
      </c>
      <c r="AP263" s="30" t="inlineStr">
        <is>
          <t>live case, no plan document yet</t>
        </is>
      </c>
      <c r="AQ263" s="30" t="inlineStr"/>
      <c r="AR263" s="30" t="inlineStr">
        <is>
          <t>printed on the list (read twice)</t>
        </is>
      </c>
      <c r="AS263" s="30" t="inlineStr"/>
      <c r="AT263" s="30" t="inlineStr"/>
      <c r="AU263" s="30" t="inlineStr"/>
      <c r="AV263" s="30" t="inlineStr"/>
      <c r="AW263" s="31" t="inlineStr"/>
      <c r="AX263" s="30" t="inlineStr">
        <is>
          <t>MID-MARKET</t>
        </is>
      </c>
      <c r="AY263" s="30" t="inlineStr">
        <is>
          <t>05349595</t>
        </is>
      </c>
      <c r="AZ263" s="30" t="n">
        <v>1</v>
      </c>
      <c r="BA263" s="30" t="inlineStr">
        <is>
          <t>LIKELY_FINANCIAL_BY_NAME PARTIAL_DOC_CLASS_III_RECONCILED ROWS:p23r8</t>
        </is>
      </c>
    </row>
    <row r="264">
      <c r="A264" s="16" t="inlineStr">
        <is>
          <t>ALFA FUNDO DE INVET EM DIREITOS CREDITORIOS MULTISSETOR</t>
        </is>
      </c>
      <c r="B264" s="17" t="n">
        <v>713186.5</v>
      </c>
      <c r="C264" s="18" t="inlineStr">
        <is>
          <t>GRUPO DIVINA</t>
        </is>
      </c>
      <c r="D264" s="19" t="inlineStr">
        <is>
          <t>NEW</t>
        </is>
      </c>
      <c r="E264" s="20" t="inlineStr"/>
      <c r="F264" s="19" t="inlineStr"/>
      <c r="G264" s="20" t="inlineStr"/>
      <c r="H264" s="19" t="inlineStr"/>
      <c r="I264" s="21" t="inlineStr"/>
      <c r="J264" s="21" t="inlineStr"/>
      <c r="K264" s="21" t="inlineStr"/>
      <c r="L264" s="21" t="inlineStr"/>
      <c r="M264" s="21" t="inlineStr"/>
      <c r="N264" s="21" t="inlineStr"/>
      <c r="O264" s="21" t="inlineStr"/>
      <c r="P264" s="21" t="inlineStr"/>
      <c r="Q264" s="21" t="inlineStr"/>
      <c r="R264" s="21" t="inlineStr"/>
      <c r="S264" s="21" t="inlineStr"/>
      <c r="T264" s="21" t="inlineStr">
        <is>
          <t>no named contact found</t>
        </is>
      </c>
      <c r="U264" s="22" t="n">
        <v>713186.5</v>
      </c>
      <c r="V264" s="23" t="inlineStr">
        <is>
          <t>B</t>
        </is>
      </c>
      <c r="W264" s="24">
        <f>IFERROR(VLOOKUP(V264,Assumptions!$A$7:$F$11,2,FALSE),0)</f>
        <v/>
      </c>
      <c r="X264" s="25">
        <f>IF(V264="A",MAX(1,IFERROR(VLOOKUP(V264,Assumptions!$A$7:$F$11,3,FALSE),3)+IFERROR(VLOOKUP(V264,Assumptions!$A$7:$F$11,4,FALSE),8)/2-MAX(0,IF(AO264="",0,YEAR(TODAY())-AO264)-IFERROR(VLOOKUP(V264,Assumptions!$A$7:$F$11,5,FALSE),1.5))),IFERROR(VLOOKUP(V264,Assumptions!$A$7:$F$11,5,FALSE),2.5)+IFERROR(VLOOKUP(V264,Assumptions!$A$7:$F$11,3,FALSE),3)+IFERROR(VLOOKUP(V264,Assumptions!$A$7:$F$11,4,FALSE),8)/2)</f>
        <v/>
      </c>
      <c r="Y264" s="22">
        <f>U264*W264/(1+Assumptions!$B$3)^X264</f>
        <v/>
      </c>
      <c r="Z264" s="26">
        <f>IF(U264=0,"",ROUND(Y264/U264*100,1))</f>
        <v/>
      </c>
      <c r="AA264" s="27">
        <f>Y264*Assumptions!$B$4</f>
        <v/>
      </c>
      <c r="AB264" s="26">
        <f>IF(U264=0,"",ROUND(AA264/U264*100,1))</f>
        <v/>
      </c>
      <c r="AC264" s="27">
        <f>Y264-AA264</f>
        <v/>
      </c>
      <c r="AD264" s="26">
        <f>IF(U264=0,"",ROUND((Y264-AA264)/U264*100,1))</f>
        <v/>
      </c>
      <c r="AE264" s="34" t="inlineStr">
        <is>
          <t>PARTIAL — class III reconciled, other classes not</t>
        </is>
      </c>
      <c r="AF264" s="29" t="inlineStr">
        <is>
          <t>https://lrflideres.com.br/wp-content/plugins/download-attachments/includes/download.php?id=6252</t>
        </is>
      </c>
      <c r="AG264" s="28" t="inlineStr">
        <is>
          <t>p2 r5</t>
        </is>
      </c>
      <c r="AH264" s="28" t="inlineStr">
        <is>
          <t>p2: R$ 713.186,50</t>
        </is>
      </c>
      <c r="AI264" s="28" t="inlineStr">
        <is>
          <t>AJ list (art. 7 §2)</t>
        </is>
      </c>
      <c r="AJ264" s="28" t="inlineStr">
        <is>
          <t>2024-11-27</t>
        </is>
      </c>
      <c r="AK264" s="28" t="inlineStr">
        <is>
          <t>NONE FOUND</t>
        </is>
      </c>
      <c r="AL264" s="30" t="inlineStr">
        <is>
          <t>0000721-61.2024.8.17.2620</t>
        </is>
      </c>
      <c r="AM264" s="30" t="inlineStr">
        <is>
          <t>TJPE</t>
        </is>
      </c>
      <c r="AN264" s="30" t="inlineStr">
        <is>
          <t>ACTIVE</t>
        </is>
      </c>
      <c r="AO264" s="30" t="n">
        <v>2024</v>
      </c>
      <c r="AP264" s="30" t="inlineStr">
        <is>
          <t>live case, no plan document yet</t>
        </is>
      </c>
      <c r="AQ264" s="30" t="inlineStr">
        <is>
          <t>08.785.522/0001-58</t>
        </is>
      </c>
      <c r="AR264" s="30" t="inlineStr">
        <is>
          <t>printed on the list (read twice)</t>
        </is>
      </c>
      <c r="AS264" s="30" t="inlineStr"/>
      <c r="AT264" s="30" t="inlineStr"/>
      <c r="AU264" s="30" t="inlineStr"/>
      <c r="AV264" s="30" t="inlineStr"/>
      <c r="AW264" s="31" t="inlineStr"/>
      <c r="AX264" s="30" t="inlineStr">
        <is>
          <t>MID-MARKET</t>
        </is>
      </c>
      <c r="AY264" s="30" t="inlineStr">
        <is>
          <t>11261368</t>
        </is>
      </c>
      <c r="AZ264" s="30" t="n">
        <v>1</v>
      </c>
      <c r="BA264" s="30" t="inlineStr">
        <is>
          <t>LIKELY_FINANCIAL_BY_NAME PARTIAL_DOC_CLASS_III_RECONCILED ROWS:p2r5</t>
        </is>
      </c>
    </row>
    <row r="265">
      <c r="A265" s="16" t="inlineStr">
        <is>
          <t>BANCO BRADESCO S.A.</t>
        </is>
      </c>
      <c r="B265" s="17" t="n">
        <v>710562.74</v>
      </c>
      <c r="C265" s="18" t="inlineStr">
        <is>
          <t>Grupo Battisti</t>
        </is>
      </c>
      <c r="D265" s="19" t="inlineStr">
        <is>
          <t>NEW</t>
        </is>
      </c>
      <c r="E265" s="20" t="inlineStr"/>
      <c r="F265" s="19" t="inlineStr"/>
      <c r="G265" s="20" t="inlineStr"/>
      <c r="H265" s="19" t="inlineStr"/>
      <c r="I265" s="21" t="inlineStr">
        <is>
          <t>Marcela Martins</t>
        </is>
      </c>
      <c r="J265" s="21" t="inlineStr">
        <is>
          <t>Superintendente de Recuperação de Crédito - Canais e Operações</t>
        </is>
      </c>
      <c r="K265" s="21" t="inlineStr">
        <is>
          <t>(11) 3684-5122</t>
        </is>
      </c>
      <c r="L265" s="21" t="inlineStr"/>
      <c r="M265" s="21" t="inlineStr"/>
      <c r="N265" s="21" t="inlineStr"/>
      <c r="O265" s="21" t="inlineStr">
        <is>
          <t>sl@bradesco.com.br</t>
        </is>
      </c>
      <c r="P265" s="21" t="inlineStr">
        <is>
          <t>Luis S</t>
        </is>
      </c>
      <c r="Q265" s="21" t="inlineStr">
        <is>
          <t>DRC - Departamento de Recuperação de Crédito - Gerente de Reestruturação de Crédito</t>
        </is>
      </c>
      <c r="R265" s="21" t="inlineStr"/>
      <c r="S265" s="21" t="inlineStr">
        <is>
          <t>sl@bradesco.com.br</t>
        </is>
      </c>
      <c r="T265" s="21" t="inlineStr">
        <is>
          <t>no work email found in Apollo</t>
        </is>
      </c>
      <c r="U265" s="22" t="n">
        <v>710562.74</v>
      </c>
      <c r="V265" s="23" t="inlineStr">
        <is>
          <t>B</t>
        </is>
      </c>
      <c r="W265" s="24">
        <f>IFERROR(VLOOKUP(V265,Assumptions!$A$7:$F$11,2,FALSE),0)</f>
        <v/>
      </c>
      <c r="X265" s="25">
        <f>IF(V265="A",MAX(1,IFERROR(VLOOKUP(V265,Assumptions!$A$7:$F$11,3,FALSE),3)+IFERROR(VLOOKUP(V265,Assumptions!$A$7:$F$11,4,FALSE),8)/2-MAX(0,IF(AO265="",0,YEAR(TODAY())-AO265)-IFERROR(VLOOKUP(V265,Assumptions!$A$7:$F$11,5,FALSE),1.5))),IFERROR(VLOOKUP(V265,Assumptions!$A$7:$F$11,5,FALSE),2.5)+IFERROR(VLOOKUP(V265,Assumptions!$A$7:$F$11,3,FALSE),3)+IFERROR(VLOOKUP(V265,Assumptions!$A$7:$F$11,4,FALSE),8)/2)</f>
        <v/>
      </c>
      <c r="Y265" s="22">
        <f>U265*W265/(1+Assumptions!$B$3)^X265</f>
        <v/>
      </c>
      <c r="Z265" s="26">
        <f>IF(U265=0,"",ROUND(Y265/U265*100,1))</f>
        <v/>
      </c>
      <c r="AA265" s="27">
        <f>Y265*Assumptions!$B$4</f>
        <v/>
      </c>
      <c r="AB265" s="26">
        <f>IF(U265=0,"",ROUND(AA265/U265*100,1))</f>
        <v/>
      </c>
      <c r="AC265" s="27">
        <f>Y265-AA265</f>
        <v/>
      </c>
      <c r="AD265" s="26">
        <f>IF(U265=0,"",ROUND((Y265-AA265)/U265*100,1))</f>
        <v/>
      </c>
      <c r="AE265" s="33" t="inlineStr">
        <is>
          <t>NO TOTALS — list prints none; check page</t>
        </is>
      </c>
      <c r="AF265" s="29" t="inlineStr">
        <is>
          <t>https://marquesadmjudicial.com.br/sgc/download.php?file=files/processo_documento/processo_documento10074612042024_1_.pdf&amp;nome=2º Edital-Relação de Credores AJ e PRJ</t>
        </is>
      </c>
      <c r="AG265" s="28" t="inlineStr">
        <is>
          <t>p1 r26</t>
        </is>
      </c>
      <c r="AH265" s="28" t="inlineStr">
        <is>
          <t>p1: R$ 710.562,74</t>
        </is>
      </c>
      <c r="AI265" s="28" t="inlineStr">
        <is>
          <t>AJ list (art. 7 §2)</t>
        </is>
      </c>
      <c r="AJ265" s="28" t="inlineStr">
        <is>
          <t>2024-01-12</t>
        </is>
      </c>
      <c r="AK265" s="28" t="inlineStr">
        <is>
          <t>NONE FOUND</t>
        </is>
      </c>
      <c r="AL265" s="30" t="inlineStr">
        <is>
          <t>0000357-17.2024.8.16.0131</t>
        </is>
      </c>
      <c r="AM265" s="30" t="inlineStr">
        <is>
          <t>TJPR</t>
        </is>
      </c>
      <c r="AN265" s="30" t="inlineStr">
        <is>
          <t>ACTIVE</t>
        </is>
      </c>
      <c r="AO265" s="30" t="n">
        <v>2024</v>
      </c>
      <c r="AP265" s="30" t="inlineStr">
        <is>
          <t>live case, no plan document yet</t>
        </is>
      </c>
      <c r="AQ265" s="30" t="inlineStr">
        <is>
          <t>12.433.661/0001-90</t>
        </is>
      </c>
      <c r="AR265" s="30" t="inlineStr">
        <is>
          <t>printed on the list (read twice)</t>
        </is>
      </c>
      <c r="AS265" s="30" t="inlineStr">
        <is>
          <t>OSASCO</t>
        </is>
      </c>
      <c r="AT265" s="30" t="inlineStr">
        <is>
          <t>SP</t>
        </is>
      </c>
      <c r="AU265" s="30" t="inlineStr">
        <is>
          <t>Bancos múltiplos, com carteira comercial</t>
        </is>
      </c>
      <c r="AV265" s="30" t="inlineStr">
        <is>
          <t>DEMAIS</t>
        </is>
      </c>
      <c r="AW265" s="31" t="n">
        <v>93770000000</v>
      </c>
      <c r="AX265" s="30" t="inlineStr">
        <is>
          <t>LARGE CORP</t>
        </is>
      </c>
      <c r="AY265" s="30" t="inlineStr">
        <is>
          <t>60746948</t>
        </is>
      </c>
      <c r="AZ265" s="30" t="n">
        <v>1</v>
      </c>
      <c r="BA265" s="30" t="inlineStr">
        <is>
          <t>LIKELY_FINANCIAL_BY_NAME ROWS:p1r26 UNRECONCILED_SOURCE</t>
        </is>
      </c>
    </row>
    <row r="266">
      <c r="A266" s="16" t="inlineStr">
        <is>
          <t>COOPERATIVA DE CREDITO UNICRED DESBRAVADORA LTDA - UNICRED DESBRAVADORA</t>
        </is>
      </c>
      <c r="B266" s="17" t="n">
        <v>706911.1800000001</v>
      </c>
      <c r="C266" s="18" t="inlineStr">
        <is>
          <t>AZEPLAST INDÚSTRIA E COMÉRCIO LTDA</t>
        </is>
      </c>
      <c r="D266" s="19" t="inlineStr">
        <is>
          <t>NEW</t>
        </is>
      </c>
      <c r="E266" s="20" t="inlineStr"/>
      <c r="F266" s="19" t="inlineStr"/>
      <c r="G266" s="20" t="inlineStr"/>
      <c r="H266" s="19" t="inlineStr"/>
      <c r="I266" s="21" t="inlineStr">
        <is>
          <t>Mileide Medeiros</t>
        </is>
      </c>
      <c r="J266" s="21" t="inlineStr">
        <is>
          <t>Gerente de Negócios na Unicred Desbravadora</t>
        </is>
      </c>
      <c r="K266" s="21" t="inlineStr"/>
      <c r="L266" s="21" t="inlineStr"/>
      <c r="M266" s="21" t="inlineStr"/>
      <c r="N266" s="21" t="inlineStr">
        <is>
          <t>mileide.klitzke@unicred.com.br</t>
        </is>
      </c>
      <c r="O266" s="21" t="inlineStr">
        <is>
          <t>volnei.borsatto@unicred.com.br</t>
        </is>
      </c>
      <c r="P266" s="21" t="inlineStr">
        <is>
          <t>Volnei Borsatto</t>
        </is>
      </c>
      <c r="Q266" s="21" t="inlineStr">
        <is>
          <t>Gerente Agencia Unicred Desbravadora</t>
        </is>
      </c>
      <c r="R266" s="21" t="inlineStr"/>
      <c r="S266" s="21" t="inlineStr">
        <is>
          <t>volnei.borsatto@unicred.com.br</t>
        </is>
      </c>
      <c r="T266" s="21" t="inlineStr">
        <is>
          <t>DM verified email; VERIFY org: Unicred - Núcleo Conexão; email verified by Apollo</t>
        </is>
      </c>
      <c r="U266" s="22" t="n">
        <v>706911.1800000001</v>
      </c>
      <c r="V266" s="23" t="inlineStr">
        <is>
          <t>B</t>
        </is>
      </c>
      <c r="W266" s="24">
        <f>IFERROR(VLOOKUP(V266,Assumptions!$A$7:$F$11,2,FALSE),0)</f>
        <v/>
      </c>
      <c r="X266" s="25">
        <f>IF(V266="A",MAX(1,IFERROR(VLOOKUP(V266,Assumptions!$A$7:$F$11,3,FALSE),3)+IFERROR(VLOOKUP(V266,Assumptions!$A$7:$F$11,4,FALSE),8)/2-MAX(0,IF(AO266="",0,YEAR(TODAY())-AO266)-IFERROR(VLOOKUP(V266,Assumptions!$A$7:$F$11,5,FALSE),1.5))),IFERROR(VLOOKUP(V266,Assumptions!$A$7:$F$11,5,FALSE),2.5)+IFERROR(VLOOKUP(V266,Assumptions!$A$7:$F$11,3,FALSE),3)+IFERROR(VLOOKUP(V266,Assumptions!$A$7:$F$11,4,FALSE),8)/2)</f>
        <v/>
      </c>
      <c r="Y266" s="22">
        <f>U266*W266/(1+Assumptions!$B$3)^X266</f>
        <v/>
      </c>
      <c r="Z266" s="26">
        <f>IF(U266=0,"",ROUND(Y266/U266*100,1))</f>
        <v/>
      </c>
      <c r="AA266" s="27">
        <f>Y266*Assumptions!$B$4</f>
        <v/>
      </c>
      <c r="AB266" s="26">
        <f>IF(U266=0,"",ROUND(AA266/U266*100,1))</f>
        <v/>
      </c>
      <c r="AC266" s="27">
        <f>Y266-AA266</f>
        <v/>
      </c>
      <c r="AD266" s="26">
        <f>IF(U266=0,"",ROUND((Y266-AA266)/U266*100,1))</f>
        <v/>
      </c>
      <c r="AE266" s="34" t="inlineStr">
        <is>
          <t>PARTIAL — class III reconciled, other classes not</t>
        </is>
      </c>
      <c r="AF266" s="29" t="inlineStr">
        <is>
          <t>https://ajruiz.com.br/sites/default/files/public/arquivos-processos/2026-08/qgc_azeplast_julho_2026.pdf</t>
        </is>
      </c>
      <c r="AG266" s="28" t="inlineStr">
        <is>
          <t>p1 r17</t>
        </is>
      </c>
      <c r="AH266" s="28" t="inlineStr">
        <is>
          <t>p1: R$ 706.911,18</t>
        </is>
      </c>
      <c r="AI266" s="28" t="inlineStr">
        <is>
          <t>QGC (art. 18)</t>
        </is>
      </c>
      <c r="AJ266" s="28" t="inlineStr"/>
      <c r="AK266" s="28" t="inlineStr">
        <is>
          <t>NONE FOUND</t>
        </is>
      </c>
      <c r="AL266" s="30" t="inlineStr">
        <is>
          <t>5008793-34.2023.8.24.0019</t>
        </is>
      </c>
      <c r="AM266" s="30" t="inlineStr">
        <is>
          <t>TJSC</t>
        </is>
      </c>
      <c r="AN266" s="30" t="inlineStr">
        <is>
          <t>ACTIVE</t>
        </is>
      </c>
      <c r="AO266" s="30" t="n">
        <v>2023</v>
      </c>
      <c r="AP266" s="30" t="inlineStr">
        <is>
          <t>live case, no plan document yet</t>
        </is>
      </c>
      <c r="AQ266" s="30" t="inlineStr">
        <is>
          <t>05.378.317/0001-80</t>
        </is>
      </c>
      <c r="AR266" s="30" t="inlineStr">
        <is>
          <t>printed on the list (read twice)</t>
        </is>
      </c>
      <c r="AS266" s="30" t="inlineStr"/>
      <c r="AT266" s="30" t="inlineStr"/>
      <c r="AU266" s="30" t="inlineStr"/>
      <c r="AV266" s="30" t="inlineStr"/>
      <c r="AW266" s="31" t="inlineStr"/>
      <c r="AX266" s="30" t="inlineStr">
        <is>
          <t>MID-MARKET</t>
        </is>
      </c>
      <c r="AY266" s="30" t="inlineStr">
        <is>
          <t>01039011</t>
        </is>
      </c>
      <c r="AZ266" s="30" t="n">
        <v>1</v>
      </c>
      <c r="BA266" s="30" t="inlineStr">
        <is>
          <t>LIKELY_FINANCIAL_BY_NAME PARTIAL_DOC_CLASS_III_RECONCILED ROWS:p1r17</t>
        </is>
      </c>
    </row>
    <row r="267">
      <c r="A267" s="16" t="inlineStr">
        <is>
          <t>PERSONAL FIF - CLASSE DE INVESTIMENTO MULTIMERCADO - RESP LIMITADA</t>
        </is>
      </c>
      <c r="B267" s="17" t="n">
        <v>705997.79</v>
      </c>
      <c r="C267" s="18" t="inlineStr">
        <is>
          <t>Grupo Rech</t>
        </is>
      </c>
      <c r="D267" s="19" t="inlineStr">
        <is>
          <t>NEW</t>
        </is>
      </c>
      <c r="E267" s="20" t="inlineStr"/>
      <c r="F267" s="19" t="inlineStr"/>
      <c r="G267" s="20" t="inlineStr"/>
      <c r="H267" s="19" t="inlineStr"/>
      <c r="I267" s="21" t="inlineStr"/>
      <c r="J267" s="21" t="inlineStr"/>
      <c r="K267" s="21" t="inlineStr">
        <is>
          <t>(11) 3684-5122</t>
        </is>
      </c>
      <c r="L267" s="21" t="inlineStr"/>
      <c r="M267" s="21" t="inlineStr"/>
      <c r="N267" s="21" t="inlineStr"/>
      <c r="O267" s="21" t="inlineStr"/>
      <c r="P267" s="21" t="inlineStr"/>
      <c r="Q267" s="21" t="inlineStr"/>
      <c r="R267" s="21" t="inlineStr"/>
      <c r="S267" s="21" t="inlineStr"/>
      <c r="T267" s="21" t="inlineStr">
        <is>
          <t>no named contact found</t>
        </is>
      </c>
      <c r="U267" s="22" t="n">
        <v>705997.79</v>
      </c>
      <c r="V267" s="23" t="inlineStr">
        <is>
          <t>B</t>
        </is>
      </c>
      <c r="W267" s="24">
        <f>IFERROR(VLOOKUP(V267,Assumptions!$A$7:$F$11,2,FALSE),0)</f>
        <v/>
      </c>
      <c r="X267" s="25">
        <f>IF(V267="A",MAX(1,IFERROR(VLOOKUP(V267,Assumptions!$A$7:$F$11,3,FALSE),3)+IFERROR(VLOOKUP(V267,Assumptions!$A$7:$F$11,4,FALSE),8)/2-MAX(0,IF(AO267="",0,YEAR(TODAY())-AO267)-IFERROR(VLOOKUP(V267,Assumptions!$A$7:$F$11,5,FALSE),1.5))),IFERROR(VLOOKUP(V267,Assumptions!$A$7:$F$11,5,FALSE),2.5)+IFERROR(VLOOKUP(V267,Assumptions!$A$7:$F$11,3,FALSE),3)+IFERROR(VLOOKUP(V267,Assumptions!$A$7:$F$11,4,FALSE),8)/2)</f>
        <v/>
      </c>
      <c r="Y267" s="22">
        <f>U267*W267/(1+Assumptions!$B$3)^X267</f>
        <v/>
      </c>
      <c r="Z267" s="26">
        <f>IF(U267=0,"",ROUND(Y267/U267*100,1))</f>
        <v/>
      </c>
      <c r="AA267" s="27">
        <f>Y267*Assumptions!$B$4</f>
        <v/>
      </c>
      <c r="AB267" s="26">
        <f>IF(U267=0,"",ROUND(AA267/U267*100,1))</f>
        <v/>
      </c>
      <c r="AC267" s="27">
        <f>Y267-AA267</f>
        <v/>
      </c>
      <c r="AD267" s="26">
        <f>IF(U267=0,"",ROUND((Y267-AA267)/U267*100,1))</f>
        <v/>
      </c>
      <c r="AE267" s="36" t="inlineStr">
        <is>
          <t>CHECK — source is not a statutory creditor list</t>
        </is>
      </c>
      <c r="AF267" s="29" t="inlineStr">
        <is>
          <t>https://credibilita.com.br/wp-content/uploads/2025/09/Relacao-Credores-29.04.2026.pdf</t>
        </is>
      </c>
      <c r="AG267" s="28" t="inlineStr">
        <is>
          <t>p2 r7</t>
        </is>
      </c>
      <c r="AH267" s="28" t="inlineStr">
        <is>
          <t>p2: R$ 705.997,79</t>
        </is>
      </c>
      <c r="AI267" s="28" t="inlineStr">
        <is>
          <t>Quorum list — NOT an art. 7/51 list</t>
        </is>
      </c>
      <c r="AJ267" s="28" t="inlineStr"/>
      <c r="AK267" s="28" t="inlineStr">
        <is>
          <t>NONE FOUND</t>
        </is>
      </c>
      <c r="AL267" s="30" t="inlineStr">
        <is>
          <t>5057720-48.2025.8.24.0023</t>
        </is>
      </c>
      <c r="AM267" s="30" t="inlineStr">
        <is>
          <t>TJSC</t>
        </is>
      </c>
      <c r="AN267" s="30" t="inlineStr"/>
      <c r="AO267" s="30" t="n">
        <v>2025</v>
      </c>
      <c r="AP267" s="30" t="inlineStr">
        <is>
          <t>live case, no plan document yet</t>
        </is>
      </c>
      <c r="AQ267" s="30" t="inlineStr"/>
      <c r="AR267" s="30" t="inlineStr">
        <is>
          <t>portal page title / URL — not printed on the list</t>
        </is>
      </c>
      <c r="AS267" s="30" t="inlineStr">
        <is>
          <t>OSASCO</t>
        </is>
      </c>
      <c r="AT267" s="30" t="inlineStr">
        <is>
          <t>SP</t>
        </is>
      </c>
      <c r="AU267" s="30" t="inlineStr">
        <is>
          <t>Fundos de investimento, exceto previdenciários e imobiliários</t>
        </is>
      </c>
      <c r="AV267" s="30" t="inlineStr">
        <is>
          <t>DEMAIS</t>
        </is>
      </c>
      <c r="AW267" s="31" t="inlineStr"/>
      <c r="AX267" s="30" t="inlineStr">
        <is>
          <t>MID-MARKET</t>
        </is>
      </c>
      <c r="AY267" s="30" t="inlineStr">
        <is>
          <t>03303563</t>
        </is>
      </c>
      <c r="AZ267" s="30" t="n">
        <v>1</v>
      </c>
      <c r="BA267" s="30" t="inlineStr">
        <is>
          <t>ROWS:p2r7 UNRECONCILED_SOURCE VALUE_COL:Valor_Após_Analise CASE_NUMBER_CORRECTED</t>
        </is>
      </c>
    </row>
    <row r="268">
      <c r="A268" s="16" t="inlineStr">
        <is>
          <t>SCANIA BANCO S.A.</t>
        </is>
      </c>
      <c r="B268" s="17" t="n">
        <v>705235.65</v>
      </c>
      <c r="C268" s="18" t="inlineStr">
        <is>
          <t>Grupo Agromeal</t>
        </is>
      </c>
      <c r="D268" s="19" t="inlineStr">
        <is>
          <t>NEW</t>
        </is>
      </c>
      <c r="E268" s="20" t="inlineStr"/>
      <c r="F268" s="19" t="inlineStr"/>
      <c r="G268" s="20" t="inlineStr"/>
      <c r="H268" s="19" t="inlineStr"/>
      <c r="I268" s="21" t="inlineStr">
        <is>
          <t>Anilton Marchetti</t>
        </is>
      </c>
      <c r="J268" s="21" t="inlineStr">
        <is>
          <t>Gerente Regional Scania Banco</t>
        </is>
      </c>
      <c r="K268" s="21" t="inlineStr">
        <is>
          <t>(11) 3214-0820</t>
        </is>
      </c>
      <c r="L268" s="21" t="inlineStr"/>
      <c r="M268" s="21" t="inlineStr"/>
      <c r="N268" s="21" t="inlineStr">
        <is>
          <t>anilton.marchetti@scania.com</t>
        </is>
      </c>
      <c r="O268" s="21" t="inlineStr">
        <is>
          <t>vanessa.calegari@scania.com</t>
        </is>
      </c>
      <c r="P268" s="21" t="inlineStr">
        <is>
          <t>Vanessa Calegari</t>
        </is>
      </c>
      <c r="Q268" s="21" t="inlineStr">
        <is>
          <t>Analista Financeiro Sênior/Scania Banco S/A</t>
        </is>
      </c>
      <c r="R268" s="21" t="inlineStr"/>
      <c r="S268" s="21" t="inlineStr">
        <is>
          <t>vanessa.calegari@scania.com</t>
        </is>
      </c>
      <c r="T268" s="21" t="inlineStr">
        <is>
          <t>email verified by Apollo</t>
        </is>
      </c>
      <c r="U268" s="22" t="n">
        <v>705235.65</v>
      </c>
      <c r="V268" s="23" t="inlineStr">
        <is>
          <t>B</t>
        </is>
      </c>
      <c r="W268" s="24">
        <f>IFERROR(VLOOKUP(V268,Assumptions!$A$7:$F$11,2,FALSE),0)</f>
        <v/>
      </c>
      <c r="X268" s="25">
        <f>IF(V268="A",MAX(1,IFERROR(VLOOKUP(V268,Assumptions!$A$7:$F$11,3,FALSE),3)+IFERROR(VLOOKUP(V268,Assumptions!$A$7:$F$11,4,FALSE),8)/2-MAX(0,IF(AO268="",0,YEAR(TODAY())-AO268)-IFERROR(VLOOKUP(V268,Assumptions!$A$7:$F$11,5,FALSE),1.5))),IFERROR(VLOOKUP(V268,Assumptions!$A$7:$F$11,5,FALSE),2.5)+IFERROR(VLOOKUP(V268,Assumptions!$A$7:$F$11,3,FALSE),3)+IFERROR(VLOOKUP(V268,Assumptions!$A$7:$F$11,4,FALSE),8)/2)</f>
        <v/>
      </c>
      <c r="Y268" s="22">
        <f>U268*W268/(1+Assumptions!$B$3)^X268</f>
        <v/>
      </c>
      <c r="Z268" s="26">
        <f>IF(U268=0,"",ROUND(Y268/U268*100,1))</f>
        <v/>
      </c>
      <c r="AA268" s="27">
        <f>Y268*Assumptions!$B$4</f>
        <v/>
      </c>
      <c r="AB268" s="26">
        <f>IF(U268=0,"",ROUND(AA268/U268*100,1))</f>
        <v/>
      </c>
      <c r="AC268" s="27">
        <f>Y268-AA268</f>
        <v/>
      </c>
      <c r="AD268" s="26">
        <f>IF(U268=0,"",ROUND((Y268-AA268)/U268*100,1))</f>
        <v/>
      </c>
      <c r="AE268" s="34" t="inlineStr">
        <is>
          <t>PARTIAL — class III reconciled, other classes not</t>
        </is>
      </c>
      <c r="AF268" s="29" t="inlineStr">
        <is>
          <t>https://marquesadmjudicial.com.br/sgc/download.php?file=files/processo_documento/processo_documento17040729052024_1_.pdf&amp;nome=Relação Nominal de Credores AJ-Sintética</t>
        </is>
      </c>
      <c r="AG268" s="28" t="inlineStr">
        <is>
          <t>p12 r18</t>
        </is>
      </c>
      <c r="AH268" s="28" t="inlineStr">
        <is>
          <t>p12: R$ 705.235,65</t>
        </is>
      </c>
      <c r="AI268" s="28" t="inlineStr">
        <is>
          <t>AJ list (art. 7 §2)</t>
        </is>
      </c>
      <c r="AJ268" s="28" t="inlineStr">
        <is>
          <t>2024-05-27</t>
        </is>
      </c>
      <c r="AK268" s="28" t="inlineStr">
        <is>
          <t>NONE FOUND</t>
        </is>
      </c>
      <c r="AL268" s="30" t="inlineStr">
        <is>
          <t>0003971-03.2023.8.16.0119</t>
        </is>
      </c>
      <c r="AM268" s="30" t="inlineStr">
        <is>
          <t>TJPR</t>
        </is>
      </c>
      <c r="AN268" s="30" t="inlineStr">
        <is>
          <t>ACTIVE</t>
        </is>
      </c>
      <c r="AO268" s="30" t="n">
        <v>2023</v>
      </c>
      <c r="AP268" s="30" t="inlineStr">
        <is>
          <t>live case, no plan document yet</t>
        </is>
      </c>
      <c r="AQ268" s="30" t="inlineStr">
        <is>
          <t>11.624.776/0001-07</t>
        </is>
      </c>
      <c r="AR268" s="30" t="inlineStr">
        <is>
          <t>printed on the list (read twice)</t>
        </is>
      </c>
      <c r="AS268" s="30" t="inlineStr">
        <is>
          <t>SAO BERNARDO DO CAMPO</t>
        </is>
      </c>
      <c r="AT268" s="30" t="inlineStr">
        <is>
          <t>SP</t>
        </is>
      </c>
      <c r="AU268" s="30" t="inlineStr">
        <is>
          <t>Bancos múltiplos, sem carteira comercial</t>
        </is>
      </c>
      <c r="AV268" s="30" t="inlineStr">
        <is>
          <t>DEMAIS</t>
        </is>
      </c>
      <c r="AW268" s="31" t="n">
        <v>710000000</v>
      </c>
      <c r="AX268" s="30" t="inlineStr">
        <is>
          <t>LARGE CORP</t>
        </is>
      </c>
      <c r="AY268" s="30" t="inlineStr">
        <is>
          <t>11417016</t>
        </is>
      </c>
      <c r="AZ268" s="30" t="n">
        <v>1</v>
      </c>
      <c r="BA268" s="30" t="inlineStr">
        <is>
          <t>LIKELY_FINANCIAL_BY_NAME PARTIAL_DOC_CLASS_III_RECONCILED ROWS:p12r18</t>
        </is>
      </c>
    </row>
    <row r="269">
      <c r="A269" s="16" t="inlineStr">
        <is>
          <t>COOPERATIVA DE CREDITO UNICRED VALE LTDA UNICRED VALE</t>
        </is>
      </c>
      <c r="B269" s="17" t="n">
        <v>2753771.14</v>
      </c>
      <c r="C269" s="18" t="inlineStr">
        <is>
          <t>BLUTRAFOS BLUMENAU TRANSFORMADORES LTDA</t>
        </is>
      </c>
      <c r="D269" s="19" t="inlineStr">
        <is>
          <t>NEW</t>
        </is>
      </c>
      <c r="E269" s="20" t="inlineStr"/>
      <c r="F269" s="19" t="inlineStr"/>
      <c r="G269" s="20" t="inlineStr"/>
      <c r="H269" s="19" t="inlineStr"/>
      <c r="I269" s="21" t="inlineStr">
        <is>
          <t>Luciano Sato</t>
        </is>
      </c>
      <c r="J269" s="21" t="inlineStr">
        <is>
          <t>Gerente de Agência | Unicred Vale</t>
        </is>
      </c>
      <c r="K269" s="21" t="inlineStr">
        <is>
          <t>(47) 3039-0202</t>
        </is>
      </c>
      <c r="L269" s="21" t="inlineStr">
        <is>
          <t>(47) 3039-0159</t>
        </is>
      </c>
      <c r="M269" s="21" t="inlineStr"/>
      <c r="N269" s="21" t="inlineStr">
        <is>
          <t>luciano.sato@unicred.com.br</t>
        </is>
      </c>
      <c r="O269" s="21" t="inlineStr"/>
      <c r="P269" s="21" t="inlineStr">
        <is>
          <t>RAFAEL PETERS PEREIRA</t>
        </is>
      </c>
      <c r="Q269" s="21" t="inlineStr">
        <is>
          <t>Diretor (RFB partner)</t>
        </is>
      </c>
      <c r="R269" s="21" t="inlineStr"/>
      <c r="S269" s="21" t="inlineStr"/>
      <c r="T269" s="21" t="inlineStr">
        <is>
          <t>DM verified email; VERIFY org: Unicred - Núcleo Conexão; email verified by Apollo</t>
        </is>
      </c>
      <c r="U269" s="22" t="n">
        <v>2753771.14</v>
      </c>
      <c r="V269" s="38" t="inlineStr">
        <is>
          <t>C</t>
        </is>
      </c>
      <c r="W269" s="24">
        <f>IFERROR(VLOOKUP(V269,Assumptions!$A$7:$F$11,2,FALSE),0)</f>
        <v/>
      </c>
      <c r="X269" s="25">
        <f>IF(V269="A",MAX(1,IFERROR(VLOOKUP(V269,Assumptions!$A$7:$F$11,3,FALSE),3)+IFERROR(VLOOKUP(V269,Assumptions!$A$7:$F$11,4,FALSE),8)/2-MAX(0,IF(AO269="",0,YEAR(TODAY())-AO269)-IFERROR(VLOOKUP(V269,Assumptions!$A$7:$F$11,5,FALSE),1.5))),IFERROR(VLOOKUP(V269,Assumptions!$A$7:$F$11,5,FALSE),2.5)+IFERROR(VLOOKUP(V269,Assumptions!$A$7:$F$11,3,FALSE),3)+IFERROR(VLOOKUP(V269,Assumptions!$A$7:$F$11,4,FALSE),8)/2)</f>
        <v/>
      </c>
      <c r="Y269" s="22">
        <f>U269*W269/(1+Assumptions!$B$3)^X269</f>
        <v/>
      </c>
      <c r="Z269" s="26">
        <f>IF(U269=0,"",ROUND(Y269/U269*100,1))</f>
        <v/>
      </c>
      <c r="AA269" s="27">
        <f>Y269*Assumptions!$B$4</f>
        <v/>
      </c>
      <c r="AB269" s="26">
        <f>IF(U269=0,"",ROUND(AA269/U269*100,1))</f>
        <v/>
      </c>
      <c r="AC269" s="27">
        <f>Y269-AA269</f>
        <v/>
      </c>
      <c r="AD269" s="26">
        <f>IF(U269=0,"",ROUND((Y269-AA269)/U269*100,1))</f>
        <v/>
      </c>
      <c r="AE269" s="28" t="inlineStr">
        <is>
          <t>OK — totals reconciled</t>
        </is>
      </c>
      <c r="AF269" s="29" t="inlineStr">
        <is>
          <t>https://administradorajudicialgs.com.br/wp-content/uploads/2023/08/advogados-sgrott-doc-22-relacao-de-credores-do-administrador-judicial-classe-iii-05-02-14.pdf</t>
        </is>
      </c>
      <c r="AG269" s="28" t="inlineStr">
        <is>
          <t>p1 r59</t>
        </is>
      </c>
      <c r="AH269" s="28" t="inlineStr">
        <is>
          <t>p1: R$ 2.753.771,14</t>
        </is>
      </c>
      <c r="AI269" s="28" t="inlineStr">
        <is>
          <t>Unclassified list</t>
        </is>
      </c>
      <c r="AJ269" s="28" t="inlineStr"/>
      <c r="AK269" s="28" t="inlineStr">
        <is>
          <t>NONE FOUND</t>
        </is>
      </c>
      <c r="AL269" s="30" t="inlineStr">
        <is>
          <t>0022845-08.2013.8.24.0008</t>
        </is>
      </c>
      <c r="AM269" s="30" t="inlineStr">
        <is>
          <t>TJSC</t>
        </is>
      </c>
      <c r="AN269" s="30" t="inlineStr"/>
      <c r="AO269" s="30" t="n">
        <v>2013</v>
      </c>
      <c r="AP269" s="30" t="inlineStr">
        <is>
          <t>13y since filing, no plan document</t>
        </is>
      </c>
      <c r="AQ269" s="30" t="inlineStr"/>
      <c r="AR269" s="30" t="inlineStr">
        <is>
          <t>portal page title / URL — not printed on the list</t>
        </is>
      </c>
      <c r="AS269" s="30" t="inlineStr">
        <is>
          <t>BLUMENAU</t>
        </is>
      </c>
      <c r="AT269" s="30" t="inlineStr">
        <is>
          <t>SC</t>
        </is>
      </c>
      <c r="AU269" s="30" t="inlineStr">
        <is>
          <t>Cooperativas de crédito mútuo</t>
        </is>
      </c>
      <c r="AV269" s="30" t="inlineStr">
        <is>
          <t>DEMAIS</t>
        </is>
      </c>
      <c r="AW269" s="31" t="inlineStr"/>
      <c r="AX269" s="30" t="inlineStr">
        <is>
          <t>MID-MARKET</t>
        </is>
      </c>
      <c r="AY269" s="30" t="inlineStr">
        <is>
          <t>73443863</t>
        </is>
      </c>
      <c r="AZ269" s="30" t="n">
        <v>1</v>
      </c>
      <c r="BA269" s="30" t="inlineStr">
        <is>
          <t>ROWS:p1r59</t>
        </is>
      </c>
    </row>
    <row r="270">
      <c r="A270" s="16" t="inlineStr">
        <is>
          <t>JRS EMPREENDIMENTOS IMOBILIARIOS LTDA</t>
        </is>
      </c>
      <c r="B270" s="17" t="n">
        <v>698356</v>
      </c>
      <c r="C270" s="18" t="inlineStr">
        <is>
          <t>Grupo Rech</t>
        </is>
      </c>
      <c r="D270" s="19" t="inlineStr">
        <is>
          <t>NEW</t>
        </is>
      </c>
      <c r="E270" s="20" t="inlineStr"/>
      <c r="F270" s="19" t="inlineStr"/>
      <c r="G270" s="20" t="inlineStr"/>
      <c r="H270" s="19" t="inlineStr"/>
      <c r="I270" s="21" t="inlineStr">
        <is>
          <t>Camila Leao</t>
        </is>
      </c>
      <c r="J270" s="21" t="inlineStr">
        <is>
          <t>Operations Manager</t>
        </is>
      </c>
      <c r="K270" s="21" t="inlineStr">
        <is>
          <t>(65) 3388-2518</t>
        </is>
      </c>
      <c r="L270" s="21" t="inlineStr">
        <is>
          <t>(65) 3388-2548</t>
        </is>
      </c>
      <c r="M270" s="21" t="inlineStr"/>
      <c r="N270" s="21" t="inlineStr"/>
      <c r="O270" s="21" t="inlineStr"/>
      <c r="P270" s="21" t="inlineStr">
        <is>
          <t>JOAO BATISTA ROSA</t>
        </is>
      </c>
      <c r="Q270" s="21" t="inlineStr">
        <is>
          <t>Sócio-Administrador (RFB partner)</t>
        </is>
      </c>
      <c r="R270" s="21" t="inlineStr"/>
      <c r="S270" s="21" t="inlineStr"/>
      <c r="T270" s="21" t="inlineStr">
        <is>
          <t>no work email found in Apollo</t>
        </is>
      </c>
      <c r="U270" s="22" t="n">
        <v>698356</v>
      </c>
      <c r="V270" s="23" t="inlineStr">
        <is>
          <t>B</t>
        </is>
      </c>
      <c r="W270" s="24">
        <f>IFERROR(VLOOKUP(V270,Assumptions!$A$7:$F$11,2,FALSE),0)</f>
        <v/>
      </c>
      <c r="X270" s="25">
        <f>IF(V270="A",MAX(1,IFERROR(VLOOKUP(V270,Assumptions!$A$7:$F$11,3,FALSE),3)+IFERROR(VLOOKUP(V270,Assumptions!$A$7:$F$11,4,FALSE),8)/2-MAX(0,IF(AO270="",0,YEAR(TODAY())-AO270)-IFERROR(VLOOKUP(V270,Assumptions!$A$7:$F$11,5,FALSE),1.5))),IFERROR(VLOOKUP(V270,Assumptions!$A$7:$F$11,5,FALSE),2.5)+IFERROR(VLOOKUP(V270,Assumptions!$A$7:$F$11,3,FALSE),3)+IFERROR(VLOOKUP(V270,Assumptions!$A$7:$F$11,4,FALSE),8)/2)</f>
        <v/>
      </c>
      <c r="Y270" s="22">
        <f>U270*W270/(1+Assumptions!$B$3)^X270</f>
        <v/>
      </c>
      <c r="Z270" s="26">
        <f>IF(U270=0,"",ROUND(Y270/U270*100,1))</f>
        <v/>
      </c>
      <c r="AA270" s="27">
        <f>Y270*Assumptions!$B$4</f>
        <v/>
      </c>
      <c r="AB270" s="26">
        <f>IF(U270=0,"",ROUND(AA270/U270*100,1))</f>
        <v/>
      </c>
      <c r="AC270" s="27">
        <f>Y270-AA270</f>
        <v/>
      </c>
      <c r="AD270" s="26">
        <f>IF(U270=0,"",ROUND((Y270-AA270)/U270*100,1))</f>
        <v/>
      </c>
      <c r="AE270" s="36" t="inlineStr">
        <is>
          <t>CHECK — source is not a statutory creditor list</t>
        </is>
      </c>
      <c r="AF270" s="29" t="inlineStr">
        <is>
          <t>https://credibilita.com.br/wp-content/uploads/2025/09/Relacao-Credores-29.04.2026.pdf</t>
        </is>
      </c>
      <c r="AG270" s="28" t="inlineStr">
        <is>
          <t>p1 r30</t>
        </is>
      </c>
      <c r="AH270" s="28" t="inlineStr">
        <is>
          <t>p1: R$ 698.356,00</t>
        </is>
      </c>
      <c r="AI270" s="28" t="inlineStr">
        <is>
          <t>Quorum list — NOT an art. 7/51 list</t>
        </is>
      </c>
      <c r="AJ270" s="28" t="inlineStr"/>
      <c r="AK270" s="28" t="inlineStr">
        <is>
          <t>NONE FOUND</t>
        </is>
      </c>
      <c r="AL270" s="30" t="inlineStr">
        <is>
          <t>5057720-48.2025.8.24.0023</t>
        </is>
      </c>
      <c r="AM270" s="30" t="inlineStr">
        <is>
          <t>TJSC</t>
        </is>
      </c>
      <c r="AN270" s="30" t="inlineStr"/>
      <c r="AO270" s="30" t="n">
        <v>2025</v>
      </c>
      <c r="AP270" s="30" t="inlineStr">
        <is>
          <t>live case, no plan document yet</t>
        </is>
      </c>
      <c r="AQ270" s="30" t="inlineStr"/>
      <c r="AR270" s="30" t="inlineStr">
        <is>
          <t>portal page title / URL — not printed on the list</t>
        </is>
      </c>
      <c r="AS270" s="30" t="inlineStr">
        <is>
          <t>VARZEA GRANDE</t>
        </is>
      </c>
      <c r="AT270" s="30" t="inlineStr">
        <is>
          <t>MT</t>
        </is>
      </c>
      <c r="AU270" s="30" t="inlineStr">
        <is>
          <t>Outras sociedades de participação, exceto holdings</t>
        </is>
      </c>
      <c r="AV270" s="30" t="inlineStr">
        <is>
          <t>DEMAIS</t>
        </is>
      </c>
      <c r="AW270" s="31" t="n">
        <v>23907388</v>
      </c>
      <c r="AX270" s="30" t="inlineStr">
        <is>
          <t>MID-MARKET</t>
        </is>
      </c>
      <c r="AY270" s="30" t="inlineStr">
        <is>
          <t>12107667</t>
        </is>
      </c>
      <c r="AZ270" s="30" t="n">
        <v>1</v>
      </c>
      <c r="BA270" s="30" t="inlineStr">
        <is>
          <t>ROWS:p1r30 UNRECONCILED_SOURCE VALUE_COL:Valor_Após_Analise CASE_NUMBER_CORRECTED</t>
        </is>
      </c>
    </row>
    <row r="271">
      <c r="A271" s="16" t="inlineStr">
        <is>
          <t>VALOREM SOLUCOES FINANCEIRAS S.A.</t>
        </is>
      </c>
      <c r="B271" s="17" t="n">
        <v>2727260.07</v>
      </c>
      <c r="C271" s="18" t="inlineStr">
        <is>
          <t>VECTOR INDÚSTRIA DE PRODUTOS METALÚRGICOS LTDA.</t>
        </is>
      </c>
      <c r="D271" s="19" t="inlineStr">
        <is>
          <t>NEW</t>
        </is>
      </c>
      <c r="E271" s="20" t="inlineStr"/>
      <c r="F271" s="19" t="inlineStr"/>
      <c r="G271" s="20" t="inlineStr"/>
      <c r="H271" s="19" t="inlineStr"/>
      <c r="I271" s="21" t="inlineStr">
        <is>
          <t>Sinara Martins</t>
        </is>
      </c>
      <c r="J271" s="21" t="inlineStr">
        <is>
          <t>Collections Manager</t>
        </is>
      </c>
      <c r="K271" s="21" t="inlineStr">
        <is>
          <t>(47) 3461-2600</t>
        </is>
      </c>
      <c r="L271" s="21" t="inlineStr"/>
      <c r="M271" s="21" t="inlineStr"/>
      <c r="N271" s="21" t="inlineStr">
        <is>
          <t>sinara.martins@valorem.com.br</t>
        </is>
      </c>
      <c r="O271" s="21" t="inlineStr">
        <is>
          <t>paulo.tavares@valorem.com.br</t>
        </is>
      </c>
      <c r="P271" s="21" t="inlineStr">
        <is>
          <t>Paulo Tavares</t>
        </is>
      </c>
      <c r="Q271" s="21" t="inlineStr">
        <is>
          <t>Legal Coordinator</t>
        </is>
      </c>
      <c r="R271" s="21" t="inlineStr"/>
      <c r="S271" s="21" t="inlineStr">
        <is>
          <t>paulo.tavares@valorem.com.br</t>
        </is>
      </c>
      <c r="T271" s="21" t="inlineStr">
        <is>
          <t>email verified by Apollo</t>
        </is>
      </c>
      <c r="U271" s="22" t="n">
        <v>2727260.07</v>
      </c>
      <c r="V271" s="38" t="inlineStr">
        <is>
          <t>C</t>
        </is>
      </c>
      <c r="W271" s="24">
        <f>IFERROR(VLOOKUP(V271,Assumptions!$A$7:$F$11,2,FALSE),0)</f>
        <v/>
      </c>
      <c r="X271" s="25">
        <f>IF(V271="A",MAX(1,IFERROR(VLOOKUP(V271,Assumptions!$A$7:$F$11,3,FALSE),3)+IFERROR(VLOOKUP(V271,Assumptions!$A$7:$F$11,4,FALSE),8)/2-MAX(0,IF(AO271="",0,YEAR(TODAY())-AO271)-IFERROR(VLOOKUP(V271,Assumptions!$A$7:$F$11,5,FALSE),1.5))),IFERROR(VLOOKUP(V271,Assumptions!$A$7:$F$11,5,FALSE),2.5)+IFERROR(VLOOKUP(V271,Assumptions!$A$7:$F$11,3,FALSE),3)+IFERROR(VLOOKUP(V271,Assumptions!$A$7:$F$11,4,FALSE),8)/2)</f>
        <v/>
      </c>
      <c r="Y271" s="22">
        <f>U271*W271/(1+Assumptions!$B$3)^X271</f>
        <v/>
      </c>
      <c r="Z271" s="26">
        <f>IF(U271=0,"",ROUND(Y271/U271*100,1))</f>
        <v/>
      </c>
      <c r="AA271" s="27">
        <f>Y271*Assumptions!$B$4</f>
        <v/>
      </c>
      <c r="AB271" s="26">
        <f>IF(U271=0,"",ROUND(AA271/U271*100,1))</f>
        <v/>
      </c>
      <c r="AC271" s="27">
        <f>Y271-AA271</f>
        <v/>
      </c>
      <c r="AD271" s="26">
        <f>IF(U271=0,"",ROUND((Y271-AA271)/U271*100,1))</f>
        <v/>
      </c>
      <c r="AE271" s="33" t="inlineStr">
        <is>
          <t>NO TOTALS — list prints none; check page</t>
        </is>
      </c>
      <c r="AF271" s="29" t="inlineStr">
        <is>
          <t>https://scalzilliaj.com.br/sgc/download.php?file=files/processo_documento/processo_documento15513401112022_1_.pdf&amp;nome=15 - Edital do art. 7º, §2º (segunda lista de credores) e do art. 53 da Lei 11.101/2005 (recebimento do plano)</t>
        </is>
      </c>
      <c r="AG271" s="28" t="inlineStr">
        <is>
          <t>p10 r27</t>
        </is>
      </c>
      <c r="AH271" s="28" t="inlineStr">
        <is>
          <t>p10: R$ 2.727.260,07</t>
        </is>
      </c>
      <c r="AI271" s="28" t="inlineStr">
        <is>
          <t>AJ list (art. 7 §2)</t>
        </is>
      </c>
      <c r="AJ271" s="28" t="inlineStr">
        <is>
          <t>2022-11-01</t>
        </is>
      </c>
      <c r="AK271" s="28" t="inlineStr">
        <is>
          <t>NONE FOUND</t>
        </is>
      </c>
      <c r="AL271" s="30" t="inlineStr">
        <is>
          <t>5014104-85.2021.8.21.0010</t>
        </is>
      </c>
      <c r="AM271" s="30" t="inlineStr">
        <is>
          <t>TJRS</t>
        </is>
      </c>
      <c r="AN271" s="30" t="inlineStr">
        <is>
          <t>ACTIVE</t>
        </is>
      </c>
      <c r="AO271" s="30" t="n">
        <v>2021</v>
      </c>
      <c r="AP271" s="30" t="inlineStr">
        <is>
          <t>5y since filing, no plan document</t>
        </is>
      </c>
      <c r="AQ271" s="30" t="inlineStr">
        <is>
          <t>03.018.339/0001-03</t>
        </is>
      </c>
      <c r="AR271" s="30" t="inlineStr">
        <is>
          <t>printed on the list (read twice)</t>
        </is>
      </c>
      <c r="AS271" s="30" t="inlineStr">
        <is>
          <t>JOINVILLE</t>
        </is>
      </c>
      <c r="AT271" s="30" t="inlineStr">
        <is>
          <t>SC</t>
        </is>
      </c>
      <c r="AU271" s="30" t="inlineStr">
        <is>
          <t>Securitização de créditos</t>
        </is>
      </c>
      <c r="AV271" s="30" t="inlineStr">
        <is>
          <t>DEMAIS</t>
        </is>
      </c>
      <c r="AW271" s="31" t="n">
        <v>3326000</v>
      </c>
      <c r="AX271" s="30" t="inlineStr">
        <is>
          <t>MID-MARKET</t>
        </is>
      </c>
      <c r="AY271" s="30" t="inlineStr">
        <is>
          <t>18488755</t>
        </is>
      </c>
      <c r="AZ271" s="30" t="n">
        <v>1</v>
      </c>
      <c r="BA271" s="30" t="inlineStr">
        <is>
          <t>ROWS:p10r27 UNRECONCILED_SOURCE</t>
        </is>
      </c>
    </row>
    <row r="272">
      <c r="A272" s="16" t="inlineStr">
        <is>
          <t>BANCO BRADESCO S.A.</t>
        </is>
      </c>
      <c r="B272" s="17" t="n">
        <v>689839.74</v>
      </c>
      <c r="C272" s="18" t="inlineStr">
        <is>
          <t>Grupo GE (Condomínio Agropecuário GE)</t>
        </is>
      </c>
      <c r="D272" s="19" t="inlineStr">
        <is>
          <t>NEW</t>
        </is>
      </c>
      <c r="E272" s="20" t="inlineStr"/>
      <c r="F272" s="19" t="inlineStr"/>
      <c r="G272" s="20" t="inlineStr"/>
      <c r="H272" s="19" t="inlineStr"/>
      <c r="I272" s="21" t="inlineStr">
        <is>
          <t>Marcela Martins</t>
        </is>
      </c>
      <c r="J272" s="21" t="inlineStr">
        <is>
          <t>Superintendente de Recuperação de Crédito - Canais e Operações</t>
        </is>
      </c>
      <c r="K272" s="21" t="inlineStr">
        <is>
          <t>(11) 3684-5122</t>
        </is>
      </c>
      <c r="L272" s="21" t="inlineStr"/>
      <c r="M272" s="21" t="inlineStr"/>
      <c r="N272" s="21" t="inlineStr"/>
      <c r="O272" s="21" t="inlineStr">
        <is>
          <t>sl@bradesco.com.br</t>
        </is>
      </c>
      <c r="P272" s="21" t="inlineStr">
        <is>
          <t>Luis S</t>
        </is>
      </c>
      <c r="Q272" s="21" t="inlineStr">
        <is>
          <t>DRC - Departamento de Recuperação de Crédito - Gerente de Reestruturação de Crédito</t>
        </is>
      </c>
      <c r="R272" s="21" t="inlineStr"/>
      <c r="S272" s="21" t="inlineStr">
        <is>
          <t>sl@bradesco.com.br</t>
        </is>
      </c>
      <c r="T272" s="21" t="inlineStr">
        <is>
          <t>no work email found in Apollo</t>
        </is>
      </c>
      <c r="U272" s="22" t="n">
        <v>689839.74</v>
      </c>
      <c r="V272" s="23" t="inlineStr">
        <is>
          <t>B</t>
        </is>
      </c>
      <c r="W272" s="24">
        <f>IFERROR(VLOOKUP(V272,Assumptions!$A$7:$F$11,2,FALSE),0)</f>
        <v/>
      </c>
      <c r="X272" s="25">
        <f>IF(V272="A",MAX(1,IFERROR(VLOOKUP(V272,Assumptions!$A$7:$F$11,3,FALSE),3)+IFERROR(VLOOKUP(V272,Assumptions!$A$7:$F$11,4,FALSE),8)/2-MAX(0,IF(AO272="",0,YEAR(TODAY())-AO272)-IFERROR(VLOOKUP(V272,Assumptions!$A$7:$F$11,5,FALSE),1.5))),IFERROR(VLOOKUP(V272,Assumptions!$A$7:$F$11,5,FALSE),2.5)+IFERROR(VLOOKUP(V272,Assumptions!$A$7:$F$11,3,FALSE),3)+IFERROR(VLOOKUP(V272,Assumptions!$A$7:$F$11,4,FALSE),8)/2)</f>
        <v/>
      </c>
      <c r="Y272" s="22">
        <f>U272*W272/(1+Assumptions!$B$3)^X272</f>
        <v/>
      </c>
      <c r="Z272" s="26">
        <f>IF(U272=0,"",ROUND(Y272/U272*100,1))</f>
        <v/>
      </c>
      <c r="AA272" s="27">
        <f>Y272*Assumptions!$B$4</f>
        <v/>
      </c>
      <c r="AB272" s="26">
        <f>IF(U272=0,"",ROUND(AA272/U272*100,1))</f>
        <v/>
      </c>
      <c r="AC272" s="27">
        <f>Y272-AA272</f>
        <v/>
      </c>
      <c r="AD272" s="26">
        <f>IF(U272=0,"",ROUND((Y272-AA272)/U272*100,1))</f>
        <v/>
      </c>
      <c r="AE272" s="33" t="inlineStr">
        <is>
          <t>NO TOTALS — list prints none; check page</t>
        </is>
      </c>
      <c r="AF272" s="29" t="inlineStr">
        <is>
          <t>https://stenius.com.br/wp-content/uploads/2026/07/EDITAL-1-RELACAO-DE-CREDORES-GRUPO-GE.pdf</t>
        </is>
      </c>
      <c r="AG272" s="28" t="inlineStr">
        <is>
          <t>p5 r8; p5 r9</t>
        </is>
      </c>
      <c r="AH272" s="28" t="inlineStr">
        <is>
          <t>p5: R$ 60.982,56; p5: R$ 628.857,18</t>
        </is>
      </c>
      <c r="AI272" s="28" t="inlineStr">
        <is>
          <t>Debtor list (art. 51)</t>
        </is>
      </c>
      <c r="AJ272" s="28" t="inlineStr">
        <is>
          <t>2026-07-01</t>
        </is>
      </c>
      <c r="AK272" s="28" t="inlineStr">
        <is>
          <t>NONE FOUND</t>
        </is>
      </c>
      <c r="AL272" s="30" t="inlineStr">
        <is>
          <t>5164979-18.2026.8.09.0110</t>
        </is>
      </c>
      <c r="AM272" s="30" t="inlineStr">
        <is>
          <t>TJGO</t>
        </is>
      </c>
      <c r="AN272" s="30" t="inlineStr">
        <is>
          <t>ACTIVE</t>
        </is>
      </c>
      <c r="AO272" s="30" t="n">
        <v>2026</v>
      </c>
      <c r="AP272" s="30" t="inlineStr">
        <is>
          <t>live case, no plan document yet</t>
        </is>
      </c>
      <c r="AQ272" s="30" t="inlineStr"/>
      <c r="AR272" s="30" t="inlineStr">
        <is>
          <t>printed on the list (read twice)</t>
        </is>
      </c>
      <c r="AS272" s="30" t="inlineStr">
        <is>
          <t>OSASCO</t>
        </is>
      </c>
      <c r="AT272" s="30" t="inlineStr">
        <is>
          <t>SP</t>
        </is>
      </c>
      <c r="AU272" s="30" t="inlineStr">
        <is>
          <t>Bancos múltiplos, com carteira comercial</t>
        </is>
      </c>
      <c r="AV272" s="30" t="inlineStr">
        <is>
          <t>DEMAIS</t>
        </is>
      </c>
      <c r="AW272" s="31" t="n">
        <v>93770000000</v>
      </c>
      <c r="AX272" s="30" t="inlineStr">
        <is>
          <t>LARGE CORP</t>
        </is>
      </c>
      <c r="AY272" s="30" t="inlineStr">
        <is>
          <t>60746948</t>
        </is>
      </c>
      <c r="AZ272" s="30" t="n">
        <v>2</v>
      </c>
      <c r="BA272" s="30" t="inlineStr">
        <is>
          <t>LIKELY_FINANCIAL_BY_NAME ROWS:p5r8,p5r9 UNRECONCILED_SOURCE</t>
        </is>
      </c>
    </row>
    <row r="273">
      <c r="A273" s="16" t="inlineStr">
        <is>
          <t>Fundo de Investimento em Direitos Creditórios Sabia Capital Credit</t>
        </is>
      </c>
      <c r="B273" s="17" t="n">
        <v>689134.29</v>
      </c>
      <c r="C273" s="18" t="inlineStr">
        <is>
          <t>GRUPO D&amp;D</t>
        </is>
      </c>
      <c r="D273" s="19" t="inlineStr">
        <is>
          <t>NEW</t>
        </is>
      </c>
      <c r="E273" s="20" t="inlineStr"/>
      <c r="F273" s="19" t="inlineStr"/>
      <c r="G273" s="20" t="inlineStr"/>
      <c r="H273" s="19" t="inlineStr"/>
      <c r="I273" s="21" t="inlineStr"/>
      <c r="J273" s="21" t="inlineStr"/>
      <c r="K273" s="21" t="inlineStr"/>
      <c r="L273" s="21" t="inlineStr"/>
      <c r="M273" s="21" t="inlineStr"/>
      <c r="N273" s="21" t="inlineStr"/>
      <c r="O273" s="21" t="inlineStr"/>
      <c r="P273" s="21" t="inlineStr"/>
      <c r="Q273" s="21" t="inlineStr"/>
      <c r="R273" s="21" t="inlineStr"/>
      <c r="S273" s="21" t="inlineStr"/>
      <c r="T273" s="21" t="inlineStr">
        <is>
          <t>no named contact found</t>
        </is>
      </c>
      <c r="U273" s="22" t="n">
        <v>689134.29</v>
      </c>
      <c r="V273" s="23" t="inlineStr">
        <is>
          <t>B</t>
        </is>
      </c>
      <c r="W273" s="24">
        <f>IFERROR(VLOOKUP(V273,Assumptions!$A$7:$F$11,2,FALSE),0)</f>
        <v/>
      </c>
      <c r="X273" s="25">
        <f>IF(V273="A",MAX(1,IFERROR(VLOOKUP(V273,Assumptions!$A$7:$F$11,3,FALSE),3)+IFERROR(VLOOKUP(V273,Assumptions!$A$7:$F$11,4,FALSE),8)/2-MAX(0,IF(AO273="",0,YEAR(TODAY())-AO273)-IFERROR(VLOOKUP(V273,Assumptions!$A$7:$F$11,5,FALSE),1.5))),IFERROR(VLOOKUP(V273,Assumptions!$A$7:$F$11,5,FALSE),2.5)+IFERROR(VLOOKUP(V273,Assumptions!$A$7:$F$11,3,FALSE),3)+IFERROR(VLOOKUP(V273,Assumptions!$A$7:$F$11,4,FALSE),8)/2)</f>
        <v/>
      </c>
      <c r="Y273" s="22">
        <f>U273*W273/(1+Assumptions!$B$3)^X273</f>
        <v/>
      </c>
      <c r="Z273" s="26">
        <f>IF(U273=0,"",ROUND(Y273/U273*100,1))</f>
        <v/>
      </c>
      <c r="AA273" s="27">
        <f>Y273*Assumptions!$B$4</f>
        <v/>
      </c>
      <c r="AB273" s="26">
        <f>IF(U273=0,"",ROUND(AA273/U273*100,1))</f>
        <v/>
      </c>
      <c r="AC273" s="27">
        <f>Y273-AA273</f>
        <v/>
      </c>
      <c r="AD273" s="26">
        <f>IF(U273=0,"",ROUND((Y273-AA273)/U273*100,1))</f>
        <v/>
      </c>
      <c r="AE273" s="34" t="inlineStr">
        <is>
          <t>PARTIAL — class III reconciled, other classes not</t>
        </is>
      </c>
      <c r="AF273" s="29" t="inlineStr">
        <is>
          <t>https://marquesadmjudicial.com.br/sgc/download.php?file=files/processo_documento/processo_documento20014127022025_1_.pdf&amp;nome=Relação Nominal de Credores</t>
        </is>
      </c>
      <c r="AG273" s="28" t="inlineStr">
        <is>
          <t>p4 r17</t>
        </is>
      </c>
      <c r="AH273" s="28" t="inlineStr">
        <is>
          <t>p4: R$ 689.134,29</t>
        </is>
      </c>
      <c r="AI273" s="28" t="inlineStr">
        <is>
          <t>AJ list (art. 7 §2)</t>
        </is>
      </c>
      <c r="AJ273" s="28" t="inlineStr">
        <is>
          <t>2024-11-08</t>
        </is>
      </c>
      <c r="AK273" s="28" t="inlineStr">
        <is>
          <t>NONE FOUND</t>
        </is>
      </c>
      <c r="AL273" s="30" t="inlineStr">
        <is>
          <t>0001943-40.2024.8.16.0115</t>
        </is>
      </c>
      <c r="AM273" s="30" t="inlineStr">
        <is>
          <t>TJPR</t>
        </is>
      </c>
      <c r="AN273" s="30" t="inlineStr">
        <is>
          <t>ACTIVE</t>
        </is>
      </c>
      <c r="AO273" s="30" t="n">
        <v>2024</v>
      </c>
      <c r="AP273" s="30" t="inlineStr">
        <is>
          <t>live case, no plan document yet</t>
        </is>
      </c>
      <c r="AQ273" s="30" t="inlineStr"/>
      <c r="AR273" s="30" t="inlineStr">
        <is>
          <t>printed on the list (read twice)</t>
        </is>
      </c>
      <c r="AS273" s="30" t="inlineStr"/>
      <c r="AT273" s="30" t="inlineStr"/>
      <c r="AU273" s="30" t="inlineStr"/>
      <c r="AV273" s="30" t="inlineStr"/>
      <c r="AW273" s="31" t="inlineStr"/>
      <c r="AX273" s="30" t="inlineStr">
        <is>
          <t>MID-MARKET</t>
        </is>
      </c>
      <c r="AY273" s="30" t="inlineStr">
        <is>
          <t>29957532</t>
        </is>
      </c>
      <c r="AZ273" s="30" t="n">
        <v>1</v>
      </c>
      <c r="BA273" s="30" t="inlineStr">
        <is>
          <t>LIKELY_FINANCIAL_BY_NAME PARTIAL_DOC_CLASS_III_RECONCILED ROWS:p4r17</t>
        </is>
      </c>
    </row>
    <row r="274">
      <c r="A274" s="16" t="inlineStr">
        <is>
          <t>BANCO FIBRA SA</t>
        </is>
      </c>
      <c r="B274" s="17" t="n">
        <v>4760530.36</v>
      </c>
      <c r="C274" s="18" t="inlineStr">
        <is>
          <t>Mannes</t>
        </is>
      </c>
      <c r="D274" s="19" t="inlineStr">
        <is>
          <t>NEW</t>
        </is>
      </c>
      <c r="E274" s="20" t="inlineStr"/>
      <c r="F274" s="19" t="inlineStr"/>
      <c r="G274" s="20" t="inlineStr"/>
      <c r="H274" s="19" t="inlineStr"/>
      <c r="I274" s="21" t="inlineStr">
        <is>
          <t>Carlota Schwarz</t>
        </is>
      </c>
      <c r="J274" s="21" t="inlineStr">
        <is>
          <t>Superintendente de Reestruturação de Crédito</t>
        </is>
      </c>
      <c r="K274" s="21" t="inlineStr">
        <is>
          <t>(11) 3847-6943</t>
        </is>
      </c>
      <c r="L274" s="21" t="inlineStr"/>
      <c r="M274" s="21" t="inlineStr"/>
      <c r="N274" s="21" t="inlineStr">
        <is>
          <t>carlota.schwarz@bancofibra.com.br</t>
        </is>
      </c>
      <c r="O274" s="21" t="inlineStr">
        <is>
          <t>acardoso@bancofibra.com.br</t>
        </is>
      </c>
      <c r="P274" s="21" t="inlineStr">
        <is>
          <t>Augusto Cardoso</t>
        </is>
      </c>
      <c r="Q274" s="21" t="inlineStr">
        <is>
          <t>Gerente de Recuperação de Crédito e Cobrança</t>
        </is>
      </c>
      <c r="R274" s="21" t="inlineStr"/>
      <c r="S274" s="21" t="inlineStr">
        <is>
          <t>acardoso@bancofibra.com.br</t>
        </is>
      </c>
      <c r="T274" s="21" t="inlineStr">
        <is>
          <t>email verified by Apollo</t>
        </is>
      </c>
      <c r="U274" s="22" t="n">
        <v>4760530.36</v>
      </c>
      <c r="V274" s="39" t="inlineStr">
        <is>
          <t>D</t>
        </is>
      </c>
      <c r="W274" s="24">
        <f>IFERROR(VLOOKUP(V274,Assumptions!$A$7:$F$11,2,FALSE),0)</f>
        <v/>
      </c>
      <c r="X274" s="25">
        <f>IF(V274="A",MAX(1,IFERROR(VLOOKUP(V274,Assumptions!$A$7:$F$11,3,FALSE),3)+IFERROR(VLOOKUP(V274,Assumptions!$A$7:$F$11,4,FALSE),8)/2-MAX(0,IF(AO274="",0,YEAR(TODAY())-AO274)-IFERROR(VLOOKUP(V274,Assumptions!$A$7:$F$11,5,FALSE),1.5))),IFERROR(VLOOKUP(V274,Assumptions!$A$7:$F$11,5,FALSE),2.5)+IFERROR(VLOOKUP(V274,Assumptions!$A$7:$F$11,3,FALSE),3)+IFERROR(VLOOKUP(V274,Assumptions!$A$7:$F$11,4,FALSE),8)/2)</f>
        <v/>
      </c>
      <c r="Y274" s="22">
        <f>U274*W274/(1+Assumptions!$B$3)^X274</f>
        <v/>
      </c>
      <c r="Z274" s="26">
        <f>IF(U274=0,"",ROUND(Y274/U274*100,1))</f>
        <v/>
      </c>
      <c r="AA274" s="27">
        <f>Y274*Assumptions!$B$4</f>
        <v/>
      </c>
      <c r="AB274" s="26">
        <f>IF(U274=0,"",ROUND(AA274/U274*100,1))</f>
        <v/>
      </c>
      <c r="AC274" s="27">
        <f>Y274-AA274</f>
        <v/>
      </c>
      <c r="AD274" s="26">
        <f>IF(U274=0,"",ROUND((Y274-AA274)/U274*100,1))</f>
        <v/>
      </c>
      <c r="AE274" s="36" t="inlineStr">
        <is>
          <t>CHECK — source is not a statutory creditor list</t>
        </is>
      </c>
      <c r="AF274" s="29" t="inlineStr">
        <is>
          <t>https://administradorajudicialgs.com.br/wp-content/uploads/2024/12/relacao-de-credores-da-falida.pdf</t>
        </is>
      </c>
      <c r="AG274" s="28" t="inlineStr">
        <is>
          <t>p13 r6</t>
        </is>
      </c>
      <c r="AH274" s="28" t="inlineStr">
        <is>
          <t>p13: R$ 4.760.530,36</t>
        </is>
      </c>
      <c r="AI274" s="28" t="inlineStr">
        <is>
          <t>Other filing — NOT an art. 7/51 list</t>
        </is>
      </c>
      <c r="AJ274" s="28" t="inlineStr">
        <is>
          <t>2025-03-25</t>
        </is>
      </c>
      <c r="AK274" s="28" t="inlineStr">
        <is>
          <t>NONE FOUND</t>
        </is>
      </c>
      <c r="AL274" s="30" t="inlineStr">
        <is>
          <t>0005010-50.2013.8.24.0026</t>
        </is>
      </c>
      <c r="AM274" s="30" t="inlineStr">
        <is>
          <t>TJSC</t>
        </is>
      </c>
      <c r="AN274" s="30" t="inlineStr"/>
      <c r="AO274" s="30" t="n">
        <v>2013</v>
      </c>
      <c r="AP274" s="30" t="inlineStr">
        <is>
          <t>document is a falência (bankruptcy) list</t>
        </is>
      </c>
      <c r="AQ274" s="30" t="inlineStr"/>
      <c r="AR274" s="30" t="inlineStr">
        <is>
          <t>printed on the list (read twice)</t>
        </is>
      </c>
      <c r="AS274" s="30" t="inlineStr">
        <is>
          <t>SAO PAULO</t>
        </is>
      </c>
      <c r="AT274" s="30" t="inlineStr">
        <is>
          <t>SP</t>
        </is>
      </c>
      <c r="AU274" s="30" t="inlineStr">
        <is>
          <t>Bancos múltiplos, com carteira comercial</t>
        </is>
      </c>
      <c r="AV274" s="30" t="inlineStr">
        <is>
          <t>DEMAIS</t>
        </is>
      </c>
      <c r="AW274" s="31" t="n">
        <v>1207776000</v>
      </c>
      <c r="AX274" s="30" t="inlineStr">
        <is>
          <t>LARGE CORP</t>
        </is>
      </c>
      <c r="AY274" s="30" t="inlineStr">
        <is>
          <t>58616418</t>
        </is>
      </c>
      <c r="AZ274" s="30" t="n">
        <v>1</v>
      </c>
      <c r="BA274" s="30" t="inlineStr">
        <is>
          <t>LIKELY_FINANCIAL_BY_NAME ROWS:p13r6 UNRECONCILED_SOURCE CASE_NUMBER_CORRECTED</t>
        </is>
      </c>
    </row>
    <row r="275">
      <c r="A275" s="16" t="inlineStr">
        <is>
          <t>TREVISO FUNDO DE INVESTIMENTO EM DIREITOS CREDITORIOS</t>
        </is>
      </c>
      <c r="B275" s="17" t="n">
        <v>661424.53</v>
      </c>
      <c r="C275" s="18" t="inlineStr">
        <is>
          <t>Grupo Conduscabos</t>
        </is>
      </c>
      <c r="D275" s="19" t="inlineStr">
        <is>
          <t>NEW</t>
        </is>
      </c>
      <c r="E275" s="20" t="inlineStr"/>
      <c r="F275" s="19" t="inlineStr"/>
      <c r="G275" s="20" t="inlineStr"/>
      <c r="H275" s="19" t="inlineStr"/>
      <c r="I275" s="21" t="inlineStr"/>
      <c r="J275" s="21" t="inlineStr"/>
      <c r="K275" s="21" t="inlineStr">
        <is>
          <t>(11) 2827-3500</t>
        </is>
      </c>
      <c r="L275" s="21" t="inlineStr"/>
      <c r="M275" s="21" t="inlineStr"/>
      <c r="N275" s="21" t="inlineStr"/>
      <c r="O275" s="21" t="inlineStr"/>
      <c r="P275" s="21" t="inlineStr"/>
      <c r="Q275" s="21" t="inlineStr"/>
      <c r="R275" s="21" t="inlineStr"/>
      <c r="S275" s="21" t="inlineStr"/>
      <c r="T275" s="21" t="inlineStr">
        <is>
          <t>no named contact found</t>
        </is>
      </c>
      <c r="U275" s="22" t="n">
        <v>661424.53</v>
      </c>
      <c r="V275" s="23" t="inlineStr">
        <is>
          <t>B</t>
        </is>
      </c>
      <c r="W275" s="24">
        <f>IFERROR(VLOOKUP(V275,Assumptions!$A$7:$F$11,2,FALSE),0)</f>
        <v/>
      </c>
      <c r="X275" s="25">
        <f>IF(V275="A",MAX(1,IFERROR(VLOOKUP(V275,Assumptions!$A$7:$F$11,3,FALSE),3)+IFERROR(VLOOKUP(V275,Assumptions!$A$7:$F$11,4,FALSE),8)/2-MAX(0,IF(AO275="",0,YEAR(TODAY())-AO275)-IFERROR(VLOOKUP(V275,Assumptions!$A$7:$F$11,5,FALSE),1.5))),IFERROR(VLOOKUP(V275,Assumptions!$A$7:$F$11,5,FALSE),2.5)+IFERROR(VLOOKUP(V275,Assumptions!$A$7:$F$11,3,FALSE),3)+IFERROR(VLOOKUP(V275,Assumptions!$A$7:$F$11,4,FALSE),8)/2)</f>
        <v/>
      </c>
      <c r="Y275" s="22">
        <f>U275*W275/(1+Assumptions!$B$3)^X275</f>
        <v/>
      </c>
      <c r="Z275" s="26">
        <f>IF(U275=0,"",ROUND(Y275/U275*100,1))</f>
        <v/>
      </c>
      <c r="AA275" s="27">
        <f>Y275*Assumptions!$B$4</f>
        <v/>
      </c>
      <c r="AB275" s="26">
        <f>IF(U275=0,"",ROUND(AA275/U275*100,1))</f>
        <v/>
      </c>
      <c r="AC275" s="27">
        <f>Y275-AA275</f>
        <v/>
      </c>
      <c r="AD275" s="26">
        <f>IF(U275=0,"",ROUND((Y275-AA275)/U275*100,1))</f>
        <v/>
      </c>
      <c r="AE275" s="33" t="inlineStr">
        <is>
          <t>NO TOTALS — list prints none; check page</t>
        </is>
      </c>
      <c r="AF275" s="29" t="inlineStr">
        <is>
          <t>https://assistjud.com.br/wp-content/uploads/elementor/forms/65098c80a5824.pdf</t>
        </is>
      </c>
      <c r="AG275" s="28" t="inlineStr">
        <is>
          <t>p10 r6; p19 r9</t>
        </is>
      </c>
      <c r="AH275" s="28" t="inlineStr">
        <is>
          <t>p10: R$ 156.614,07; p19: R$ 504.810,46</t>
        </is>
      </c>
      <c r="AI275" s="28" t="inlineStr">
        <is>
          <t>AJ list (art. 7 §2)</t>
        </is>
      </c>
      <c r="AJ275" s="28" t="inlineStr">
        <is>
          <t>2023-09-18</t>
        </is>
      </c>
      <c r="AK275" s="28" t="inlineStr">
        <is>
          <t>NONE FOUND</t>
        </is>
      </c>
      <c r="AL275" s="30" t="inlineStr">
        <is>
          <t>8005129-09.2023.8.05.0039</t>
        </is>
      </c>
      <c r="AM275" s="30" t="inlineStr">
        <is>
          <t>TJBA</t>
        </is>
      </c>
      <c r="AN275" s="30" t="inlineStr">
        <is>
          <t>ACTIVE</t>
        </is>
      </c>
      <c r="AO275" s="30" t="n">
        <v>2023</v>
      </c>
      <c r="AP275" s="30" t="inlineStr">
        <is>
          <t>live case, no plan document yet</t>
        </is>
      </c>
      <c r="AQ275" s="30" t="inlineStr"/>
      <c r="AR275" s="30" t="inlineStr">
        <is>
          <t>printed on the list (read twice)</t>
        </is>
      </c>
      <c r="AS275" s="30" t="inlineStr">
        <is>
          <t>SAO PAULO</t>
        </is>
      </c>
      <c r="AT275" s="30" t="inlineStr">
        <is>
          <t>SP</t>
        </is>
      </c>
      <c r="AU275" s="30" t="inlineStr">
        <is>
          <t>Fundos de investimento, exceto previdenciários e imobiliários</t>
        </is>
      </c>
      <c r="AV275" s="30" t="inlineStr">
        <is>
          <t>DEMAIS</t>
        </is>
      </c>
      <c r="AW275" s="31" t="inlineStr"/>
      <c r="AX275" s="30" t="inlineStr">
        <is>
          <t>MID-MARKET</t>
        </is>
      </c>
      <c r="AY275" s="30" t="inlineStr">
        <is>
          <t>26506898</t>
        </is>
      </c>
      <c r="AZ275" s="30" t="n">
        <v>2</v>
      </c>
      <c r="BA275" s="30" t="inlineStr">
        <is>
          <t>ROWS:p10r6,p19r9 UNRECONCILED_SOURCE</t>
        </is>
      </c>
    </row>
    <row r="276">
      <c r="A276" s="16" t="inlineStr">
        <is>
          <t>INVISTA III FUNDO DE INVESTIMENTO EM DIREITOS CREDITORIOS - RESPONSABILIDADE LIMITADA</t>
        </is>
      </c>
      <c r="B276" s="17" t="n">
        <v>658063</v>
      </c>
      <c r="C276" s="18" t="inlineStr">
        <is>
          <t>Grupo Conduscabos</t>
        </is>
      </c>
      <c r="D276" s="19" t="inlineStr">
        <is>
          <t>NEW</t>
        </is>
      </c>
      <c r="E276" s="20" t="inlineStr"/>
      <c r="F276" s="19" t="inlineStr"/>
      <c r="G276" s="20" t="inlineStr"/>
      <c r="H276" s="19" t="inlineStr"/>
      <c r="I276" s="21" t="inlineStr">
        <is>
          <t>Dayvison Bezerra</t>
        </is>
      </c>
      <c r="J276" s="21" t="inlineStr">
        <is>
          <t>Head of NPL &amp; Structuring</t>
        </is>
      </c>
      <c r="K276" s="21" t="inlineStr">
        <is>
          <t>(41) 3122-7300</t>
        </is>
      </c>
      <c r="L276" s="21" t="inlineStr"/>
      <c r="M276" s="21" t="inlineStr"/>
      <c r="N276" s="21" t="inlineStr">
        <is>
          <t>dayvison.bezerra@invista.com.br</t>
        </is>
      </c>
      <c r="O276" s="21" t="inlineStr">
        <is>
          <t>keyse.felix@invista.com.br</t>
        </is>
      </c>
      <c r="P276" s="21" t="inlineStr">
        <is>
          <t>Keyse Felix</t>
        </is>
      </c>
      <c r="Q276" s="21" t="inlineStr">
        <is>
          <t>Collections Manager</t>
        </is>
      </c>
      <c r="R276" s="21" t="inlineStr"/>
      <c r="S276" s="21" t="inlineStr">
        <is>
          <t>keyse.felix@invista.com.br</t>
        </is>
      </c>
      <c r="T276" s="21" t="inlineStr">
        <is>
          <t>email verified by Apollo</t>
        </is>
      </c>
      <c r="U276" s="22" t="n">
        <v>658063</v>
      </c>
      <c r="V276" s="23" t="inlineStr">
        <is>
          <t>B</t>
        </is>
      </c>
      <c r="W276" s="24">
        <f>IFERROR(VLOOKUP(V276,Assumptions!$A$7:$F$11,2,FALSE),0)</f>
        <v/>
      </c>
      <c r="X276" s="25">
        <f>IF(V276="A",MAX(1,IFERROR(VLOOKUP(V276,Assumptions!$A$7:$F$11,3,FALSE),3)+IFERROR(VLOOKUP(V276,Assumptions!$A$7:$F$11,4,FALSE),8)/2-MAX(0,IF(AO276="",0,YEAR(TODAY())-AO276)-IFERROR(VLOOKUP(V276,Assumptions!$A$7:$F$11,5,FALSE),1.5))),IFERROR(VLOOKUP(V276,Assumptions!$A$7:$F$11,5,FALSE),2.5)+IFERROR(VLOOKUP(V276,Assumptions!$A$7:$F$11,3,FALSE),3)+IFERROR(VLOOKUP(V276,Assumptions!$A$7:$F$11,4,FALSE),8)/2)</f>
        <v/>
      </c>
      <c r="Y276" s="22">
        <f>U276*W276/(1+Assumptions!$B$3)^X276</f>
        <v/>
      </c>
      <c r="Z276" s="26">
        <f>IF(U276=0,"",ROUND(Y276/U276*100,1))</f>
        <v/>
      </c>
      <c r="AA276" s="27">
        <f>Y276*Assumptions!$B$4</f>
        <v/>
      </c>
      <c r="AB276" s="26">
        <f>IF(U276=0,"",ROUND(AA276/U276*100,1))</f>
        <v/>
      </c>
      <c r="AC276" s="27">
        <f>Y276-AA276</f>
        <v/>
      </c>
      <c r="AD276" s="26">
        <f>IF(U276=0,"",ROUND((Y276-AA276)/U276*100,1))</f>
        <v/>
      </c>
      <c r="AE276" s="33" t="inlineStr">
        <is>
          <t>NO TOTALS — list prints none; check page</t>
        </is>
      </c>
      <c r="AF276" s="29" t="inlineStr">
        <is>
          <t>https://assistjud.com.br/wp-content/uploads/elementor/forms/65098c80a5824.pdf</t>
        </is>
      </c>
      <c r="AG276" s="28" t="inlineStr">
        <is>
          <t>p8 r2; p18 r4</t>
        </is>
      </c>
      <c r="AH276" s="28" t="inlineStr">
        <is>
          <t>p8: R$ 195.889,00; p18: R$ 462.174,00</t>
        </is>
      </c>
      <c r="AI276" s="28" t="inlineStr">
        <is>
          <t>AJ list (art. 7 §2)</t>
        </is>
      </c>
      <c r="AJ276" s="28" t="inlineStr">
        <is>
          <t>2023-09-18</t>
        </is>
      </c>
      <c r="AK276" s="28" t="inlineStr">
        <is>
          <t>NONE FOUND</t>
        </is>
      </c>
      <c r="AL276" s="30" t="inlineStr">
        <is>
          <t>8005129-09.2023.8.05.0039</t>
        </is>
      </c>
      <c r="AM276" s="30" t="inlineStr">
        <is>
          <t>TJBA</t>
        </is>
      </c>
      <c r="AN276" s="30" t="inlineStr">
        <is>
          <t>ACTIVE</t>
        </is>
      </c>
      <c r="AO276" s="30" t="n">
        <v>2023</v>
      </c>
      <c r="AP276" s="30" t="inlineStr">
        <is>
          <t>live case, no plan document yet</t>
        </is>
      </c>
      <c r="AQ276" s="30" t="inlineStr"/>
      <c r="AR276" s="30" t="inlineStr">
        <is>
          <t>printed on the list (read twice)</t>
        </is>
      </c>
      <c r="AS276" s="30" t="inlineStr">
        <is>
          <t>CURITIBA</t>
        </is>
      </c>
      <c r="AT276" s="30" t="inlineStr">
        <is>
          <t>PR</t>
        </is>
      </c>
      <c r="AU276" s="30" t="inlineStr">
        <is>
          <t>Fundos de investimento, exceto previdenciários e imobiliários</t>
        </is>
      </c>
      <c r="AV276" s="30" t="inlineStr">
        <is>
          <t>DEMAIS</t>
        </is>
      </c>
      <c r="AW276" s="31" t="inlineStr"/>
      <c r="AX276" s="30" t="inlineStr">
        <is>
          <t>MID-MARKET</t>
        </is>
      </c>
      <c r="AY276" s="30" t="inlineStr">
        <is>
          <t>26489103</t>
        </is>
      </c>
      <c r="AZ276" s="30" t="n">
        <v>2</v>
      </c>
      <c r="BA276" s="30" t="inlineStr">
        <is>
          <t>ROWS:p8r2,p18r4 UNRECONCILED_SOURCE</t>
        </is>
      </c>
    </row>
    <row r="277">
      <c r="A277" s="16" t="inlineStr">
        <is>
          <t>Banco Industrial do e Brasil S.A.</t>
        </is>
      </c>
      <c r="B277" s="17" t="n">
        <v>2537596.28</v>
      </c>
      <c r="C277" s="18" t="inlineStr">
        <is>
          <t>FORMAPLAN FORMAS PLANEJADAS INDÚSTRIA E COMÉRCIO LTDA</t>
        </is>
      </c>
      <c r="D277" s="19" t="inlineStr">
        <is>
          <t>NEW</t>
        </is>
      </c>
      <c r="E277" s="20" t="inlineStr"/>
      <c r="F277" s="19" t="inlineStr"/>
      <c r="G277" s="20" t="inlineStr"/>
      <c r="H277" s="19" t="inlineStr"/>
      <c r="I277" s="21" t="inlineStr">
        <is>
          <t>Eduardo Fernandes</t>
        </is>
      </c>
      <c r="J277" s="21" t="inlineStr">
        <is>
          <t>Gerente de Recuperação de Crédito</t>
        </is>
      </c>
      <c r="K277" s="21" t="inlineStr"/>
      <c r="L277" s="21" t="inlineStr"/>
      <c r="M277" s="21" t="inlineStr"/>
      <c r="N277" s="21" t="inlineStr">
        <is>
          <t>eduardo.fernandes@bancoindustrial.com.br</t>
        </is>
      </c>
      <c r="O277" s="21" t="inlineStr"/>
      <c r="P277" s="21" t="inlineStr"/>
      <c r="Q277" s="21" t="inlineStr"/>
      <c r="R277" s="21" t="inlineStr"/>
      <c r="S277" s="21" t="inlineStr"/>
      <c r="T277" s="21" t="inlineStr">
        <is>
          <t>email verified by Apollo</t>
        </is>
      </c>
      <c r="U277" s="22" t="n">
        <v>2537596.28</v>
      </c>
      <c r="V277" s="38" t="inlineStr">
        <is>
          <t>C</t>
        </is>
      </c>
      <c r="W277" s="24">
        <f>IFERROR(VLOOKUP(V277,Assumptions!$A$7:$F$11,2,FALSE),0)</f>
        <v/>
      </c>
      <c r="X277" s="25">
        <f>IF(V277="A",MAX(1,IFERROR(VLOOKUP(V277,Assumptions!$A$7:$F$11,3,FALSE),3)+IFERROR(VLOOKUP(V277,Assumptions!$A$7:$F$11,4,FALSE),8)/2-MAX(0,IF(AO277="",0,YEAR(TODAY())-AO277)-IFERROR(VLOOKUP(V277,Assumptions!$A$7:$F$11,5,FALSE),1.5))),IFERROR(VLOOKUP(V277,Assumptions!$A$7:$F$11,5,FALSE),2.5)+IFERROR(VLOOKUP(V277,Assumptions!$A$7:$F$11,3,FALSE),3)+IFERROR(VLOOKUP(V277,Assumptions!$A$7:$F$11,4,FALSE),8)/2)</f>
        <v/>
      </c>
      <c r="Y277" s="22">
        <f>U277*W277/(1+Assumptions!$B$3)^X277</f>
        <v/>
      </c>
      <c r="Z277" s="26">
        <f>IF(U277=0,"",ROUND(Y277/U277*100,1))</f>
        <v/>
      </c>
      <c r="AA277" s="27">
        <f>Y277*Assumptions!$B$4</f>
        <v/>
      </c>
      <c r="AB277" s="26">
        <f>IF(U277=0,"",ROUND(AA277/U277*100,1))</f>
        <v/>
      </c>
      <c r="AC277" s="27">
        <f>Y277-AA277</f>
        <v/>
      </c>
      <c r="AD277" s="26">
        <f>IF(U277=0,"",ROUND((Y277-AA277)/U277*100,1))</f>
        <v/>
      </c>
      <c r="AE277" s="34" t="inlineStr">
        <is>
          <t>PARTIAL — class III reconciled, other classes not</t>
        </is>
      </c>
      <c r="AF277" s="29" t="inlineStr">
        <is>
          <t>https://marquesadmjudicial.com.br/sgc/download.php?file=files/processo_documento/processo_documento15232121112024_1_.pdf&amp;nome=Relação de Credores</t>
        </is>
      </c>
      <c r="AG277" s="28" t="inlineStr">
        <is>
          <t>p13 r8</t>
        </is>
      </c>
      <c r="AH277" s="28" t="inlineStr">
        <is>
          <t>p13: R$ 2.537.596,28</t>
        </is>
      </c>
      <c r="AI277" s="28" t="inlineStr">
        <is>
          <t>AJ list (art. 7 §2)</t>
        </is>
      </c>
      <c r="AJ277" s="28" t="inlineStr">
        <is>
          <t>2021-01-22</t>
        </is>
      </c>
      <c r="AK277" s="28" t="inlineStr">
        <is>
          <t>NONE FOUND</t>
        </is>
      </c>
      <c r="AL277" s="30" t="inlineStr">
        <is>
          <t>0000410-68.2021.8.16.0174</t>
        </is>
      </c>
      <c r="AM277" s="30" t="inlineStr">
        <is>
          <t>TJPR</t>
        </is>
      </c>
      <c r="AN277" s="30" t="inlineStr">
        <is>
          <t>ACTIVE</t>
        </is>
      </c>
      <c r="AO277" s="30" t="n">
        <v>2021</v>
      </c>
      <c r="AP277" s="30" t="inlineStr">
        <is>
          <t>5y since filing, no plan document</t>
        </is>
      </c>
      <c r="AQ277" s="30" t="inlineStr">
        <is>
          <t>00.262.371/0001-41</t>
        </is>
      </c>
      <c r="AR277" s="30" t="inlineStr">
        <is>
          <t>printed on the list (read twice)</t>
        </is>
      </c>
      <c r="AS277" s="30" t="inlineStr"/>
      <c r="AT277" s="30" t="inlineStr"/>
      <c r="AU277" s="30" t="inlineStr"/>
      <c r="AV277" s="30" t="inlineStr"/>
      <c r="AW277" s="31" t="inlineStr"/>
      <c r="AX277" s="30" t="inlineStr">
        <is>
          <t>MID-MARKET</t>
        </is>
      </c>
      <c r="AY277" s="30" t="inlineStr">
        <is>
          <t>31895683</t>
        </is>
      </c>
      <c r="AZ277" s="30" t="n">
        <v>1</v>
      </c>
      <c r="BA277" s="30" t="inlineStr">
        <is>
          <t>LIKELY_FINANCIAL_BY_NAME PARTIAL_DOC_CLASS_III_RECONCILED ROWS:p13r8</t>
        </is>
      </c>
    </row>
    <row r="278">
      <c r="A278" s="16" t="inlineStr">
        <is>
          <t>SICOOB TRANSCREDI</t>
        </is>
      </c>
      <c r="B278" s="17" t="n">
        <v>646685.02</v>
      </c>
      <c r="C278" s="18" t="inlineStr">
        <is>
          <t>GRUPO CASAS BAHIA S.A.</t>
        </is>
      </c>
      <c r="D278" s="19" t="inlineStr">
        <is>
          <t>NEW</t>
        </is>
      </c>
      <c r="E278" s="20" t="inlineStr"/>
      <c r="F278" s="19" t="inlineStr"/>
      <c r="G278" s="20" t="inlineStr"/>
      <c r="H278" s="19" t="inlineStr"/>
      <c r="I278" s="21" t="inlineStr"/>
      <c r="J278" s="21" t="inlineStr"/>
      <c r="K278" s="21" t="inlineStr"/>
      <c r="L278" s="21" t="inlineStr"/>
      <c r="M278" s="21" t="inlineStr"/>
      <c r="N278" s="21" t="inlineStr"/>
      <c r="O278" s="21" t="inlineStr"/>
      <c r="P278" s="21" t="inlineStr"/>
      <c r="Q278" s="21" t="inlineStr"/>
      <c r="R278" s="21" t="inlineStr"/>
      <c r="S278" s="21" t="inlineStr"/>
      <c r="T278" s="21" t="inlineStr">
        <is>
          <t>no named contact found</t>
        </is>
      </c>
      <c r="U278" s="22" t="n">
        <v>646685.02</v>
      </c>
      <c r="V278" s="23" t="inlineStr">
        <is>
          <t>B</t>
        </is>
      </c>
      <c r="W278" s="24">
        <f>IFERROR(VLOOKUP(V278,Assumptions!$A$7:$F$11,2,FALSE),0)</f>
        <v/>
      </c>
      <c r="X278" s="25">
        <f>IF(V278="A",MAX(1,IFERROR(VLOOKUP(V278,Assumptions!$A$7:$F$11,3,FALSE),3)+IFERROR(VLOOKUP(V278,Assumptions!$A$7:$F$11,4,FALSE),8)/2-MAX(0,IF(AO278="",0,YEAR(TODAY())-AO278)-IFERROR(VLOOKUP(V278,Assumptions!$A$7:$F$11,5,FALSE),1.5))),IFERROR(VLOOKUP(V278,Assumptions!$A$7:$F$11,5,FALSE),2.5)+IFERROR(VLOOKUP(V278,Assumptions!$A$7:$F$11,3,FALSE),3)+IFERROR(VLOOKUP(V278,Assumptions!$A$7:$F$11,4,FALSE),8)/2)</f>
        <v/>
      </c>
      <c r="Y278" s="22">
        <f>U278*W278/(1+Assumptions!$B$3)^X278</f>
        <v/>
      </c>
      <c r="Z278" s="26">
        <f>IF(U278=0,"",ROUND(Y278/U278*100,1))</f>
        <v/>
      </c>
      <c r="AA278" s="27">
        <f>Y278*Assumptions!$B$4</f>
        <v/>
      </c>
      <c r="AB278" s="26">
        <f>IF(U278=0,"",ROUND(AA278/U278*100,1))</f>
        <v/>
      </c>
      <c r="AC278" s="27">
        <f>Y278-AA278</f>
        <v/>
      </c>
      <c r="AD278" s="26">
        <f>IF(U278=0,"",ROUND((Y278-AA278)/U278*100,1))</f>
        <v/>
      </c>
      <c r="AE278" s="33" t="inlineStr">
        <is>
          <t>NO TOTALS — list prints none; check page</t>
        </is>
      </c>
      <c r="AF278" s="29" t="inlineStr">
        <is>
          <t>https://scalzilliaj.com.br/sgc/download.php?file=files/processo_documento/processo_documento15180810062026_1_.pdf&amp;nome=10 - Relação de credores do art. 7º, §2º, da Lei 11.101/2005</t>
        </is>
      </c>
      <c r="AG278" s="28" t="inlineStr">
        <is>
          <t>p2 r49</t>
        </is>
      </c>
      <c r="AH278" s="28" t="inlineStr">
        <is>
          <t>p2: R$ 646.685,02</t>
        </is>
      </c>
      <c r="AI278" s="28" t="inlineStr">
        <is>
          <t>AJ list (art. 7 §2)</t>
        </is>
      </c>
      <c r="AJ278" s="28" t="inlineStr"/>
      <c r="AK278" s="28" t="inlineStr">
        <is>
          <t>NONE FOUND</t>
        </is>
      </c>
      <c r="AL278" s="30" t="inlineStr">
        <is>
          <t>5009529-81.2025.8.24.0019</t>
        </is>
      </c>
      <c r="AM278" s="30" t="inlineStr">
        <is>
          <t>TJSC</t>
        </is>
      </c>
      <c r="AN278" s="30" t="inlineStr"/>
      <c r="AO278" s="30" t="n">
        <v>2025</v>
      </c>
      <c r="AP278" s="30" t="inlineStr">
        <is>
          <t>live case, no plan document yet</t>
        </is>
      </c>
      <c r="AQ278" s="30" t="inlineStr">
        <is>
          <t>33.041.260/0652-90</t>
        </is>
      </c>
      <c r="AR278" s="30" t="inlineStr">
        <is>
          <t>registry (RFB) match</t>
        </is>
      </c>
      <c r="AS278" s="30" t="inlineStr"/>
      <c r="AT278" s="30" t="inlineStr"/>
      <c r="AU278" s="30" t="inlineStr"/>
      <c r="AV278" s="30" t="inlineStr"/>
      <c r="AW278" s="31" t="inlineStr"/>
      <c r="AX278" s="30" t="inlineStr">
        <is>
          <t>MID-MARKET</t>
        </is>
      </c>
      <c r="AY278" s="30" t="inlineStr">
        <is>
          <t>04247370</t>
        </is>
      </c>
      <c r="AZ278" s="30" t="n">
        <v>1</v>
      </c>
      <c r="BA278" s="30" t="inlineStr">
        <is>
          <t>LIKELY_FINANCIAL_BY_NAME ROWS:p2r49 UNRECONCILED_SOURCE</t>
        </is>
      </c>
    </row>
    <row r="279">
      <c r="A279" s="16" t="inlineStr">
        <is>
          <t>VALVITALIA SPA</t>
        </is>
      </c>
      <c r="B279" s="17" t="n">
        <v>1203895.06</v>
      </c>
      <c r="C279" s="18" t="inlineStr">
        <is>
          <t>EGESA ENGENHARIA S/A (Consórcio ETDI)</t>
        </is>
      </c>
      <c r="D279" s="19" t="inlineStr">
        <is>
          <t>NEW</t>
        </is>
      </c>
      <c r="E279" s="20" t="inlineStr"/>
      <c r="F279" s="19" t="inlineStr"/>
      <c r="G279" s="20" t="inlineStr"/>
      <c r="H279" s="19" t="inlineStr"/>
      <c r="I279" s="21" t="inlineStr"/>
      <c r="J279" s="21" t="inlineStr"/>
      <c r="K279" s="21" t="inlineStr">
        <is>
          <t>000000000000</t>
        </is>
      </c>
      <c r="L279" s="21" t="inlineStr"/>
      <c r="M279" s="21" t="inlineStr"/>
      <c r="N279" s="21" t="inlineStr"/>
      <c r="O279" s="21" t="inlineStr"/>
      <c r="P279" s="21" t="inlineStr"/>
      <c r="Q279" s="21" t="inlineStr"/>
      <c r="R279" s="21" t="inlineStr"/>
      <c r="S279" s="21" t="inlineStr"/>
      <c r="T279" s="21" t="inlineStr">
        <is>
          <t>no named contact found</t>
        </is>
      </c>
      <c r="U279" s="22" t="n">
        <v>1203895.06</v>
      </c>
      <c r="V279" s="32" t="inlineStr">
        <is>
          <t>U</t>
        </is>
      </c>
      <c r="W279" s="24">
        <f>IFERROR(VLOOKUP(V279,Assumptions!$A$7:$F$11,2,FALSE),0)</f>
        <v/>
      </c>
      <c r="X279" s="25">
        <f>IF(V279="A",MAX(1,IFERROR(VLOOKUP(V279,Assumptions!$A$7:$F$11,3,FALSE),3)+IFERROR(VLOOKUP(V279,Assumptions!$A$7:$F$11,4,FALSE),8)/2-MAX(0,IF(AO279="",0,YEAR(TODAY())-AO279)-IFERROR(VLOOKUP(V279,Assumptions!$A$7:$F$11,5,FALSE),1.5))),IFERROR(VLOOKUP(V279,Assumptions!$A$7:$F$11,5,FALSE),2.5)+IFERROR(VLOOKUP(V279,Assumptions!$A$7:$F$11,3,FALSE),3)+IFERROR(VLOOKUP(V279,Assumptions!$A$7:$F$11,4,FALSE),8)/2)</f>
        <v/>
      </c>
      <c r="Y279" s="22">
        <f>U279*W279/(1+Assumptions!$B$3)^X279</f>
        <v/>
      </c>
      <c r="Z279" s="26">
        <f>IF(U279=0,"",ROUND(Y279/U279*100,1))</f>
        <v/>
      </c>
      <c r="AA279" s="27">
        <f>Y279*Assumptions!$B$4</f>
        <v/>
      </c>
      <c r="AB279" s="26">
        <f>IF(U279=0,"",ROUND(AA279/U279*100,1))</f>
        <v/>
      </c>
      <c r="AC279" s="27">
        <f>Y279-AA279</f>
        <v/>
      </c>
      <c r="AD279" s="26">
        <f>IF(U279=0,"",ROUND((Y279-AA279)/U279*100,1))</f>
        <v/>
      </c>
      <c r="AE279" s="28" t="inlineStr">
        <is>
          <t>OK — totals reconciled</t>
        </is>
      </c>
      <c r="AF279" s="29" t="inlineStr">
        <is>
          <t>https://scalzilliaj.com.br/sgc/download.php?file=files/processo_documento/processo_documento09514021082025_1_.pdf&amp;nome=04 - Relação de credores das Recuperandas</t>
        </is>
      </c>
      <c r="AG279" s="28" t="inlineStr">
        <is>
          <t>p76 r1; p76 r2; p76 r3; p76 r4</t>
        </is>
      </c>
      <c r="AH279" s="28" t="inlineStr">
        <is>
          <t>p76: R$ 647.429,36; p76: R$ 494.340,20; p76: R$ 35.000,37; p76: R$ 27.125,13</t>
        </is>
      </c>
      <c r="AI279" s="28" t="inlineStr">
        <is>
          <t>Debtor list (art. 51)</t>
        </is>
      </c>
      <c r="AJ279" s="28" t="inlineStr"/>
      <c r="AK279" s="28" t="inlineStr">
        <is>
          <t>NONE FOUND</t>
        </is>
      </c>
      <c r="AL279" s="30" t="inlineStr">
        <is>
          <t>(not printed)</t>
        </is>
      </c>
      <c r="AM279" s="30" t="inlineStr"/>
      <c r="AN279" s="30" t="inlineStr"/>
      <c r="AO279" s="30" t="inlineStr"/>
      <c r="AP279" s="30" t="inlineStr">
        <is>
          <t>RJ case number not identified on the document</t>
        </is>
      </c>
      <c r="AQ279" s="30" t="inlineStr"/>
      <c r="AR279" s="30" t="inlineStr">
        <is>
          <t>portal page title / URL — not printed on the list</t>
        </is>
      </c>
      <c r="AS279" s="30" t="inlineStr">
        <is>
          <t>EXTERIOR</t>
        </is>
      </c>
      <c r="AT279" s="30" t="inlineStr">
        <is>
          <t>EX</t>
        </is>
      </c>
      <c r="AU279" s="30" t="inlineStr">
        <is>
          <t>Holdings de instituições não-financeiras</t>
        </is>
      </c>
      <c r="AV279" s="30" t="inlineStr">
        <is>
          <t>DEMAIS</t>
        </is>
      </c>
      <c r="AW279" s="31" t="inlineStr"/>
      <c r="AX279" s="30" t="inlineStr">
        <is>
          <t>MID-MARKET</t>
        </is>
      </c>
      <c r="AY279" s="30" t="inlineStr">
        <is>
          <t>12692416</t>
        </is>
      </c>
      <c r="AZ279" s="30" t="n">
        <v>4</v>
      </c>
      <c r="BA279" s="30" t="inlineStr">
        <is>
          <t>ROWS:p76r1,p76r2,p76r3,p76r4 VALUE_COL:Valor_Atualizado CASE_NUMBER_CORRECTED</t>
        </is>
      </c>
    </row>
    <row r="280">
      <c r="A280" s="16" t="inlineStr">
        <is>
          <t>BANCO BRADESCO S.A.</t>
        </is>
      </c>
      <c r="B280" s="17" t="n">
        <v>641500</v>
      </c>
      <c r="C280" s="18" t="inlineStr">
        <is>
          <t>GRUPO RIVER MUSIC</t>
        </is>
      </c>
      <c r="D280" s="19" t="inlineStr">
        <is>
          <t>NEW</t>
        </is>
      </c>
      <c r="E280" s="20" t="inlineStr"/>
      <c r="F280" s="19" t="inlineStr"/>
      <c r="G280" s="20" t="inlineStr"/>
      <c r="H280" s="19" t="inlineStr"/>
      <c r="I280" s="21" t="inlineStr">
        <is>
          <t>Marcela Martins</t>
        </is>
      </c>
      <c r="J280" s="21" t="inlineStr">
        <is>
          <t>Superintendente de Recuperação de Crédito - Canais e Operações</t>
        </is>
      </c>
      <c r="K280" s="21" t="inlineStr">
        <is>
          <t>(11) 3684-5122</t>
        </is>
      </c>
      <c r="L280" s="21" t="inlineStr"/>
      <c r="M280" s="21" t="inlineStr"/>
      <c r="N280" s="21" t="inlineStr"/>
      <c r="O280" s="21" t="inlineStr">
        <is>
          <t>sl@bradesco.com.br</t>
        </is>
      </c>
      <c r="P280" s="21" t="inlineStr">
        <is>
          <t>Luis S</t>
        </is>
      </c>
      <c r="Q280" s="21" t="inlineStr">
        <is>
          <t>DRC - Departamento de Recuperação de Crédito - Gerente de Reestruturação de Crédito</t>
        </is>
      </c>
      <c r="R280" s="21" t="inlineStr"/>
      <c r="S280" s="21" t="inlineStr">
        <is>
          <t>sl@bradesco.com.br</t>
        </is>
      </c>
      <c r="T280" s="21" t="inlineStr">
        <is>
          <t>no work email found in Apollo</t>
        </is>
      </c>
      <c r="U280" s="22" t="n">
        <v>641500</v>
      </c>
      <c r="V280" s="23" t="inlineStr">
        <is>
          <t>B</t>
        </is>
      </c>
      <c r="W280" s="24">
        <f>IFERROR(VLOOKUP(V280,Assumptions!$A$7:$F$11,2,FALSE),0)</f>
        <v/>
      </c>
      <c r="X280" s="25">
        <f>IF(V280="A",MAX(1,IFERROR(VLOOKUP(V280,Assumptions!$A$7:$F$11,3,FALSE),3)+IFERROR(VLOOKUP(V280,Assumptions!$A$7:$F$11,4,FALSE),8)/2-MAX(0,IF(AO280="",0,YEAR(TODAY())-AO280)-IFERROR(VLOOKUP(V280,Assumptions!$A$7:$F$11,5,FALSE),1.5))),IFERROR(VLOOKUP(V280,Assumptions!$A$7:$F$11,5,FALSE),2.5)+IFERROR(VLOOKUP(V280,Assumptions!$A$7:$F$11,3,FALSE),3)+IFERROR(VLOOKUP(V280,Assumptions!$A$7:$F$11,4,FALSE),8)/2)</f>
        <v/>
      </c>
      <c r="Y280" s="22">
        <f>U280*W280/(1+Assumptions!$B$3)^X280</f>
        <v/>
      </c>
      <c r="Z280" s="26">
        <f>IF(U280=0,"",ROUND(Y280/U280*100,1))</f>
        <v/>
      </c>
      <c r="AA280" s="27">
        <f>Y280*Assumptions!$B$4</f>
        <v/>
      </c>
      <c r="AB280" s="26">
        <f>IF(U280=0,"",ROUND(AA280/U280*100,1))</f>
        <v/>
      </c>
      <c r="AC280" s="27">
        <f>Y280-AA280</f>
        <v/>
      </c>
      <c r="AD280" s="26">
        <f>IF(U280=0,"",ROUND((Y280-AA280)/U280*100,1))</f>
        <v/>
      </c>
      <c r="AE280" s="33" t="inlineStr">
        <is>
          <t>NO TOTALS — list prints none; check page</t>
        </is>
      </c>
      <c r="AF280" s="29" t="inlineStr">
        <is>
          <t>https://ativosajce.com.br/admin/download.php?file=files/processo_documento/processo_documento18543908052025_1_.pdf&amp;nome=Relação de Credores - art. 52, §1º da Lei 11.101/05 - 27/01/2025</t>
        </is>
      </c>
      <c r="AG280" s="28" t="inlineStr">
        <is>
          <t>p3 r2; p3 r13</t>
        </is>
      </c>
      <c r="AH280" s="28" t="inlineStr">
        <is>
          <t>p3: R$ 296.500,00; p3: R$ 345.000,00</t>
        </is>
      </c>
      <c r="AI280" s="28" t="inlineStr">
        <is>
          <t>Unclassified list</t>
        </is>
      </c>
      <c r="AJ280" s="28" t="inlineStr"/>
      <c r="AK280" s="28" t="inlineStr">
        <is>
          <t>NONE FOUND</t>
        </is>
      </c>
      <c r="AL280" s="30" t="inlineStr">
        <is>
          <t>1001174-80.2024.8.26.0359</t>
        </is>
      </c>
      <c r="AM280" s="30" t="inlineStr">
        <is>
          <t>TJSP</t>
        </is>
      </c>
      <c r="AN280" s="30" t="inlineStr">
        <is>
          <t>ACTIVE</t>
        </is>
      </c>
      <c r="AO280" s="30" t="n">
        <v>2024</v>
      </c>
      <c r="AP280" s="30" t="inlineStr">
        <is>
          <t>live case, no plan document yet</t>
        </is>
      </c>
      <c r="AQ280" s="30" t="inlineStr">
        <is>
          <t>14.469.612/0001-32</t>
        </is>
      </c>
      <c r="AR280" s="30" t="inlineStr">
        <is>
          <t>printed on the list (read twice)</t>
        </is>
      </c>
      <c r="AS280" s="30" t="inlineStr">
        <is>
          <t>OSASCO</t>
        </is>
      </c>
      <c r="AT280" s="30" t="inlineStr">
        <is>
          <t>SP</t>
        </is>
      </c>
      <c r="AU280" s="30" t="inlineStr">
        <is>
          <t>Bancos múltiplos, com carteira comercial</t>
        </is>
      </c>
      <c r="AV280" s="30" t="inlineStr">
        <is>
          <t>DEMAIS</t>
        </is>
      </c>
      <c r="AW280" s="31" t="n">
        <v>93770000000</v>
      </c>
      <c r="AX280" s="30" t="inlineStr">
        <is>
          <t>LARGE CORP</t>
        </is>
      </c>
      <c r="AY280" s="30" t="inlineStr">
        <is>
          <t>60746948</t>
        </is>
      </c>
      <c r="AZ280" s="30" t="n">
        <v>2</v>
      </c>
      <c r="BA280" s="30" t="inlineStr">
        <is>
          <t>ROWS:p3r2,p3r13 UNRECONCILED_SOURCE VALUE_COL:Valor_Do_Créidto</t>
        </is>
      </c>
    </row>
    <row r="281">
      <c r="A281" s="16" t="inlineStr">
        <is>
          <t>BANCO BRADESCO S.A.</t>
        </is>
      </c>
      <c r="B281" s="17" t="n">
        <v>640790</v>
      </c>
      <c r="C281" s="18" t="inlineStr">
        <is>
          <t>Grupo Gomiero</t>
        </is>
      </c>
      <c r="D281" s="19" t="inlineStr">
        <is>
          <t>NEW</t>
        </is>
      </c>
      <c r="E281" s="20" t="inlineStr"/>
      <c r="F281" s="19" t="inlineStr"/>
      <c r="G281" s="20" t="inlineStr"/>
      <c r="H281" s="19" t="inlineStr"/>
      <c r="I281" s="21" t="inlineStr">
        <is>
          <t>Marcela Martins</t>
        </is>
      </c>
      <c r="J281" s="21" t="inlineStr">
        <is>
          <t>Superintendente de Recuperação de Crédito - Canais e Operações</t>
        </is>
      </c>
      <c r="K281" s="21" t="inlineStr">
        <is>
          <t>(11) 3684-5122</t>
        </is>
      </c>
      <c r="L281" s="21" t="inlineStr"/>
      <c r="M281" s="21" t="inlineStr"/>
      <c r="N281" s="21" t="inlineStr"/>
      <c r="O281" s="21" t="inlineStr">
        <is>
          <t>sl@bradesco.com.br</t>
        </is>
      </c>
      <c r="P281" s="21" t="inlineStr">
        <is>
          <t>Luis S</t>
        </is>
      </c>
      <c r="Q281" s="21" t="inlineStr">
        <is>
          <t>DRC - Departamento de Recuperação de Crédito - Gerente de Reestruturação de Crédito</t>
        </is>
      </c>
      <c r="R281" s="21" t="inlineStr"/>
      <c r="S281" s="21" t="inlineStr">
        <is>
          <t>sl@bradesco.com.br</t>
        </is>
      </c>
      <c r="T281" s="21" t="inlineStr">
        <is>
          <t>no work email found in Apollo</t>
        </is>
      </c>
      <c r="U281" s="22" t="n">
        <v>640790</v>
      </c>
      <c r="V281" s="23" t="inlineStr">
        <is>
          <t>B</t>
        </is>
      </c>
      <c r="W281" s="24">
        <f>IFERROR(VLOOKUP(V281,Assumptions!$A$7:$F$11,2,FALSE),0)</f>
        <v/>
      </c>
      <c r="X281" s="25">
        <f>IF(V281="A",MAX(1,IFERROR(VLOOKUP(V281,Assumptions!$A$7:$F$11,3,FALSE),3)+IFERROR(VLOOKUP(V281,Assumptions!$A$7:$F$11,4,FALSE),8)/2-MAX(0,IF(AO281="",0,YEAR(TODAY())-AO281)-IFERROR(VLOOKUP(V281,Assumptions!$A$7:$F$11,5,FALSE),1.5))),IFERROR(VLOOKUP(V281,Assumptions!$A$7:$F$11,5,FALSE),2.5)+IFERROR(VLOOKUP(V281,Assumptions!$A$7:$F$11,3,FALSE),3)+IFERROR(VLOOKUP(V281,Assumptions!$A$7:$F$11,4,FALSE),8)/2)</f>
        <v/>
      </c>
      <c r="Y281" s="22">
        <f>U281*W281/(1+Assumptions!$B$3)^X281</f>
        <v/>
      </c>
      <c r="Z281" s="26">
        <f>IF(U281=0,"",ROUND(Y281/U281*100,1))</f>
        <v/>
      </c>
      <c r="AA281" s="27">
        <f>Y281*Assumptions!$B$4</f>
        <v/>
      </c>
      <c r="AB281" s="26">
        <f>IF(U281=0,"",ROUND(AA281/U281*100,1))</f>
        <v/>
      </c>
      <c r="AC281" s="27">
        <f>Y281-AA281</f>
        <v/>
      </c>
      <c r="AD281" s="26">
        <f>IF(U281=0,"",ROUND((Y281-AA281)/U281*100,1))</f>
        <v/>
      </c>
      <c r="AE281" s="34" t="inlineStr">
        <is>
          <t>PARTIAL — class III reconciled, other classes not</t>
        </is>
      </c>
      <c r="AF281" s="29" t="inlineStr">
        <is>
          <t>https://marquesadmjudicial.com.br/sgc/download.php?file=files/processo_documento/processo_documento09391327032025_1_.pdf&amp;nome=Relação Nominal de Credores AJ</t>
        </is>
      </c>
      <c r="AG281" s="28" t="inlineStr">
        <is>
          <t>p4 r5</t>
        </is>
      </c>
      <c r="AH281" s="28" t="inlineStr">
        <is>
          <t>p4: R$ 640.790,00</t>
        </is>
      </c>
      <c r="AI281" s="28" t="inlineStr">
        <is>
          <t>AJ list (art. 7 §2)</t>
        </is>
      </c>
      <c r="AJ281" s="28" t="inlineStr">
        <is>
          <t>2025-03-21</t>
        </is>
      </c>
      <c r="AK281" s="28" t="inlineStr">
        <is>
          <t>NONE FOUND</t>
        </is>
      </c>
      <c r="AL281" s="30" t="inlineStr">
        <is>
          <t>0044747-14.2024.8.16.0021</t>
        </is>
      </c>
      <c r="AM281" s="30" t="inlineStr">
        <is>
          <t>TJPR</t>
        </is>
      </c>
      <c r="AN281" s="30" t="inlineStr">
        <is>
          <t>ACTIVE</t>
        </is>
      </c>
      <c r="AO281" s="30" t="n">
        <v>2024</v>
      </c>
      <c r="AP281" s="30" t="inlineStr">
        <is>
          <t>live case, no plan document yet</t>
        </is>
      </c>
      <c r="AQ281" s="30" t="inlineStr">
        <is>
          <t>57.650.709/0001-50</t>
        </is>
      </c>
      <c r="AR281" s="30" t="inlineStr">
        <is>
          <t>printed on the list (read twice)</t>
        </is>
      </c>
      <c r="AS281" s="30" t="inlineStr">
        <is>
          <t>OSASCO</t>
        </is>
      </c>
      <c r="AT281" s="30" t="inlineStr">
        <is>
          <t>SP</t>
        </is>
      </c>
      <c r="AU281" s="30" t="inlineStr">
        <is>
          <t>Bancos múltiplos, com carteira comercial</t>
        </is>
      </c>
      <c r="AV281" s="30" t="inlineStr">
        <is>
          <t>DEMAIS</t>
        </is>
      </c>
      <c r="AW281" s="31" t="n">
        <v>93770000000</v>
      </c>
      <c r="AX281" s="30" t="inlineStr">
        <is>
          <t>LARGE CORP</t>
        </is>
      </c>
      <c r="AY281" s="30" t="inlineStr">
        <is>
          <t>60746948</t>
        </is>
      </c>
      <c r="AZ281" s="30" t="n">
        <v>1</v>
      </c>
      <c r="BA281" s="30" t="inlineStr">
        <is>
          <t>NAME_MISSING PARTIAL_DOC_CLASS_III_RECONCILED ROWS:p4r5</t>
        </is>
      </c>
    </row>
    <row r="282">
      <c r="A282" s="16" t="inlineStr">
        <is>
          <t>FUNDO DE RECUPERACAO DE ATIVOS FIDC - RESPONSABILIDADE LIMITADA</t>
        </is>
      </c>
      <c r="B282" s="17" t="n">
        <v>4514078.28</v>
      </c>
      <c r="C282" s="18" t="inlineStr">
        <is>
          <t>Mannes</t>
        </is>
      </c>
      <c r="D282" s="19" t="inlineStr">
        <is>
          <t>NEW</t>
        </is>
      </c>
      <c r="E282" s="20" t="inlineStr"/>
      <c r="F282" s="19" t="inlineStr"/>
      <c r="G282" s="20" t="inlineStr"/>
      <c r="H282" s="19" t="inlineStr"/>
      <c r="I282" s="21" t="inlineStr"/>
      <c r="J282" s="21" t="inlineStr"/>
      <c r="K282" s="21" t="inlineStr">
        <is>
          <t>(11) 3509-0600</t>
        </is>
      </c>
      <c r="L282" s="21" t="inlineStr"/>
      <c r="M282" s="21" t="inlineStr"/>
      <c r="N282" s="21" t="inlineStr"/>
      <c r="O282" s="21" t="inlineStr"/>
      <c r="P282" s="21" t="inlineStr"/>
      <c r="Q282" s="21" t="inlineStr"/>
      <c r="R282" s="21" t="inlineStr"/>
      <c r="S282" s="21" t="inlineStr"/>
      <c r="T282" s="21" t="inlineStr">
        <is>
          <t>no named contact found</t>
        </is>
      </c>
      <c r="U282" s="22" t="n">
        <v>4514078.28</v>
      </c>
      <c r="V282" s="39" t="inlineStr">
        <is>
          <t>D</t>
        </is>
      </c>
      <c r="W282" s="24">
        <f>IFERROR(VLOOKUP(V282,Assumptions!$A$7:$F$11,2,FALSE),0)</f>
        <v/>
      </c>
      <c r="X282" s="25">
        <f>IF(V282="A",MAX(1,IFERROR(VLOOKUP(V282,Assumptions!$A$7:$F$11,3,FALSE),3)+IFERROR(VLOOKUP(V282,Assumptions!$A$7:$F$11,4,FALSE),8)/2-MAX(0,IF(AO282="",0,YEAR(TODAY())-AO282)-IFERROR(VLOOKUP(V282,Assumptions!$A$7:$F$11,5,FALSE),1.5))),IFERROR(VLOOKUP(V282,Assumptions!$A$7:$F$11,5,FALSE),2.5)+IFERROR(VLOOKUP(V282,Assumptions!$A$7:$F$11,3,FALSE),3)+IFERROR(VLOOKUP(V282,Assumptions!$A$7:$F$11,4,FALSE),8)/2)</f>
        <v/>
      </c>
      <c r="Y282" s="22">
        <f>U282*W282/(1+Assumptions!$B$3)^X282</f>
        <v/>
      </c>
      <c r="Z282" s="26">
        <f>IF(U282=0,"",ROUND(Y282/U282*100,1))</f>
        <v/>
      </c>
      <c r="AA282" s="27">
        <f>Y282*Assumptions!$B$4</f>
        <v/>
      </c>
      <c r="AB282" s="26">
        <f>IF(U282=0,"",ROUND(AA282/U282*100,1))</f>
        <v/>
      </c>
      <c r="AC282" s="27">
        <f>Y282-AA282</f>
        <v/>
      </c>
      <c r="AD282" s="26">
        <f>IF(U282=0,"",ROUND((Y282-AA282)/U282*100,1))</f>
        <v/>
      </c>
      <c r="AE282" s="36" t="inlineStr">
        <is>
          <t>CHECK — source is not a statutory creditor list</t>
        </is>
      </c>
      <c r="AF282" s="29" t="inlineStr">
        <is>
          <t>https://administradorajudicialgs.com.br/wp-content/uploads/2024/12/relacao-de-credores-da-falida.pdf</t>
        </is>
      </c>
      <c r="AG282" s="28" t="inlineStr">
        <is>
          <t>p14 r57</t>
        </is>
      </c>
      <c r="AH282" s="28" t="inlineStr">
        <is>
          <t>p14: R$ 4.514.078,28</t>
        </is>
      </c>
      <c r="AI282" s="28" t="inlineStr">
        <is>
          <t>Other filing — NOT an art. 7/51 list</t>
        </is>
      </c>
      <c r="AJ282" s="28" t="inlineStr">
        <is>
          <t>2025-03-25</t>
        </is>
      </c>
      <c r="AK282" s="28" t="inlineStr">
        <is>
          <t>NONE FOUND</t>
        </is>
      </c>
      <c r="AL282" s="30" t="inlineStr">
        <is>
          <t>0005010-50.2013.8.24.0026</t>
        </is>
      </c>
      <c r="AM282" s="30" t="inlineStr">
        <is>
          <t>TJSC</t>
        </is>
      </c>
      <c r="AN282" s="30" t="inlineStr"/>
      <c r="AO282" s="30" t="n">
        <v>2013</v>
      </c>
      <c r="AP282" s="30" t="inlineStr">
        <is>
          <t>document is a falência (bankruptcy) list</t>
        </is>
      </c>
      <c r="AQ282" s="30" t="inlineStr"/>
      <c r="AR282" s="30" t="inlineStr">
        <is>
          <t>printed on the list (read twice)</t>
        </is>
      </c>
      <c r="AS282" s="30" t="inlineStr">
        <is>
          <t>SAO PAULO</t>
        </is>
      </c>
      <c r="AT282" s="30" t="inlineStr">
        <is>
          <t>SP</t>
        </is>
      </c>
      <c r="AU282" s="30" t="inlineStr">
        <is>
          <t>Fundos de investimento, exceto previdenciários e imobiliários</t>
        </is>
      </c>
      <c r="AV282" s="30" t="inlineStr">
        <is>
          <t>DEMAIS</t>
        </is>
      </c>
      <c r="AW282" s="31" t="inlineStr"/>
      <c r="AX282" s="30" t="inlineStr">
        <is>
          <t>MID-MARKET</t>
        </is>
      </c>
      <c r="AY282" s="30" t="inlineStr">
        <is>
          <t>22415372</t>
        </is>
      </c>
      <c r="AZ282" s="30" t="n">
        <v>1</v>
      </c>
      <c r="BA282" s="30" t="inlineStr">
        <is>
          <t>ROWS:p14r57 UNRECONCILED_SOURCE CASE_NUMBER_CORRECTED</t>
        </is>
      </c>
    </row>
    <row r="283">
      <c r="A283" s="16" t="inlineStr">
        <is>
          <t>ITAU UNIBANCO S.A.</t>
        </is>
      </c>
      <c r="B283" s="17" t="n">
        <v>623697.48</v>
      </c>
      <c r="C283" s="18" t="inlineStr">
        <is>
          <t>GRUPO D&amp;D</t>
        </is>
      </c>
      <c r="D283" s="19" t="inlineStr">
        <is>
          <t>NEW</t>
        </is>
      </c>
      <c r="E283" s="20" t="inlineStr"/>
      <c r="F283" s="19" t="inlineStr"/>
      <c r="G283" s="20" t="inlineStr"/>
      <c r="H283" s="19" t="inlineStr"/>
      <c r="I283" s="21" t="inlineStr">
        <is>
          <t>Murilo Gigliucci</t>
        </is>
      </c>
      <c r="J283" s="21" t="inlineStr">
        <is>
          <t>Superintendente de Reestruturação de Crédito</t>
        </is>
      </c>
      <c r="K283" s="21" t="inlineStr">
        <is>
          <t>(11) 3003-4828</t>
        </is>
      </c>
      <c r="L283" s="21" t="inlineStr"/>
      <c r="M283" s="21" t="inlineStr"/>
      <c r="N283" s="21" t="inlineStr">
        <is>
          <t>murilo.gigliucci@itau-unibanco.com.br</t>
        </is>
      </c>
      <c r="O283" s="21" t="inlineStr">
        <is>
          <t>pedro.ornellas-geronimo@itau-unibanco.com.br</t>
        </is>
      </c>
      <c r="P283" s="21" t="inlineStr">
        <is>
          <t>Pedro Ornellas</t>
        </is>
      </c>
      <c r="Q283" s="21" t="inlineStr">
        <is>
          <t>Superintendente de Recuperação de Crédito</t>
        </is>
      </c>
      <c r="R283" s="21" t="inlineStr"/>
      <c r="S283" s="21" t="inlineStr">
        <is>
          <t>pedro.ornellas-geronimo@itau-unibanco.com.br</t>
        </is>
      </c>
      <c r="T283" s="21" t="inlineStr">
        <is>
          <t>email verified by Apollo</t>
        </is>
      </c>
      <c r="U283" s="22" t="n">
        <v>623697.48</v>
      </c>
      <c r="V283" s="23" t="inlineStr">
        <is>
          <t>B</t>
        </is>
      </c>
      <c r="W283" s="24">
        <f>IFERROR(VLOOKUP(V283,Assumptions!$A$7:$F$11,2,FALSE),0)</f>
        <v/>
      </c>
      <c r="X283" s="25">
        <f>IF(V283="A",MAX(1,IFERROR(VLOOKUP(V283,Assumptions!$A$7:$F$11,3,FALSE),3)+IFERROR(VLOOKUP(V283,Assumptions!$A$7:$F$11,4,FALSE),8)/2-MAX(0,IF(AO283="",0,YEAR(TODAY())-AO283)-IFERROR(VLOOKUP(V283,Assumptions!$A$7:$F$11,5,FALSE),1.5))),IFERROR(VLOOKUP(V283,Assumptions!$A$7:$F$11,5,FALSE),2.5)+IFERROR(VLOOKUP(V283,Assumptions!$A$7:$F$11,3,FALSE),3)+IFERROR(VLOOKUP(V283,Assumptions!$A$7:$F$11,4,FALSE),8)/2)</f>
        <v/>
      </c>
      <c r="Y283" s="22">
        <f>U283*W283/(1+Assumptions!$B$3)^X283</f>
        <v/>
      </c>
      <c r="Z283" s="26">
        <f>IF(U283=0,"",ROUND(Y283/U283*100,1))</f>
        <v/>
      </c>
      <c r="AA283" s="27">
        <f>Y283*Assumptions!$B$4</f>
        <v/>
      </c>
      <c r="AB283" s="26">
        <f>IF(U283=0,"",ROUND(AA283/U283*100,1))</f>
        <v/>
      </c>
      <c r="AC283" s="27">
        <f>Y283-AA283</f>
        <v/>
      </c>
      <c r="AD283" s="26">
        <f>IF(U283=0,"",ROUND((Y283-AA283)/U283*100,1))</f>
        <v/>
      </c>
      <c r="AE283" s="34" t="inlineStr">
        <is>
          <t>PARTIAL — class III reconciled, other classes not</t>
        </is>
      </c>
      <c r="AF283" s="29" t="inlineStr">
        <is>
          <t>https://marquesadmjudicial.com.br/sgc/download.php?file=files/processo_documento/processo_documento20014127022025_1_.pdf&amp;nome=Relação Nominal de Credores</t>
        </is>
      </c>
      <c r="AG283" s="28" t="inlineStr">
        <is>
          <t>p5 r6</t>
        </is>
      </c>
      <c r="AH283" s="28" t="inlineStr">
        <is>
          <t>p5: R$ 623.697,48</t>
        </is>
      </c>
      <c r="AI283" s="28" t="inlineStr">
        <is>
          <t>AJ list (art. 7 §2)</t>
        </is>
      </c>
      <c r="AJ283" s="28" t="inlineStr">
        <is>
          <t>2024-11-08</t>
        </is>
      </c>
      <c r="AK283" s="28" t="inlineStr">
        <is>
          <t>NONE FOUND</t>
        </is>
      </c>
      <c r="AL283" s="30" t="inlineStr">
        <is>
          <t>0001943-40.2024.8.16.0115</t>
        </is>
      </c>
      <c r="AM283" s="30" t="inlineStr">
        <is>
          <t>TJPR</t>
        </is>
      </c>
      <c r="AN283" s="30" t="inlineStr">
        <is>
          <t>ACTIVE</t>
        </is>
      </c>
      <c r="AO283" s="30" t="n">
        <v>2024</v>
      </c>
      <c r="AP283" s="30" t="inlineStr">
        <is>
          <t>live case, no plan document yet</t>
        </is>
      </c>
      <c r="AQ283" s="30" t="inlineStr"/>
      <c r="AR283" s="30" t="inlineStr">
        <is>
          <t>printed on the list (read twice)</t>
        </is>
      </c>
      <c r="AS283" s="30" t="inlineStr">
        <is>
          <t>SAO PAULO</t>
        </is>
      </c>
      <c r="AT283" s="30" t="inlineStr">
        <is>
          <t>SP</t>
        </is>
      </c>
      <c r="AU283" s="30" t="inlineStr">
        <is>
          <t>Bancos comerciais</t>
        </is>
      </c>
      <c r="AV283" s="30" t="inlineStr">
        <is>
          <t>DEMAIS</t>
        </is>
      </c>
      <c r="AW283" s="31" t="n">
        <v>76200000000</v>
      </c>
      <c r="AX283" s="30" t="inlineStr">
        <is>
          <t>LARGE CORP</t>
        </is>
      </c>
      <c r="AY283" s="30" t="inlineStr">
        <is>
          <t>60701190</t>
        </is>
      </c>
      <c r="AZ283" s="30" t="n">
        <v>1</v>
      </c>
      <c r="BA283" s="30" t="inlineStr">
        <is>
          <t>LIKELY_FINANCIAL_BY_NAME PARTIAL_DOC_CLASS_III_RECONCILED ROWS:p5r6</t>
        </is>
      </c>
    </row>
    <row r="284">
      <c r="A284" s="16" t="inlineStr">
        <is>
          <t>ITAU UNIBANCO S.A.</t>
        </is>
      </c>
      <c r="B284" s="17" t="n">
        <v>623067.28</v>
      </c>
      <c r="C284" s="18" t="inlineStr">
        <is>
          <t>TOP TEXTIL EMBALAGENS LTDA</t>
        </is>
      </c>
      <c r="D284" s="19" t="inlineStr">
        <is>
          <t>NEW</t>
        </is>
      </c>
      <c r="E284" s="20" t="inlineStr"/>
      <c r="F284" s="19" t="inlineStr"/>
      <c r="G284" s="20" t="inlineStr"/>
      <c r="H284" s="19" t="inlineStr"/>
      <c r="I284" s="21" t="inlineStr">
        <is>
          <t>Murilo Gigliucci</t>
        </is>
      </c>
      <c r="J284" s="21" t="inlineStr">
        <is>
          <t>Superintendente de Reestruturação de Crédito</t>
        </is>
      </c>
      <c r="K284" s="21" t="inlineStr">
        <is>
          <t>(11) 3003-4828</t>
        </is>
      </c>
      <c r="L284" s="21" t="inlineStr"/>
      <c r="M284" s="21" t="inlineStr"/>
      <c r="N284" s="21" t="inlineStr">
        <is>
          <t>murilo.gigliucci@itau-unibanco.com.br</t>
        </is>
      </c>
      <c r="O284" s="21" t="inlineStr">
        <is>
          <t>pedro.ornellas-geronimo@itau-unibanco.com.br</t>
        </is>
      </c>
      <c r="P284" s="21" t="inlineStr">
        <is>
          <t>Pedro Ornellas</t>
        </is>
      </c>
      <c r="Q284" s="21" t="inlineStr">
        <is>
          <t>Superintendente de Recuperação de Crédito</t>
        </is>
      </c>
      <c r="R284" s="21" t="inlineStr"/>
      <c r="S284" s="21" t="inlineStr">
        <is>
          <t>pedro.ornellas-geronimo@itau-unibanco.com.br</t>
        </is>
      </c>
      <c r="T284" s="21" t="inlineStr">
        <is>
          <t>email verified by Apollo</t>
        </is>
      </c>
      <c r="U284" s="22" t="n">
        <v>623067.28</v>
      </c>
      <c r="V284" s="23" t="inlineStr">
        <is>
          <t>B</t>
        </is>
      </c>
      <c r="W284" s="24">
        <f>IFERROR(VLOOKUP(V284,Assumptions!$A$7:$F$11,2,FALSE),0)</f>
        <v/>
      </c>
      <c r="X284" s="25">
        <f>IF(V284="A",MAX(1,IFERROR(VLOOKUP(V284,Assumptions!$A$7:$F$11,3,FALSE),3)+IFERROR(VLOOKUP(V284,Assumptions!$A$7:$F$11,4,FALSE),8)/2-MAX(0,IF(AO284="",0,YEAR(TODAY())-AO284)-IFERROR(VLOOKUP(V284,Assumptions!$A$7:$F$11,5,FALSE),1.5))),IFERROR(VLOOKUP(V284,Assumptions!$A$7:$F$11,5,FALSE),2.5)+IFERROR(VLOOKUP(V284,Assumptions!$A$7:$F$11,3,FALSE),3)+IFERROR(VLOOKUP(V284,Assumptions!$A$7:$F$11,4,FALSE),8)/2)</f>
        <v/>
      </c>
      <c r="Y284" s="22">
        <f>U284*W284/(1+Assumptions!$B$3)^X284</f>
        <v/>
      </c>
      <c r="Z284" s="26">
        <f>IF(U284=0,"",ROUND(Y284/U284*100,1))</f>
        <v/>
      </c>
      <c r="AA284" s="27">
        <f>Y284*Assumptions!$B$4</f>
        <v/>
      </c>
      <c r="AB284" s="26">
        <f>IF(U284=0,"",ROUND(AA284/U284*100,1))</f>
        <v/>
      </c>
      <c r="AC284" s="27">
        <f>Y284-AA284</f>
        <v/>
      </c>
      <c r="AD284" s="26">
        <f>IF(U284=0,"",ROUND((Y284-AA284)/U284*100,1))</f>
        <v/>
      </c>
      <c r="AE284" s="33" t="inlineStr">
        <is>
          <t>NO TOTALS — list prints none; check page</t>
        </is>
      </c>
      <c r="AF284" s="29" t="inlineStr">
        <is>
          <t>https://cataliseaj.com.br/sgc/download.php?file=files/processo_documento/processo_documento15092204102024_1_.pdf&amp;nome=02. RELAÇÃO DE CREDORES</t>
        </is>
      </c>
      <c r="AG284" s="28" t="inlineStr">
        <is>
          <t>p2 r14</t>
        </is>
      </c>
      <c r="AH284" s="28" t="inlineStr">
        <is>
          <t>p2: R$ 623.067,28</t>
        </is>
      </c>
      <c r="AI284" s="28" t="inlineStr">
        <is>
          <t>Debtor list (art. 51)</t>
        </is>
      </c>
      <c r="AJ284" s="28" t="inlineStr"/>
      <c r="AK284" s="28" t="inlineStr">
        <is>
          <t>NONE FOUND</t>
        </is>
      </c>
      <c r="AL284" s="30" t="inlineStr">
        <is>
          <t>5011460-87.2023.8.24.0020</t>
        </is>
      </c>
      <c r="AM284" s="30" t="inlineStr">
        <is>
          <t>TJSC</t>
        </is>
      </c>
      <c r="AN284" s="30" t="inlineStr">
        <is>
          <t>ACTIVE</t>
        </is>
      </c>
      <c r="AO284" s="30" t="n">
        <v>2023</v>
      </c>
      <c r="AP284" s="30" t="inlineStr">
        <is>
          <t>live case, no plan document yet</t>
        </is>
      </c>
      <c r="AQ284" s="30" t="inlineStr">
        <is>
          <t>26.588.741/0001-29</t>
        </is>
      </c>
      <c r="AR284" s="30" t="inlineStr">
        <is>
          <t>printed on the list (read twice)</t>
        </is>
      </c>
      <c r="AS284" s="30" t="inlineStr">
        <is>
          <t>SAO PAULO</t>
        </is>
      </c>
      <c r="AT284" s="30" t="inlineStr">
        <is>
          <t>SP</t>
        </is>
      </c>
      <c r="AU284" s="30" t="inlineStr">
        <is>
          <t>Bancos comerciais</t>
        </is>
      </c>
      <c r="AV284" s="30" t="inlineStr">
        <is>
          <t>DEMAIS</t>
        </is>
      </c>
      <c r="AW284" s="31" t="n">
        <v>76200000000</v>
      </c>
      <c r="AX284" s="30" t="inlineStr">
        <is>
          <t>LARGE CORP</t>
        </is>
      </c>
      <c r="AY284" s="30" t="inlineStr">
        <is>
          <t>60701190</t>
        </is>
      </c>
      <c r="AZ284" s="30" t="n">
        <v>1</v>
      </c>
      <c r="BA284" s="30" t="inlineStr">
        <is>
          <t>ROWS:p2r14 UNRECONCILED_SOURCE</t>
        </is>
      </c>
    </row>
    <row r="285">
      <c r="A285" s="16" t="inlineStr">
        <is>
          <t>ITAU UNIBANCO S.A.</t>
        </is>
      </c>
      <c r="B285" s="17" t="n">
        <v>2433378.27</v>
      </c>
      <c r="C285" s="18" t="inlineStr">
        <is>
          <t>VECTOR INDÚSTRIA DE PRODUTOS METALÚRGICOS LTDA.</t>
        </is>
      </c>
      <c r="D285" s="19" t="inlineStr">
        <is>
          <t>NEW</t>
        </is>
      </c>
      <c r="E285" s="20" t="inlineStr"/>
      <c r="F285" s="19" t="inlineStr"/>
      <c r="G285" s="20" t="inlineStr"/>
      <c r="H285" s="19" t="inlineStr"/>
      <c r="I285" s="21" t="inlineStr">
        <is>
          <t>Murilo Gigliucci</t>
        </is>
      </c>
      <c r="J285" s="21" t="inlineStr">
        <is>
          <t>Superintendente de Reestruturação de Crédito</t>
        </is>
      </c>
      <c r="K285" s="21" t="inlineStr">
        <is>
          <t>(11) 3003-4828</t>
        </is>
      </c>
      <c r="L285" s="21" t="inlineStr"/>
      <c r="M285" s="21" t="inlineStr"/>
      <c r="N285" s="21" t="inlineStr">
        <is>
          <t>murilo.gigliucci@itau-unibanco.com.br</t>
        </is>
      </c>
      <c r="O285" s="21" t="inlineStr">
        <is>
          <t>pedro.ornellas-geronimo@itau-unibanco.com.br</t>
        </is>
      </c>
      <c r="P285" s="21" t="inlineStr">
        <is>
          <t>Pedro Ornellas</t>
        </is>
      </c>
      <c r="Q285" s="21" t="inlineStr">
        <is>
          <t>Superintendente de Recuperação de Crédito</t>
        </is>
      </c>
      <c r="R285" s="21" t="inlineStr"/>
      <c r="S285" s="21" t="inlineStr">
        <is>
          <t>pedro.ornellas-geronimo@itau-unibanco.com.br</t>
        </is>
      </c>
      <c r="T285" s="21" t="inlineStr">
        <is>
          <t>email verified by Apollo</t>
        </is>
      </c>
      <c r="U285" s="22" t="n">
        <v>2433378.27</v>
      </c>
      <c r="V285" s="38" t="inlineStr">
        <is>
          <t>C</t>
        </is>
      </c>
      <c r="W285" s="24">
        <f>IFERROR(VLOOKUP(V285,Assumptions!$A$7:$F$11,2,FALSE),0)</f>
        <v/>
      </c>
      <c r="X285" s="25">
        <f>IF(V285="A",MAX(1,IFERROR(VLOOKUP(V285,Assumptions!$A$7:$F$11,3,FALSE),3)+IFERROR(VLOOKUP(V285,Assumptions!$A$7:$F$11,4,FALSE),8)/2-MAX(0,IF(AO285="",0,YEAR(TODAY())-AO285)-IFERROR(VLOOKUP(V285,Assumptions!$A$7:$F$11,5,FALSE),1.5))),IFERROR(VLOOKUP(V285,Assumptions!$A$7:$F$11,5,FALSE),2.5)+IFERROR(VLOOKUP(V285,Assumptions!$A$7:$F$11,3,FALSE),3)+IFERROR(VLOOKUP(V285,Assumptions!$A$7:$F$11,4,FALSE),8)/2)</f>
        <v/>
      </c>
      <c r="Y285" s="22">
        <f>U285*W285/(1+Assumptions!$B$3)^X285</f>
        <v/>
      </c>
      <c r="Z285" s="26">
        <f>IF(U285=0,"",ROUND(Y285/U285*100,1))</f>
        <v/>
      </c>
      <c r="AA285" s="27">
        <f>Y285*Assumptions!$B$4</f>
        <v/>
      </c>
      <c r="AB285" s="26">
        <f>IF(U285=0,"",ROUND(AA285/U285*100,1))</f>
        <v/>
      </c>
      <c r="AC285" s="27">
        <f>Y285-AA285</f>
        <v/>
      </c>
      <c r="AD285" s="26">
        <f>IF(U285=0,"",ROUND((Y285-AA285)/U285*100,1))</f>
        <v/>
      </c>
      <c r="AE285" s="33" t="inlineStr">
        <is>
          <t>NO TOTALS — list prints none; check page</t>
        </is>
      </c>
      <c r="AF285" s="29" t="inlineStr">
        <is>
          <t>https://scalzilliaj.com.br/sgc/download.php?file=files/processo_documento/processo_documento15513401112022_1_.pdf&amp;nome=15 - Edital do art. 7º, §2º (segunda lista de credores) e do art. 53 da Lei 11.101/2005 (recebimento do plano)</t>
        </is>
      </c>
      <c r="AG285" s="28" t="inlineStr">
        <is>
          <t>p7 r30</t>
        </is>
      </c>
      <c r="AH285" s="28" t="inlineStr">
        <is>
          <t>p7: R$ 2.433.378,27</t>
        </is>
      </c>
      <c r="AI285" s="28" t="inlineStr">
        <is>
          <t>AJ list (art. 7 §2)</t>
        </is>
      </c>
      <c r="AJ285" s="28" t="inlineStr">
        <is>
          <t>2022-11-01</t>
        </is>
      </c>
      <c r="AK285" s="28" t="inlineStr">
        <is>
          <t>NONE FOUND</t>
        </is>
      </c>
      <c r="AL285" s="30" t="inlineStr">
        <is>
          <t>5014104-85.2021.8.21.0010</t>
        </is>
      </c>
      <c r="AM285" s="30" t="inlineStr">
        <is>
          <t>TJRS</t>
        </is>
      </c>
      <c r="AN285" s="30" t="inlineStr">
        <is>
          <t>ACTIVE</t>
        </is>
      </c>
      <c r="AO285" s="30" t="n">
        <v>2021</v>
      </c>
      <c r="AP285" s="30" t="inlineStr">
        <is>
          <t>5y since filing, no plan document</t>
        </is>
      </c>
      <c r="AQ285" s="30" t="inlineStr">
        <is>
          <t>03.018.339/0001-03</t>
        </is>
      </c>
      <c r="AR285" s="30" t="inlineStr">
        <is>
          <t>printed on the list (read twice)</t>
        </is>
      </c>
      <c r="AS285" s="30" t="inlineStr">
        <is>
          <t>SAO PAULO</t>
        </is>
      </c>
      <c r="AT285" s="30" t="inlineStr">
        <is>
          <t>SP</t>
        </is>
      </c>
      <c r="AU285" s="30" t="inlineStr">
        <is>
          <t>Bancos comerciais</t>
        </is>
      </c>
      <c r="AV285" s="30" t="inlineStr">
        <is>
          <t>DEMAIS</t>
        </is>
      </c>
      <c r="AW285" s="31" t="n">
        <v>76200000000</v>
      </c>
      <c r="AX285" s="30" t="inlineStr">
        <is>
          <t>LARGE CORP</t>
        </is>
      </c>
      <c r="AY285" s="30" t="inlineStr">
        <is>
          <t>60701190</t>
        </is>
      </c>
      <c r="AZ285" s="30" t="n">
        <v>1</v>
      </c>
      <c r="BA285" s="30" t="inlineStr">
        <is>
          <t>LIKELY_FINANCIAL_BY_NAME ROWS:p7r30 UNRECONCILED_SOURCE</t>
        </is>
      </c>
    </row>
    <row r="286">
      <c r="A286" s="16" t="inlineStr">
        <is>
          <t>BANCO SAFRA S A</t>
        </is>
      </c>
      <c r="B286" s="17" t="n">
        <v>2385103.18</v>
      </c>
      <c r="C286" s="18" t="inlineStr">
        <is>
          <t>CREDIMÓVEIS NOVOLAR LTDA.</t>
        </is>
      </c>
      <c r="D286" s="19" t="inlineStr">
        <is>
          <t>NEW</t>
        </is>
      </c>
      <c r="E286" s="20" t="inlineStr"/>
      <c r="F286" s="19" t="inlineStr"/>
      <c r="G286" s="20" t="inlineStr"/>
      <c r="H286" s="19" t="inlineStr"/>
      <c r="I286" s="21" t="inlineStr">
        <is>
          <t>Vanessa Biotti</t>
        </is>
      </c>
      <c r="J286" s="21" t="inlineStr">
        <is>
          <t>Gerente de Recuperação de Crédito</t>
        </is>
      </c>
      <c r="K286" s="21" t="inlineStr">
        <is>
          <t>(11) 3175-7575</t>
        </is>
      </c>
      <c r="L286" s="21" t="inlineStr"/>
      <c r="M286" s="21" t="inlineStr"/>
      <c r="N286" s="21" t="inlineStr">
        <is>
          <t>vanessa.biotti@safra.com.br</t>
        </is>
      </c>
      <c r="O286" s="21" t="inlineStr">
        <is>
          <t>rodrigo.anjos@safra.com.br</t>
        </is>
      </c>
      <c r="P286" s="21" t="inlineStr">
        <is>
          <t>Rodrigo Anjos</t>
        </is>
      </c>
      <c r="Q286" s="21" t="inlineStr">
        <is>
          <t>Advogado Sênior - Jurídico Contencioso - Recuperação de Crédito - NPL</t>
        </is>
      </c>
      <c r="R286" s="21" t="inlineStr"/>
      <c r="S286" s="21" t="inlineStr">
        <is>
          <t>rodrigo.anjos@safra.com.br</t>
        </is>
      </c>
      <c r="T286" s="21" t="inlineStr">
        <is>
          <t>email verified by Apollo</t>
        </is>
      </c>
      <c r="U286" s="22" t="n">
        <v>2385103.18</v>
      </c>
      <c r="V286" s="38" t="inlineStr">
        <is>
          <t>C</t>
        </is>
      </c>
      <c r="W286" s="24">
        <f>IFERROR(VLOOKUP(V286,Assumptions!$A$7:$F$11,2,FALSE),0)</f>
        <v/>
      </c>
      <c r="X286" s="25">
        <f>IF(V286="A",MAX(1,IFERROR(VLOOKUP(V286,Assumptions!$A$7:$F$11,3,FALSE),3)+IFERROR(VLOOKUP(V286,Assumptions!$A$7:$F$11,4,FALSE),8)/2-MAX(0,IF(AO286="",0,YEAR(TODAY())-AO286)-IFERROR(VLOOKUP(V286,Assumptions!$A$7:$F$11,5,FALSE),1.5))),IFERROR(VLOOKUP(V286,Assumptions!$A$7:$F$11,5,FALSE),2.5)+IFERROR(VLOOKUP(V286,Assumptions!$A$7:$F$11,3,FALSE),3)+IFERROR(VLOOKUP(V286,Assumptions!$A$7:$F$11,4,FALSE),8)/2)</f>
        <v/>
      </c>
      <c r="Y286" s="22">
        <f>U286*W286/(1+Assumptions!$B$3)^X286</f>
        <v/>
      </c>
      <c r="Z286" s="26">
        <f>IF(U286=0,"",ROUND(Y286/U286*100,1))</f>
        <v/>
      </c>
      <c r="AA286" s="27">
        <f>Y286*Assumptions!$B$4</f>
        <v/>
      </c>
      <c r="AB286" s="26">
        <f>IF(U286=0,"",ROUND(AA286/U286*100,1))</f>
        <v/>
      </c>
      <c r="AC286" s="27">
        <f>Y286-AA286</f>
        <v/>
      </c>
      <c r="AD286" s="26">
        <f>IF(U286=0,"",ROUND((Y286-AA286)/U286*100,1))</f>
        <v/>
      </c>
      <c r="AE286" s="28" t="inlineStr">
        <is>
          <t>OK — totals reconciled</t>
        </is>
      </c>
      <c r="AF286" s="29" t="inlineStr">
        <is>
          <t>https://recuperacaojudicial.squarespace.com/s/RJ-Credimoveis-QGC-01082025.pdf</t>
        </is>
      </c>
      <c r="AG286" s="28" t="inlineStr">
        <is>
          <t>p15 r15</t>
        </is>
      </c>
      <c r="AH286" s="28" t="inlineStr">
        <is>
          <t>p15: R$ 2.385.103,18</t>
        </is>
      </c>
      <c r="AI286" s="28" t="inlineStr">
        <is>
          <t>QGC (art. 18)</t>
        </is>
      </c>
      <c r="AJ286" s="28" t="inlineStr">
        <is>
          <t>2026-01-28</t>
        </is>
      </c>
      <c r="AK286" s="28" t="inlineStr">
        <is>
          <t>NONE FOUND</t>
        </is>
      </c>
      <c r="AL286" s="30" t="inlineStr">
        <is>
          <t>0007565-40.2020.8.17.2370</t>
        </is>
      </c>
      <c r="AM286" s="30" t="inlineStr">
        <is>
          <t>TJPE</t>
        </is>
      </c>
      <c r="AN286" s="30" t="inlineStr">
        <is>
          <t>ACTIVE</t>
        </is>
      </c>
      <c r="AO286" s="30" t="n">
        <v>2020</v>
      </c>
      <c r="AP286" s="30" t="inlineStr">
        <is>
          <t>6y since filing, no plan document</t>
        </is>
      </c>
      <c r="AQ286" s="30" t="inlineStr">
        <is>
          <t>09.930.165/0001-37</t>
        </is>
      </c>
      <c r="AR286" s="30" t="inlineStr">
        <is>
          <t>printed on the list (read twice)</t>
        </is>
      </c>
      <c r="AS286" s="30" t="inlineStr">
        <is>
          <t>SAO PAULO</t>
        </is>
      </c>
      <c r="AT286" s="30" t="inlineStr">
        <is>
          <t>SP</t>
        </is>
      </c>
      <c r="AU286" s="30" t="inlineStr">
        <is>
          <t>Bancos múltiplos, com carteira comercial</t>
        </is>
      </c>
      <c r="AV286" s="30" t="inlineStr">
        <is>
          <t>DEMAIS</t>
        </is>
      </c>
      <c r="AW286" s="31" t="n">
        <v>13924903000</v>
      </c>
      <c r="AX286" s="30" t="inlineStr">
        <is>
          <t>LARGE CORP</t>
        </is>
      </c>
      <c r="AY286" s="30" t="inlineStr">
        <is>
          <t>58160789</t>
        </is>
      </c>
      <c r="AZ286" s="30" t="n">
        <v>1</v>
      </c>
      <c r="BA286" s="30" t="inlineStr">
        <is>
          <t>ROWS:p15r15</t>
        </is>
      </c>
    </row>
    <row r="287">
      <c r="A287" s="16" t="inlineStr">
        <is>
          <t>BANCO DO BRASIL SA</t>
        </is>
      </c>
      <c r="B287" s="17" t="n">
        <v>607709.97</v>
      </c>
      <c r="C287" s="18" t="inlineStr">
        <is>
          <t>GRUPO CASAS BAHIA S.A.</t>
        </is>
      </c>
      <c r="D287" s="19" t="inlineStr">
        <is>
          <t>NEW</t>
        </is>
      </c>
      <c r="E287" s="20" t="inlineStr"/>
      <c r="F287" s="19" t="inlineStr"/>
      <c r="G287" s="20" t="inlineStr"/>
      <c r="H287" s="19" t="inlineStr"/>
      <c r="I287" s="21" t="inlineStr">
        <is>
          <t>Thiago Cavichioli</t>
        </is>
      </c>
      <c r="J287" s="21" t="inlineStr">
        <is>
          <t>Gerente de Cobrança e Recuperação de Crédito</t>
        </is>
      </c>
      <c r="K287" s="21" t="inlineStr">
        <is>
          <t>(61) 3493-9002</t>
        </is>
      </c>
      <c r="L287" s="21" t="inlineStr"/>
      <c r="M287" s="21" t="inlineStr"/>
      <c r="N287" s="21" t="inlineStr">
        <is>
          <t>thiago.cavichioli@bb.com.br</t>
        </is>
      </c>
      <c r="O287" s="21" t="inlineStr">
        <is>
          <t>suelenmondador@bb.com.br</t>
        </is>
      </c>
      <c r="P287" s="21" t="inlineStr">
        <is>
          <t>Suelen Mondador</t>
        </is>
      </c>
      <c r="Q287" s="21" t="inlineStr">
        <is>
          <t>Gerente Especialista em Recuperação de Crédito</t>
        </is>
      </c>
      <c r="R287" s="21" t="inlineStr"/>
      <c r="S287" s="21" t="inlineStr">
        <is>
          <t>suelenmondador@bb.com.br</t>
        </is>
      </c>
      <c r="T287" s="21" t="inlineStr">
        <is>
          <t>email verified by Apollo</t>
        </is>
      </c>
      <c r="U287" s="22" t="n">
        <v>607709.97</v>
      </c>
      <c r="V287" s="23" t="inlineStr">
        <is>
          <t>B</t>
        </is>
      </c>
      <c r="W287" s="24">
        <f>IFERROR(VLOOKUP(V287,Assumptions!$A$7:$F$11,2,FALSE),0)</f>
        <v/>
      </c>
      <c r="X287" s="25">
        <f>IF(V287="A",MAX(1,IFERROR(VLOOKUP(V287,Assumptions!$A$7:$F$11,3,FALSE),3)+IFERROR(VLOOKUP(V287,Assumptions!$A$7:$F$11,4,FALSE),8)/2-MAX(0,IF(AO287="",0,YEAR(TODAY())-AO287)-IFERROR(VLOOKUP(V287,Assumptions!$A$7:$F$11,5,FALSE),1.5))),IFERROR(VLOOKUP(V287,Assumptions!$A$7:$F$11,5,FALSE),2.5)+IFERROR(VLOOKUP(V287,Assumptions!$A$7:$F$11,3,FALSE),3)+IFERROR(VLOOKUP(V287,Assumptions!$A$7:$F$11,4,FALSE),8)/2)</f>
        <v/>
      </c>
      <c r="Y287" s="22">
        <f>U287*W287/(1+Assumptions!$B$3)^X287</f>
        <v/>
      </c>
      <c r="Z287" s="26">
        <f>IF(U287=0,"",ROUND(Y287/U287*100,1))</f>
        <v/>
      </c>
      <c r="AA287" s="27">
        <f>Y287*Assumptions!$B$4</f>
        <v/>
      </c>
      <c r="AB287" s="26">
        <f>IF(U287=0,"",ROUND(AA287/U287*100,1))</f>
        <v/>
      </c>
      <c r="AC287" s="27">
        <f>Y287-AA287</f>
        <v/>
      </c>
      <c r="AD287" s="26">
        <f>IF(U287=0,"",ROUND((Y287-AA287)/U287*100,1))</f>
        <v/>
      </c>
      <c r="AE287" s="33" t="inlineStr">
        <is>
          <t>NO TOTALS — list prints none; check page</t>
        </is>
      </c>
      <c r="AF287" s="29" t="inlineStr">
        <is>
          <t>https://scalzilliaj.com.br/sgc/download.php?file=files/processo_documento/processo_documento15180810062026_1_.pdf&amp;nome=10 - Relação de credores do art. 7º, §2º, da Lei 11.101/2005</t>
        </is>
      </c>
      <c r="AG287" s="28" t="inlineStr">
        <is>
          <t>p1 r40</t>
        </is>
      </c>
      <c r="AH287" s="28" t="inlineStr">
        <is>
          <t>p1: R$ 607.709,97</t>
        </is>
      </c>
      <c r="AI287" s="28" t="inlineStr">
        <is>
          <t>AJ list (art. 7 §2)</t>
        </is>
      </c>
      <c r="AJ287" s="28" t="inlineStr"/>
      <c r="AK287" s="28" t="inlineStr">
        <is>
          <t>NONE FOUND</t>
        </is>
      </c>
      <c r="AL287" s="30" t="inlineStr">
        <is>
          <t>5009529-81.2025.8.24.0019</t>
        </is>
      </c>
      <c r="AM287" s="30" t="inlineStr">
        <is>
          <t>TJSC</t>
        </is>
      </c>
      <c r="AN287" s="30" t="inlineStr"/>
      <c r="AO287" s="30" t="n">
        <v>2025</v>
      </c>
      <c r="AP287" s="30" t="inlineStr">
        <is>
          <t>live case, no plan document yet</t>
        </is>
      </c>
      <c r="AQ287" s="30" t="inlineStr">
        <is>
          <t>33.041.260/0652-90</t>
        </is>
      </c>
      <c r="AR287" s="30" t="inlineStr">
        <is>
          <t>registry (RFB) match</t>
        </is>
      </c>
      <c r="AS287" s="30" t="inlineStr">
        <is>
          <t>BRASILIA</t>
        </is>
      </c>
      <c r="AT287" s="30" t="inlineStr">
        <is>
          <t>DF</t>
        </is>
      </c>
      <c r="AU287" s="30" t="inlineStr">
        <is>
          <t>Bancos múltiplos, com carteira comercial</t>
        </is>
      </c>
      <c r="AV287" s="30" t="inlineStr">
        <is>
          <t>DEMAIS</t>
        </is>
      </c>
      <c r="AW287" s="31" t="n">
        <v>120000000000</v>
      </c>
      <c r="AX287" s="30" t="inlineStr">
        <is>
          <t>LARGE CORP</t>
        </is>
      </c>
      <c r="AY287" s="30" t="inlineStr">
        <is>
          <t>00000000</t>
        </is>
      </c>
      <c r="AZ287" s="30" t="n">
        <v>1</v>
      </c>
      <c r="BA287" s="30" t="inlineStr">
        <is>
          <t>LIKELY_FINANCIAL_BY_NAME ROWS:p1r40 UNRECONCILED_SOURCE VALUE_COL:Valor_(Art._7º,_§2º)</t>
        </is>
      </c>
    </row>
    <row r="288">
      <c r="A288" s="16" t="inlineStr">
        <is>
          <t>Rnx Fundo De Investimento Em Direitos Creditorios Multissetorial</t>
        </is>
      </c>
      <c r="B288" s="17" t="n">
        <v>606780</v>
      </c>
      <c r="C288" s="18" t="inlineStr">
        <is>
          <t>Grupo Agromeal</t>
        </is>
      </c>
      <c r="D288" s="19" t="inlineStr">
        <is>
          <t>NEW</t>
        </is>
      </c>
      <c r="E288" s="20" t="inlineStr"/>
      <c r="F288" s="19" t="inlineStr"/>
      <c r="G288" s="20" t="inlineStr"/>
      <c r="H288" s="19" t="inlineStr"/>
      <c r="I288" s="21" t="inlineStr">
        <is>
          <t>Tales Haubert</t>
        </is>
      </c>
      <c r="J288" s="21" t="inlineStr">
        <is>
          <t>Gerente de Crédito e Cadastro</t>
        </is>
      </c>
      <c r="K288" s="21" t="inlineStr"/>
      <c r="L288" s="21" t="inlineStr"/>
      <c r="M288" s="21" t="inlineStr"/>
      <c r="N288" s="21" t="inlineStr">
        <is>
          <t>tales@rnxfidc.com.br</t>
        </is>
      </c>
      <c r="O288" s="21" t="inlineStr">
        <is>
          <t>jose.vechini@rnxfidc.com.br</t>
        </is>
      </c>
      <c r="P288" s="21" t="inlineStr">
        <is>
          <t>Jose Vechini</t>
        </is>
      </c>
      <c r="Q288" s="21" t="inlineStr">
        <is>
          <t>Credit Coordinator</t>
        </is>
      </c>
      <c r="R288" s="21" t="inlineStr"/>
      <c r="S288" s="21" t="inlineStr">
        <is>
          <t>jose.vechini@rnxfidc.com.br</t>
        </is>
      </c>
      <c r="T288" s="21" t="inlineStr">
        <is>
          <t>email verified by Apollo</t>
        </is>
      </c>
      <c r="U288" s="22" t="n">
        <v>606780</v>
      </c>
      <c r="V288" s="23" t="inlineStr">
        <is>
          <t>B</t>
        </is>
      </c>
      <c r="W288" s="24">
        <f>IFERROR(VLOOKUP(V288,Assumptions!$A$7:$F$11,2,FALSE),0)</f>
        <v/>
      </c>
      <c r="X288" s="25">
        <f>IF(V288="A",MAX(1,IFERROR(VLOOKUP(V288,Assumptions!$A$7:$F$11,3,FALSE),3)+IFERROR(VLOOKUP(V288,Assumptions!$A$7:$F$11,4,FALSE),8)/2-MAX(0,IF(AO288="",0,YEAR(TODAY())-AO288)-IFERROR(VLOOKUP(V288,Assumptions!$A$7:$F$11,5,FALSE),1.5))),IFERROR(VLOOKUP(V288,Assumptions!$A$7:$F$11,5,FALSE),2.5)+IFERROR(VLOOKUP(V288,Assumptions!$A$7:$F$11,3,FALSE),3)+IFERROR(VLOOKUP(V288,Assumptions!$A$7:$F$11,4,FALSE),8)/2)</f>
        <v/>
      </c>
      <c r="Y288" s="22">
        <f>U288*W288/(1+Assumptions!$B$3)^X288</f>
        <v/>
      </c>
      <c r="Z288" s="26">
        <f>IF(U288=0,"",ROUND(Y288/U288*100,1))</f>
        <v/>
      </c>
      <c r="AA288" s="27">
        <f>Y288*Assumptions!$B$4</f>
        <v/>
      </c>
      <c r="AB288" s="26">
        <f>IF(U288=0,"",ROUND(AA288/U288*100,1))</f>
        <v/>
      </c>
      <c r="AC288" s="27">
        <f>Y288-AA288</f>
        <v/>
      </c>
      <c r="AD288" s="26">
        <f>IF(U288=0,"",ROUND((Y288-AA288)/U288*100,1))</f>
        <v/>
      </c>
      <c r="AE288" s="34" t="inlineStr">
        <is>
          <t>PARTIAL — class III reconciled, other classes not</t>
        </is>
      </c>
      <c r="AF288" s="29" t="inlineStr">
        <is>
          <t>https://marquesadmjudicial.com.br/sgc/download.php?file=files/processo_documento/processo_documento17040729052024_1_.pdf&amp;nome=Relação Nominal de Credores AJ-Sintética</t>
        </is>
      </c>
      <c r="AG288" s="28" t="inlineStr">
        <is>
          <t>p12 r15</t>
        </is>
      </c>
      <c r="AH288" s="28" t="inlineStr">
        <is>
          <t>p12: R$ 606.780,00</t>
        </is>
      </c>
      <c r="AI288" s="28" t="inlineStr">
        <is>
          <t>AJ list (art. 7 §2)</t>
        </is>
      </c>
      <c r="AJ288" s="28" t="inlineStr">
        <is>
          <t>2024-05-27</t>
        </is>
      </c>
      <c r="AK288" s="28" t="inlineStr">
        <is>
          <t>NONE FOUND</t>
        </is>
      </c>
      <c r="AL288" s="30" t="inlineStr">
        <is>
          <t>0003971-03.2023.8.16.0119</t>
        </is>
      </c>
      <c r="AM288" s="30" t="inlineStr">
        <is>
          <t>TJPR</t>
        </is>
      </c>
      <c r="AN288" s="30" t="inlineStr">
        <is>
          <t>ACTIVE</t>
        </is>
      </c>
      <c r="AO288" s="30" t="n">
        <v>2023</v>
      </c>
      <c r="AP288" s="30" t="inlineStr">
        <is>
          <t>live case, no plan document yet</t>
        </is>
      </c>
      <c r="AQ288" s="30" t="inlineStr">
        <is>
          <t>11.624.776/0001-07</t>
        </is>
      </c>
      <c r="AR288" s="30" t="inlineStr">
        <is>
          <t>printed on the list (read twice)</t>
        </is>
      </c>
      <c r="AS288" s="30" t="inlineStr"/>
      <c r="AT288" s="30" t="inlineStr"/>
      <c r="AU288" s="30" t="inlineStr"/>
      <c r="AV288" s="30" t="inlineStr"/>
      <c r="AW288" s="31" t="inlineStr"/>
      <c r="AX288" s="30" t="inlineStr">
        <is>
          <t>MID-MARKET</t>
        </is>
      </c>
      <c r="AY288" s="30" t="inlineStr">
        <is>
          <t>12813212</t>
        </is>
      </c>
      <c r="AZ288" s="30" t="n">
        <v>1</v>
      </c>
      <c r="BA288" s="30" t="inlineStr">
        <is>
          <t>LIKELY_FINANCIAL_BY_NAME PARTIAL_DOC_CLASS_III_RECONCILED ROWS:p12r15</t>
        </is>
      </c>
    </row>
    <row r="289">
      <c r="A289" s="16" t="inlineStr">
        <is>
          <t>BANCO SICOOB</t>
        </is>
      </c>
      <c r="B289" s="17" t="n">
        <v>599165.83</v>
      </c>
      <c r="C289" s="18" t="inlineStr">
        <is>
          <t>Grupo Tendas</t>
        </is>
      </c>
      <c r="D289" s="19" t="inlineStr">
        <is>
          <t>NEW</t>
        </is>
      </c>
      <c r="E289" s="20" t="inlineStr"/>
      <c r="F289" s="19" t="inlineStr"/>
      <c r="G289" s="20" t="inlineStr"/>
      <c r="H289" s="19" t="inlineStr"/>
      <c r="I289" s="21" t="inlineStr">
        <is>
          <t>Lais Quirino</t>
        </is>
      </c>
      <c r="J289" s="21" t="inlineStr">
        <is>
          <t>Recuperação de Crédito</t>
        </is>
      </c>
      <c r="K289" s="21" t="inlineStr"/>
      <c r="L289" s="21" t="inlineStr"/>
      <c r="M289" s="21" t="inlineStr"/>
      <c r="N289" s="21" t="inlineStr"/>
      <c r="O289" s="21" t="inlineStr">
        <is>
          <t>yolanda.maria@sicoob.com.br</t>
        </is>
      </c>
      <c r="P289" s="21" t="inlineStr">
        <is>
          <t>Yolanda Maria</t>
        </is>
      </c>
      <c r="Q289" s="21" t="inlineStr">
        <is>
          <t>Recuperação de Crédito</t>
        </is>
      </c>
      <c r="R289" s="21" t="inlineStr"/>
      <c r="S289" s="21" t="inlineStr">
        <is>
          <t>yolanda.maria@sicoob.com.br</t>
        </is>
      </c>
      <c r="T289" s="21" t="inlineStr">
        <is>
          <t>no work email found in Apollo</t>
        </is>
      </c>
      <c r="U289" s="22" t="n">
        <v>599165.83</v>
      </c>
      <c r="V289" s="23" t="inlineStr">
        <is>
          <t>B</t>
        </is>
      </c>
      <c r="W289" s="24">
        <f>IFERROR(VLOOKUP(V289,Assumptions!$A$7:$F$11,2,FALSE),0)</f>
        <v/>
      </c>
      <c r="X289" s="25">
        <f>IF(V289="A",MAX(1,IFERROR(VLOOKUP(V289,Assumptions!$A$7:$F$11,3,FALSE),3)+IFERROR(VLOOKUP(V289,Assumptions!$A$7:$F$11,4,FALSE),8)/2-MAX(0,IF(AO289="",0,YEAR(TODAY())-AO289)-IFERROR(VLOOKUP(V289,Assumptions!$A$7:$F$11,5,FALSE),1.5))),IFERROR(VLOOKUP(V289,Assumptions!$A$7:$F$11,5,FALSE),2.5)+IFERROR(VLOOKUP(V289,Assumptions!$A$7:$F$11,3,FALSE),3)+IFERROR(VLOOKUP(V289,Assumptions!$A$7:$F$11,4,FALSE),8)/2)</f>
        <v/>
      </c>
      <c r="Y289" s="22">
        <f>U289*W289/(1+Assumptions!$B$3)^X289</f>
        <v/>
      </c>
      <c r="Z289" s="26">
        <f>IF(U289=0,"",ROUND(Y289/U289*100,1))</f>
        <v/>
      </c>
      <c r="AA289" s="27">
        <f>Y289*Assumptions!$B$4</f>
        <v/>
      </c>
      <c r="AB289" s="26">
        <f>IF(U289=0,"",ROUND(AA289/U289*100,1))</f>
        <v/>
      </c>
      <c r="AC289" s="27">
        <f>Y289-AA289</f>
        <v/>
      </c>
      <c r="AD289" s="26">
        <f>IF(U289=0,"",ROUND((Y289-AA289)/U289*100,1))</f>
        <v/>
      </c>
      <c r="AE289" s="33" t="inlineStr">
        <is>
          <t>NO TOTALS — list prints none; check page</t>
        </is>
      </c>
      <c r="AF289" s="29" t="inlineStr">
        <is>
          <t>https://stenius.com.br/wp-content/uploads/2026/08/1°-EDITAL-GRUPO-TENDAS.pdf</t>
        </is>
      </c>
      <c r="AG289" s="28" t="inlineStr">
        <is>
          <t>p5 r21; p5 r29</t>
        </is>
      </c>
      <c r="AH289" s="28" t="inlineStr">
        <is>
          <t>p5: R$ 580.165,83; p5: R$ 19.000,00</t>
        </is>
      </c>
      <c r="AI289" s="28" t="inlineStr">
        <is>
          <t>AJ list (art. 7 §2)</t>
        </is>
      </c>
      <c r="AJ289" s="28" t="inlineStr">
        <is>
          <t>2026-08-13</t>
        </is>
      </c>
      <c r="AK289" s="28" t="inlineStr">
        <is>
          <t>NONE FOUND</t>
        </is>
      </c>
      <c r="AL289" s="30" t="inlineStr">
        <is>
          <t>5401053-70.2026.8.09.0051</t>
        </is>
      </c>
      <c r="AM289" s="30" t="inlineStr">
        <is>
          <t>TJGO</t>
        </is>
      </c>
      <c r="AN289" s="30" t="inlineStr">
        <is>
          <t>ACTIVE</t>
        </is>
      </c>
      <c r="AO289" s="30" t="n">
        <v>2026</v>
      </c>
      <c r="AP289" s="30" t="inlineStr">
        <is>
          <t>live case, no plan document yet</t>
        </is>
      </c>
      <c r="AQ289" s="30" t="inlineStr">
        <is>
          <t>05.047.886/0001-42</t>
        </is>
      </c>
      <c r="AR289" s="30" t="inlineStr">
        <is>
          <t>printed on the list (read twice)</t>
        </is>
      </c>
      <c r="AS289" s="30" t="inlineStr"/>
      <c r="AT289" s="30" t="inlineStr"/>
      <c r="AU289" s="30" t="inlineStr"/>
      <c r="AV289" s="30" t="inlineStr"/>
      <c r="AW289" s="31" t="inlineStr"/>
      <c r="AX289" s="30" t="inlineStr">
        <is>
          <t>MID-MARKET</t>
        </is>
      </c>
      <c r="AY289" s="30" t="inlineStr">
        <is>
          <t>07599206</t>
        </is>
      </c>
      <c r="AZ289" s="30" t="n">
        <v>2</v>
      </c>
      <c r="BA289" s="30" t="inlineStr">
        <is>
          <t>LIKELY_FINANCIAL_BY_NAME ROWS:p5r21,p5r29 UNRECONCILED_SOURCE VALUE_COL:Valor</t>
        </is>
      </c>
    </row>
    <row r="290">
      <c r="A290" s="16" t="inlineStr">
        <is>
          <t>BANCO BRADESCO S.A.</t>
        </is>
      </c>
      <c r="B290" s="17" t="n">
        <v>1119574.81</v>
      </c>
      <c r="C290" s="37" t="inlineStr">
        <is>
          <t>(debtor not identified — see proof)</t>
        </is>
      </c>
      <c r="D290" s="19" t="inlineStr">
        <is>
          <t>NEW</t>
        </is>
      </c>
      <c r="E290" s="20" t="inlineStr"/>
      <c r="F290" s="19" t="inlineStr"/>
      <c r="G290" s="20" t="inlineStr"/>
      <c r="H290" s="19" t="inlineStr"/>
      <c r="I290" s="21" t="inlineStr">
        <is>
          <t>Marcela Martins</t>
        </is>
      </c>
      <c r="J290" s="21" t="inlineStr">
        <is>
          <t>Superintendente de Recuperação de Crédito - Canais e Operações</t>
        </is>
      </c>
      <c r="K290" s="21" t="inlineStr">
        <is>
          <t>(11) 3684-5122</t>
        </is>
      </c>
      <c r="L290" s="21" t="inlineStr"/>
      <c r="M290" s="21" t="inlineStr"/>
      <c r="N290" s="21" t="inlineStr"/>
      <c r="O290" s="21" t="inlineStr">
        <is>
          <t>sl@bradesco.com.br</t>
        </is>
      </c>
      <c r="P290" s="21" t="inlineStr">
        <is>
          <t>Luis S</t>
        </is>
      </c>
      <c r="Q290" s="21" t="inlineStr">
        <is>
          <t>DRC - Departamento de Recuperação de Crédito - Gerente de Reestruturação de Crédito</t>
        </is>
      </c>
      <c r="R290" s="21" t="inlineStr"/>
      <c r="S290" s="21" t="inlineStr">
        <is>
          <t>sl@bradesco.com.br</t>
        </is>
      </c>
      <c r="T290" s="21" t="inlineStr">
        <is>
          <t>no work email found in Apollo</t>
        </is>
      </c>
      <c r="U290" s="22" t="n">
        <v>1119574.81</v>
      </c>
      <c r="V290" s="32" t="inlineStr">
        <is>
          <t>U</t>
        </is>
      </c>
      <c r="W290" s="24">
        <f>IFERROR(VLOOKUP(V290,Assumptions!$A$7:$F$11,2,FALSE),0)</f>
        <v/>
      </c>
      <c r="X290" s="25">
        <f>IF(V290="A",MAX(1,IFERROR(VLOOKUP(V290,Assumptions!$A$7:$F$11,3,FALSE),3)+IFERROR(VLOOKUP(V290,Assumptions!$A$7:$F$11,4,FALSE),8)/2-MAX(0,IF(AO290="",0,YEAR(TODAY())-AO290)-IFERROR(VLOOKUP(V290,Assumptions!$A$7:$F$11,5,FALSE),1.5))),IFERROR(VLOOKUP(V290,Assumptions!$A$7:$F$11,5,FALSE),2.5)+IFERROR(VLOOKUP(V290,Assumptions!$A$7:$F$11,3,FALSE),3)+IFERROR(VLOOKUP(V290,Assumptions!$A$7:$F$11,4,FALSE),8)/2)</f>
        <v/>
      </c>
      <c r="Y290" s="22">
        <f>U290*W290/(1+Assumptions!$B$3)^X290</f>
        <v/>
      </c>
      <c r="Z290" s="26">
        <f>IF(U290=0,"",ROUND(Y290/U290*100,1))</f>
        <v/>
      </c>
      <c r="AA290" s="27">
        <f>Y290*Assumptions!$B$4</f>
        <v/>
      </c>
      <c r="AB290" s="26">
        <f>IF(U290=0,"",ROUND(AA290/U290*100,1))</f>
        <v/>
      </c>
      <c r="AC290" s="27">
        <f>Y290-AA290</f>
        <v/>
      </c>
      <c r="AD290" s="26">
        <f>IF(U290=0,"",ROUND((Y290-AA290)/U290*100,1))</f>
        <v/>
      </c>
      <c r="AE290" s="28" t="inlineStr">
        <is>
          <t>OK — totals reconciled</t>
        </is>
      </c>
      <c r="AF290" s="29" t="inlineStr">
        <is>
          <t>http://bernardobicalho.com.br/login/app/documents/Rela%C3%A7%C3%A3o%20de%20Credores/6.%20RVC-%20Nutricium%20-%20simplificada.pdf</t>
        </is>
      </c>
      <c r="AG290" s="28" t="inlineStr">
        <is>
          <t>p3 r1</t>
        </is>
      </c>
      <c r="AH290" s="28" t="inlineStr">
        <is>
          <t>p3: R$ 1.119.574,81</t>
        </is>
      </c>
      <c r="AI290" s="28" t="inlineStr">
        <is>
          <t>AJ list (art. 7 §2)</t>
        </is>
      </c>
      <c r="AJ290" s="28" t="inlineStr"/>
      <c r="AK290" s="28" t="inlineStr">
        <is>
          <t>NONE FOUND</t>
        </is>
      </c>
      <c r="AL290" s="30" t="inlineStr">
        <is>
          <t>(not printed)</t>
        </is>
      </c>
      <c r="AM290" s="30" t="inlineStr"/>
      <c r="AN290" s="30" t="inlineStr"/>
      <c r="AO290" s="30" t="inlineStr"/>
      <c r="AP290" s="30" t="inlineStr">
        <is>
          <t>RJ case number not identified on the document</t>
        </is>
      </c>
      <c r="AQ290" s="30" t="inlineStr"/>
      <c r="AR290" s="30" t="inlineStr">
        <is>
          <t>not identified</t>
        </is>
      </c>
      <c r="AS290" s="30" t="inlineStr">
        <is>
          <t>OSASCO</t>
        </is>
      </c>
      <c r="AT290" s="30" t="inlineStr">
        <is>
          <t>SP</t>
        </is>
      </c>
      <c r="AU290" s="30" t="inlineStr">
        <is>
          <t>Bancos múltiplos, com carteira comercial</t>
        </is>
      </c>
      <c r="AV290" s="30" t="inlineStr">
        <is>
          <t>DEMAIS</t>
        </is>
      </c>
      <c r="AW290" s="31" t="n">
        <v>93770000000</v>
      </c>
      <c r="AX290" s="30" t="inlineStr">
        <is>
          <t>LARGE CORP</t>
        </is>
      </c>
      <c r="AY290" s="30" t="inlineStr">
        <is>
          <t>60746948</t>
        </is>
      </c>
      <c r="AZ290" s="30" t="n">
        <v>1</v>
      </c>
      <c r="BA290" s="30" t="inlineStr">
        <is>
          <t>CASE_NUMBER_MISSING LIKELY_FINANCIAL_BY_NAME ROWS:p3r1</t>
        </is>
      </c>
    </row>
    <row r="291">
      <c r="A291" s="16" t="inlineStr">
        <is>
          <t>BANCO DA AMAZONIA SA</t>
        </is>
      </c>
      <c r="B291" s="17" t="n">
        <v>2320767.17</v>
      </c>
      <c r="C291" s="18" t="inlineStr">
        <is>
          <t>Roque Materiais para Construção</t>
        </is>
      </c>
      <c r="D291" s="19" t="inlineStr">
        <is>
          <t>NEW</t>
        </is>
      </c>
      <c r="E291" s="20" t="inlineStr"/>
      <c r="F291" s="19" t="inlineStr"/>
      <c r="G291" s="20" t="inlineStr"/>
      <c r="H291" s="19" t="inlineStr"/>
      <c r="I291" s="21" t="inlineStr">
        <is>
          <t>Edigard Henrique</t>
        </is>
      </c>
      <c r="J291" s="21" t="inlineStr">
        <is>
          <t>Coodenador de Cobrança</t>
        </is>
      </c>
      <c r="K291" s="21" t="inlineStr">
        <is>
          <t>(91) 4008-3316</t>
        </is>
      </c>
      <c r="L291" s="21" t="inlineStr">
        <is>
          <t>(91) 4008-2409</t>
        </is>
      </c>
      <c r="M291" s="21" t="inlineStr"/>
      <c r="N291" s="21" t="inlineStr">
        <is>
          <t>edigard.henrique@bancoamazonia.com.br</t>
        </is>
      </c>
      <c r="O291" s="21" t="inlineStr">
        <is>
          <t>igor.galvao@bancoamazonia.com.br</t>
        </is>
      </c>
      <c r="P291" s="21" t="inlineStr">
        <is>
          <t>Igor Galvao</t>
        </is>
      </c>
      <c r="Q291" s="21" t="inlineStr">
        <is>
          <t>Gerente Jurídico Contencioso</t>
        </is>
      </c>
      <c r="R291" s="21" t="inlineStr"/>
      <c r="S291" s="21" t="inlineStr">
        <is>
          <t>igor.galvao@bancoamazonia.com.br</t>
        </is>
      </c>
      <c r="T291" s="21" t="inlineStr">
        <is>
          <t>email verified by Apollo</t>
        </is>
      </c>
      <c r="U291" s="22" t="n">
        <v>2320767.17</v>
      </c>
      <c r="V291" s="38" t="inlineStr">
        <is>
          <t>C</t>
        </is>
      </c>
      <c r="W291" s="24">
        <f>IFERROR(VLOOKUP(V291,Assumptions!$A$7:$F$11,2,FALSE),0)</f>
        <v/>
      </c>
      <c r="X291" s="25">
        <f>IF(V291="A",MAX(1,IFERROR(VLOOKUP(V291,Assumptions!$A$7:$F$11,3,FALSE),3)+IFERROR(VLOOKUP(V291,Assumptions!$A$7:$F$11,4,FALSE),8)/2-MAX(0,IF(AO291="",0,YEAR(TODAY())-AO291)-IFERROR(VLOOKUP(V291,Assumptions!$A$7:$F$11,5,FALSE),1.5))),IFERROR(VLOOKUP(V291,Assumptions!$A$7:$F$11,5,FALSE),2.5)+IFERROR(VLOOKUP(V291,Assumptions!$A$7:$F$11,3,FALSE),3)+IFERROR(VLOOKUP(V291,Assumptions!$A$7:$F$11,4,FALSE),8)/2)</f>
        <v/>
      </c>
      <c r="Y291" s="22">
        <f>U291*W291/(1+Assumptions!$B$3)^X291</f>
        <v/>
      </c>
      <c r="Z291" s="26">
        <f>IF(U291=0,"",ROUND(Y291/U291*100,1))</f>
        <v/>
      </c>
      <c r="AA291" s="27">
        <f>Y291*Assumptions!$B$4</f>
        <v/>
      </c>
      <c r="AB291" s="26">
        <f>IF(U291=0,"",ROUND(AA291/U291*100,1))</f>
        <v/>
      </c>
      <c r="AC291" s="27">
        <f>Y291-AA291</f>
        <v/>
      </c>
      <c r="AD291" s="26">
        <f>IF(U291=0,"",ROUND((Y291-AA291)/U291*100,1))</f>
        <v/>
      </c>
      <c r="AE291" s="28" t="inlineStr">
        <is>
          <t>OK — totals reconciled</t>
        </is>
      </c>
      <c r="AF291" s="29" t="inlineStr">
        <is>
          <t>https://realbrasil.com.br/wp-content/uploads/2018/06/2_LISTA-DE-CREDORES-DA-RECUPERANDA_ROQUE.pdf</t>
        </is>
      </c>
      <c r="AG291" s="28" t="inlineStr">
        <is>
          <t>p2 r2</t>
        </is>
      </c>
      <c r="AH291" s="28" t="inlineStr">
        <is>
          <t>p2: R$ 2.320.767,17</t>
        </is>
      </c>
      <c r="AI291" s="28" t="inlineStr">
        <is>
          <t>Unclassified list</t>
        </is>
      </c>
      <c r="AJ291" s="28" t="inlineStr"/>
      <c r="AK291" s="28" t="inlineStr">
        <is>
          <t>NONE FOUND</t>
        </is>
      </c>
      <c r="AL291" s="30" t="inlineStr">
        <is>
          <t>0802426-35.2019.8.10.0000</t>
        </is>
      </c>
      <c r="AM291" s="30" t="inlineStr">
        <is>
          <t>TJMA</t>
        </is>
      </c>
      <c r="AN291" s="30" t="inlineStr"/>
      <c r="AO291" s="30" t="n">
        <v>2019</v>
      </c>
      <c r="AP291" s="30" t="inlineStr">
        <is>
          <t>7y since filing, no plan document</t>
        </is>
      </c>
      <c r="AQ291" s="30" t="inlineStr"/>
      <c r="AR291" s="30" t="inlineStr">
        <is>
          <t>portal page title / URL — not printed on the list</t>
        </is>
      </c>
      <c r="AS291" s="30" t="inlineStr">
        <is>
          <t>BELEM</t>
        </is>
      </c>
      <c r="AT291" s="30" t="inlineStr">
        <is>
          <t>PA</t>
        </is>
      </c>
      <c r="AU291" s="30" t="inlineStr">
        <is>
          <t>Bancos comerciais</t>
        </is>
      </c>
      <c r="AV291" s="30" t="inlineStr">
        <is>
          <t>DEMAIS</t>
        </is>
      </c>
      <c r="AW291" s="31" t="n">
        <v>3654918100</v>
      </c>
      <c r="AX291" s="30" t="inlineStr">
        <is>
          <t>LARGE CORP</t>
        </is>
      </c>
      <c r="AY291" s="30" t="inlineStr">
        <is>
          <t>04902979</t>
        </is>
      </c>
      <c r="AZ291" s="30" t="n">
        <v>1</v>
      </c>
      <c r="BA291" s="30" t="inlineStr">
        <is>
          <t>ROWS:p2r2 VALUE_COL:Saldo_Total</t>
        </is>
      </c>
    </row>
    <row r="292">
      <c r="A292" s="16" t="inlineStr">
        <is>
          <t>ITAU UNIBANCO S.A.</t>
        </is>
      </c>
      <c r="B292" s="17" t="n">
        <v>566658.33</v>
      </c>
      <c r="C292" s="18" t="inlineStr">
        <is>
          <t>GRUPO DP4</t>
        </is>
      </c>
      <c r="D292" s="19" t="inlineStr">
        <is>
          <t>NEW</t>
        </is>
      </c>
      <c r="E292" s="20" t="inlineStr"/>
      <c r="F292" s="19" t="inlineStr"/>
      <c r="G292" s="20" t="inlineStr"/>
      <c r="H292" s="19" t="inlineStr"/>
      <c r="I292" s="21" t="inlineStr">
        <is>
          <t>Murilo Gigliucci</t>
        </is>
      </c>
      <c r="J292" s="21" t="inlineStr">
        <is>
          <t>Superintendente de Reestruturação de Crédito</t>
        </is>
      </c>
      <c r="K292" s="21" t="inlineStr">
        <is>
          <t>(11) 3003-4828</t>
        </is>
      </c>
      <c r="L292" s="21" t="inlineStr"/>
      <c r="M292" s="21" t="inlineStr"/>
      <c r="N292" s="21" t="inlineStr">
        <is>
          <t>murilo.gigliucci@itau-unibanco.com.br</t>
        </is>
      </c>
      <c r="O292" s="21" t="inlineStr">
        <is>
          <t>pedro.ornellas-geronimo@itau-unibanco.com.br</t>
        </is>
      </c>
      <c r="P292" s="21" t="inlineStr">
        <is>
          <t>Pedro Ornellas</t>
        </is>
      </c>
      <c r="Q292" s="21" t="inlineStr">
        <is>
          <t>Superintendente de Recuperação de Crédito</t>
        </is>
      </c>
      <c r="R292" s="21" t="inlineStr"/>
      <c r="S292" s="21" t="inlineStr">
        <is>
          <t>pedro.ornellas-geronimo@itau-unibanco.com.br</t>
        </is>
      </c>
      <c r="T292" s="21" t="inlineStr">
        <is>
          <t>email verified by Apollo</t>
        </is>
      </c>
      <c r="U292" s="22" t="n">
        <v>566658.33</v>
      </c>
      <c r="V292" s="23" t="inlineStr">
        <is>
          <t>B</t>
        </is>
      </c>
      <c r="W292" s="24">
        <f>IFERROR(VLOOKUP(V292,Assumptions!$A$7:$F$11,2,FALSE),0)</f>
        <v/>
      </c>
      <c r="X292" s="25">
        <f>IF(V292="A",MAX(1,IFERROR(VLOOKUP(V292,Assumptions!$A$7:$F$11,3,FALSE),3)+IFERROR(VLOOKUP(V292,Assumptions!$A$7:$F$11,4,FALSE),8)/2-MAX(0,IF(AO292="",0,YEAR(TODAY())-AO292)-IFERROR(VLOOKUP(V292,Assumptions!$A$7:$F$11,5,FALSE),1.5))),IFERROR(VLOOKUP(V292,Assumptions!$A$7:$F$11,5,FALSE),2.5)+IFERROR(VLOOKUP(V292,Assumptions!$A$7:$F$11,3,FALSE),3)+IFERROR(VLOOKUP(V292,Assumptions!$A$7:$F$11,4,FALSE),8)/2)</f>
        <v/>
      </c>
      <c r="Y292" s="22">
        <f>U292*W292/(1+Assumptions!$B$3)^X292</f>
        <v/>
      </c>
      <c r="Z292" s="26">
        <f>IF(U292=0,"",ROUND(Y292/U292*100,1))</f>
        <v/>
      </c>
      <c r="AA292" s="27">
        <f>Y292*Assumptions!$B$4</f>
        <v/>
      </c>
      <c r="AB292" s="26">
        <f>IF(U292=0,"",ROUND(AA292/U292*100,1))</f>
        <v/>
      </c>
      <c r="AC292" s="27">
        <f>Y292-AA292</f>
        <v/>
      </c>
      <c r="AD292" s="26">
        <f>IF(U292=0,"",ROUND((Y292-AA292)/U292*100,1))</f>
        <v/>
      </c>
      <c r="AE292" s="34" t="inlineStr">
        <is>
          <t>PARTIAL — class III reconciled, other classes not</t>
        </is>
      </c>
      <c r="AF292" s="29" t="inlineStr">
        <is>
          <t>https://marquesadmjudicial.com.br/sgc/download.php?file=files/processo_documento/processo_documento15293208032024_1_.pdf&amp;nome=Relação Nominal de Credores da AJ-Sintética</t>
        </is>
      </c>
      <c r="AG292" s="28" t="inlineStr">
        <is>
          <t>p27 r3</t>
        </is>
      </c>
      <c r="AH292" s="28" t="inlineStr">
        <is>
          <t>p27: R$ 566.658,33</t>
        </is>
      </c>
      <c r="AI292" s="28" t="inlineStr">
        <is>
          <t>AJ list (art. 7 §2)</t>
        </is>
      </c>
      <c r="AJ292" s="28" t="inlineStr">
        <is>
          <t>2023-03-02</t>
        </is>
      </c>
      <c r="AK292" s="28" t="inlineStr">
        <is>
          <t>NONE FOUND</t>
        </is>
      </c>
      <c r="AL292" s="30" t="inlineStr">
        <is>
          <t>0005010-98.2023.8.16.0001</t>
        </is>
      </c>
      <c r="AM292" s="30" t="inlineStr">
        <is>
          <t>TJPR</t>
        </is>
      </c>
      <c r="AN292" s="30" t="inlineStr">
        <is>
          <t>ACTIVE</t>
        </is>
      </c>
      <c r="AO292" s="30" t="n">
        <v>2023</v>
      </c>
      <c r="AP292" s="30" t="inlineStr">
        <is>
          <t>live case, no plan document yet</t>
        </is>
      </c>
      <c r="AQ292" s="30" t="inlineStr"/>
      <c r="AR292" s="30" t="inlineStr">
        <is>
          <t>printed on the list (read twice)</t>
        </is>
      </c>
      <c r="AS292" s="30" t="inlineStr">
        <is>
          <t>SAO PAULO</t>
        </is>
      </c>
      <c r="AT292" s="30" t="inlineStr">
        <is>
          <t>SP</t>
        </is>
      </c>
      <c r="AU292" s="30" t="inlineStr">
        <is>
          <t>Bancos comerciais</t>
        </is>
      </c>
      <c r="AV292" s="30" t="inlineStr">
        <is>
          <t>DEMAIS</t>
        </is>
      </c>
      <c r="AW292" s="31" t="n">
        <v>76200000000</v>
      </c>
      <c r="AX292" s="30" t="inlineStr">
        <is>
          <t>LARGE CORP</t>
        </is>
      </c>
      <c r="AY292" s="30" t="inlineStr">
        <is>
          <t>60701190</t>
        </is>
      </c>
      <c r="AZ292" s="30" t="n">
        <v>1</v>
      </c>
      <c r="BA292" s="30" t="inlineStr">
        <is>
          <t>LIKELY_FINANCIAL_BY_NAME PARTIAL_DOC_CLASS_III_RECONCILED ROWS:p27r3</t>
        </is>
      </c>
    </row>
    <row r="293">
      <c r="A293" s="16" t="inlineStr">
        <is>
          <t>BANCO SANTANDER (BRASIL) S.A.</t>
        </is>
      </c>
      <c r="B293" s="17" t="n">
        <v>561196.46</v>
      </c>
      <c r="C293" s="18" t="inlineStr">
        <is>
          <t>SECULAR COMÉRCIO CONSTRUÇÃO E REPRESENTAÇÃO LTDA - ME, EM RECUPERAÇÃO JUDICIAL</t>
        </is>
      </c>
      <c r="D293" s="19" t="inlineStr">
        <is>
          <t>NEW</t>
        </is>
      </c>
      <c r="E293" s="20" t="inlineStr"/>
      <c r="F293" s="19" t="inlineStr"/>
      <c r="G293" s="20" t="inlineStr"/>
      <c r="H293" s="19" t="inlineStr"/>
      <c r="I293" s="21" t="inlineStr">
        <is>
          <t>Igor Puertas</t>
        </is>
      </c>
      <c r="J293" s="21" t="inlineStr">
        <is>
          <t>Distressed Assets | NPL</t>
        </is>
      </c>
      <c r="K293" s="21" t="inlineStr">
        <is>
          <t>(11) 4004-3535</t>
        </is>
      </c>
      <c r="L293" s="21" t="inlineStr"/>
      <c r="M293" s="21" t="inlineStr"/>
      <c r="N293" s="21" t="inlineStr">
        <is>
          <t>igor.puertas@santander.com.br</t>
        </is>
      </c>
      <c r="O293" s="21" t="inlineStr">
        <is>
          <t>antonio.pequeno.junior@santander.com.br</t>
        </is>
      </c>
      <c r="P293" s="21" t="inlineStr">
        <is>
          <t>Antonio Junior</t>
        </is>
      </c>
      <c r="Q293" s="21" t="inlineStr">
        <is>
          <t>Superintendente Recuperação de Crédito</t>
        </is>
      </c>
      <c r="R293" s="21" t="inlineStr"/>
      <c r="S293" s="21" t="inlineStr">
        <is>
          <t>antonio.pequeno.junior@santander.com.br</t>
        </is>
      </c>
      <c r="T293" s="21" t="inlineStr">
        <is>
          <t>email verified by Apollo</t>
        </is>
      </c>
      <c r="U293" s="22" t="n">
        <v>561196.46</v>
      </c>
      <c r="V293" s="23" t="inlineStr">
        <is>
          <t>B</t>
        </is>
      </c>
      <c r="W293" s="24">
        <f>IFERROR(VLOOKUP(V293,Assumptions!$A$7:$F$11,2,FALSE),0)</f>
        <v/>
      </c>
      <c r="X293" s="25">
        <f>IF(V293="A",MAX(1,IFERROR(VLOOKUP(V293,Assumptions!$A$7:$F$11,3,FALSE),3)+IFERROR(VLOOKUP(V293,Assumptions!$A$7:$F$11,4,FALSE),8)/2-MAX(0,IF(AO293="",0,YEAR(TODAY())-AO293)-IFERROR(VLOOKUP(V293,Assumptions!$A$7:$F$11,5,FALSE),1.5))),IFERROR(VLOOKUP(V293,Assumptions!$A$7:$F$11,5,FALSE),2.5)+IFERROR(VLOOKUP(V293,Assumptions!$A$7:$F$11,3,FALSE),3)+IFERROR(VLOOKUP(V293,Assumptions!$A$7:$F$11,4,FALSE),8)/2)</f>
        <v/>
      </c>
      <c r="Y293" s="22">
        <f>U293*W293/(1+Assumptions!$B$3)^X293</f>
        <v/>
      </c>
      <c r="Z293" s="26">
        <f>IF(U293=0,"",ROUND(Y293/U293*100,1))</f>
        <v/>
      </c>
      <c r="AA293" s="27">
        <f>Y293*Assumptions!$B$4</f>
        <v/>
      </c>
      <c r="AB293" s="26">
        <f>IF(U293=0,"",ROUND(AA293/U293*100,1))</f>
        <v/>
      </c>
      <c r="AC293" s="27">
        <f>Y293-AA293</f>
        <v/>
      </c>
      <c r="AD293" s="26">
        <f>IF(U293=0,"",ROUND((Y293-AA293)/U293*100,1))</f>
        <v/>
      </c>
      <c r="AE293" s="28" t="inlineStr">
        <is>
          <t>OK — totals reconciled</t>
        </is>
      </c>
      <c r="AF293" s="29" t="inlineStr">
        <is>
          <t>https://lrflideres.com.br/wp-content/uploads/2022/08/4.-EDITAL-2a-LISTA-DE-CREDORES.pdf</t>
        </is>
      </c>
      <c r="AG293" s="28" t="inlineStr">
        <is>
          <t>p1 r5</t>
        </is>
      </c>
      <c r="AH293" s="28" t="inlineStr">
        <is>
          <t>p1: R$ 561.196,46</t>
        </is>
      </c>
      <c r="AI293" s="28" t="inlineStr">
        <is>
          <t>AJ list (art. 7 §2)</t>
        </is>
      </c>
      <c r="AJ293" s="28" t="inlineStr">
        <is>
          <t>2023-12-04</t>
        </is>
      </c>
      <c r="AK293" s="28" t="inlineStr">
        <is>
          <t>NONE FOUND</t>
        </is>
      </c>
      <c r="AL293" s="30" t="inlineStr">
        <is>
          <t>0804204-35.2022.8.15.0731</t>
        </is>
      </c>
      <c r="AM293" s="30" t="inlineStr">
        <is>
          <t>TJPB</t>
        </is>
      </c>
      <c r="AN293" s="30" t="inlineStr">
        <is>
          <t>ACTIVE</t>
        </is>
      </c>
      <c r="AO293" s="30" t="n">
        <v>2022</v>
      </c>
      <c r="AP293" s="30" t="inlineStr">
        <is>
          <t>live case, no plan document yet</t>
        </is>
      </c>
      <c r="AQ293" s="30" t="inlineStr"/>
      <c r="AR293" s="30" t="inlineStr">
        <is>
          <t>printed on the list (read twice)</t>
        </is>
      </c>
      <c r="AS293" s="30" t="inlineStr">
        <is>
          <t>SAO PAULO</t>
        </is>
      </c>
      <c r="AT293" s="30" t="inlineStr">
        <is>
          <t>SP</t>
        </is>
      </c>
      <c r="AU293" s="30" t="inlineStr">
        <is>
          <t>Bancos múltiplos, com carteira comercial</t>
        </is>
      </c>
      <c r="AV293" s="30" t="inlineStr">
        <is>
          <t>DEMAIS</t>
        </is>
      </c>
      <c r="AW293" s="31" t="n">
        <v>65000000000</v>
      </c>
      <c r="AX293" s="30" t="inlineStr">
        <is>
          <t>LARGE CORP</t>
        </is>
      </c>
      <c r="AY293" s="30" t="inlineStr">
        <is>
          <t>90400888</t>
        </is>
      </c>
      <c r="AZ293" s="30" t="n">
        <v>1</v>
      </c>
      <c r="BA293" s="30" t="inlineStr">
        <is>
          <t>LIKELY_FINANCIAL_BY_NAME ROWS:p1r5</t>
        </is>
      </c>
    </row>
    <row r="294">
      <c r="A294" s="16" t="inlineStr">
        <is>
          <t>SICOOB CREDICOM - COOP. ECONOMIA E CRED MÚTUO MÉDICOS E PROF DA SAÚDE DO BR LTDA</t>
        </is>
      </c>
      <c r="B294" s="17" t="n">
        <v>553541.83</v>
      </c>
      <c r="C294" s="18" t="inlineStr">
        <is>
          <t>GRUPO DIAGSON</t>
        </is>
      </c>
      <c r="D294" s="19" t="inlineStr">
        <is>
          <t>NEW</t>
        </is>
      </c>
      <c r="E294" s="20" t="inlineStr"/>
      <c r="F294" s="19" t="inlineStr"/>
      <c r="G294" s="20" t="inlineStr"/>
      <c r="H294" s="19" t="inlineStr"/>
      <c r="I294" s="21" t="inlineStr">
        <is>
          <t>Mariana Garzon</t>
        </is>
      </c>
      <c r="J294" s="21" t="inlineStr">
        <is>
          <t>Gerente de Processos de Crédito</t>
        </is>
      </c>
      <c r="K294" s="21" t="inlineStr"/>
      <c r="L294" s="21" t="inlineStr"/>
      <c r="M294" s="21" t="inlineStr"/>
      <c r="N294" s="21" t="inlineStr">
        <is>
          <t>mariana.garzon@credicom.com.br</t>
        </is>
      </c>
      <c r="O294" s="21" t="inlineStr">
        <is>
          <t>nilton@credicom.com.br</t>
        </is>
      </c>
      <c r="P294" s="21" t="inlineStr">
        <is>
          <t>Nilton Junior</t>
        </is>
      </c>
      <c r="Q294" s="21" t="inlineStr">
        <is>
          <t>Gerente de Operações e Serviços II</t>
        </is>
      </c>
      <c r="R294" s="21" t="inlineStr"/>
      <c r="S294" s="21" t="inlineStr">
        <is>
          <t>nilton@credicom.com.br</t>
        </is>
      </c>
      <c r="T294" s="21" t="inlineStr">
        <is>
          <t>email verified by Apollo</t>
        </is>
      </c>
      <c r="U294" s="22" t="n">
        <v>553541.83</v>
      </c>
      <c r="V294" s="23" t="inlineStr">
        <is>
          <t>B</t>
        </is>
      </c>
      <c r="W294" s="24">
        <f>IFERROR(VLOOKUP(V294,Assumptions!$A$7:$F$11,2,FALSE),0)</f>
        <v/>
      </c>
      <c r="X294" s="25">
        <f>IF(V294="A",MAX(1,IFERROR(VLOOKUP(V294,Assumptions!$A$7:$F$11,3,FALSE),3)+IFERROR(VLOOKUP(V294,Assumptions!$A$7:$F$11,4,FALSE),8)/2-MAX(0,IF(AO294="",0,YEAR(TODAY())-AO294)-IFERROR(VLOOKUP(V294,Assumptions!$A$7:$F$11,5,FALSE),1.5))),IFERROR(VLOOKUP(V294,Assumptions!$A$7:$F$11,5,FALSE),2.5)+IFERROR(VLOOKUP(V294,Assumptions!$A$7:$F$11,3,FALSE),3)+IFERROR(VLOOKUP(V294,Assumptions!$A$7:$F$11,4,FALSE),8)/2)</f>
        <v/>
      </c>
      <c r="Y294" s="22">
        <f>U294*W294/(1+Assumptions!$B$3)^X294</f>
        <v/>
      </c>
      <c r="Z294" s="26">
        <f>IF(U294=0,"",ROUND(Y294/U294*100,1))</f>
        <v/>
      </c>
      <c r="AA294" s="27">
        <f>Y294*Assumptions!$B$4</f>
        <v/>
      </c>
      <c r="AB294" s="26">
        <f>IF(U294=0,"",ROUND(AA294/U294*100,1))</f>
        <v/>
      </c>
      <c r="AC294" s="27">
        <f>Y294-AA294</f>
        <v/>
      </c>
      <c r="AD294" s="26">
        <f>IF(U294=0,"",ROUND((Y294-AA294)/U294*100,1))</f>
        <v/>
      </c>
      <c r="AE294" s="34" t="inlineStr">
        <is>
          <t>PARTIAL — class III reconciled, other classes not</t>
        </is>
      </c>
      <c r="AF294" s="29" t="inlineStr">
        <is>
          <t>https://lrflideres.com.br/wp-content/plugins/download-attachments/includes/download.php?id=7418</t>
        </is>
      </c>
      <c r="AG294" s="28" t="inlineStr">
        <is>
          <t>p2 r80</t>
        </is>
      </c>
      <c r="AH294" s="28" t="inlineStr">
        <is>
          <t>p2: R$ 553.541,83</t>
        </is>
      </c>
      <c r="AI294" s="28" t="inlineStr">
        <is>
          <t>Debtor list (art. 51)</t>
        </is>
      </c>
      <c r="AJ294" s="28" t="inlineStr">
        <is>
          <t>2026-07-28</t>
        </is>
      </c>
      <c r="AK294" s="28" t="inlineStr">
        <is>
          <t>NONE FOUND</t>
        </is>
      </c>
      <c r="AL294" s="30" t="inlineStr">
        <is>
          <t>0822279-56.2026.8.15.2001</t>
        </is>
      </c>
      <c r="AM294" s="30" t="inlineStr">
        <is>
          <t>TJPB</t>
        </is>
      </c>
      <c r="AN294" s="30" t="inlineStr">
        <is>
          <t>ACTIVE</t>
        </is>
      </c>
      <c r="AO294" s="30" t="n">
        <v>2026</v>
      </c>
      <c r="AP294" s="30" t="inlineStr">
        <is>
          <t>live case, no plan document yet</t>
        </is>
      </c>
      <c r="AQ294" s="30" t="inlineStr">
        <is>
          <t>00.149.703/0001-86</t>
        </is>
      </c>
      <c r="AR294" s="30" t="inlineStr">
        <is>
          <t>printed on the list (read twice)</t>
        </is>
      </c>
      <c r="AS294" s="30" t="inlineStr"/>
      <c r="AT294" s="30" t="inlineStr"/>
      <c r="AU294" s="30" t="inlineStr"/>
      <c r="AV294" s="30" t="inlineStr"/>
      <c r="AW294" s="31" t="inlineStr"/>
      <c r="AX294" s="30" t="inlineStr">
        <is>
          <t>MID-MARKET</t>
        </is>
      </c>
      <c r="AY294" s="30" t="inlineStr">
        <is>
          <t>42898825</t>
        </is>
      </c>
      <c r="AZ294" s="30" t="n">
        <v>1</v>
      </c>
      <c r="BA294" s="30" t="inlineStr">
        <is>
          <t>LIKELY_FINANCIAL_BY_NAME PARTIAL_DOC_CLASS_III_RECONCILED ROWS:p2r80</t>
        </is>
      </c>
    </row>
    <row r="295">
      <c r="A295" s="16" t="inlineStr">
        <is>
          <t>CREDIT PARTNERS FUNDO DE INVESTIMENTO EM DIREITOS CREDITÓRIOS NÃO PADRONIZADOS</t>
        </is>
      </c>
      <c r="B295" s="17" t="n">
        <v>547127.35</v>
      </c>
      <c r="C295" s="18" t="inlineStr">
        <is>
          <t>Grupo Conduscabos</t>
        </is>
      </c>
      <c r="D295" s="19" t="inlineStr">
        <is>
          <t>NEW</t>
        </is>
      </c>
      <c r="E295" s="20" t="inlineStr"/>
      <c r="F295" s="19" t="inlineStr"/>
      <c r="G295" s="20" t="inlineStr"/>
      <c r="H295" s="19" t="inlineStr"/>
      <c r="I295" s="21" t="inlineStr"/>
      <c r="J295" s="21" t="inlineStr"/>
      <c r="K295" s="21" t="inlineStr"/>
      <c r="L295" s="21" t="inlineStr"/>
      <c r="M295" s="21" t="inlineStr"/>
      <c r="N295" s="21" t="inlineStr"/>
      <c r="O295" s="21" t="inlineStr"/>
      <c r="P295" s="21" t="inlineStr"/>
      <c r="Q295" s="21" t="inlineStr"/>
      <c r="R295" s="21" t="inlineStr"/>
      <c r="S295" s="21" t="inlineStr"/>
      <c r="T295" s="21" t="inlineStr">
        <is>
          <t>no named contact found</t>
        </is>
      </c>
      <c r="U295" s="22" t="n">
        <v>547127.35</v>
      </c>
      <c r="V295" s="23" t="inlineStr">
        <is>
          <t>B</t>
        </is>
      </c>
      <c r="W295" s="24">
        <f>IFERROR(VLOOKUP(V295,Assumptions!$A$7:$F$11,2,FALSE),0)</f>
        <v/>
      </c>
      <c r="X295" s="25">
        <f>IF(V295="A",MAX(1,IFERROR(VLOOKUP(V295,Assumptions!$A$7:$F$11,3,FALSE),3)+IFERROR(VLOOKUP(V295,Assumptions!$A$7:$F$11,4,FALSE),8)/2-MAX(0,IF(AO295="",0,YEAR(TODAY())-AO295)-IFERROR(VLOOKUP(V295,Assumptions!$A$7:$F$11,5,FALSE),1.5))),IFERROR(VLOOKUP(V295,Assumptions!$A$7:$F$11,5,FALSE),2.5)+IFERROR(VLOOKUP(V295,Assumptions!$A$7:$F$11,3,FALSE),3)+IFERROR(VLOOKUP(V295,Assumptions!$A$7:$F$11,4,FALSE),8)/2)</f>
        <v/>
      </c>
      <c r="Y295" s="22">
        <f>U295*W295/(1+Assumptions!$B$3)^X295</f>
        <v/>
      </c>
      <c r="Z295" s="26">
        <f>IF(U295=0,"",ROUND(Y295/U295*100,1))</f>
        <v/>
      </c>
      <c r="AA295" s="27">
        <f>Y295*Assumptions!$B$4</f>
        <v/>
      </c>
      <c r="AB295" s="26">
        <f>IF(U295=0,"",ROUND(AA295/U295*100,1))</f>
        <v/>
      </c>
      <c r="AC295" s="27">
        <f>Y295-AA295</f>
        <v/>
      </c>
      <c r="AD295" s="26">
        <f>IF(U295=0,"",ROUND((Y295-AA295)/U295*100,1))</f>
        <v/>
      </c>
      <c r="AE295" s="33" t="inlineStr">
        <is>
          <t>NO TOTALS — list prints none; check page</t>
        </is>
      </c>
      <c r="AF295" s="29" t="inlineStr">
        <is>
          <t>https://assistjud.com.br/wp-content/uploads/elementor/forms/65098c80a5824.pdf</t>
        </is>
      </c>
      <c r="AG295" s="28" t="inlineStr">
        <is>
          <t>p6 r11; p17 r11</t>
        </is>
      </c>
      <c r="AH295" s="28" t="inlineStr">
        <is>
          <t>p6: R$ 333.437,35; p17: R$ 213.690,00</t>
        </is>
      </c>
      <c r="AI295" s="28" t="inlineStr">
        <is>
          <t>AJ list (art. 7 §2)</t>
        </is>
      </c>
      <c r="AJ295" s="28" t="inlineStr">
        <is>
          <t>2023-09-18</t>
        </is>
      </c>
      <c r="AK295" s="28" t="inlineStr">
        <is>
          <t>NONE FOUND</t>
        </is>
      </c>
      <c r="AL295" s="30" t="inlineStr">
        <is>
          <t>8005129-09.2023.8.05.0039</t>
        </is>
      </c>
      <c r="AM295" s="30" t="inlineStr">
        <is>
          <t>TJBA</t>
        </is>
      </c>
      <c r="AN295" s="30" t="inlineStr">
        <is>
          <t>ACTIVE</t>
        </is>
      </c>
      <c r="AO295" s="30" t="n">
        <v>2023</v>
      </c>
      <c r="AP295" s="30" t="inlineStr">
        <is>
          <t>live case, no plan document yet</t>
        </is>
      </c>
      <c r="AQ295" s="30" t="inlineStr"/>
      <c r="AR295" s="30" t="inlineStr">
        <is>
          <t>printed on the list (read twice)</t>
        </is>
      </c>
      <c r="AS295" s="30" t="inlineStr"/>
      <c r="AT295" s="30" t="inlineStr"/>
      <c r="AU295" s="30" t="inlineStr"/>
      <c r="AV295" s="30" t="inlineStr"/>
      <c r="AW295" s="31" t="inlineStr"/>
      <c r="AX295" s="30" t="inlineStr">
        <is>
          <t>MID-MARKET</t>
        </is>
      </c>
      <c r="AY295" s="30" t="inlineStr">
        <is>
          <t>32274874</t>
        </is>
      </c>
      <c r="AZ295" s="30" t="n">
        <v>2</v>
      </c>
      <c r="BA295" s="30" t="inlineStr">
        <is>
          <t>LIKELY_FINANCIAL_BY_NAME ROWS:p6r11,p17r11 UNRECONCILED_SOURCE VALUE_COL:Valor_Do_Crédito_2º_Edital_De_Credores</t>
        </is>
      </c>
    </row>
    <row r="296">
      <c r="A296" s="16" t="inlineStr">
        <is>
          <t>BANK OF CHINA (BRASIL) BANCO MULTIPLO S/A</t>
        </is>
      </c>
      <c r="B296" s="17" t="n">
        <v>3761575.26</v>
      </c>
      <c r="C296" s="18" t="inlineStr">
        <is>
          <t>Mannes</t>
        </is>
      </c>
      <c r="D296" s="19" t="inlineStr">
        <is>
          <t>NEW</t>
        </is>
      </c>
      <c r="E296" s="20" t="inlineStr"/>
      <c r="F296" s="19" t="inlineStr"/>
      <c r="G296" s="20" t="inlineStr"/>
      <c r="H296" s="19" t="inlineStr"/>
      <c r="I296" s="21" t="inlineStr">
        <is>
          <t>Claudio Rotolo</t>
        </is>
      </c>
      <c r="J296" s="21" t="inlineStr">
        <is>
          <t>Executive Director</t>
        </is>
      </c>
      <c r="K296" s="21" t="inlineStr">
        <is>
          <t>(11) 2173-9000</t>
        </is>
      </c>
      <c r="L296" s="21" t="inlineStr"/>
      <c r="M296" s="21" t="inlineStr"/>
      <c r="N296" s="21" t="inlineStr">
        <is>
          <t>claudio.rotolo@bocbrasil.com.br</t>
        </is>
      </c>
      <c r="O296" s="21" t="inlineStr">
        <is>
          <t>medeiros.renan@groupebpce.com</t>
        </is>
      </c>
      <c r="P296" s="21" t="inlineStr">
        <is>
          <t>Renan Medeiros</t>
        </is>
      </c>
      <c r="Q296" s="21" t="inlineStr">
        <is>
          <t>Credit Analyst</t>
        </is>
      </c>
      <c r="R296" s="21" t="inlineStr"/>
      <c r="S296" s="21" t="inlineStr">
        <is>
          <t>medeiros.renan@groupebpce.com</t>
        </is>
      </c>
      <c r="T296" s="21" t="inlineStr">
        <is>
          <t>DM verified email; VERIFY org: Bank of China (Brasil) Banco Múltiplo S/A - no recovery desk in Apollo; email verified by Apollo</t>
        </is>
      </c>
      <c r="U296" s="22" t="n">
        <v>3761575.26</v>
      </c>
      <c r="V296" s="39" t="inlineStr">
        <is>
          <t>D</t>
        </is>
      </c>
      <c r="W296" s="24">
        <f>IFERROR(VLOOKUP(V296,Assumptions!$A$7:$F$11,2,FALSE),0)</f>
        <v/>
      </c>
      <c r="X296" s="25">
        <f>IF(V296="A",MAX(1,IFERROR(VLOOKUP(V296,Assumptions!$A$7:$F$11,3,FALSE),3)+IFERROR(VLOOKUP(V296,Assumptions!$A$7:$F$11,4,FALSE),8)/2-MAX(0,IF(AO296="",0,YEAR(TODAY())-AO296)-IFERROR(VLOOKUP(V296,Assumptions!$A$7:$F$11,5,FALSE),1.5))),IFERROR(VLOOKUP(V296,Assumptions!$A$7:$F$11,5,FALSE),2.5)+IFERROR(VLOOKUP(V296,Assumptions!$A$7:$F$11,3,FALSE),3)+IFERROR(VLOOKUP(V296,Assumptions!$A$7:$F$11,4,FALSE),8)/2)</f>
        <v/>
      </c>
      <c r="Y296" s="22">
        <f>U296*W296/(1+Assumptions!$B$3)^X296</f>
        <v/>
      </c>
      <c r="Z296" s="26">
        <f>IF(U296=0,"",ROUND(Y296/U296*100,1))</f>
        <v/>
      </c>
      <c r="AA296" s="27">
        <f>Y296*Assumptions!$B$4</f>
        <v/>
      </c>
      <c r="AB296" s="26">
        <f>IF(U296=0,"",ROUND(AA296/U296*100,1))</f>
        <v/>
      </c>
      <c r="AC296" s="27">
        <f>Y296-AA296</f>
        <v/>
      </c>
      <c r="AD296" s="26">
        <f>IF(U296=0,"",ROUND((Y296-AA296)/U296*100,1))</f>
        <v/>
      </c>
      <c r="AE296" s="36" t="inlineStr">
        <is>
          <t>CHECK — source is not a statutory creditor list</t>
        </is>
      </c>
      <c r="AF296" s="29" t="inlineStr">
        <is>
          <t>https://administradorajudicialgs.com.br/wp-content/uploads/2024/12/relacao-de-credores-da-falida.pdf</t>
        </is>
      </c>
      <c r="AG296" s="28" t="inlineStr">
        <is>
          <t>p13 r7</t>
        </is>
      </c>
      <c r="AH296" s="28" t="inlineStr">
        <is>
          <t>p13: R$ 3.761.575,26</t>
        </is>
      </c>
      <c r="AI296" s="28" t="inlineStr">
        <is>
          <t>Other filing — NOT an art. 7/51 list</t>
        </is>
      </c>
      <c r="AJ296" s="28" t="inlineStr">
        <is>
          <t>2025-03-25</t>
        </is>
      </c>
      <c r="AK296" s="28" t="inlineStr">
        <is>
          <t>NONE FOUND</t>
        </is>
      </c>
      <c r="AL296" s="30" t="inlineStr">
        <is>
          <t>0005010-50.2013.8.24.0026</t>
        </is>
      </c>
      <c r="AM296" s="30" t="inlineStr">
        <is>
          <t>TJSC</t>
        </is>
      </c>
      <c r="AN296" s="30" t="inlineStr"/>
      <c r="AO296" s="30" t="n">
        <v>2013</v>
      </c>
      <c r="AP296" s="30" t="inlineStr">
        <is>
          <t>document is a falência (bankruptcy) list</t>
        </is>
      </c>
      <c r="AQ296" s="30" t="inlineStr"/>
      <c r="AR296" s="30" t="inlineStr">
        <is>
          <t>printed on the list (read twice)</t>
        </is>
      </c>
      <c r="AS296" s="30" t="inlineStr">
        <is>
          <t>SAO PAULO</t>
        </is>
      </c>
      <c r="AT296" s="30" t="inlineStr">
        <is>
          <t>SP</t>
        </is>
      </c>
      <c r="AU296" s="30" t="inlineStr">
        <is>
          <t>Bancos múltiplos, com carteira comercial</t>
        </is>
      </c>
      <c r="AV296" s="30" t="inlineStr">
        <is>
          <t>DEMAIS</t>
        </is>
      </c>
      <c r="AW296" s="31" t="n">
        <v>3497234200</v>
      </c>
      <c r="AX296" s="30" t="inlineStr">
        <is>
          <t>LARGE CORP</t>
        </is>
      </c>
      <c r="AY296" s="30" t="inlineStr">
        <is>
          <t>07450604</t>
        </is>
      </c>
      <c r="AZ296" s="30" t="n">
        <v>1</v>
      </c>
      <c r="BA296" s="30" t="inlineStr">
        <is>
          <t>LIKELY_FINANCIAL_BY_NAME ROWS:p13r7 UNRECONCILED_SOURCE CASE_NUMBER_CORRECTED</t>
        </is>
      </c>
    </row>
    <row r="297">
      <c r="A297" s="16" t="inlineStr">
        <is>
          <t>LUIZ HENRIQUE RICCIARELLI PARTICIPACOES LTDA</t>
        </is>
      </c>
      <c r="B297" s="17" t="n">
        <v>518978.46</v>
      </c>
      <c r="C297" s="18" t="inlineStr">
        <is>
          <t>CENTURY CONSTRUÇÕES COMÉRCIO E SERVIÇOS LTDA.</t>
        </is>
      </c>
      <c r="D297" s="19" t="inlineStr">
        <is>
          <t>NEW</t>
        </is>
      </c>
      <c r="E297" s="20" t="inlineStr"/>
      <c r="F297" s="19" t="inlineStr"/>
      <c r="G297" s="20" t="inlineStr"/>
      <c r="H297" s="19" t="inlineStr"/>
      <c r="I297" s="21" t="inlineStr">
        <is>
          <t>LUIZ HENRIQUE CABRAL RICCIARELLI</t>
        </is>
      </c>
      <c r="J297" s="21" t="inlineStr">
        <is>
          <t>Sócio-Administrador (RFB partner)</t>
        </is>
      </c>
      <c r="K297" s="21" t="inlineStr">
        <is>
          <t>(11) 2365-1427</t>
        </is>
      </c>
      <c r="L297" s="21" t="inlineStr"/>
      <c r="M297" s="21" t="inlineStr"/>
      <c r="N297" s="21" t="inlineStr"/>
      <c r="O297" s="21" t="inlineStr"/>
      <c r="P297" s="21" t="inlineStr"/>
      <c r="Q297" s="21" t="inlineStr"/>
      <c r="R297" s="21" t="inlineStr"/>
      <c r="S297" s="21" t="inlineStr"/>
      <c r="T297" s="21" t="inlineStr">
        <is>
          <t>RFB partner (QSA); no Apollo match</t>
        </is>
      </c>
      <c r="U297" s="22" t="n">
        <v>518978.46</v>
      </c>
      <c r="V297" s="23" t="inlineStr">
        <is>
          <t>B</t>
        </is>
      </c>
      <c r="W297" s="24">
        <f>IFERROR(VLOOKUP(V297,Assumptions!$A$7:$F$11,2,FALSE),0)</f>
        <v/>
      </c>
      <c r="X297" s="25">
        <f>IF(V297="A",MAX(1,IFERROR(VLOOKUP(V297,Assumptions!$A$7:$F$11,3,FALSE),3)+IFERROR(VLOOKUP(V297,Assumptions!$A$7:$F$11,4,FALSE),8)/2-MAX(0,IF(AO297="",0,YEAR(TODAY())-AO297)-IFERROR(VLOOKUP(V297,Assumptions!$A$7:$F$11,5,FALSE),1.5))),IFERROR(VLOOKUP(V297,Assumptions!$A$7:$F$11,5,FALSE),2.5)+IFERROR(VLOOKUP(V297,Assumptions!$A$7:$F$11,3,FALSE),3)+IFERROR(VLOOKUP(V297,Assumptions!$A$7:$F$11,4,FALSE),8)/2)</f>
        <v/>
      </c>
      <c r="Y297" s="22">
        <f>U297*W297/(1+Assumptions!$B$3)^X297</f>
        <v/>
      </c>
      <c r="Z297" s="26">
        <f>IF(U297=0,"",ROUND(Y297/U297*100,1))</f>
        <v/>
      </c>
      <c r="AA297" s="27">
        <f>Y297*Assumptions!$B$4</f>
        <v/>
      </c>
      <c r="AB297" s="26">
        <f>IF(U297=0,"",ROUND(AA297/U297*100,1))</f>
        <v/>
      </c>
      <c r="AC297" s="27">
        <f>Y297-AA297</f>
        <v/>
      </c>
      <c r="AD297" s="26">
        <f>IF(U297=0,"",ROUND((Y297-AA297)/U297*100,1))</f>
        <v/>
      </c>
      <c r="AE297" s="33" t="inlineStr">
        <is>
          <t>NO TOTALS — list prints none; check page</t>
        </is>
      </c>
      <c r="AF297" s="29" t="inlineStr">
        <is>
          <t>https://ativosajce.com.br/admin/download.php?file=files/processo_documento/processo_documento16022716122025_1_.pdf&amp;nome=Relação de credores - art. 52, §1º da Lei 11.101/05 - 15/12/2025</t>
        </is>
      </c>
      <c r="AG297" s="28" t="inlineStr">
        <is>
          <t>p3 r51</t>
        </is>
      </c>
      <c r="AH297" s="28" t="inlineStr">
        <is>
          <t>p3: R$ 518.978,46</t>
        </is>
      </c>
      <c r="AI297" s="28" t="inlineStr">
        <is>
          <t>Unclassified list</t>
        </is>
      </c>
      <c r="AJ297" s="28" t="inlineStr"/>
      <c r="AK297" s="28" t="inlineStr">
        <is>
          <t>NONE FOUND</t>
        </is>
      </c>
      <c r="AL297" s="30" t="inlineStr">
        <is>
          <t>4054599-35.2025.8.26.0100</t>
        </is>
      </c>
      <c r="AM297" s="30" t="inlineStr">
        <is>
          <t>TJSP</t>
        </is>
      </c>
      <c r="AN297" s="30" t="inlineStr">
        <is>
          <t>ACTIVE</t>
        </is>
      </c>
      <c r="AO297" s="30" t="n">
        <v>2025</v>
      </c>
      <c r="AP297" s="30" t="inlineStr">
        <is>
          <t>live case, no plan document yet</t>
        </is>
      </c>
      <c r="AQ297" s="30" t="inlineStr">
        <is>
          <t>03.299.563/0001-10</t>
        </is>
      </c>
      <c r="AR297" s="30" t="inlineStr">
        <is>
          <t>printed on the list (read twice)</t>
        </is>
      </c>
      <c r="AS297" s="30" t="inlineStr">
        <is>
          <t>SAO PAULO</t>
        </is>
      </c>
      <c r="AT297" s="30" t="inlineStr">
        <is>
          <t>SP</t>
        </is>
      </c>
      <c r="AU297" s="30" t="inlineStr">
        <is>
          <t>Outras sociedades de participação, exceto holdings</t>
        </is>
      </c>
      <c r="AV297" s="30" t="inlineStr">
        <is>
          <t>DEMAIS</t>
        </is>
      </c>
      <c r="AW297" s="31" t="n">
        <v>1000</v>
      </c>
      <c r="AX297" s="30" t="inlineStr">
        <is>
          <t>MID-MARKET</t>
        </is>
      </c>
      <c r="AY297" s="30" t="inlineStr">
        <is>
          <t>51145521</t>
        </is>
      </c>
      <c r="AZ297" s="30" t="n">
        <v>1</v>
      </c>
      <c r="BA297" s="30" t="inlineStr">
        <is>
          <t>ROWS:p3r51 UNRECONCILED_SOURCE</t>
        </is>
      </c>
    </row>
    <row r="298">
      <c r="A298" s="16" t="inlineStr">
        <is>
          <t>BANCO SOFISA S.A.</t>
        </is>
      </c>
      <c r="B298" s="17" t="n">
        <v>2007489.79</v>
      </c>
      <c r="C298" s="18" t="inlineStr">
        <is>
          <t>CREDIMÓVEIS NOVOLAR LTDA.</t>
        </is>
      </c>
      <c r="D298" s="19" t="inlineStr">
        <is>
          <t>NEW</t>
        </is>
      </c>
      <c r="E298" s="20" t="inlineStr"/>
      <c r="F298" s="19" t="inlineStr"/>
      <c r="G298" s="20" t="inlineStr"/>
      <c r="H298" s="19" t="inlineStr"/>
      <c r="I298" s="21" t="inlineStr">
        <is>
          <t>Tiago Hendo</t>
        </is>
      </c>
      <c r="J298" s="21" t="inlineStr">
        <is>
          <t>Gerente de Reestruturação de Crédito</t>
        </is>
      </c>
      <c r="K298" s="21" t="inlineStr">
        <is>
          <t>(11) 3176-5500</t>
        </is>
      </c>
      <c r="L298" s="21" t="inlineStr"/>
      <c r="M298" s="21" t="inlineStr"/>
      <c r="N298" s="21" t="inlineStr"/>
      <c r="O298" s="21" t="inlineStr">
        <is>
          <t>rnurnberg@sofisa.com.br</t>
        </is>
      </c>
      <c r="P298" s="21" t="inlineStr">
        <is>
          <t>Rafael Nurnberg</t>
        </is>
      </c>
      <c r="Q298" s="21" t="inlineStr">
        <is>
          <t>Superintendente Executivo de Crédito e Cobrança Varejo (PF e PJ)</t>
        </is>
      </c>
      <c r="R298" s="21" t="inlineStr"/>
      <c r="S298" s="21" t="inlineStr">
        <is>
          <t>rnurnberg@sofisa.com.br</t>
        </is>
      </c>
      <c r="T298" s="21" t="inlineStr">
        <is>
          <t>no work email found in Apollo</t>
        </is>
      </c>
      <c r="U298" s="22" t="n">
        <v>2007489.79</v>
      </c>
      <c r="V298" s="38" t="inlineStr">
        <is>
          <t>C</t>
        </is>
      </c>
      <c r="W298" s="24">
        <f>IFERROR(VLOOKUP(V298,Assumptions!$A$7:$F$11,2,FALSE),0)</f>
        <v/>
      </c>
      <c r="X298" s="25">
        <f>IF(V298="A",MAX(1,IFERROR(VLOOKUP(V298,Assumptions!$A$7:$F$11,3,FALSE),3)+IFERROR(VLOOKUP(V298,Assumptions!$A$7:$F$11,4,FALSE),8)/2-MAX(0,IF(AO298="",0,YEAR(TODAY())-AO298)-IFERROR(VLOOKUP(V298,Assumptions!$A$7:$F$11,5,FALSE),1.5))),IFERROR(VLOOKUP(V298,Assumptions!$A$7:$F$11,5,FALSE),2.5)+IFERROR(VLOOKUP(V298,Assumptions!$A$7:$F$11,3,FALSE),3)+IFERROR(VLOOKUP(V298,Assumptions!$A$7:$F$11,4,FALSE),8)/2)</f>
        <v/>
      </c>
      <c r="Y298" s="22">
        <f>U298*W298/(1+Assumptions!$B$3)^X298</f>
        <v/>
      </c>
      <c r="Z298" s="26">
        <f>IF(U298=0,"",ROUND(Y298/U298*100,1))</f>
        <v/>
      </c>
      <c r="AA298" s="27">
        <f>Y298*Assumptions!$B$4</f>
        <v/>
      </c>
      <c r="AB298" s="26">
        <f>IF(U298=0,"",ROUND(AA298/U298*100,1))</f>
        <v/>
      </c>
      <c r="AC298" s="27">
        <f>Y298-AA298</f>
        <v/>
      </c>
      <c r="AD298" s="26">
        <f>IF(U298=0,"",ROUND((Y298-AA298)/U298*100,1))</f>
        <v/>
      </c>
      <c r="AE298" s="28" t="inlineStr">
        <is>
          <t>OK — totals reconciled</t>
        </is>
      </c>
      <c r="AF298" s="29" t="inlineStr">
        <is>
          <t>https://recuperacaojudicial.squarespace.com/s/RJ-Credimoveis-QGC-01082025.pdf</t>
        </is>
      </c>
      <c r="AG298" s="28" t="inlineStr">
        <is>
          <t>p15 r16</t>
        </is>
      </c>
      <c r="AH298" s="28" t="inlineStr">
        <is>
          <t>p15: R$ 2.007.489,79</t>
        </is>
      </c>
      <c r="AI298" s="28" t="inlineStr">
        <is>
          <t>QGC (art. 18)</t>
        </is>
      </c>
      <c r="AJ298" s="28" t="inlineStr">
        <is>
          <t>2026-01-28</t>
        </is>
      </c>
      <c r="AK298" s="28" t="inlineStr">
        <is>
          <t>NONE FOUND</t>
        </is>
      </c>
      <c r="AL298" s="30" t="inlineStr">
        <is>
          <t>0007565-40.2020.8.17.2370</t>
        </is>
      </c>
      <c r="AM298" s="30" t="inlineStr">
        <is>
          <t>TJPE</t>
        </is>
      </c>
      <c r="AN298" s="30" t="inlineStr">
        <is>
          <t>ACTIVE</t>
        </is>
      </c>
      <c r="AO298" s="30" t="n">
        <v>2020</v>
      </c>
      <c r="AP298" s="30" t="inlineStr">
        <is>
          <t>6y since filing, no plan document</t>
        </is>
      </c>
      <c r="AQ298" s="30" t="inlineStr">
        <is>
          <t>09.930.165/0001-37</t>
        </is>
      </c>
      <c r="AR298" s="30" t="inlineStr">
        <is>
          <t>printed on the list (read twice)</t>
        </is>
      </c>
      <c r="AS298" s="30" t="inlineStr">
        <is>
          <t>SAO PAULO</t>
        </is>
      </c>
      <c r="AT298" s="30" t="inlineStr">
        <is>
          <t>SP</t>
        </is>
      </c>
      <c r="AU298" s="30" t="inlineStr">
        <is>
          <t>Bancos múltiplos, com carteira comercial</t>
        </is>
      </c>
      <c r="AV298" s="30" t="inlineStr">
        <is>
          <t>DEMAIS</t>
        </is>
      </c>
      <c r="AW298" s="31" t="n">
        <v>1021700100</v>
      </c>
      <c r="AX298" s="30" t="inlineStr">
        <is>
          <t>LARGE CORP</t>
        </is>
      </c>
      <c r="AY298" s="30" t="inlineStr">
        <is>
          <t>60889128</t>
        </is>
      </c>
      <c r="AZ298" s="30" t="n">
        <v>1</v>
      </c>
      <c r="BA298" s="30" t="inlineStr">
        <is>
          <t>ROWS:p15r16</t>
        </is>
      </c>
    </row>
    <row r="299">
      <c r="A299" s="16" t="inlineStr">
        <is>
          <t>EVOQUE SECURITIZADORA S.A. (</t>
        </is>
      </c>
      <c r="B299" s="17" t="n">
        <v>2006117.28</v>
      </c>
      <c r="C299" s="18" t="inlineStr">
        <is>
          <t>VECTOR INDÚSTRIA DE PRODUTOS METALÚRGICOS LTDA.</t>
        </is>
      </c>
      <c r="D299" s="19" t="inlineStr">
        <is>
          <t>NEW</t>
        </is>
      </c>
      <c r="E299" s="20" t="inlineStr"/>
      <c r="F299" s="19" t="inlineStr"/>
      <c r="G299" s="20" t="inlineStr"/>
      <c r="H299" s="19" t="inlineStr"/>
      <c r="I299" s="21" t="inlineStr">
        <is>
          <t>Leonardo Fritzen</t>
        </is>
      </c>
      <c r="J299" s="21" t="inlineStr">
        <is>
          <t>Director</t>
        </is>
      </c>
      <c r="K299" s="21" t="inlineStr"/>
      <c r="L299" s="21" t="inlineStr"/>
      <c r="M299" s="21" t="inlineStr"/>
      <c r="N299" s="21" t="inlineStr">
        <is>
          <t>leonardo@evoque.com.br</t>
        </is>
      </c>
      <c r="O299" s="21" t="inlineStr">
        <is>
          <t>ricardo@evoque.com.br</t>
        </is>
      </c>
      <c r="P299" s="21" t="inlineStr">
        <is>
          <t>Ricardo Lazzari</t>
        </is>
      </c>
      <c r="Q299" s="21" t="inlineStr">
        <is>
          <t>CEO</t>
        </is>
      </c>
      <c r="R299" s="21" t="inlineStr"/>
      <c r="S299" s="21" t="inlineStr">
        <is>
          <t>ricardo@evoque.com.br</t>
        </is>
      </c>
      <c r="T299" s="21" t="inlineStr">
        <is>
          <t>email verified by Apollo</t>
        </is>
      </c>
      <c r="U299" s="22" t="n">
        <v>2006117.28</v>
      </c>
      <c r="V299" s="38" t="inlineStr">
        <is>
          <t>C</t>
        </is>
      </c>
      <c r="W299" s="24">
        <f>IFERROR(VLOOKUP(V299,Assumptions!$A$7:$F$11,2,FALSE),0)</f>
        <v/>
      </c>
      <c r="X299" s="25">
        <f>IF(V299="A",MAX(1,IFERROR(VLOOKUP(V299,Assumptions!$A$7:$F$11,3,FALSE),3)+IFERROR(VLOOKUP(V299,Assumptions!$A$7:$F$11,4,FALSE),8)/2-MAX(0,IF(AO299="",0,YEAR(TODAY())-AO299)-IFERROR(VLOOKUP(V299,Assumptions!$A$7:$F$11,5,FALSE),1.5))),IFERROR(VLOOKUP(V299,Assumptions!$A$7:$F$11,5,FALSE),2.5)+IFERROR(VLOOKUP(V299,Assumptions!$A$7:$F$11,3,FALSE),3)+IFERROR(VLOOKUP(V299,Assumptions!$A$7:$F$11,4,FALSE),8)/2)</f>
        <v/>
      </c>
      <c r="Y299" s="22">
        <f>U299*W299/(1+Assumptions!$B$3)^X299</f>
        <v/>
      </c>
      <c r="Z299" s="26">
        <f>IF(U299=0,"",ROUND(Y299/U299*100,1))</f>
        <v/>
      </c>
      <c r="AA299" s="27">
        <f>Y299*Assumptions!$B$4</f>
        <v/>
      </c>
      <c r="AB299" s="26">
        <f>IF(U299=0,"",ROUND(AA299/U299*100,1))</f>
        <v/>
      </c>
      <c r="AC299" s="27">
        <f>Y299-AA299</f>
        <v/>
      </c>
      <c r="AD299" s="26">
        <f>IF(U299=0,"",ROUND((Y299-AA299)/U299*100,1))</f>
        <v/>
      </c>
      <c r="AE299" s="33" t="inlineStr">
        <is>
          <t>NO TOTALS — list prints none; check page</t>
        </is>
      </c>
      <c r="AF299" s="29" t="inlineStr">
        <is>
          <t>https://scalzilliaj.com.br/sgc/download.php?file=files/processo_documento/processo_documento15513401112022_1_.pdf&amp;nome=15 - Edital do art. 7º, §2º (segunda lista de credores) e do art. 53 da Lei 11.101/2005 (recebimento do plano)</t>
        </is>
      </c>
      <c r="AG299" s="28" t="inlineStr">
        <is>
          <t>p7 r2</t>
        </is>
      </c>
      <c r="AH299" s="28" t="inlineStr">
        <is>
          <t>p7: R$ 2.006.117,28</t>
        </is>
      </c>
      <c r="AI299" s="28" t="inlineStr">
        <is>
          <t>AJ list (art. 7 §2)</t>
        </is>
      </c>
      <c r="AJ299" s="28" t="inlineStr">
        <is>
          <t>2022-11-01</t>
        </is>
      </c>
      <c r="AK299" s="28" t="inlineStr">
        <is>
          <t>NONE FOUND</t>
        </is>
      </c>
      <c r="AL299" s="30" t="inlineStr">
        <is>
          <t>5014104-85.2021.8.21.0010</t>
        </is>
      </c>
      <c r="AM299" s="30" t="inlineStr">
        <is>
          <t>TJRS</t>
        </is>
      </c>
      <c r="AN299" s="30" t="inlineStr">
        <is>
          <t>ACTIVE</t>
        </is>
      </c>
      <c r="AO299" s="30" t="n">
        <v>2021</v>
      </c>
      <c r="AP299" s="30" t="inlineStr">
        <is>
          <t>5y since filing, no plan document</t>
        </is>
      </c>
      <c r="AQ299" s="30" t="inlineStr">
        <is>
          <t>03.018.339/0001-03</t>
        </is>
      </c>
      <c r="AR299" s="30" t="inlineStr">
        <is>
          <t>printed on the list (read twice)</t>
        </is>
      </c>
      <c r="AS299" s="30" t="inlineStr"/>
      <c r="AT299" s="30" t="inlineStr"/>
      <c r="AU299" s="30" t="inlineStr"/>
      <c r="AV299" s="30" t="inlineStr"/>
      <c r="AW299" s="31" t="inlineStr"/>
      <c r="AX299" s="30" t="inlineStr">
        <is>
          <t>MID-MARKET</t>
        </is>
      </c>
      <c r="AY299" s="30" t="inlineStr">
        <is>
          <t>22007308</t>
        </is>
      </c>
      <c r="AZ299" s="30" t="n">
        <v>1</v>
      </c>
      <c r="BA299" s="30" t="inlineStr">
        <is>
          <t>LIKELY_FINANCIAL_BY_NAME ROWS:p7r2 UNRECONCILED_SOURCE</t>
        </is>
      </c>
    </row>
    <row r="300">
      <c r="A300" s="16" t="inlineStr">
        <is>
          <t>INTER SIMPLES FUNDO DE INVESTIMENTO EM DIREITOS CREDITO</t>
        </is>
      </c>
      <c r="B300" s="17" t="n">
        <v>505186.14</v>
      </c>
      <c r="C300" s="18" t="inlineStr">
        <is>
          <t>GRUPO DIVINA</t>
        </is>
      </c>
      <c r="D300" s="19" t="inlineStr">
        <is>
          <t>NEW</t>
        </is>
      </c>
      <c r="E300" s="20" t="inlineStr"/>
      <c r="F300" s="19" t="inlineStr"/>
      <c r="G300" s="20" t="inlineStr"/>
      <c r="H300" s="19" t="inlineStr"/>
      <c r="I300" s="21" t="inlineStr"/>
      <c r="J300" s="21" t="inlineStr"/>
      <c r="K300" s="21" t="inlineStr"/>
      <c r="L300" s="21" t="inlineStr"/>
      <c r="M300" s="21" t="inlineStr"/>
      <c r="N300" s="21" t="inlineStr"/>
      <c r="O300" s="21" t="inlineStr"/>
      <c r="P300" s="21" t="inlineStr"/>
      <c r="Q300" s="21" t="inlineStr"/>
      <c r="R300" s="21" t="inlineStr"/>
      <c r="S300" s="21" t="inlineStr"/>
      <c r="T300" s="21" t="inlineStr">
        <is>
          <t>no named contact found</t>
        </is>
      </c>
      <c r="U300" s="22" t="n">
        <v>505186.14</v>
      </c>
      <c r="V300" s="23" t="inlineStr">
        <is>
          <t>B</t>
        </is>
      </c>
      <c r="W300" s="24">
        <f>IFERROR(VLOOKUP(V300,Assumptions!$A$7:$F$11,2,FALSE),0)</f>
        <v/>
      </c>
      <c r="X300" s="25">
        <f>IF(V300="A",MAX(1,IFERROR(VLOOKUP(V300,Assumptions!$A$7:$F$11,3,FALSE),3)+IFERROR(VLOOKUP(V300,Assumptions!$A$7:$F$11,4,FALSE),8)/2-MAX(0,IF(AO300="",0,YEAR(TODAY())-AO300)-IFERROR(VLOOKUP(V300,Assumptions!$A$7:$F$11,5,FALSE),1.5))),IFERROR(VLOOKUP(V300,Assumptions!$A$7:$F$11,5,FALSE),2.5)+IFERROR(VLOOKUP(V300,Assumptions!$A$7:$F$11,3,FALSE),3)+IFERROR(VLOOKUP(V300,Assumptions!$A$7:$F$11,4,FALSE),8)/2)</f>
        <v/>
      </c>
      <c r="Y300" s="22">
        <f>U300*W300/(1+Assumptions!$B$3)^X300</f>
        <v/>
      </c>
      <c r="Z300" s="26">
        <f>IF(U300=0,"",ROUND(Y300/U300*100,1))</f>
        <v/>
      </c>
      <c r="AA300" s="27">
        <f>Y300*Assumptions!$B$4</f>
        <v/>
      </c>
      <c r="AB300" s="26">
        <f>IF(U300=0,"",ROUND(AA300/U300*100,1))</f>
        <v/>
      </c>
      <c r="AC300" s="27">
        <f>Y300-AA300</f>
        <v/>
      </c>
      <c r="AD300" s="26">
        <f>IF(U300=0,"",ROUND((Y300-AA300)/U300*100,1))</f>
        <v/>
      </c>
      <c r="AE300" s="34" t="inlineStr">
        <is>
          <t>PARTIAL — class III reconciled, other classes not</t>
        </is>
      </c>
      <c r="AF300" s="29" t="inlineStr">
        <is>
          <t>https://lrflideres.com.br/wp-content/plugins/download-attachments/includes/download.php?id=6252</t>
        </is>
      </c>
      <c r="AG300" s="28" t="inlineStr">
        <is>
          <t>p2 r52</t>
        </is>
      </c>
      <c r="AH300" s="28" t="inlineStr">
        <is>
          <t>p2: R$ 505.186,14</t>
        </is>
      </c>
      <c r="AI300" s="28" t="inlineStr">
        <is>
          <t>AJ list (art. 7 §2)</t>
        </is>
      </c>
      <c r="AJ300" s="28" t="inlineStr">
        <is>
          <t>2024-11-27</t>
        </is>
      </c>
      <c r="AK300" s="28" t="inlineStr">
        <is>
          <t>NONE FOUND</t>
        </is>
      </c>
      <c r="AL300" s="30" t="inlineStr">
        <is>
          <t>0000721-61.2024.8.17.2620</t>
        </is>
      </c>
      <c r="AM300" s="30" t="inlineStr">
        <is>
          <t>TJPE</t>
        </is>
      </c>
      <c r="AN300" s="30" t="inlineStr">
        <is>
          <t>ACTIVE</t>
        </is>
      </c>
      <c r="AO300" s="30" t="n">
        <v>2024</v>
      </c>
      <c r="AP300" s="30" t="inlineStr">
        <is>
          <t>live case, no plan document yet</t>
        </is>
      </c>
      <c r="AQ300" s="30" t="inlineStr">
        <is>
          <t>08.785.522/0001-58</t>
        </is>
      </c>
      <c r="AR300" s="30" t="inlineStr">
        <is>
          <t>printed on the list (read twice)</t>
        </is>
      </c>
      <c r="AS300" s="30" t="inlineStr"/>
      <c r="AT300" s="30" t="inlineStr"/>
      <c r="AU300" s="30" t="inlineStr"/>
      <c r="AV300" s="30" t="inlineStr"/>
      <c r="AW300" s="31" t="inlineStr"/>
      <c r="AX300" s="30" t="inlineStr">
        <is>
          <t>MID-MARKET</t>
        </is>
      </c>
      <c r="AY300" s="30" t="inlineStr">
        <is>
          <t>46799305</t>
        </is>
      </c>
      <c r="AZ300" s="30" t="n">
        <v>1</v>
      </c>
      <c r="BA300" s="30" t="inlineStr">
        <is>
          <t>LIKELY_FINANCIAL_BY_NAME PARTIAL_DOC_CLASS_III_RECONCILED ROWS:p2r52</t>
        </is>
      </c>
    </row>
    <row r="301">
      <c r="A301" s="16" t="inlineStr">
        <is>
          <t>TAIPATSB FUNDO DE INVESTIMENTO EM DIREITOS CREDITORIOS MULTISSETORIAL</t>
        </is>
      </c>
      <c r="B301" s="17" t="n">
        <v>499970.87</v>
      </c>
      <c r="C301" s="18" t="inlineStr">
        <is>
          <t>CENTURY CONSTRUÇÕES COMÉRCIO E SERVIÇOS LTDA.</t>
        </is>
      </c>
      <c r="D301" s="19" t="inlineStr">
        <is>
          <t>NEW</t>
        </is>
      </c>
      <c r="E301" s="20" t="inlineStr"/>
      <c r="F301" s="19" t="inlineStr"/>
      <c r="G301" s="20" t="inlineStr"/>
      <c r="H301" s="19" t="inlineStr"/>
      <c r="I301" s="21" t="inlineStr">
        <is>
          <t>Leticia Linhares</t>
        </is>
      </c>
      <c r="J301" s="21" t="inlineStr">
        <is>
          <t>Líder de Equipe de Cobranças</t>
        </is>
      </c>
      <c r="K301" s="21" t="inlineStr">
        <is>
          <t>(11) 2827-3500</t>
        </is>
      </c>
      <c r="L301" s="21" t="inlineStr"/>
      <c r="M301" s="21" t="inlineStr"/>
      <c r="N301" s="21" t="inlineStr">
        <is>
          <t>leticia@taipa.com.br</t>
        </is>
      </c>
      <c r="O301" s="21" t="inlineStr">
        <is>
          <t>tesouraria1@taipa.com.br</t>
        </is>
      </c>
      <c r="P301" s="21" t="inlineStr">
        <is>
          <t>Eliezer Pereira</t>
        </is>
      </c>
      <c r="Q301" s="21" t="inlineStr">
        <is>
          <t>Treasury and Operations FIDC</t>
        </is>
      </c>
      <c r="R301" s="21" t="inlineStr"/>
      <c r="S301" s="21" t="inlineStr">
        <is>
          <t>tesouraria1@taipa.com.br</t>
        </is>
      </c>
      <c r="T301" s="21" t="inlineStr">
        <is>
          <t>email verified by Apollo</t>
        </is>
      </c>
      <c r="U301" s="22" t="n">
        <v>499970.87</v>
      </c>
      <c r="V301" s="23" t="inlineStr">
        <is>
          <t>B</t>
        </is>
      </c>
      <c r="W301" s="24">
        <f>IFERROR(VLOOKUP(V301,Assumptions!$A$7:$F$11,2,FALSE),0)</f>
        <v/>
      </c>
      <c r="X301" s="25">
        <f>IF(V301="A",MAX(1,IFERROR(VLOOKUP(V301,Assumptions!$A$7:$F$11,3,FALSE),3)+IFERROR(VLOOKUP(V301,Assumptions!$A$7:$F$11,4,FALSE),8)/2-MAX(0,IF(AO301="",0,YEAR(TODAY())-AO301)-IFERROR(VLOOKUP(V301,Assumptions!$A$7:$F$11,5,FALSE),1.5))),IFERROR(VLOOKUP(V301,Assumptions!$A$7:$F$11,5,FALSE),2.5)+IFERROR(VLOOKUP(V301,Assumptions!$A$7:$F$11,3,FALSE),3)+IFERROR(VLOOKUP(V301,Assumptions!$A$7:$F$11,4,FALSE),8)/2)</f>
        <v/>
      </c>
      <c r="Y301" s="22">
        <f>U301*W301/(1+Assumptions!$B$3)^X301</f>
        <v/>
      </c>
      <c r="Z301" s="26">
        <f>IF(U301=0,"",ROUND(Y301/U301*100,1))</f>
        <v/>
      </c>
      <c r="AA301" s="27">
        <f>Y301*Assumptions!$B$4</f>
        <v/>
      </c>
      <c r="AB301" s="26">
        <f>IF(U301=0,"",ROUND(AA301/U301*100,1))</f>
        <v/>
      </c>
      <c r="AC301" s="27">
        <f>Y301-AA301</f>
        <v/>
      </c>
      <c r="AD301" s="26">
        <f>IF(U301=0,"",ROUND((Y301-AA301)/U301*100,1))</f>
        <v/>
      </c>
      <c r="AE301" s="33" t="inlineStr">
        <is>
          <t>NO TOTALS — list prints none; check page</t>
        </is>
      </c>
      <c r="AF301" s="29" t="inlineStr">
        <is>
          <t>https://ativosajce.com.br/admin/download.php?file=files/processo_documento/processo_documento16022716122025_1_.pdf&amp;nome=Relação de credores - art. 52, §1º da Lei 11.101/05 - 15/12/2025</t>
        </is>
      </c>
      <c r="AG301" s="28" t="inlineStr">
        <is>
          <t>p4 r56</t>
        </is>
      </c>
      <c r="AH301" s="28" t="inlineStr">
        <is>
          <t>p4: R$ 499.970,87</t>
        </is>
      </c>
      <c r="AI301" s="28" t="inlineStr">
        <is>
          <t>Unclassified list</t>
        </is>
      </c>
      <c r="AJ301" s="28" t="inlineStr"/>
      <c r="AK301" s="28" t="inlineStr">
        <is>
          <t>NONE FOUND</t>
        </is>
      </c>
      <c r="AL301" s="30" t="inlineStr">
        <is>
          <t>4054599-35.2025.8.26.0100</t>
        </is>
      </c>
      <c r="AM301" s="30" t="inlineStr">
        <is>
          <t>TJSP</t>
        </is>
      </c>
      <c r="AN301" s="30" t="inlineStr">
        <is>
          <t>ACTIVE</t>
        </is>
      </c>
      <c r="AO301" s="30" t="n">
        <v>2025</v>
      </c>
      <c r="AP301" s="30" t="inlineStr">
        <is>
          <t>live case, no plan document yet</t>
        </is>
      </c>
      <c r="AQ301" s="30" t="inlineStr">
        <is>
          <t>03.299.563/0001-10</t>
        </is>
      </c>
      <c r="AR301" s="30" t="inlineStr">
        <is>
          <t>printed on the list (read twice)</t>
        </is>
      </c>
      <c r="AS301" s="30" t="inlineStr">
        <is>
          <t>SAO PAULO</t>
        </is>
      </c>
      <c r="AT301" s="30" t="inlineStr">
        <is>
          <t>SP</t>
        </is>
      </c>
      <c r="AU301" s="30" t="inlineStr">
        <is>
          <t>Fundos de investimento, exceto previdenciários e imobiliários</t>
        </is>
      </c>
      <c r="AV301" s="30" t="inlineStr">
        <is>
          <t>DEMAIS</t>
        </is>
      </c>
      <c r="AW301" s="31" t="inlineStr"/>
      <c r="AX301" s="30" t="inlineStr">
        <is>
          <t>MID-MARKET</t>
        </is>
      </c>
      <c r="AY301" s="30" t="inlineStr">
        <is>
          <t>21081976</t>
        </is>
      </c>
      <c r="AZ301" s="30" t="n">
        <v>1</v>
      </c>
      <c r="BA301" s="30" t="inlineStr">
        <is>
          <t>ROWS:p4r56 UNRECONCILED_SOURCE</t>
        </is>
      </c>
    </row>
    <row r="302">
      <c r="A302" s="16" t="inlineStr">
        <is>
          <t>BANCO DO NORDESTE DO BRASIL SA</t>
        </is>
      </c>
      <c r="B302" s="17" t="n">
        <v>488542.39</v>
      </c>
      <c r="C302" s="18" t="inlineStr">
        <is>
          <t>GRUPO IMPLASVERDE</t>
        </is>
      </c>
      <c r="D302" s="19" t="inlineStr">
        <is>
          <t>NEW</t>
        </is>
      </c>
      <c r="E302" s="20" t="inlineStr"/>
      <c r="F302" s="19" t="inlineStr"/>
      <c r="G302" s="20" t="inlineStr"/>
      <c r="H302" s="19" t="inlineStr"/>
      <c r="I302" s="21" t="inlineStr">
        <is>
          <t>Layslan Medeiros</t>
        </is>
      </c>
      <c r="J302" s="21" t="inlineStr">
        <is>
          <t>Gerente Executivo Operacional e de Recuperação de Crédito</t>
        </is>
      </c>
      <c r="K302" s="21" t="inlineStr">
        <is>
          <t>(85) 3299-3000</t>
        </is>
      </c>
      <c r="L302" s="21" t="inlineStr"/>
      <c r="M302" s="21" t="inlineStr"/>
      <c r="N302" s="21" t="inlineStr"/>
      <c r="O302" s="21" t="inlineStr">
        <is>
          <t>alexsander@bnb.gov.br</t>
        </is>
      </c>
      <c r="P302" s="21" t="inlineStr">
        <is>
          <t>Alexsander Farias</t>
        </is>
      </c>
      <c r="Q302" s="21" t="inlineStr">
        <is>
          <t>Gerente de Recuperação de Crédito</t>
        </is>
      </c>
      <c r="R302" s="21" t="inlineStr"/>
      <c r="S302" s="21" t="inlineStr">
        <is>
          <t>alexsander@bnb.gov.br</t>
        </is>
      </c>
      <c r="T302" s="21" t="inlineStr">
        <is>
          <t>no work email found in Apollo</t>
        </is>
      </c>
      <c r="U302" s="22" t="n">
        <v>488542.39</v>
      </c>
      <c r="V302" s="23" t="inlineStr">
        <is>
          <t>B</t>
        </is>
      </c>
      <c r="W302" s="24">
        <f>IFERROR(VLOOKUP(V302,Assumptions!$A$7:$F$11,2,FALSE),0)</f>
        <v/>
      </c>
      <c r="X302" s="25">
        <f>IF(V302="A",MAX(1,IFERROR(VLOOKUP(V302,Assumptions!$A$7:$F$11,3,FALSE),3)+IFERROR(VLOOKUP(V302,Assumptions!$A$7:$F$11,4,FALSE),8)/2-MAX(0,IF(AO302="",0,YEAR(TODAY())-AO302)-IFERROR(VLOOKUP(V302,Assumptions!$A$7:$F$11,5,FALSE),1.5))),IFERROR(VLOOKUP(V302,Assumptions!$A$7:$F$11,5,FALSE),2.5)+IFERROR(VLOOKUP(V302,Assumptions!$A$7:$F$11,3,FALSE),3)+IFERROR(VLOOKUP(V302,Assumptions!$A$7:$F$11,4,FALSE),8)/2)</f>
        <v/>
      </c>
      <c r="Y302" s="22">
        <f>U302*W302/(1+Assumptions!$B$3)^X302</f>
        <v/>
      </c>
      <c r="Z302" s="26">
        <f>IF(U302=0,"",ROUND(Y302/U302*100,1))</f>
        <v/>
      </c>
      <c r="AA302" s="27">
        <f>Y302*Assumptions!$B$4</f>
        <v/>
      </c>
      <c r="AB302" s="26">
        <f>IF(U302=0,"",ROUND(AA302/U302*100,1))</f>
        <v/>
      </c>
      <c r="AC302" s="27">
        <f>Y302-AA302</f>
        <v/>
      </c>
      <c r="AD302" s="26">
        <f>IF(U302=0,"",ROUND((Y302-AA302)/U302*100,1))</f>
        <v/>
      </c>
      <c r="AE302" s="28" t="inlineStr">
        <is>
          <t>OK — totals reconciled</t>
        </is>
      </c>
      <c r="AF302" s="29" t="inlineStr">
        <is>
          <t>http://recuperacaojudicial.squarespace.com/s/LISTA-DE-CREDORES-CONSOLIDADA-ATE-04102024.pdf</t>
        </is>
      </c>
      <c r="AG302" s="28" t="inlineStr">
        <is>
          <t>p6 r5; p8 r7</t>
        </is>
      </c>
      <c r="AH302" s="28" t="inlineStr">
        <is>
          <t>p6: R$ 52.730,31; p8: R$ 435.812,08</t>
        </is>
      </c>
      <c r="AI302" s="28" t="inlineStr">
        <is>
          <t>AJ list (art. 7 §2)</t>
        </is>
      </c>
      <c r="AJ302" s="28" t="inlineStr">
        <is>
          <t>2024-10-04</t>
        </is>
      </c>
      <c r="AK302" s="28" t="inlineStr">
        <is>
          <t>NONE FOUND</t>
        </is>
      </c>
      <c r="AL302" s="30" t="inlineStr">
        <is>
          <t>0800778-16.2023.8.20.5104</t>
        </is>
      </c>
      <c r="AM302" s="30" t="inlineStr">
        <is>
          <t>TJRN</t>
        </is>
      </c>
      <c r="AN302" s="30" t="inlineStr">
        <is>
          <t>ACTIVE</t>
        </is>
      </c>
      <c r="AO302" s="30" t="n">
        <v>2023</v>
      </c>
      <c r="AP302" s="30" t="inlineStr">
        <is>
          <t>live case, no plan document yet</t>
        </is>
      </c>
      <c r="AQ302" s="30" t="inlineStr"/>
      <c r="AR302" s="30" t="inlineStr">
        <is>
          <t>printed on the list (read twice)</t>
        </is>
      </c>
      <c r="AS302" s="30" t="inlineStr">
        <is>
          <t>FORTALEZA</t>
        </is>
      </c>
      <c r="AT302" s="30" t="inlineStr">
        <is>
          <t>CE</t>
        </is>
      </c>
      <c r="AU302" s="30" t="inlineStr">
        <is>
          <t>Bancos múltiplos, com carteira comercial</t>
        </is>
      </c>
      <c r="AV302" s="30" t="inlineStr">
        <is>
          <t>DEMAIS</t>
        </is>
      </c>
      <c r="AW302" s="31" t="n">
        <v>15139032000</v>
      </c>
      <c r="AX302" s="30" t="inlineStr">
        <is>
          <t>LARGE CORP</t>
        </is>
      </c>
      <c r="AY302" s="30" t="inlineStr">
        <is>
          <t>07237373</t>
        </is>
      </c>
      <c r="AZ302" s="30" t="n">
        <v>2</v>
      </c>
      <c r="BA302" s="30" t="inlineStr">
        <is>
          <t>LIKELY_FINANCIAL_BY_NAME ROWS:p6r5,p8r7 VALUE_COL:Valor_Do_Crédito</t>
        </is>
      </c>
    </row>
    <row r="303">
      <c r="A303" s="16" t="inlineStr">
        <is>
          <t>COOPERATIVA DE CREDITO DE LIVRE ADMISSAO DE CERES E RIALMA LTDA</t>
        </is>
      </c>
      <c r="B303" s="17" t="n">
        <v>487838.68</v>
      </c>
      <c r="C303" s="18" t="inlineStr">
        <is>
          <t>GRUPO ECONÔMICO FAEL (GRUPO FAEL)</t>
        </is>
      </c>
      <c r="D303" s="19" t="inlineStr">
        <is>
          <t>NEW</t>
        </is>
      </c>
      <c r="E303" s="20" t="inlineStr"/>
      <c r="F303" s="19" t="inlineStr"/>
      <c r="G303" s="20" t="inlineStr"/>
      <c r="H303" s="19" t="inlineStr"/>
      <c r="I303" s="21" t="inlineStr">
        <is>
          <t>JOSE MAURICIO DE OLIVEIRA</t>
        </is>
      </c>
      <c r="J303" s="21" t="inlineStr">
        <is>
          <t>Presidente (RFB partner)</t>
        </is>
      </c>
      <c r="K303" s="21" t="inlineStr">
        <is>
          <t>(62) 8421-4097</t>
        </is>
      </c>
      <c r="L303" s="21" t="inlineStr"/>
      <c r="M303" s="21" t="inlineStr"/>
      <c r="N303" s="21" t="inlineStr"/>
      <c r="O303" s="21" t="inlineStr"/>
      <c r="P303" s="21" t="inlineStr">
        <is>
          <t>GESSICA CUBA DE OLIVEIRA</t>
        </is>
      </c>
      <c r="Q303" s="21" t="inlineStr">
        <is>
          <t>Diretor (RFB partner)</t>
        </is>
      </c>
      <c r="R303" s="21" t="inlineStr"/>
      <c r="S303" s="21" t="inlineStr"/>
      <c r="T303" s="21" t="inlineStr">
        <is>
          <t>RFB partner (QSA); no Apollo match</t>
        </is>
      </c>
      <c r="U303" s="22" t="n">
        <v>487838.68</v>
      </c>
      <c r="V303" s="23" t="inlineStr">
        <is>
          <t>B</t>
        </is>
      </c>
      <c r="W303" s="24">
        <f>IFERROR(VLOOKUP(V303,Assumptions!$A$7:$F$11,2,FALSE),0)</f>
        <v/>
      </c>
      <c r="X303" s="25">
        <f>IF(V303="A",MAX(1,IFERROR(VLOOKUP(V303,Assumptions!$A$7:$F$11,3,FALSE),3)+IFERROR(VLOOKUP(V303,Assumptions!$A$7:$F$11,4,FALSE),8)/2-MAX(0,IF(AO303="",0,YEAR(TODAY())-AO303)-IFERROR(VLOOKUP(V303,Assumptions!$A$7:$F$11,5,FALSE),1.5))),IFERROR(VLOOKUP(V303,Assumptions!$A$7:$F$11,5,FALSE),2.5)+IFERROR(VLOOKUP(V303,Assumptions!$A$7:$F$11,3,FALSE),3)+IFERROR(VLOOKUP(V303,Assumptions!$A$7:$F$11,4,FALSE),8)/2)</f>
        <v/>
      </c>
      <c r="Y303" s="22">
        <f>U303*W303/(1+Assumptions!$B$3)^X303</f>
        <v/>
      </c>
      <c r="Z303" s="26">
        <f>IF(U303=0,"",ROUND(Y303/U303*100,1))</f>
        <v/>
      </c>
      <c r="AA303" s="27">
        <f>Y303*Assumptions!$B$4</f>
        <v/>
      </c>
      <c r="AB303" s="26">
        <f>IF(U303=0,"",ROUND(AA303/U303*100,1))</f>
        <v/>
      </c>
      <c r="AC303" s="27">
        <f>Y303-AA303</f>
        <v/>
      </c>
      <c r="AD303" s="26">
        <f>IF(U303=0,"",ROUND((Y303-AA303)/U303*100,1))</f>
        <v/>
      </c>
      <c r="AE303" s="33" t="inlineStr">
        <is>
          <t>NO TOTALS — list prints none; check page</t>
        </is>
      </c>
      <c r="AF303" s="29" t="inlineStr">
        <is>
          <t>https://stenius.com.br/wp-content/uploads/2026/06/EDITAL-GRUPO-FAEL.pdf</t>
        </is>
      </c>
      <c r="AG303" s="28" t="inlineStr">
        <is>
          <t>p2 r1</t>
        </is>
      </c>
      <c r="AH303" s="28" t="inlineStr">
        <is>
          <t>p2: R$ 487.838,68</t>
        </is>
      </c>
      <c r="AI303" s="28" t="inlineStr">
        <is>
          <t>AJ list (art. 7 §2)</t>
        </is>
      </c>
      <c r="AJ303" s="28" t="inlineStr">
        <is>
          <t>2026-06-30</t>
        </is>
      </c>
      <c r="AK303" s="28" t="inlineStr">
        <is>
          <t>NONE FOUND</t>
        </is>
      </c>
      <c r="AL303" s="30" t="inlineStr">
        <is>
          <t>5264228-81.2025.8.09.0172</t>
        </is>
      </c>
      <c r="AM303" s="30" t="inlineStr">
        <is>
          <t>TJGO</t>
        </is>
      </c>
      <c r="AN303" s="30" t="inlineStr">
        <is>
          <t>ACTIVE</t>
        </is>
      </c>
      <c r="AO303" s="30" t="n">
        <v>2025</v>
      </c>
      <c r="AP303" s="30" t="inlineStr">
        <is>
          <t>live case, no plan document yet</t>
        </is>
      </c>
      <c r="AQ303" s="30" t="inlineStr"/>
      <c r="AR303" s="30" t="inlineStr">
        <is>
          <t>printed on the list (read twice)</t>
        </is>
      </c>
      <c r="AS303" s="30" t="inlineStr">
        <is>
          <t>CERES</t>
        </is>
      </c>
      <c r="AT303" s="30" t="inlineStr">
        <is>
          <t>GO</t>
        </is>
      </c>
      <c r="AU303" s="30" t="inlineStr">
        <is>
          <t>Cooperativas de crédito mútuo</t>
        </is>
      </c>
      <c r="AV303" s="30" t="inlineStr">
        <is>
          <t>DEMAIS</t>
        </is>
      </c>
      <c r="AW303" s="31" t="n">
        <v>30000</v>
      </c>
      <c r="AX303" s="30" t="inlineStr">
        <is>
          <t>MID-MARKET</t>
        </is>
      </c>
      <c r="AY303" s="30" t="inlineStr">
        <is>
          <t>09576849</t>
        </is>
      </c>
      <c r="AZ303" s="30" t="n">
        <v>1</v>
      </c>
      <c r="BA303" s="30" t="inlineStr">
        <is>
          <t>ROWS:p2r1 UNRECONCILED_SOURCE VALUE_COL:Valor_Do_Crédito</t>
        </is>
      </c>
    </row>
    <row r="304">
      <c r="A304" s="16" t="inlineStr">
        <is>
          <t>BANCO BRADESCO S.A.</t>
        </is>
      </c>
      <c r="B304" s="17" t="n">
        <v>482000</v>
      </c>
      <c r="C304" s="18" t="inlineStr">
        <is>
          <t>GRUPO IMOBI</t>
        </is>
      </c>
      <c r="D304" s="19" t="inlineStr">
        <is>
          <t>NEW</t>
        </is>
      </c>
      <c r="E304" s="20" t="inlineStr"/>
      <c r="F304" s="19" t="inlineStr"/>
      <c r="G304" s="20" t="inlineStr"/>
      <c r="H304" s="19" t="inlineStr"/>
      <c r="I304" s="21" t="inlineStr">
        <is>
          <t>Marcela Martins</t>
        </is>
      </c>
      <c r="J304" s="21" t="inlineStr">
        <is>
          <t>Superintendente de Recuperação de Crédito - Canais e Operações</t>
        </is>
      </c>
      <c r="K304" s="21" t="inlineStr">
        <is>
          <t>(11) 3684-5122</t>
        </is>
      </c>
      <c r="L304" s="21" t="inlineStr"/>
      <c r="M304" s="21" t="inlineStr"/>
      <c r="N304" s="21" t="inlineStr"/>
      <c r="O304" s="21" t="inlineStr">
        <is>
          <t>sl@bradesco.com.br</t>
        </is>
      </c>
      <c r="P304" s="21" t="inlineStr">
        <is>
          <t>Luis S</t>
        </is>
      </c>
      <c r="Q304" s="21" t="inlineStr">
        <is>
          <t>DRC - Departamento de Recuperação de Crédito - Gerente de Reestruturação de Crédito</t>
        </is>
      </c>
      <c r="R304" s="21" t="inlineStr"/>
      <c r="S304" s="21" t="inlineStr">
        <is>
          <t>sl@bradesco.com.br</t>
        </is>
      </c>
      <c r="T304" s="21" t="inlineStr">
        <is>
          <t>no work email found in Apollo</t>
        </is>
      </c>
      <c r="U304" s="22" t="n">
        <v>482000</v>
      </c>
      <c r="V304" s="23" t="inlineStr">
        <is>
          <t>B</t>
        </is>
      </c>
      <c r="W304" s="24">
        <f>IFERROR(VLOOKUP(V304,Assumptions!$A$7:$F$11,2,FALSE),0)</f>
        <v/>
      </c>
      <c r="X304" s="25">
        <f>IF(V304="A",MAX(1,IFERROR(VLOOKUP(V304,Assumptions!$A$7:$F$11,3,FALSE),3)+IFERROR(VLOOKUP(V304,Assumptions!$A$7:$F$11,4,FALSE),8)/2-MAX(0,IF(AO304="",0,YEAR(TODAY())-AO304)-IFERROR(VLOOKUP(V304,Assumptions!$A$7:$F$11,5,FALSE),1.5))),IFERROR(VLOOKUP(V304,Assumptions!$A$7:$F$11,5,FALSE),2.5)+IFERROR(VLOOKUP(V304,Assumptions!$A$7:$F$11,3,FALSE),3)+IFERROR(VLOOKUP(V304,Assumptions!$A$7:$F$11,4,FALSE),8)/2)</f>
        <v/>
      </c>
      <c r="Y304" s="22">
        <f>U304*W304/(1+Assumptions!$B$3)^X304</f>
        <v/>
      </c>
      <c r="Z304" s="26">
        <f>IF(U304=0,"",ROUND(Y304/U304*100,1))</f>
        <v/>
      </c>
      <c r="AA304" s="27">
        <f>Y304*Assumptions!$B$4</f>
        <v/>
      </c>
      <c r="AB304" s="26">
        <f>IF(U304=0,"",ROUND(AA304/U304*100,1))</f>
        <v/>
      </c>
      <c r="AC304" s="27">
        <f>Y304-AA304</f>
        <v/>
      </c>
      <c r="AD304" s="26">
        <f>IF(U304=0,"",ROUND((Y304-AA304)/U304*100,1))</f>
        <v/>
      </c>
      <c r="AE304" s="28" t="inlineStr">
        <is>
          <t>OK — totals reconciled</t>
        </is>
      </c>
      <c r="AF304" s="29" t="inlineStr">
        <is>
          <t>https://lrflideres.com.br/wp-content/plugins/download-attachments/includes/download.php?id=6273</t>
        </is>
      </c>
      <c r="AG304" s="28" t="inlineStr">
        <is>
          <t>p3 r94</t>
        </is>
      </c>
      <c r="AH304" s="28" t="inlineStr">
        <is>
          <t>p3: R$ 482.000,00</t>
        </is>
      </c>
      <c r="AI304" s="28" t="inlineStr">
        <is>
          <t>AJ list (art. 7 §2)</t>
        </is>
      </c>
      <c r="AJ304" s="28" t="inlineStr">
        <is>
          <t>2024-11-14</t>
        </is>
      </c>
      <c r="AK304" s="28" t="inlineStr">
        <is>
          <t>NONE FOUND</t>
        </is>
      </c>
      <c r="AL304" s="30" t="inlineStr">
        <is>
          <t>0074500-63.2024.8.17.2001</t>
        </is>
      </c>
      <c r="AM304" s="30" t="inlineStr">
        <is>
          <t>TJPE</t>
        </is>
      </c>
      <c r="AN304" s="30" t="inlineStr">
        <is>
          <t>ACTIVE</t>
        </is>
      </c>
      <c r="AO304" s="30" t="n">
        <v>2024</v>
      </c>
      <c r="AP304" s="30" t="inlineStr">
        <is>
          <t>live case, no plan document yet</t>
        </is>
      </c>
      <c r="AQ304" s="30" t="inlineStr">
        <is>
          <t>02.284.048/0001-02</t>
        </is>
      </c>
      <c r="AR304" s="30" t="inlineStr">
        <is>
          <t>printed on the list (read twice)</t>
        </is>
      </c>
      <c r="AS304" s="30" t="inlineStr">
        <is>
          <t>OSASCO</t>
        </is>
      </c>
      <c r="AT304" s="30" t="inlineStr">
        <is>
          <t>SP</t>
        </is>
      </c>
      <c r="AU304" s="30" t="inlineStr">
        <is>
          <t>Bancos múltiplos, com carteira comercial</t>
        </is>
      </c>
      <c r="AV304" s="30" t="inlineStr">
        <is>
          <t>DEMAIS</t>
        </is>
      </c>
      <c r="AW304" s="31" t="n">
        <v>93770000000</v>
      </c>
      <c r="AX304" s="30" t="inlineStr">
        <is>
          <t>LARGE CORP</t>
        </is>
      </c>
      <c r="AY304" s="30" t="inlineStr">
        <is>
          <t>60746948</t>
        </is>
      </c>
      <c r="AZ304" s="30" t="n">
        <v>1</v>
      </c>
      <c r="BA304" s="30" t="inlineStr">
        <is>
          <t>LIKELY_FINANCIAL_BY_NAME ROWS:p3r94</t>
        </is>
      </c>
    </row>
    <row r="305">
      <c r="A305" s="16" t="inlineStr">
        <is>
          <t>ITAU UNIBANCO S.A.</t>
        </is>
      </c>
      <c r="B305" s="17" t="n">
        <v>478222.08</v>
      </c>
      <c r="C305" s="18" t="inlineStr">
        <is>
          <t>FLAVOUR MIX IND. E REP. ALIM. E INGR. QUÍMICOS LTDA.</t>
        </is>
      </c>
      <c r="D305" s="19" t="inlineStr">
        <is>
          <t>NEW</t>
        </is>
      </c>
      <c r="E305" s="20" t="inlineStr"/>
      <c r="F305" s="19" t="inlineStr"/>
      <c r="G305" s="20" t="inlineStr"/>
      <c r="H305" s="19" t="inlineStr"/>
      <c r="I305" s="21" t="inlineStr">
        <is>
          <t>Murilo Gigliucci</t>
        </is>
      </c>
      <c r="J305" s="21" t="inlineStr">
        <is>
          <t>Superintendente de Reestruturação de Crédito</t>
        </is>
      </c>
      <c r="K305" s="21" t="inlineStr">
        <is>
          <t>(11) 3003-4828</t>
        </is>
      </c>
      <c r="L305" s="21" t="inlineStr"/>
      <c r="M305" s="21" t="inlineStr"/>
      <c r="N305" s="21" t="inlineStr">
        <is>
          <t>murilo.gigliucci@itau-unibanco.com.br</t>
        </is>
      </c>
      <c r="O305" s="21" t="inlineStr">
        <is>
          <t>pedro.ornellas-geronimo@itau-unibanco.com.br</t>
        </is>
      </c>
      <c r="P305" s="21" t="inlineStr">
        <is>
          <t>Pedro Ornellas</t>
        </is>
      </c>
      <c r="Q305" s="21" t="inlineStr">
        <is>
          <t>Superintendente de Recuperação de Crédito</t>
        </is>
      </c>
      <c r="R305" s="21" t="inlineStr"/>
      <c r="S305" s="21" t="inlineStr">
        <is>
          <t>pedro.ornellas-geronimo@itau-unibanco.com.br</t>
        </is>
      </c>
      <c r="T305" s="21" t="inlineStr">
        <is>
          <t>email verified by Apollo</t>
        </is>
      </c>
      <c r="U305" s="22" t="n">
        <v>478222.08</v>
      </c>
      <c r="V305" s="23" t="inlineStr">
        <is>
          <t>B</t>
        </is>
      </c>
      <c r="W305" s="24">
        <f>IFERROR(VLOOKUP(V305,Assumptions!$A$7:$F$11,2,FALSE),0)</f>
        <v/>
      </c>
      <c r="X305" s="25">
        <f>IF(V305="A",MAX(1,IFERROR(VLOOKUP(V305,Assumptions!$A$7:$F$11,3,FALSE),3)+IFERROR(VLOOKUP(V305,Assumptions!$A$7:$F$11,4,FALSE),8)/2-MAX(0,IF(AO305="",0,YEAR(TODAY())-AO305)-IFERROR(VLOOKUP(V305,Assumptions!$A$7:$F$11,5,FALSE),1.5))),IFERROR(VLOOKUP(V305,Assumptions!$A$7:$F$11,5,FALSE),2.5)+IFERROR(VLOOKUP(V305,Assumptions!$A$7:$F$11,3,FALSE),3)+IFERROR(VLOOKUP(V305,Assumptions!$A$7:$F$11,4,FALSE),8)/2)</f>
        <v/>
      </c>
      <c r="Y305" s="22">
        <f>U305*W305/(1+Assumptions!$B$3)^X305</f>
        <v/>
      </c>
      <c r="Z305" s="26">
        <f>IF(U305=0,"",ROUND(Y305/U305*100,1))</f>
        <v/>
      </c>
      <c r="AA305" s="27">
        <f>Y305*Assumptions!$B$4</f>
        <v/>
      </c>
      <c r="AB305" s="26">
        <f>IF(U305=0,"",ROUND(AA305/U305*100,1))</f>
        <v/>
      </c>
      <c r="AC305" s="27">
        <f>Y305-AA305</f>
        <v/>
      </c>
      <c r="AD305" s="26">
        <f>IF(U305=0,"",ROUND((Y305-AA305)/U305*100,1))</f>
        <v/>
      </c>
      <c r="AE305" s="33" t="inlineStr">
        <is>
          <t>NO TOTALS — list prints none; check page</t>
        </is>
      </c>
      <c r="AF305" s="29" t="inlineStr">
        <is>
          <t>https://ativosajce.com.br/admin/download.php?file=files/processo_documento/processo_documento13422625032025_1_.pdf&amp;nome=Relação de Credores - Art. 52º § 1º, da Lei nº 11.101/2005 - 25/02/2025</t>
        </is>
      </c>
      <c r="AG305" s="28" t="inlineStr">
        <is>
          <t>p4 r36; p4 r37</t>
        </is>
      </c>
      <c r="AH305" s="28" t="inlineStr">
        <is>
          <t>p4: R$ 237.996,72; p4: R$ 240.225,36</t>
        </is>
      </c>
      <c r="AI305" s="28" t="inlineStr">
        <is>
          <t>Unclassified list</t>
        </is>
      </c>
      <c r="AJ305" s="28" t="inlineStr">
        <is>
          <t>2025-02-28</t>
        </is>
      </c>
      <c r="AK305" s="28" t="inlineStr">
        <is>
          <t>NONE FOUND</t>
        </is>
      </c>
      <c r="AL305" s="30" t="inlineStr">
        <is>
          <t>1000119-75.2025.8.26.0354</t>
        </is>
      </c>
      <c r="AM305" s="30" t="inlineStr">
        <is>
          <t>TJSP</t>
        </is>
      </c>
      <c r="AN305" s="30" t="inlineStr">
        <is>
          <t>ACTIVE</t>
        </is>
      </c>
      <c r="AO305" s="30" t="n">
        <v>2025</v>
      </c>
      <c r="AP305" s="30" t="inlineStr">
        <is>
          <t>live case, no plan document yet</t>
        </is>
      </c>
      <c r="AQ305" s="30" t="inlineStr">
        <is>
          <t>09.357.504/0001-38</t>
        </is>
      </c>
      <c r="AR305" s="30" t="inlineStr">
        <is>
          <t>printed on the list (read twice)</t>
        </is>
      </c>
      <c r="AS305" s="30" t="inlineStr">
        <is>
          <t>SAO PAULO</t>
        </is>
      </c>
      <c r="AT305" s="30" t="inlineStr">
        <is>
          <t>SP</t>
        </is>
      </c>
      <c r="AU305" s="30" t="inlineStr">
        <is>
          <t>Bancos comerciais</t>
        </is>
      </c>
      <c r="AV305" s="30" t="inlineStr">
        <is>
          <t>DEMAIS</t>
        </is>
      </c>
      <c r="AW305" s="31" t="n">
        <v>76200000000</v>
      </c>
      <c r="AX305" s="30" t="inlineStr">
        <is>
          <t>LARGE CORP</t>
        </is>
      </c>
      <c r="AY305" s="30" t="inlineStr">
        <is>
          <t>60701190</t>
        </is>
      </c>
      <c r="AZ305" s="30" t="n">
        <v>2</v>
      </c>
      <c r="BA305" s="30" t="inlineStr">
        <is>
          <t>LIKELY_FINANCIAL_BY_NAME ROWS:p4r36,p4r37 UNRECONCILED_SOURCE</t>
        </is>
      </c>
    </row>
    <row r="306">
      <c r="A306" s="16" t="inlineStr">
        <is>
          <t>BANCO BRADESCO S.A.</t>
        </is>
      </c>
      <c r="B306" s="17" t="n">
        <v>476521.11</v>
      </c>
      <c r="C306" s="18" t="inlineStr">
        <is>
          <t>GRUPO DIVINA</t>
        </is>
      </c>
      <c r="D306" s="19" t="inlineStr">
        <is>
          <t>NEW</t>
        </is>
      </c>
      <c r="E306" s="20" t="inlineStr"/>
      <c r="F306" s="19" t="inlineStr"/>
      <c r="G306" s="20" t="inlineStr"/>
      <c r="H306" s="19" t="inlineStr"/>
      <c r="I306" s="21" t="inlineStr">
        <is>
          <t>Marcela Martins</t>
        </is>
      </c>
      <c r="J306" s="21" t="inlineStr">
        <is>
          <t>Superintendente de Recuperação de Crédito - Canais e Operações</t>
        </is>
      </c>
      <c r="K306" s="21" t="inlineStr">
        <is>
          <t>(11) 3684-5122</t>
        </is>
      </c>
      <c r="L306" s="21" t="inlineStr"/>
      <c r="M306" s="21" t="inlineStr"/>
      <c r="N306" s="21" t="inlineStr"/>
      <c r="O306" s="21" t="inlineStr">
        <is>
          <t>sl@bradesco.com.br</t>
        </is>
      </c>
      <c r="P306" s="21" t="inlineStr">
        <is>
          <t>Luis S</t>
        </is>
      </c>
      <c r="Q306" s="21" t="inlineStr">
        <is>
          <t>DRC - Departamento de Recuperação de Crédito - Gerente de Reestruturação de Crédito</t>
        </is>
      </c>
      <c r="R306" s="21" t="inlineStr"/>
      <c r="S306" s="21" t="inlineStr">
        <is>
          <t>sl@bradesco.com.br</t>
        </is>
      </c>
      <c r="T306" s="21" t="inlineStr">
        <is>
          <t>no work email found in Apollo</t>
        </is>
      </c>
      <c r="U306" s="22" t="n">
        <v>476521.11</v>
      </c>
      <c r="V306" s="23" t="inlineStr">
        <is>
          <t>B</t>
        </is>
      </c>
      <c r="W306" s="24">
        <f>IFERROR(VLOOKUP(V306,Assumptions!$A$7:$F$11,2,FALSE),0)</f>
        <v/>
      </c>
      <c r="X306" s="25">
        <f>IF(V306="A",MAX(1,IFERROR(VLOOKUP(V306,Assumptions!$A$7:$F$11,3,FALSE),3)+IFERROR(VLOOKUP(V306,Assumptions!$A$7:$F$11,4,FALSE),8)/2-MAX(0,IF(AO306="",0,YEAR(TODAY())-AO306)-IFERROR(VLOOKUP(V306,Assumptions!$A$7:$F$11,5,FALSE),1.5))),IFERROR(VLOOKUP(V306,Assumptions!$A$7:$F$11,5,FALSE),2.5)+IFERROR(VLOOKUP(V306,Assumptions!$A$7:$F$11,3,FALSE),3)+IFERROR(VLOOKUP(V306,Assumptions!$A$7:$F$11,4,FALSE),8)/2)</f>
        <v/>
      </c>
      <c r="Y306" s="22">
        <f>U306*W306/(1+Assumptions!$B$3)^X306</f>
        <v/>
      </c>
      <c r="Z306" s="26">
        <f>IF(U306=0,"",ROUND(Y306/U306*100,1))</f>
        <v/>
      </c>
      <c r="AA306" s="27">
        <f>Y306*Assumptions!$B$4</f>
        <v/>
      </c>
      <c r="AB306" s="26">
        <f>IF(U306=0,"",ROUND(AA306/U306*100,1))</f>
        <v/>
      </c>
      <c r="AC306" s="27">
        <f>Y306-AA306</f>
        <v/>
      </c>
      <c r="AD306" s="26">
        <f>IF(U306=0,"",ROUND((Y306-AA306)/U306*100,1))</f>
        <v/>
      </c>
      <c r="AE306" s="34" t="inlineStr">
        <is>
          <t>PARTIAL — class III reconciled, other classes not</t>
        </is>
      </c>
      <c r="AF306" s="29" t="inlineStr">
        <is>
          <t>https://lrflideres.com.br/wp-content/plugins/download-attachments/includes/download.php?id=6252</t>
        </is>
      </c>
      <c r="AG306" s="28" t="inlineStr">
        <is>
          <t>p2 r11; p2 r12</t>
        </is>
      </c>
      <c r="AH306" s="28" t="inlineStr">
        <is>
          <t>p2: R$ 410.546,27; p2: R$ 65.974,84</t>
        </is>
      </c>
      <c r="AI306" s="28" t="inlineStr">
        <is>
          <t>AJ list (art. 7 §2)</t>
        </is>
      </c>
      <c r="AJ306" s="28" t="inlineStr">
        <is>
          <t>2024-11-27</t>
        </is>
      </c>
      <c r="AK306" s="28" t="inlineStr">
        <is>
          <t>NONE FOUND</t>
        </is>
      </c>
      <c r="AL306" s="30" t="inlineStr">
        <is>
          <t>0000721-61.2024.8.17.2620</t>
        </is>
      </c>
      <c r="AM306" s="30" t="inlineStr">
        <is>
          <t>TJPE</t>
        </is>
      </c>
      <c r="AN306" s="30" t="inlineStr">
        <is>
          <t>ACTIVE</t>
        </is>
      </c>
      <c r="AO306" s="30" t="n">
        <v>2024</v>
      </c>
      <c r="AP306" s="30" t="inlineStr">
        <is>
          <t>live case, no plan document yet</t>
        </is>
      </c>
      <c r="AQ306" s="30" t="inlineStr">
        <is>
          <t>08.785.522/0001-58</t>
        </is>
      </c>
      <c r="AR306" s="30" t="inlineStr">
        <is>
          <t>printed on the list (read twice)</t>
        </is>
      </c>
      <c r="AS306" s="30" t="inlineStr">
        <is>
          <t>OSASCO</t>
        </is>
      </c>
      <c r="AT306" s="30" t="inlineStr">
        <is>
          <t>SP</t>
        </is>
      </c>
      <c r="AU306" s="30" t="inlineStr">
        <is>
          <t>Bancos múltiplos, com carteira comercial</t>
        </is>
      </c>
      <c r="AV306" s="30" t="inlineStr">
        <is>
          <t>DEMAIS</t>
        </is>
      </c>
      <c r="AW306" s="31" t="n">
        <v>93770000000</v>
      </c>
      <c r="AX306" s="30" t="inlineStr">
        <is>
          <t>LARGE CORP</t>
        </is>
      </c>
      <c r="AY306" s="30" t="inlineStr">
        <is>
          <t>60746948</t>
        </is>
      </c>
      <c r="AZ306" s="30" t="n">
        <v>2</v>
      </c>
      <c r="BA306" s="30" t="inlineStr">
        <is>
          <t>LIKELY_FINANCIAL_BY_NAME PARTIAL_DOC_CLASS_III_RECONCILED ROWS:p2r11,p2r12</t>
        </is>
      </c>
    </row>
    <row r="307">
      <c r="A307" s="16" t="inlineStr">
        <is>
          <t>FIRMA SECURITIZADORA S/A</t>
        </is>
      </c>
      <c r="B307" s="17" t="n">
        <v>474036.06</v>
      </c>
      <c r="C307" s="18" t="inlineStr">
        <is>
          <t>GRUPO DIVINA</t>
        </is>
      </c>
      <c r="D307" s="19" t="inlineStr">
        <is>
          <t>NEW</t>
        </is>
      </c>
      <c r="E307" s="20" t="inlineStr"/>
      <c r="F307" s="19" t="inlineStr"/>
      <c r="G307" s="20" t="inlineStr"/>
      <c r="H307" s="19" t="inlineStr"/>
      <c r="I307" s="21" t="inlineStr"/>
      <c r="J307" s="21" t="inlineStr"/>
      <c r="K307" s="21" t="inlineStr"/>
      <c r="L307" s="21" t="inlineStr"/>
      <c r="M307" s="21" t="inlineStr"/>
      <c r="N307" s="21" t="inlineStr"/>
      <c r="O307" s="21" t="inlineStr"/>
      <c r="P307" s="21" t="inlineStr"/>
      <c r="Q307" s="21" t="inlineStr"/>
      <c r="R307" s="21" t="inlineStr"/>
      <c r="S307" s="21" t="inlineStr"/>
      <c r="T307" s="21" t="inlineStr">
        <is>
          <t>no named contact found</t>
        </is>
      </c>
      <c r="U307" s="22" t="n">
        <v>474036.06</v>
      </c>
      <c r="V307" s="23" t="inlineStr">
        <is>
          <t>B</t>
        </is>
      </c>
      <c r="W307" s="24">
        <f>IFERROR(VLOOKUP(V307,Assumptions!$A$7:$F$11,2,FALSE),0)</f>
        <v/>
      </c>
      <c r="X307" s="25">
        <f>IF(V307="A",MAX(1,IFERROR(VLOOKUP(V307,Assumptions!$A$7:$F$11,3,FALSE),3)+IFERROR(VLOOKUP(V307,Assumptions!$A$7:$F$11,4,FALSE),8)/2-MAX(0,IF(AO307="",0,YEAR(TODAY())-AO307)-IFERROR(VLOOKUP(V307,Assumptions!$A$7:$F$11,5,FALSE),1.5))),IFERROR(VLOOKUP(V307,Assumptions!$A$7:$F$11,5,FALSE),2.5)+IFERROR(VLOOKUP(V307,Assumptions!$A$7:$F$11,3,FALSE),3)+IFERROR(VLOOKUP(V307,Assumptions!$A$7:$F$11,4,FALSE),8)/2)</f>
        <v/>
      </c>
      <c r="Y307" s="22">
        <f>U307*W307/(1+Assumptions!$B$3)^X307</f>
        <v/>
      </c>
      <c r="Z307" s="26">
        <f>IF(U307=0,"",ROUND(Y307/U307*100,1))</f>
        <v/>
      </c>
      <c r="AA307" s="27">
        <f>Y307*Assumptions!$B$4</f>
        <v/>
      </c>
      <c r="AB307" s="26">
        <f>IF(U307=0,"",ROUND(AA307/U307*100,1))</f>
        <v/>
      </c>
      <c r="AC307" s="27">
        <f>Y307-AA307</f>
        <v/>
      </c>
      <c r="AD307" s="26">
        <f>IF(U307=0,"",ROUND((Y307-AA307)/U307*100,1))</f>
        <v/>
      </c>
      <c r="AE307" s="34" t="inlineStr">
        <is>
          <t>PARTIAL — class III reconciled, other classes not</t>
        </is>
      </c>
      <c r="AF307" s="29" t="inlineStr">
        <is>
          <t>https://lrflideres.com.br/wp-content/plugins/download-attachments/includes/download.php?id=6252</t>
        </is>
      </c>
      <c r="AG307" s="28" t="inlineStr">
        <is>
          <t>p2 r42</t>
        </is>
      </c>
      <c r="AH307" s="28" t="inlineStr">
        <is>
          <t>p2: R$ 474.036,06</t>
        </is>
      </c>
      <c r="AI307" s="28" t="inlineStr">
        <is>
          <t>AJ list (art. 7 §2)</t>
        </is>
      </c>
      <c r="AJ307" s="28" t="inlineStr">
        <is>
          <t>2024-11-27</t>
        </is>
      </c>
      <c r="AK307" s="28" t="inlineStr">
        <is>
          <t>NONE FOUND</t>
        </is>
      </c>
      <c r="AL307" s="30" t="inlineStr">
        <is>
          <t>0000721-61.2024.8.17.2620</t>
        </is>
      </c>
      <c r="AM307" s="30" t="inlineStr">
        <is>
          <t>TJPE</t>
        </is>
      </c>
      <c r="AN307" s="30" t="inlineStr">
        <is>
          <t>ACTIVE</t>
        </is>
      </c>
      <c r="AO307" s="30" t="n">
        <v>2024</v>
      </c>
      <c r="AP307" s="30" t="inlineStr">
        <is>
          <t>live case, no plan document yet</t>
        </is>
      </c>
      <c r="AQ307" s="30" t="inlineStr">
        <is>
          <t>08.785.522/0001-58</t>
        </is>
      </c>
      <c r="AR307" s="30" t="inlineStr">
        <is>
          <t>printed on the list (read twice)</t>
        </is>
      </c>
      <c r="AS307" s="30" t="inlineStr"/>
      <c r="AT307" s="30" t="inlineStr"/>
      <c r="AU307" s="30" t="inlineStr"/>
      <c r="AV307" s="30" t="inlineStr"/>
      <c r="AW307" s="31" t="inlineStr"/>
      <c r="AX307" s="30" t="inlineStr">
        <is>
          <t>MID-MARKET</t>
        </is>
      </c>
      <c r="AY307" s="30" t="inlineStr">
        <is>
          <t>11597992</t>
        </is>
      </c>
      <c r="AZ307" s="30" t="n">
        <v>1</v>
      </c>
      <c r="BA307" s="30" t="inlineStr">
        <is>
          <t>LIKELY_FINANCIAL_BY_NAME PARTIAL_DOC_CLASS_III_RECONCILED ROWS:p2r42</t>
        </is>
      </c>
    </row>
    <row r="308">
      <c r="A308" s="16" t="inlineStr">
        <is>
          <t>BANCO BRADESCO S.A.</t>
        </is>
      </c>
      <c r="B308" s="17" t="n">
        <v>470302.13</v>
      </c>
      <c r="C308" s="18" t="inlineStr">
        <is>
          <t>Grupo Arruda (ARRUDA &amp; MELO REPRESENTACAO DE ALIMENTOS E BEBIDAS LTDA, ARRUDA &amp; MELO COMERCIO E DISTRIBUICAO DE ALIMENTOS E BEBIDAS LTDA, ARRUDA &amp; MELO COMERCIO E DISTRIBUICAO DE ALIMENTOS E BEBIDAS DA BAHIA LTDA)</t>
        </is>
      </c>
      <c r="D308" s="19" t="inlineStr">
        <is>
          <t>NEW</t>
        </is>
      </c>
      <c r="E308" s="20" t="inlineStr"/>
      <c r="F308" s="19" t="inlineStr"/>
      <c r="G308" s="20" t="inlineStr"/>
      <c r="H308" s="19" t="inlineStr"/>
      <c r="I308" s="21" t="inlineStr">
        <is>
          <t>Marcela Martins</t>
        </is>
      </c>
      <c r="J308" s="21" t="inlineStr">
        <is>
          <t>Superintendente de Recuperação de Crédito - Canais e Operações</t>
        </is>
      </c>
      <c r="K308" s="21" t="inlineStr">
        <is>
          <t>(11) 3684-5122</t>
        </is>
      </c>
      <c r="L308" s="21" t="inlineStr"/>
      <c r="M308" s="21" t="inlineStr"/>
      <c r="N308" s="21" t="inlineStr"/>
      <c r="O308" s="21" t="inlineStr">
        <is>
          <t>sl@bradesco.com.br</t>
        </is>
      </c>
      <c r="P308" s="21" t="inlineStr">
        <is>
          <t>Luis S</t>
        </is>
      </c>
      <c r="Q308" s="21" t="inlineStr">
        <is>
          <t>DRC - Departamento de Recuperação de Crédito - Gerente de Reestruturação de Crédito</t>
        </is>
      </c>
      <c r="R308" s="21" t="inlineStr"/>
      <c r="S308" s="21" t="inlineStr">
        <is>
          <t>sl@bradesco.com.br</t>
        </is>
      </c>
      <c r="T308" s="21" t="inlineStr">
        <is>
          <t>no work email found in Apollo</t>
        </is>
      </c>
      <c r="U308" s="22" t="n">
        <v>470302.13</v>
      </c>
      <c r="V308" s="23" t="inlineStr">
        <is>
          <t>B</t>
        </is>
      </c>
      <c r="W308" s="24">
        <f>IFERROR(VLOOKUP(V308,Assumptions!$A$7:$F$11,2,FALSE),0)</f>
        <v/>
      </c>
      <c r="X308" s="25">
        <f>IF(V308="A",MAX(1,IFERROR(VLOOKUP(V308,Assumptions!$A$7:$F$11,3,FALSE),3)+IFERROR(VLOOKUP(V308,Assumptions!$A$7:$F$11,4,FALSE),8)/2-MAX(0,IF(AO308="",0,YEAR(TODAY())-AO308)-IFERROR(VLOOKUP(V308,Assumptions!$A$7:$F$11,5,FALSE),1.5))),IFERROR(VLOOKUP(V308,Assumptions!$A$7:$F$11,5,FALSE),2.5)+IFERROR(VLOOKUP(V308,Assumptions!$A$7:$F$11,3,FALSE),3)+IFERROR(VLOOKUP(V308,Assumptions!$A$7:$F$11,4,FALSE),8)/2)</f>
        <v/>
      </c>
      <c r="Y308" s="22">
        <f>U308*W308/(1+Assumptions!$B$3)^X308</f>
        <v/>
      </c>
      <c r="Z308" s="26">
        <f>IF(U308=0,"",ROUND(Y308/U308*100,1))</f>
        <v/>
      </c>
      <c r="AA308" s="27">
        <f>Y308*Assumptions!$B$4</f>
        <v/>
      </c>
      <c r="AB308" s="26">
        <f>IF(U308=0,"",ROUND(AA308/U308*100,1))</f>
        <v/>
      </c>
      <c r="AC308" s="27">
        <f>Y308-AA308</f>
        <v/>
      </c>
      <c r="AD308" s="26">
        <f>IF(U308=0,"",ROUND((Y308-AA308)/U308*100,1))</f>
        <v/>
      </c>
      <c r="AE308" s="28" t="inlineStr">
        <is>
          <t>OK — totals reconciled</t>
        </is>
      </c>
      <c r="AF308" s="29" t="inlineStr">
        <is>
          <t>https://diligence.adm.br/wp-content/uploads/2025/06/Edital-1a-Lista-de-Credores.pdf</t>
        </is>
      </c>
      <c r="AG308" s="28" t="inlineStr">
        <is>
          <t>p5 r49</t>
        </is>
      </c>
      <c r="AH308" s="28" t="inlineStr">
        <is>
          <t>p5: R$ 470.302,13</t>
        </is>
      </c>
      <c r="AI308" s="28" t="inlineStr">
        <is>
          <t>Debtor list (art. 51)</t>
        </is>
      </c>
      <c r="AJ308" s="28" t="inlineStr">
        <is>
          <t>2025-06-10</t>
        </is>
      </c>
      <c r="AK308" s="28" t="inlineStr">
        <is>
          <t>NONE FOUND</t>
        </is>
      </c>
      <c r="AL308" s="30" t="inlineStr">
        <is>
          <t>0008526-45.2025.8.17.2001</t>
        </is>
      </c>
      <c r="AM308" s="30" t="inlineStr">
        <is>
          <t>TJPE</t>
        </is>
      </c>
      <c r="AN308" s="30" t="inlineStr">
        <is>
          <t>ACTIVE</t>
        </is>
      </c>
      <c r="AO308" s="30" t="n">
        <v>2025</v>
      </c>
      <c r="AP308" s="30" t="inlineStr">
        <is>
          <t>live case, no plan document yet</t>
        </is>
      </c>
      <c r="AQ308" s="30" t="inlineStr"/>
      <c r="AR308" s="30" t="inlineStr">
        <is>
          <t>printed on the list (read twice)</t>
        </is>
      </c>
      <c r="AS308" s="30" t="inlineStr">
        <is>
          <t>OSASCO</t>
        </is>
      </c>
      <c r="AT308" s="30" t="inlineStr">
        <is>
          <t>SP</t>
        </is>
      </c>
      <c r="AU308" s="30" t="inlineStr">
        <is>
          <t>Bancos múltiplos, com carteira comercial</t>
        </is>
      </c>
      <c r="AV308" s="30" t="inlineStr">
        <is>
          <t>DEMAIS</t>
        </is>
      </c>
      <c r="AW308" s="31" t="n">
        <v>93770000000</v>
      </c>
      <c r="AX308" s="30" t="inlineStr">
        <is>
          <t>LARGE CORP</t>
        </is>
      </c>
      <c r="AY308" s="30" t="inlineStr">
        <is>
          <t>60746948</t>
        </is>
      </c>
      <c r="AZ308" s="30" t="n">
        <v>1</v>
      </c>
      <c r="BA308" s="30" t="inlineStr">
        <is>
          <t>LIKELY_FINANCIAL_BY_NAME ROWS:p5r49</t>
        </is>
      </c>
    </row>
    <row r="309">
      <c r="A309" s="16" t="inlineStr">
        <is>
          <t>Sigma Credit Fundo De Investimento Em Direitos Creditorios</t>
        </is>
      </c>
      <c r="B309" s="17" t="n">
        <v>454617.6</v>
      </c>
      <c r="C309" s="18" t="inlineStr">
        <is>
          <t>Grupo Agromeal</t>
        </is>
      </c>
      <c r="D309" s="19" t="inlineStr">
        <is>
          <t>NEW</t>
        </is>
      </c>
      <c r="E309" s="20" t="inlineStr"/>
      <c r="F309" s="19" t="inlineStr"/>
      <c r="G309" s="20" t="inlineStr"/>
      <c r="H309" s="19" t="inlineStr"/>
      <c r="I309" s="21" t="inlineStr"/>
      <c r="J309" s="21" t="inlineStr"/>
      <c r="K309" s="21" t="inlineStr"/>
      <c r="L309" s="21" t="inlineStr"/>
      <c r="M309" s="21" t="inlineStr"/>
      <c r="N309" s="21" t="inlineStr"/>
      <c r="O309" s="21" t="inlineStr"/>
      <c r="P309" s="21" t="inlineStr"/>
      <c r="Q309" s="21" t="inlineStr"/>
      <c r="R309" s="21" t="inlineStr"/>
      <c r="S309" s="21" t="inlineStr"/>
      <c r="T309" s="21" t="inlineStr">
        <is>
          <t>no named contact found</t>
        </is>
      </c>
      <c r="U309" s="22" t="n">
        <v>454617.6</v>
      </c>
      <c r="V309" s="23" t="inlineStr">
        <is>
          <t>B</t>
        </is>
      </c>
      <c r="W309" s="24">
        <f>IFERROR(VLOOKUP(V309,Assumptions!$A$7:$F$11,2,FALSE),0)</f>
        <v/>
      </c>
      <c r="X309" s="25">
        <f>IF(V309="A",MAX(1,IFERROR(VLOOKUP(V309,Assumptions!$A$7:$F$11,3,FALSE),3)+IFERROR(VLOOKUP(V309,Assumptions!$A$7:$F$11,4,FALSE),8)/2-MAX(0,IF(AO309="",0,YEAR(TODAY())-AO309)-IFERROR(VLOOKUP(V309,Assumptions!$A$7:$F$11,5,FALSE),1.5))),IFERROR(VLOOKUP(V309,Assumptions!$A$7:$F$11,5,FALSE),2.5)+IFERROR(VLOOKUP(V309,Assumptions!$A$7:$F$11,3,FALSE),3)+IFERROR(VLOOKUP(V309,Assumptions!$A$7:$F$11,4,FALSE),8)/2)</f>
        <v/>
      </c>
      <c r="Y309" s="22">
        <f>U309*W309/(1+Assumptions!$B$3)^X309</f>
        <v/>
      </c>
      <c r="Z309" s="26">
        <f>IF(U309=0,"",ROUND(Y309/U309*100,1))</f>
        <v/>
      </c>
      <c r="AA309" s="27">
        <f>Y309*Assumptions!$B$4</f>
        <v/>
      </c>
      <c r="AB309" s="26">
        <f>IF(U309=0,"",ROUND(AA309/U309*100,1))</f>
        <v/>
      </c>
      <c r="AC309" s="27">
        <f>Y309-AA309</f>
        <v/>
      </c>
      <c r="AD309" s="26">
        <f>IF(U309=0,"",ROUND((Y309-AA309)/U309*100,1))</f>
        <v/>
      </c>
      <c r="AE309" s="34" t="inlineStr">
        <is>
          <t>PARTIAL — class III reconciled, other classes not</t>
        </is>
      </c>
      <c r="AF309" s="29" t="inlineStr">
        <is>
          <t>https://marquesadmjudicial.com.br/sgc/download.php?file=files/processo_documento/processo_documento17040729052024_1_.pdf&amp;nome=Relação Nominal de Credores AJ-Sintética</t>
        </is>
      </c>
      <c r="AG309" s="28" t="inlineStr">
        <is>
          <t>p13 r5</t>
        </is>
      </c>
      <c r="AH309" s="28" t="inlineStr">
        <is>
          <t>p13: R$ 454.617,60</t>
        </is>
      </c>
      <c r="AI309" s="28" t="inlineStr">
        <is>
          <t>AJ list (art. 7 §2)</t>
        </is>
      </c>
      <c r="AJ309" s="28" t="inlineStr">
        <is>
          <t>2024-05-27</t>
        </is>
      </c>
      <c r="AK309" s="28" t="inlineStr">
        <is>
          <t>NONE FOUND</t>
        </is>
      </c>
      <c r="AL309" s="30" t="inlineStr">
        <is>
          <t>0003971-03.2023.8.16.0119</t>
        </is>
      </c>
      <c r="AM309" s="30" t="inlineStr">
        <is>
          <t>TJPR</t>
        </is>
      </c>
      <c r="AN309" s="30" t="inlineStr">
        <is>
          <t>ACTIVE</t>
        </is>
      </c>
      <c r="AO309" s="30" t="n">
        <v>2023</v>
      </c>
      <c r="AP309" s="30" t="inlineStr">
        <is>
          <t>live case, no plan document yet</t>
        </is>
      </c>
      <c r="AQ309" s="30" t="inlineStr">
        <is>
          <t>11.624.776/0001-07</t>
        </is>
      </c>
      <c r="AR309" s="30" t="inlineStr">
        <is>
          <t>printed on the list (read twice)</t>
        </is>
      </c>
      <c r="AS309" s="30" t="inlineStr"/>
      <c r="AT309" s="30" t="inlineStr"/>
      <c r="AU309" s="30" t="inlineStr"/>
      <c r="AV309" s="30" t="inlineStr"/>
      <c r="AW309" s="31" t="inlineStr"/>
      <c r="AX309" s="30" t="inlineStr">
        <is>
          <t>MID-MARKET</t>
        </is>
      </c>
      <c r="AY309" s="30" t="inlineStr">
        <is>
          <t>29236426</t>
        </is>
      </c>
      <c r="AZ309" s="30" t="n">
        <v>1</v>
      </c>
      <c r="BA309" s="30" t="inlineStr">
        <is>
          <t>LIKELY_FINANCIAL_BY_NAME PARTIAL_DOC_CLASS_III_RECONCILED ROWS:p13r5</t>
        </is>
      </c>
    </row>
    <row r="310">
      <c r="A310" s="16" t="inlineStr">
        <is>
          <t>COOPERATIVA DE CREDITO UNICRED DESBRAVADORA LTDA - UNICRED DESBRAVADORA</t>
        </is>
      </c>
      <c r="B310" s="17" t="n">
        <v>438524.11</v>
      </c>
      <c r="C310" s="18" t="inlineStr">
        <is>
          <t>Alto Uruguai Indústria e Comércio de Óleos Ltda</t>
        </is>
      </c>
      <c r="D310" s="19" t="inlineStr">
        <is>
          <t>NEW</t>
        </is>
      </c>
      <c r="E310" s="20" t="inlineStr"/>
      <c r="F310" s="19" t="inlineStr"/>
      <c r="G310" s="20" t="inlineStr"/>
      <c r="H310" s="19" t="inlineStr"/>
      <c r="I310" s="21" t="inlineStr">
        <is>
          <t>Mileide Medeiros</t>
        </is>
      </c>
      <c r="J310" s="21" t="inlineStr">
        <is>
          <t>Gerente de Negócios na Unicred Desbravadora</t>
        </is>
      </c>
      <c r="K310" s="21" t="inlineStr"/>
      <c r="L310" s="21" t="inlineStr"/>
      <c r="M310" s="21" t="inlineStr"/>
      <c r="N310" s="21" t="inlineStr">
        <is>
          <t>mileide.klitzke@unicred.com.br</t>
        </is>
      </c>
      <c r="O310" s="21" t="inlineStr">
        <is>
          <t>volnei.borsatto@unicred.com.br</t>
        </is>
      </c>
      <c r="P310" s="21" t="inlineStr">
        <is>
          <t>Volnei Borsatto</t>
        </is>
      </c>
      <c r="Q310" s="21" t="inlineStr">
        <is>
          <t>Gerente Agencia Unicred Desbravadora</t>
        </is>
      </c>
      <c r="R310" s="21" t="inlineStr"/>
      <c r="S310" s="21" t="inlineStr">
        <is>
          <t>volnei.borsatto@unicred.com.br</t>
        </is>
      </c>
      <c r="T310" s="21" t="inlineStr">
        <is>
          <t>DM verified email; VERIFY org: Unicred - Núcleo Conexão; email verified by Apollo</t>
        </is>
      </c>
      <c r="U310" s="22" t="n">
        <v>438524.11</v>
      </c>
      <c r="V310" s="23" t="inlineStr">
        <is>
          <t>B</t>
        </is>
      </c>
      <c r="W310" s="24">
        <f>IFERROR(VLOOKUP(V310,Assumptions!$A$7:$F$11,2,FALSE),0)</f>
        <v/>
      </c>
      <c r="X310" s="25">
        <f>IF(V310="A",MAX(1,IFERROR(VLOOKUP(V310,Assumptions!$A$7:$F$11,3,FALSE),3)+IFERROR(VLOOKUP(V310,Assumptions!$A$7:$F$11,4,FALSE),8)/2-MAX(0,IF(AO310="",0,YEAR(TODAY())-AO310)-IFERROR(VLOOKUP(V310,Assumptions!$A$7:$F$11,5,FALSE),1.5))),IFERROR(VLOOKUP(V310,Assumptions!$A$7:$F$11,5,FALSE),2.5)+IFERROR(VLOOKUP(V310,Assumptions!$A$7:$F$11,3,FALSE),3)+IFERROR(VLOOKUP(V310,Assumptions!$A$7:$F$11,4,FALSE),8)/2)</f>
        <v/>
      </c>
      <c r="Y310" s="22">
        <f>U310*W310/(1+Assumptions!$B$3)^X310</f>
        <v/>
      </c>
      <c r="Z310" s="26">
        <f>IF(U310=0,"",ROUND(Y310/U310*100,1))</f>
        <v/>
      </c>
      <c r="AA310" s="27">
        <f>Y310*Assumptions!$B$4</f>
        <v/>
      </c>
      <c r="AB310" s="26">
        <f>IF(U310=0,"",ROUND(AA310/U310*100,1))</f>
        <v/>
      </c>
      <c r="AC310" s="27">
        <f>Y310-AA310</f>
        <v/>
      </c>
      <c r="AD310" s="26">
        <f>IF(U310=0,"",ROUND((Y310-AA310)/U310*100,1))</f>
        <v/>
      </c>
      <c r="AE310" s="28" t="inlineStr">
        <is>
          <t>OK — totals reconciled</t>
        </is>
      </c>
      <c r="AF310" s="29" t="inlineStr">
        <is>
          <t>https://ajruiz.com.br/sites/default/files/public/arquivos-processos/2026-06/alto_uruguai_qgc_junho.2026.pdf</t>
        </is>
      </c>
      <c r="AG310" s="28" t="inlineStr">
        <is>
          <t>p1 r20</t>
        </is>
      </c>
      <c r="AH310" s="28" t="inlineStr">
        <is>
          <t>p1: R$ 438.524,11</t>
        </is>
      </c>
      <c r="AI310" s="28" t="inlineStr">
        <is>
          <t>Unclassified list</t>
        </is>
      </c>
      <c r="AJ310" s="28" t="inlineStr"/>
      <c r="AK310" s="28" t="inlineStr">
        <is>
          <t>NONE FOUND</t>
        </is>
      </c>
      <c r="AL310" s="30" t="inlineStr">
        <is>
          <t>5012743-51.2023.8.24.0019</t>
        </is>
      </c>
      <c r="AM310" s="30" t="inlineStr">
        <is>
          <t>TJSC</t>
        </is>
      </c>
      <c r="AN310" s="30" t="inlineStr">
        <is>
          <t>ACTIVE</t>
        </is>
      </c>
      <c r="AO310" s="30" t="n">
        <v>2023</v>
      </c>
      <c r="AP310" s="30" t="inlineStr">
        <is>
          <t>live case, no plan document yet</t>
        </is>
      </c>
      <c r="AQ310" s="30" t="inlineStr"/>
      <c r="AR310" s="30" t="inlineStr">
        <is>
          <t>printed on the list (read twice)</t>
        </is>
      </c>
      <c r="AS310" s="30" t="inlineStr"/>
      <c r="AT310" s="30" t="inlineStr"/>
      <c r="AU310" s="30" t="inlineStr"/>
      <c r="AV310" s="30" t="inlineStr"/>
      <c r="AW310" s="31" t="inlineStr"/>
      <c r="AX310" s="30" t="inlineStr">
        <is>
          <t>MID-MARKET</t>
        </is>
      </c>
      <c r="AY310" s="30" t="inlineStr">
        <is>
          <t>01039011</t>
        </is>
      </c>
      <c r="AZ310" s="30" t="n">
        <v>1</v>
      </c>
      <c r="BA310" s="30" t="inlineStr">
        <is>
          <t>LIKELY_FINANCIAL_BY_NAME ROWS:p1r20 VALUE_COL:Valor_Do_Crédito</t>
        </is>
      </c>
    </row>
    <row r="311">
      <c r="A311" s="16" t="inlineStr">
        <is>
          <t>3F CAPITAL SECURITIZADORA S/A</t>
        </is>
      </c>
      <c r="B311" s="17" t="n">
        <v>436694.72</v>
      </c>
      <c r="C311" s="18" t="inlineStr">
        <is>
          <t>GRUPO DIVINA</t>
        </is>
      </c>
      <c r="D311" s="19" t="inlineStr">
        <is>
          <t>NEW</t>
        </is>
      </c>
      <c r="E311" s="20" t="inlineStr"/>
      <c r="F311" s="19" t="inlineStr"/>
      <c r="G311" s="20" t="inlineStr"/>
      <c r="H311" s="19" t="inlineStr"/>
      <c r="I311" s="21" t="inlineStr">
        <is>
          <t>Flavio Quindere</t>
        </is>
      </c>
      <c r="J311" s="21" t="inlineStr">
        <is>
          <t>Diretor Financeiro e de Crédito - 3F Capital Securitizadora S/A</t>
        </is>
      </c>
      <c r="K311" s="21" t="inlineStr"/>
      <c r="L311" s="21" t="inlineStr"/>
      <c r="M311" s="21" t="inlineStr"/>
      <c r="N311" s="21" t="inlineStr">
        <is>
          <t>flavio@3fmulti.com.br</t>
        </is>
      </c>
      <c r="O311" s="21" t="inlineStr">
        <is>
          <t>fernando@3fmulti.com.br</t>
        </is>
      </c>
      <c r="P311" s="21" t="inlineStr">
        <is>
          <t>Fernando Barbosa</t>
        </is>
      </c>
      <c r="Q311" s="21" t="inlineStr">
        <is>
          <t>Diretor Administrativo / Comercial - 3F Capital Securitizadora S/A</t>
        </is>
      </c>
      <c r="R311" s="21" t="inlineStr"/>
      <c r="S311" s="21" t="inlineStr">
        <is>
          <t>fernando@3fmulti.com.br</t>
        </is>
      </c>
      <c r="T311" s="21" t="inlineStr">
        <is>
          <t>email verified by Apollo</t>
        </is>
      </c>
      <c r="U311" s="22" t="n">
        <v>436694.72</v>
      </c>
      <c r="V311" s="23" t="inlineStr">
        <is>
          <t>B</t>
        </is>
      </c>
      <c r="W311" s="24">
        <f>IFERROR(VLOOKUP(V311,Assumptions!$A$7:$F$11,2,FALSE),0)</f>
        <v/>
      </c>
      <c r="X311" s="25">
        <f>IF(V311="A",MAX(1,IFERROR(VLOOKUP(V311,Assumptions!$A$7:$F$11,3,FALSE),3)+IFERROR(VLOOKUP(V311,Assumptions!$A$7:$F$11,4,FALSE),8)/2-MAX(0,IF(AO311="",0,YEAR(TODAY())-AO311)-IFERROR(VLOOKUP(V311,Assumptions!$A$7:$F$11,5,FALSE),1.5))),IFERROR(VLOOKUP(V311,Assumptions!$A$7:$F$11,5,FALSE),2.5)+IFERROR(VLOOKUP(V311,Assumptions!$A$7:$F$11,3,FALSE),3)+IFERROR(VLOOKUP(V311,Assumptions!$A$7:$F$11,4,FALSE),8)/2)</f>
        <v/>
      </c>
      <c r="Y311" s="22">
        <f>U311*W311/(1+Assumptions!$B$3)^X311</f>
        <v/>
      </c>
      <c r="Z311" s="26">
        <f>IF(U311=0,"",ROUND(Y311/U311*100,1))</f>
        <v/>
      </c>
      <c r="AA311" s="27">
        <f>Y311*Assumptions!$B$4</f>
        <v/>
      </c>
      <c r="AB311" s="26">
        <f>IF(U311=0,"",ROUND(AA311/U311*100,1))</f>
        <v/>
      </c>
      <c r="AC311" s="27">
        <f>Y311-AA311</f>
        <v/>
      </c>
      <c r="AD311" s="26">
        <f>IF(U311=0,"",ROUND((Y311-AA311)/U311*100,1))</f>
        <v/>
      </c>
      <c r="AE311" s="34" t="inlineStr">
        <is>
          <t>PARTIAL — class III reconciled, other classes not</t>
        </is>
      </c>
      <c r="AF311" s="29" t="inlineStr">
        <is>
          <t>https://lrflideres.com.br/wp-content/plugins/download-attachments/includes/download.php?id=6252</t>
        </is>
      </c>
      <c r="AG311" s="28" t="inlineStr">
        <is>
          <t>p2 r3</t>
        </is>
      </c>
      <c r="AH311" s="28" t="inlineStr">
        <is>
          <t>p2: R$ 436.694,72</t>
        </is>
      </c>
      <c r="AI311" s="28" t="inlineStr">
        <is>
          <t>AJ list (art. 7 §2)</t>
        </is>
      </c>
      <c r="AJ311" s="28" t="inlineStr">
        <is>
          <t>2024-11-27</t>
        </is>
      </c>
      <c r="AK311" s="28" t="inlineStr">
        <is>
          <t>NONE FOUND</t>
        </is>
      </c>
      <c r="AL311" s="30" t="inlineStr">
        <is>
          <t>0000721-61.2024.8.17.2620</t>
        </is>
      </c>
      <c r="AM311" s="30" t="inlineStr">
        <is>
          <t>TJPE</t>
        </is>
      </c>
      <c r="AN311" s="30" t="inlineStr">
        <is>
          <t>ACTIVE</t>
        </is>
      </c>
      <c r="AO311" s="30" t="n">
        <v>2024</v>
      </c>
      <c r="AP311" s="30" t="inlineStr">
        <is>
          <t>live case, no plan document yet</t>
        </is>
      </c>
      <c r="AQ311" s="30" t="inlineStr">
        <is>
          <t>08.785.522/0001-58</t>
        </is>
      </c>
      <c r="AR311" s="30" t="inlineStr">
        <is>
          <t>printed on the list (read twice)</t>
        </is>
      </c>
      <c r="AS311" s="30" t="inlineStr"/>
      <c r="AT311" s="30" t="inlineStr"/>
      <c r="AU311" s="30" t="inlineStr"/>
      <c r="AV311" s="30" t="inlineStr"/>
      <c r="AW311" s="31" t="inlineStr"/>
      <c r="AX311" s="30" t="inlineStr">
        <is>
          <t>MID-MARKET</t>
        </is>
      </c>
      <c r="AY311" s="30" t="inlineStr">
        <is>
          <t>43552951</t>
        </is>
      </c>
      <c r="AZ311" s="30" t="n">
        <v>1</v>
      </c>
      <c r="BA311" s="30" t="inlineStr">
        <is>
          <t>LIKELY_FINANCIAL_BY_NAME PARTIAL_DOC_CLASS_III_RECONCILED ROWS:p2r3</t>
        </is>
      </c>
    </row>
    <row r="312">
      <c r="A312" s="16" t="inlineStr">
        <is>
          <t>UNIPRIME NORTE DO PARANA - COOPERATIVA DE CREDITO LTDA</t>
        </is>
      </c>
      <c r="B312" s="17" t="n">
        <v>436176.52</v>
      </c>
      <c r="C312" s="18" t="inlineStr">
        <is>
          <t>FLAVOUR MIX IND. E REP. ALIM. E INGR. QUÍMICOS LTDA.</t>
        </is>
      </c>
      <c r="D312" s="19" t="inlineStr">
        <is>
          <t>NEW</t>
        </is>
      </c>
      <c r="E312" s="20" t="inlineStr"/>
      <c r="F312" s="19" t="inlineStr"/>
      <c r="G312" s="20" t="inlineStr"/>
      <c r="H312" s="19" t="inlineStr"/>
      <c r="I312" s="21" t="inlineStr">
        <is>
          <t>Tiago Cheira</t>
        </is>
      </c>
      <c r="J312" s="21" t="inlineStr">
        <is>
          <t>Credit Manager</t>
        </is>
      </c>
      <c r="K312" s="21" t="inlineStr"/>
      <c r="L312" s="21" t="inlineStr"/>
      <c r="M312" s="21" t="inlineStr"/>
      <c r="N312" s="21" t="inlineStr"/>
      <c r="O312" s="21" t="inlineStr">
        <is>
          <t>diogo.4401@uniprimeiguacu.com.br</t>
        </is>
      </c>
      <c r="P312" s="21" t="inlineStr">
        <is>
          <t>Diogo Zulpo</t>
        </is>
      </c>
      <c r="Q312" s="21" t="inlineStr">
        <is>
          <t>Supervisor de Recuperação de Crédito</t>
        </is>
      </c>
      <c r="R312" s="21" t="inlineStr"/>
      <c r="S312" s="21" t="inlineStr">
        <is>
          <t>diogo.4401@uniprimeiguacu.com.br</t>
        </is>
      </c>
      <c r="T312" s="21" t="inlineStr">
        <is>
          <t>DM VERIFY org: Uniprime Central Nacional; no work email found in Apollo</t>
        </is>
      </c>
      <c r="U312" s="22" t="n">
        <v>436176.52</v>
      </c>
      <c r="V312" s="23" t="inlineStr">
        <is>
          <t>B</t>
        </is>
      </c>
      <c r="W312" s="24">
        <f>IFERROR(VLOOKUP(V312,Assumptions!$A$7:$F$11,2,FALSE),0)</f>
        <v/>
      </c>
      <c r="X312" s="25">
        <f>IF(V312="A",MAX(1,IFERROR(VLOOKUP(V312,Assumptions!$A$7:$F$11,3,FALSE),3)+IFERROR(VLOOKUP(V312,Assumptions!$A$7:$F$11,4,FALSE),8)/2-MAX(0,IF(AO312="",0,YEAR(TODAY())-AO312)-IFERROR(VLOOKUP(V312,Assumptions!$A$7:$F$11,5,FALSE),1.5))),IFERROR(VLOOKUP(V312,Assumptions!$A$7:$F$11,5,FALSE),2.5)+IFERROR(VLOOKUP(V312,Assumptions!$A$7:$F$11,3,FALSE),3)+IFERROR(VLOOKUP(V312,Assumptions!$A$7:$F$11,4,FALSE),8)/2)</f>
        <v/>
      </c>
      <c r="Y312" s="22">
        <f>U312*W312/(1+Assumptions!$B$3)^X312</f>
        <v/>
      </c>
      <c r="Z312" s="26">
        <f>IF(U312=0,"",ROUND(Y312/U312*100,1))</f>
        <v/>
      </c>
      <c r="AA312" s="27">
        <f>Y312*Assumptions!$B$4</f>
        <v/>
      </c>
      <c r="AB312" s="26">
        <f>IF(U312=0,"",ROUND(AA312/U312*100,1))</f>
        <v/>
      </c>
      <c r="AC312" s="27">
        <f>Y312-AA312</f>
        <v/>
      </c>
      <c r="AD312" s="26">
        <f>IF(U312=0,"",ROUND((Y312-AA312)/U312*100,1))</f>
        <v/>
      </c>
      <c r="AE312" s="33" t="inlineStr">
        <is>
          <t>NO TOTALS — list prints none; check page</t>
        </is>
      </c>
      <c r="AF312" s="29" t="inlineStr">
        <is>
          <t>https://ativosajce.com.br/admin/download.php?file=files/processo_documento/processo_documento13422625032025_1_.pdf&amp;nome=Relação de Credores - Art. 52º § 1º, da Lei nº 11.101/2005 - 25/02/2025</t>
        </is>
      </c>
      <c r="AG312" s="28" t="inlineStr">
        <is>
          <t>p5 r45</t>
        </is>
      </c>
      <c r="AH312" s="28" t="inlineStr">
        <is>
          <t>p5: R$ 436.176,52</t>
        </is>
      </c>
      <c r="AI312" s="28" t="inlineStr">
        <is>
          <t>Unclassified list</t>
        </is>
      </c>
      <c r="AJ312" s="28" t="inlineStr">
        <is>
          <t>2025-02-28</t>
        </is>
      </c>
      <c r="AK312" s="28" t="inlineStr">
        <is>
          <t>NONE FOUND</t>
        </is>
      </c>
      <c r="AL312" s="30" t="inlineStr">
        <is>
          <t>1000119-75.2025.8.26.0354</t>
        </is>
      </c>
      <c r="AM312" s="30" t="inlineStr">
        <is>
          <t>TJSP</t>
        </is>
      </c>
      <c r="AN312" s="30" t="inlineStr">
        <is>
          <t>ACTIVE</t>
        </is>
      </c>
      <c r="AO312" s="30" t="n">
        <v>2025</v>
      </c>
      <c r="AP312" s="30" t="inlineStr">
        <is>
          <t>live case, no plan document yet</t>
        </is>
      </c>
      <c r="AQ312" s="30" t="inlineStr">
        <is>
          <t>09.357.504/0001-38</t>
        </is>
      </c>
      <c r="AR312" s="30" t="inlineStr">
        <is>
          <t>printed on the list (read twice)</t>
        </is>
      </c>
      <c r="AS312" s="30" t="inlineStr"/>
      <c r="AT312" s="30" t="inlineStr"/>
      <c r="AU312" s="30" t="inlineStr"/>
      <c r="AV312" s="30" t="inlineStr"/>
      <c r="AW312" s="31" t="inlineStr"/>
      <c r="AX312" s="30" t="inlineStr">
        <is>
          <t>MID-MARKET</t>
        </is>
      </c>
      <c r="AY312" s="30" t="inlineStr">
        <is>
          <t>02398976</t>
        </is>
      </c>
      <c r="AZ312" s="30" t="n">
        <v>1</v>
      </c>
      <c r="BA312" s="30" t="inlineStr">
        <is>
          <t>LIKELY_FINANCIAL_BY_NAME ROWS:p5r45 UNRECONCILED_SOURCE</t>
        </is>
      </c>
    </row>
    <row r="313">
      <c r="A313" s="16" t="inlineStr">
        <is>
          <t>BANCO RURAL S.A - EM LIQUIDACAO EXTRAJUDICIAL</t>
        </is>
      </c>
      <c r="B313" s="17" t="n">
        <v>3094127.99</v>
      </c>
      <c r="C313" s="18" t="inlineStr">
        <is>
          <t>COPA FRUIT IMPORTAÇÃO E EXPORTAÇÃO S.A</t>
        </is>
      </c>
      <c r="D313" s="19" t="inlineStr">
        <is>
          <t>NEW</t>
        </is>
      </c>
      <c r="E313" s="20" t="inlineStr"/>
      <c r="F313" s="19" t="inlineStr"/>
      <c r="G313" s="20" t="inlineStr"/>
      <c r="H313" s="19" t="inlineStr"/>
      <c r="I313" s="21" t="inlineStr">
        <is>
          <t>Marcelo Candido</t>
        </is>
      </c>
      <c r="J313" s="21" t="inlineStr">
        <is>
          <t>Especialista em Recuperação de Crédito</t>
        </is>
      </c>
      <c r="K313" s="21" t="inlineStr">
        <is>
          <t>(31) 2126-5207</t>
        </is>
      </c>
      <c r="L313" s="21" t="inlineStr"/>
      <c r="M313" s="21" t="inlineStr"/>
      <c r="N313" s="21" t="inlineStr"/>
      <c r="O313" s="21" t="inlineStr"/>
      <c r="P313" s="21" t="inlineStr"/>
      <c r="Q313" s="21" t="inlineStr"/>
      <c r="R313" s="21" t="inlineStr"/>
      <c r="S313" s="21" t="inlineStr"/>
      <c r="T313" s="21" t="inlineStr">
        <is>
          <t>no work email found in Apollo</t>
        </is>
      </c>
      <c r="U313" s="22" t="n">
        <v>3094127.99</v>
      </c>
      <c r="V313" s="39" t="inlineStr">
        <is>
          <t>D</t>
        </is>
      </c>
      <c r="W313" s="24">
        <f>IFERROR(VLOOKUP(V313,Assumptions!$A$7:$F$11,2,FALSE),0)</f>
        <v/>
      </c>
      <c r="X313" s="25">
        <f>IF(V313="A",MAX(1,IFERROR(VLOOKUP(V313,Assumptions!$A$7:$F$11,3,FALSE),3)+IFERROR(VLOOKUP(V313,Assumptions!$A$7:$F$11,4,FALSE),8)/2-MAX(0,IF(AO313="",0,YEAR(TODAY())-AO313)-IFERROR(VLOOKUP(V313,Assumptions!$A$7:$F$11,5,FALSE),1.5))),IFERROR(VLOOKUP(V313,Assumptions!$A$7:$F$11,5,FALSE),2.5)+IFERROR(VLOOKUP(V313,Assumptions!$A$7:$F$11,3,FALSE),3)+IFERROR(VLOOKUP(V313,Assumptions!$A$7:$F$11,4,FALSE),8)/2)</f>
        <v/>
      </c>
      <c r="Y313" s="22">
        <f>U313*W313/(1+Assumptions!$B$3)^X313</f>
        <v/>
      </c>
      <c r="Z313" s="26">
        <f>IF(U313=0,"",ROUND(Y313/U313*100,1))</f>
        <v/>
      </c>
      <c r="AA313" s="27">
        <f>Y313*Assumptions!$B$4</f>
        <v/>
      </c>
      <c r="AB313" s="26">
        <f>IF(U313=0,"",ROUND(AA313/U313*100,1))</f>
        <v/>
      </c>
      <c r="AC313" s="27">
        <f>Y313-AA313</f>
        <v/>
      </c>
      <c r="AD313" s="26">
        <f>IF(U313=0,"",ROUND((Y313-AA313)/U313*100,1))</f>
        <v/>
      </c>
      <c r="AE313" s="33" t="inlineStr">
        <is>
          <t>NO TOTALS — list prints none; check page</t>
        </is>
      </c>
      <c r="AF313" s="29" t="inlineStr">
        <is>
          <t>https://diligence.adm.br/wp-content/plugins/download-attachments/includes/download.php?id=4579</t>
        </is>
      </c>
      <c r="AG313" s="28" t="inlineStr">
        <is>
          <t>p8 r1</t>
        </is>
      </c>
      <c r="AH313" s="28" t="inlineStr">
        <is>
          <t>p8: R$ 3.094.127,99</t>
        </is>
      </c>
      <c r="AI313" s="28" t="inlineStr">
        <is>
          <t>AJ list (art. 7 §2)</t>
        </is>
      </c>
      <c r="AJ313" s="28" t="inlineStr">
        <is>
          <t>2024-06-11</t>
        </is>
      </c>
      <c r="AK313" s="28" t="inlineStr">
        <is>
          <t>NONE FOUND</t>
        </is>
      </c>
      <c r="AL313" s="30" t="inlineStr">
        <is>
          <t>0032731-52.2010.8.17.0001</t>
        </is>
      </c>
      <c r="AM313" s="30" t="inlineStr">
        <is>
          <t>TJPE</t>
        </is>
      </c>
      <c r="AN313" s="30" t="inlineStr"/>
      <c r="AO313" s="30" t="n">
        <v>2010</v>
      </c>
      <c r="AP313" s="30" t="inlineStr">
        <is>
          <t>document is a falência (bankruptcy) list</t>
        </is>
      </c>
      <c r="AQ313" s="30" t="inlineStr">
        <is>
          <t>01.356.809/0001-13</t>
        </is>
      </c>
      <c r="AR313" s="30" t="inlineStr">
        <is>
          <t>printed on the list (read twice)</t>
        </is>
      </c>
      <c r="AS313" s="30" t="inlineStr">
        <is>
          <t>BELO HORIZONTE</t>
        </is>
      </c>
      <c r="AT313" s="30" t="inlineStr">
        <is>
          <t>MG</t>
        </is>
      </c>
      <c r="AU313" s="30" t="inlineStr">
        <is>
          <t>Bancos múltiplos, com carteira comercial</t>
        </is>
      </c>
      <c r="AV313" s="30" t="inlineStr">
        <is>
          <t>DEMAIS</t>
        </is>
      </c>
      <c r="AW313" s="31" t="n">
        <v>540744200</v>
      </c>
      <c r="AX313" s="30" t="inlineStr">
        <is>
          <t>MID-MARKET</t>
        </is>
      </c>
      <c r="AY313" s="30" t="inlineStr">
        <is>
          <t>33124959</t>
        </is>
      </c>
      <c r="AZ313" s="30" t="n">
        <v>1</v>
      </c>
      <c r="BA313" s="30" t="inlineStr">
        <is>
          <t>LIKELY_FINANCIAL_BY_NAME ROWS:p8r1 UNRECONCILED_SOURCE VALUE_COL:Crédito_1ª_Lista</t>
        </is>
      </c>
    </row>
    <row r="314">
      <c r="A314" s="16" t="inlineStr">
        <is>
          <t>DLR CAPITAL SECURITIZADORA S.A (</t>
        </is>
      </c>
      <c r="B314" s="17" t="n">
        <v>1647641.77</v>
      </c>
      <c r="C314" s="18" t="inlineStr">
        <is>
          <t>VECTOR INDÚSTRIA DE PRODUTOS METALÚRGICOS LTDA.</t>
        </is>
      </c>
      <c r="D314" s="19" t="inlineStr">
        <is>
          <t>NEW</t>
        </is>
      </c>
      <c r="E314" s="20" t="inlineStr"/>
      <c r="F314" s="19" t="inlineStr"/>
      <c r="G314" s="20" t="inlineStr"/>
      <c r="H314" s="19" t="inlineStr"/>
      <c r="I314" s="21" t="inlineStr"/>
      <c r="J314" s="21" t="inlineStr"/>
      <c r="K314" s="21" t="inlineStr"/>
      <c r="L314" s="21" t="inlineStr"/>
      <c r="M314" s="21" t="inlineStr"/>
      <c r="N314" s="21" t="inlineStr"/>
      <c r="O314" s="21" t="inlineStr"/>
      <c r="P314" s="21" t="inlineStr"/>
      <c r="Q314" s="21" t="inlineStr"/>
      <c r="R314" s="21" t="inlineStr"/>
      <c r="S314" s="21" t="inlineStr"/>
      <c r="T314" s="21" t="inlineStr">
        <is>
          <t>no named contact found</t>
        </is>
      </c>
      <c r="U314" s="22" t="n">
        <v>1647641.77</v>
      </c>
      <c r="V314" s="38" t="inlineStr">
        <is>
          <t>C</t>
        </is>
      </c>
      <c r="W314" s="24">
        <f>IFERROR(VLOOKUP(V314,Assumptions!$A$7:$F$11,2,FALSE),0)</f>
        <v/>
      </c>
      <c r="X314" s="25">
        <f>IF(V314="A",MAX(1,IFERROR(VLOOKUP(V314,Assumptions!$A$7:$F$11,3,FALSE),3)+IFERROR(VLOOKUP(V314,Assumptions!$A$7:$F$11,4,FALSE),8)/2-MAX(0,IF(AO314="",0,YEAR(TODAY())-AO314)-IFERROR(VLOOKUP(V314,Assumptions!$A$7:$F$11,5,FALSE),1.5))),IFERROR(VLOOKUP(V314,Assumptions!$A$7:$F$11,5,FALSE),2.5)+IFERROR(VLOOKUP(V314,Assumptions!$A$7:$F$11,3,FALSE),3)+IFERROR(VLOOKUP(V314,Assumptions!$A$7:$F$11,4,FALSE),8)/2)</f>
        <v/>
      </c>
      <c r="Y314" s="22">
        <f>U314*W314/(1+Assumptions!$B$3)^X314</f>
        <v/>
      </c>
      <c r="Z314" s="26">
        <f>IF(U314=0,"",ROUND(Y314/U314*100,1))</f>
        <v/>
      </c>
      <c r="AA314" s="27">
        <f>Y314*Assumptions!$B$4</f>
        <v/>
      </c>
      <c r="AB314" s="26">
        <f>IF(U314=0,"",ROUND(AA314/U314*100,1))</f>
        <v/>
      </c>
      <c r="AC314" s="27">
        <f>Y314-AA314</f>
        <v/>
      </c>
      <c r="AD314" s="26">
        <f>IF(U314=0,"",ROUND((Y314-AA314)/U314*100,1))</f>
        <v/>
      </c>
      <c r="AE314" s="33" t="inlineStr">
        <is>
          <t>NO TOTALS — list prints none; check page</t>
        </is>
      </c>
      <c r="AF314" s="29" t="inlineStr">
        <is>
          <t>https://scalzilliaj.com.br/sgc/download.php?file=files/processo_documento/processo_documento15513401112022_1_.pdf&amp;nome=15 - Edital do art. 7º, §2º (segunda lista de credores) e do art. 53 da Lei 11.101/2005 (recebimento do plano)</t>
        </is>
      </c>
      <c r="AG314" s="28" t="inlineStr">
        <is>
          <t>p6 r34</t>
        </is>
      </c>
      <c r="AH314" s="28" t="inlineStr">
        <is>
          <t>p6: R$ 1.647.641,77</t>
        </is>
      </c>
      <c r="AI314" s="28" t="inlineStr">
        <is>
          <t>AJ list (art. 7 §2)</t>
        </is>
      </c>
      <c r="AJ314" s="28" t="inlineStr">
        <is>
          <t>2022-11-01</t>
        </is>
      </c>
      <c r="AK314" s="28" t="inlineStr">
        <is>
          <t>NONE FOUND</t>
        </is>
      </c>
      <c r="AL314" s="30" t="inlineStr">
        <is>
          <t>5014104-85.2021.8.21.0010</t>
        </is>
      </c>
      <c r="AM314" s="30" t="inlineStr">
        <is>
          <t>TJRS</t>
        </is>
      </c>
      <c r="AN314" s="30" t="inlineStr">
        <is>
          <t>ACTIVE</t>
        </is>
      </c>
      <c r="AO314" s="30" t="n">
        <v>2021</v>
      </c>
      <c r="AP314" s="30" t="inlineStr">
        <is>
          <t>5y since filing, no plan document</t>
        </is>
      </c>
      <c r="AQ314" s="30" t="inlineStr">
        <is>
          <t>03.018.339/0001-03</t>
        </is>
      </c>
      <c r="AR314" s="30" t="inlineStr">
        <is>
          <t>printed on the list (read twice)</t>
        </is>
      </c>
      <c r="AS314" s="30" t="inlineStr"/>
      <c r="AT314" s="30" t="inlineStr"/>
      <c r="AU314" s="30" t="inlineStr"/>
      <c r="AV314" s="30" t="inlineStr"/>
      <c r="AW314" s="31" t="inlineStr"/>
      <c r="AX314" s="30" t="inlineStr">
        <is>
          <t>MID-MARKET</t>
        </is>
      </c>
      <c r="AY314" s="30" t="inlineStr">
        <is>
          <t>24452704</t>
        </is>
      </c>
      <c r="AZ314" s="30" t="n">
        <v>1</v>
      </c>
      <c r="BA314" s="30" t="inlineStr">
        <is>
          <t>LIKELY_FINANCIAL_BY_NAME ROWS:p6r34 UNRECONCILED_SOURCE</t>
        </is>
      </c>
    </row>
    <row r="315">
      <c r="A315" s="16" t="inlineStr">
        <is>
          <t>DANIELE MULTIPLO FIDC</t>
        </is>
      </c>
      <c r="B315" s="17" t="n">
        <v>417506.47</v>
      </c>
      <c r="C315" s="18" t="inlineStr">
        <is>
          <t>GRUPO DIVINA</t>
        </is>
      </c>
      <c r="D315" s="19" t="inlineStr">
        <is>
          <t>NEW</t>
        </is>
      </c>
      <c r="E315" s="20" t="inlineStr"/>
      <c r="F315" s="19" t="inlineStr"/>
      <c r="G315" s="20" t="inlineStr"/>
      <c r="H315" s="19" t="inlineStr"/>
      <c r="I315" s="21" t="inlineStr">
        <is>
          <t>Wellington Cruz</t>
        </is>
      </c>
      <c r="J315" s="21" t="inlineStr">
        <is>
          <t>Gerente de Operações Financeiras - BackOffice FIDC</t>
        </is>
      </c>
      <c r="K315" s="21" t="inlineStr"/>
      <c r="L315" s="21" t="inlineStr"/>
      <c r="M315" s="21" t="inlineStr"/>
      <c r="N315" s="21" t="inlineStr">
        <is>
          <t>wellington@danielebanco.com.br</t>
        </is>
      </c>
      <c r="O315" s="21" t="inlineStr">
        <is>
          <t>ismael.santos@danielebanco.com.br</t>
        </is>
      </c>
      <c r="P315" s="21" t="inlineStr">
        <is>
          <t>Ismael Santos</t>
        </is>
      </c>
      <c r="Q315" s="21" t="inlineStr">
        <is>
          <t>Gerente Comercial FIDC</t>
        </is>
      </c>
      <c r="R315" s="21" t="inlineStr"/>
      <c r="S315" s="21" t="inlineStr">
        <is>
          <t>ismael.santos@danielebanco.com.br</t>
        </is>
      </c>
      <c r="T315" s="21" t="inlineStr">
        <is>
          <t>email verified by Apollo</t>
        </is>
      </c>
      <c r="U315" s="22" t="n">
        <v>417506.47</v>
      </c>
      <c r="V315" s="23" t="inlineStr">
        <is>
          <t>B</t>
        </is>
      </c>
      <c r="W315" s="24">
        <f>IFERROR(VLOOKUP(V315,Assumptions!$A$7:$F$11,2,FALSE),0)</f>
        <v/>
      </c>
      <c r="X315" s="25">
        <f>IF(V315="A",MAX(1,IFERROR(VLOOKUP(V315,Assumptions!$A$7:$F$11,3,FALSE),3)+IFERROR(VLOOKUP(V315,Assumptions!$A$7:$F$11,4,FALSE),8)/2-MAX(0,IF(AO315="",0,YEAR(TODAY())-AO315)-IFERROR(VLOOKUP(V315,Assumptions!$A$7:$F$11,5,FALSE),1.5))),IFERROR(VLOOKUP(V315,Assumptions!$A$7:$F$11,5,FALSE),2.5)+IFERROR(VLOOKUP(V315,Assumptions!$A$7:$F$11,3,FALSE),3)+IFERROR(VLOOKUP(V315,Assumptions!$A$7:$F$11,4,FALSE),8)/2)</f>
        <v/>
      </c>
      <c r="Y315" s="22">
        <f>U315*W315/(1+Assumptions!$B$3)^X315</f>
        <v/>
      </c>
      <c r="Z315" s="26">
        <f>IF(U315=0,"",ROUND(Y315/U315*100,1))</f>
        <v/>
      </c>
      <c r="AA315" s="27">
        <f>Y315*Assumptions!$B$4</f>
        <v/>
      </c>
      <c r="AB315" s="26">
        <f>IF(U315=0,"",ROUND(AA315/U315*100,1))</f>
        <v/>
      </c>
      <c r="AC315" s="27">
        <f>Y315-AA315</f>
        <v/>
      </c>
      <c r="AD315" s="26">
        <f>IF(U315=0,"",ROUND((Y315-AA315)/U315*100,1))</f>
        <v/>
      </c>
      <c r="AE315" s="34" t="inlineStr">
        <is>
          <t>PARTIAL — class III reconciled, other classes not</t>
        </is>
      </c>
      <c r="AF315" s="29" t="inlineStr">
        <is>
          <t>https://lrflideres.com.br/wp-content/plugins/download-attachments/includes/download.php?id=6252</t>
        </is>
      </c>
      <c r="AG315" s="28" t="inlineStr">
        <is>
          <t>p2 r33</t>
        </is>
      </c>
      <c r="AH315" s="28" t="inlineStr">
        <is>
          <t>p2: R$ 417.506,47</t>
        </is>
      </c>
      <c r="AI315" s="28" t="inlineStr">
        <is>
          <t>AJ list (art. 7 §2)</t>
        </is>
      </c>
      <c r="AJ315" s="28" t="inlineStr">
        <is>
          <t>2024-11-27</t>
        </is>
      </c>
      <c r="AK315" s="28" t="inlineStr">
        <is>
          <t>NONE FOUND</t>
        </is>
      </c>
      <c r="AL315" s="30" t="inlineStr">
        <is>
          <t>0000721-61.2024.8.17.2620</t>
        </is>
      </c>
      <c r="AM315" s="30" t="inlineStr">
        <is>
          <t>TJPE</t>
        </is>
      </c>
      <c r="AN315" s="30" t="inlineStr">
        <is>
          <t>ACTIVE</t>
        </is>
      </c>
      <c r="AO315" s="30" t="n">
        <v>2024</v>
      </c>
      <c r="AP315" s="30" t="inlineStr">
        <is>
          <t>live case, no plan document yet</t>
        </is>
      </c>
      <c r="AQ315" s="30" t="inlineStr">
        <is>
          <t>08.785.522/0001-58</t>
        </is>
      </c>
      <c r="AR315" s="30" t="inlineStr">
        <is>
          <t>printed on the list (read twice)</t>
        </is>
      </c>
      <c r="AS315" s="30" t="inlineStr"/>
      <c r="AT315" s="30" t="inlineStr"/>
      <c r="AU315" s="30" t="inlineStr"/>
      <c r="AV315" s="30" t="inlineStr"/>
      <c r="AW315" s="31" t="inlineStr"/>
      <c r="AX315" s="30" t="inlineStr">
        <is>
          <t>MID-MARKET</t>
        </is>
      </c>
      <c r="AY315" s="30" t="inlineStr">
        <is>
          <t>32528241</t>
        </is>
      </c>
      <c r="AZ315" s="30" t="n">
        <v>1</v>
      </c>
      <c r="BA315" s="30" t="inlineStr">
        <is>
          <t>LIKELY_FINANCIAL_BY_NAME PARTIAL_DOC_CLASS_III_RECONCILED ROWS:p2r33</t>
        </is>
      </c>
    </row>
    <row r="316">
      <c r="A316" s="16" t="inlineStr">
        <is>
          <t>BANCO SAFRA S A</t>
        </is>
      </c>
      <c r="B316" s="17" t="n">
        <v>2978264.57</v>
      </c>
      <c r="C316" s="18" t="inlineStr">
        <is>
          <t>Mannes</t>
        </is>
      </c>
      <c r="D316" s="19" t="inlineStr">
        <is>
          <t>NEW</t>
        </is>
      </c>
      <c r="E316" s="20" t="inlineStr"/>
      <c r="F316" s="19" t="inlineStr"/>
      <c r="G316" s="20" t="inlineStr"/>
      <c r="H316" s="19" t="inlineStr"/>
      <c r="I316" s="21" t="inlineStr">
        <is>
          <t>Vanessa Biotti</t>
        </is>
      </c>
      <c r="J316" s="21" t="inlineStr">
        <is>
          <t>Gerente de Recuperação de Crédito</t>
        </is>
      </c>
      <c r="K316" s="21" t="inlineStr">
        <is>
          <t>(11) 3175-7575</t>
        </is>
      </c>
      <c r="L316" s="21" t="inlineStr"/>
      <c r="M316" s="21" t="inlineStr"/>
      <c r="N316" s="21" t="inlineStr">
        <is>
          <t>vanessa.biotti@safra.com.br</t>
        </is>
      </c>
      <c r="O316" s="21" t="inlineStr">
        <is>
          <t>rodrigo.anjos@safra.com.br</t>
        </is>
      </c>
      <c r="P316" s="21" t="inlineStr">
        <is>
          <t>Rodrigo Anjos</t>
        </is>
      </c>
      <c r="Q316" s="21" t="inlineStr">
        <is>
          <t>Advogado Sênior - Jurídico Contencioso - Recuperação de Crédito - NPL</t>
        </is>
      </c>
      <c r="R316" s="21" t="inlineStr"/>
      <c r="S316" s="21" t="inlineStr">
        <is>
          <t>rodrigo.anjos@safra.com.br</t>
        </is>
      </c>
      <c r="T316" s="21" t="inlineStr">
        <is>
          <t>email verified by Apollo</t>
        </is>
      </c>
      <c r="U316" s="22" t="n">
        <v>2978264.57</v>
      </c>
      <c r="V316" s="39" t="inlineStr">
        <is>
          <t>D</t>
        </is>
      </c>
      <c r="W316" s="24">
        <f>IFERROR(VLOOKUP(V316,Assumptions!$A$7:$F$11,2,FALSE),0)</f>
        <v/>
      </c>
      <c r="X316" s="25">
        <f>IF(V316="A",MAX(1,IFERROR(VLOOKUP(V316,Assumptions!$A$7:$F$11,3,FALSE),3)+IFERROR(VLOOKUP(V316,Assumptions!$A$7:$F$11,4,FALSE),8)/2-MAX(0,IF(AO316="",0,YEAR(TODAY())-AO316)-IFERROR(VLOOKUP(V316,Assumptions!$A$7:$F$11,5,FALSE),1.5))),IFERROR(VLOOKUP(V316,Assumptions!$A$7:$F$11,5,FALSE),2.5)+IFERROR(VLOOKUP(V316,Assumptions!$A$7:$F$11,3,FALSE),3)+IFERROR(VLOOKUP(V316,Assumptions!$A$7:$F$11,4,FALSE),8)/2)</f>
        <v/>
      </c>
      <c r="Y316" s="22">
        <f>U316*W316/(1+Assumptions!$B$3)^X316</f>
        <v/>
      </c>
      <c r="Z316" s="26">
        <f>IF(U316=0,"",ROUND(Y316/U316*100,1))</f>
        <v/>
      </c>
      <c r="AA316" s="27">
        <f>Y316*Assumptions!$B$4</f>
        <v/>
      </c>
      <c r="AB316" s="26">
        <f>IF(U316=0,"",ROUND(AA316/U316*100,1))</f>
        <v/>
      </c>
      <c r="AC316" s="27">
        <f>Y316-AA316</f>
        <v/>
      </c>
      <c r="AD316" s="26">
        <f>IF(U316=0,"",ROUND((Y316-AA316)/U316*100,1))</f>
        <v/>
      </c>
      <c r="AE316" s="36" t="inlineStr">
        <is>
          <t>CHECK — source is not a statutory creditor list</t>
        </is>
      </c>
      <c r="AF316" s="29" t="inlineStr">
        <is>
          <t>https://administradorajudicialgs.com.br/wp-content/uploads/2024/12/relacao-de-credores-da-falida.pdf</t>
        </is>
      </c>
      <c r="AG316" s="28" t="inlineStr">
        <is>
          <t>p13 r8</t>
        </is>
      </c>
      <c r="AH316" s="28" t="inlineStr">
        <is>
          <t>p13: R$ 2.978.264,57</t>
        </is>
      </c>
      <c r="AI316" s="28" t="inlineStr">
        <is>
          <t>Other filing — NOT an art. 7/51 list</t>
        </is>
      </c>
      <c r="AJ316" s="28" t="inlineStr">
        <is>
          <t>2025-03-25</t>
        </is>
      </c>
      <c r="AK316" s="28" t="inlineStr">
        <is>
          <t>NONE FOUND</t>
        </is>
      </c>
      <c r="AL316" s="30" t="inlineStr">
        <is>
          <t>0005010-50.2013.8.24.0026</t>
        </is>
      </c>
      <c r="AM316" s="30" t="inlineStr">
        <is>
          <t>TJSC</t>
        </is>
      </c>
      <c r="AN316" s="30" t="inlineStr"/>
      <c r="AO316" s="30" t="n">
        <v>2013</v>
      </c>
      <c r="AP316" s="30" t="inlineStr">
        <is>
          <t>document is a falência (bankruptcy) list</t>
        </is>
      </c>
      <c r="AQ316" s="30" t="inlineStr"/>
      <c r="AR316" s="30" t="inlineStr">
        <is>
          <t>printed on the list (read twice)</t>
        </is>
      </c>
      <c r="AS316" s="30" t="inlineStr">
        <is>
          <t>SAO PAULO</t>
        </is>
      </c>
      <c r="AT316" s="30" t="inlineStr">
        <is>
          <t>SP</t>
        </is>
      </c>
      <c r="AU316" s="30" t="inlineStr">
        <is>
          <t>Bancos múltiplos, com carteira comercial</t>
        </is>
      </c>
      <c r="AV316" s="30" t="inlineStr">
        <is>
          <t>DEMAIS</t>
        </is>
      </c>
      <c r="AW316" s="31" t="n">
        <v>13924903000</v>
      </c>
      <c r="AX316" s="30" t="inlineStr">
        <is>
          <t>LARGE CORP</t>
        </is>
      </c>
      <c r="AY316" s="30" t="inlineStr">
        <is>
          <t>58160789</t>
        </is>
      </c>
      <c r="AZ316" s="30" t="n">
        <v>1</v>
      </c>
      <c r="BA316" s="30" t="inlineStr">
        <is>
          <t>LIKELY_FINANCIAL_BY_NAME ROWS:p13r8 UNRECONCILED_SOURCE CASE_NUMBER_CORRECTED</t>
        </is>
      </c>
    </row>
    <row r="317">
      <c r="A317" s="16" t="inlineStr">
        <is>
          <t>BANCO COOPERATIVO SICOOB S.A.</t>
        </is>
      </c>
      <c r="B317" s="17" t="n">
        <v>415021.85</v>
      </c>
      <c r="C317" s="18" t="inlineStr">
        <is>
          <t>GRUPO DIVINA</t>
        </is>
      </c>
      <c r="D317" s="19" t="inlineStr">
        <is>
          <t>NEW</t>
        </is>
      </c>
      <c r="E317" s="20" t="inlineStr"/>
      <c r="F317" s="19" t="inlineStr"/>
      <c r="G317" s="20" t="inlineStr"/>
      <c r="H317" s="19" t="inlineStr"/>
      <c r="I317" s="21" t="inlineStr">
        <is>
          <t>Mauricio Reis</t>
        </is>
      </c>
      <c r="J317" s="21" t="inlineStr">
        <is>
          <t>Superintendente de Operações e Produtos de Crédito, Consórcios, Cobrança e de Recuperação de Ativos</t>
        </is>
      </c>
      <c r="K317" s="21" t="inlineStr">
        <is>
          <t>(61) 3217-5200</t>
        </is>
      </c>
      <c r="L317" s="21" t="inlineStr"/>
      <c r="M317" s="21" t="inlineStr"/>
      <c r="N317" s="21" t="inlineStr">
        <is>
          <t>mauricio.reis@sicoob.com.br</t>
        </is>
      </c>
      <c r="O317" s="21" t="inlineStr"/>
      <c r="P317" s="21" t="inlineStr">
        <is>
          <t>ANTONIO CANDIDO VILACA JUNIOR</t>
        </is>
      </c>
      <c r="Q317" s="21" t="inlineStr">
        <is>
          <t>Diretor (RFB partner)</t>
        </is>
      </c>
      <c r="R317" s="21" t="inlineStr"/>
      <c r="S317" s="21" t="inlineStr"/>
      <c r="T317" s="21" t="inlineStr">
        <is>
          <t>email verified by Apollo</t>
        </is>
      </c>
      <c r="U317" s="22" t="n">
        <v>415021.85</v>
      </c>
      <c r="V317" s="23" t="inlineStr">
        <is>
          <t>B</t>
        </is>
      </c>
      <c r="W317" s="24">
        <f>IFERROR(VLOOKUP(V317,Assumptions!$A$7:$F$11,2,FALSE),0)</f>
        <v/>
      </c>
      <c r="X317" s="25">
        <f>IF(V317="A",MAX(1,IFERROR(VLOOKUP(V317,Assumptions!$A$7:$F$11,3,FALSE),3)+IFERROR(VLOOKUP(V317,Assumptions!$A$7:$F$11,4,FALSE),8)/2-MAX(0,IF(AO317="",0,YEAR(TODAY())-AO317)-IFERROR(VLOOKUP(V317,Assumptions!$A$7:$F$11,5,FALSE),1.5))),IFERROR(VLOOKUP(V317,Assumptions!$A$7:$F$11,5,FALSE),2.5)+IFERROR(VLOOKUP(V317,Assumptions!$A$7:$F$11,3,FALSE),3)+IFERROR(VLOOKUP(V317,Assumptions!$A$7:$F$11,4,FALSE),8)/2)</f>
        <v/>
      </c>
      <c r="Y317" s="22">
        <f>U317*W317/(1+Assumptions!$B$3)^X317</f>
        <v/>
      </c>
      <c r="Z317" s="26">
        <f>IF(U317=0,"",ROUND(Y317/U317*100,1))</f>
        <v/>
      </c>
      <c r="AA317" s="27">
        <f>Y317*Assumptions!$B$4</f>
        <v/>
      </c>
      <c r="AB317" s="26">
        <f>IF(U317=0,"",ROUND(AA317/U317*100,1))</f>
        <v/>
      </c>
      <c r="AC317" s="27">
        <f>Y317-AA317</f>
        <v/>
      </c>
      <c r="AD317" s="26">
        <f>IF(U317=0,"",ROUND((Y317-AA317)/U317*100,1))</f>
        <v/>
      </c>
      <c r="AE317" s="34" t="inlineStr">
        <is>
          <t>PARTIAL — class III reconciled, other classes not</t>
        </is>
      </c>
      <c r="AF317" s="29" t="inlineStr">
        <is>
          <t>https://lrflideres.com.br/wp-content/plugins/download-attachments/includes/download.php?id=6252</t>
        </is>
      </c>
      <c r="AG317" s="28" t="inlineStr">
        <is>
          <t>p2 r17</t>
        </is>
      </c>
      <c r="AH317" s="28" t="inlineStr">
        <is>
          <t>p2: R$ 415.021,85</t>
        </is>
      </c>
      <c r="AI317" s="28" t="inlineStr">
        <is>
          <t>AJ list (art. 7 §2)</t>
        </is>
      </c>
      <c r="AJ317" s="28" t="inlineStr">
        <is>
          <t>2024-11-27</t>
        </is>
      </c>
      <c r="AK317" s="28" t="inlineStr">
        <is>
          <t>NONE FOUND</t>
        </is>
      </c>
      <c r="AL317" s="30" t="inlineStr">
        <is>
          <t>0000721-61.2024.8.17.2620</t>
        </is>
      </c>
      <c r="AM317" s="30" t="inlineStr">
        <is>
          <t>TJPE</t>
        </is>
      </c>
      <c r="AN317" s="30" t="inlineStr">
        <is>
          <t>ACTIVE</t>
        </is>
      </c>
      <c r="AO317" s="30" t="n">
        <v>2024</v>
      </c>
      <c r="AP317" s="30" t="inlineStr">
        <is>
          <t>live case, no plan document yet</t>
        </is>
      </c>
      <c r="AQ317" s="30" t="inlineStr">
        <is>
          <t>08.785.522/0001-58</t>
        </is>
      </c>
      <c r="AR317" s="30" t="inlineStr">
        <is>
          <t>printed on the list (read twice)</t>
        </is>
      </c>
      <c r="AS317" s="30" t="inlineStr">
        <is>
          <t>BRASILIA</t>
        </is>
      </c>
      <c r="AT317" s="30" t="inlineStr">
        <is>
          <t>DF</t>
        </is>
      </c>
      <c r="AU317" s="30" t="inlineStr">
        <is>
          <t>Bancos cooperativos</t>
        </is>
      </c>
      <c r="AV317" s="30" t="inlineStr">
        <is>
          <t>DEMAIS</t>
        </is>
      </c>
      <c r="AW317" s="31" t="n">
        <v>6198490000</v>
      </c>
      <c r="AX317" s="30" t="inlineStr">
        <is>
          <t>LARGE CORP</t>
        </is>
      </c>
      <c r="AY317" s="30" t="inlineStr">
        <is>
          <t>02038232</t>
        </is>
      </c>
      <c r="AZ317" s="30" t="n">
        <v>1</v>
      </c>
      <c r="BA317" s="30" t="inlineStr">
        <is>
          <t>PARTIAL_DOC_CLASS_III_RECONCILED ROWS:p2r17</t>
        </is>
      </c>
    </row>
    <row r="318">
      <c r="A318" s="16" t="inlineStr">
        <is>
          <t>OPHIR FUNDO DE INVESTIMENTO EM DIREITOS CREDITORIOS</t>
        </is>
      </c>
      <c r="B318" s="17" t="n">
        <v>413700.86</v>
      </c>
      <c r="C318" s="18" t="inlineStr">
        <is>
          <t>CENTURY CONSTRUÇÕES COMÉRCIO E SERVIÇOS LTDA.</t>
        </is>
      </c>
      <c r="D318" s="19" t="inlineStr">
        <is>
          <t>NEW</t>
        </is>
      </c>
      <c r="E318" s="20" t="inlineStr"/>
      <c r="F318" s="19" t="inlineStr"/>
      <c r="G318" s="20" t="inlineStr"/>
      <c r="H318" s="19" t="inlineStr"/>
      <c r="I318" s="21" t="inlineStr"/>
      <c r="J318" s="21" t="inlineStr"/>
      <c r="K318" s="21" t="inlineStr">
        <is>
          <t>(11) 2827-3500</t>
        </is>
      </c>
      <c r="L318" s="21" t="inlineStr"/>
      <c r="M318" s="21" t="inlineStr"/>
      <c r="N318" s="21" t="inlineStr"/>
      <c r="O318" s="21" t="inlineStr"/>
      <c r="P318" s="21" t="inlineStr"/>
      <c r="Q318" s="21" t="inlineStr"/>
      <c r="R318" s="21" t="inlineStr"/>
      <c r="S318" s="21" t="inlineStr"/>
      <c r="T318" s="21" t="inlineStr">
        <is>
          <t>no named contact found</t>
        </is>
      </c>
      <c r="U318" s="22" t="n">
        <v>413700.86</v>
      </c>
      <c r="V318" s="23" t="inlineStr">
        <is>
          <t>B</t>
        </is>
      </c>
      <c r="W318" s="24">
        <f>IFERROR(VLOOKUP(V318,Assumptions!$A$7:$F$11,2,FALSE),0)</f>
        <v/>
      </c>
      <c r="X318" s="25">
        <f>IF(V318="A",MAX(1,IFERROR(VLOOKUP(V318,Assumptions!$A$7:$F$11,3,FALSE),3)+IFERROR(VLOOKUP(V318,Assumptions!$A$7:$F$11,4,FALSE),8)/2-MAX(0,IF(AO318="",0,YEAR(TODAY())-AO318)-IFERROR(VLOOKUP(V318,Assumptions!$A$7:$F$11,5,FALSE),1.5))),IFERROR(VLOOKUP(V318,Assumptions!$A$7:$F$11,5,FALSE),2.5)+IFERROR(VLOOKUP(V318,Assumptions!$A$7:$F$11,3,FALSE),3)+IFERROR(VLOOKUP(V318,Assumptions!$A$7:$F$11,4,FALSE),8)/2)</f>
        <v/>
      </c>
      <c r="Y318" s="22">
        <f>U318*W318/(1+Assumptions!$B$3)^X318</f>
        <v/>
      </c>
      <c r="Z318" s="26">
        <f>IF(U318=0,"",ROUND(Y318/U318*100,1))</f>
        <v/>
      </c>
      <c r="AA318" s="27">
        <f>Y318*Assumptions!$B$4</f>
        <v/>
      </c>
      <c r="AB318" s="26">
        <f>IF(U318=0,"",ROUND(AA318/U318*100,1))</f>
        <v/>
      </c>
      <c r="AC318" s="27">
        <f>Y318-AA318</f>
        <v/>
      </c>
      <c r="AD318" s="26">
        <f>IF(U318=0,"",ROUND((Y318-AA318)/U318*100,1))</f>
        <v/>
      </c>
      <c r="AE318" s="33" t="inlineStr">
        <is>
          <t>NO TOTALS — list prints none; check page</t>
        </is>
      </c>
      <c r="AF318" s="29" t="inlineStr">
        <is>
          <t>https://ativosajce.com.br/admin/download.php?file=files/processo_documento/processo_documento16022716122025_1_.pdf&amp;nome=Relação de credores - art. 52, §1º da Lei 11.101/05 - 15/12/2025</t>
        </is>
      </c>
      <c r="AG318" s="28" t="inlineStr">
        <is>
          <t>p3 r79</t>
        </is>
      </c>
      <c r="AH318" s="28" t="inlineStr">
        <is>
          <t>p3: R$ 413.700,86</t>
        </is>
      </c>
      <c r="AI318" s="28" t="inlineStr">
        <is>
          <t>Unclassified list</t>
        </is>
      </c>
      <c r="AJ318" s="28" t="inlineStr"/>
      <c r="AK318" s="28" t="inlineStr">
        <is>
          <t>NONE FOUND</t>
        </is>
      </c>
      <c r="AL318" s="30" t="inlineStr">
        <is>
          <t>4054599-35.2025.8.26.0100</t>
        </is>
      </c>
      <c r="AM318" s="30" t="inlineStr">
        <is>
          <t>TJSP</t>
        </is>
      </c>
      <c r="AN318" s="30" t="inlineStr">
        <is>
          <t>ACTIVE</t>
        </is>
      </c>
      <c r="AO318" s="30" t="n">
        <v>2025</v>
      </c>
      <c r="AP318" s="30" t="inlineStr">
        <is>
          <t>live case, no plan document yet</t>
        </is>
      </c>
      <c r="AQ318" s="30" t="inlineStr">
        <is>
          <t>03.299.563/0001-10</t>
        </is>
      </c>
      <c r="AR318" s="30" t="inlineStr">
        <is>
          <t>printed on the list (read twice)</t>
        </is>
      </c>
      <c r="AS318" s="30" t="inlineStr">
        <is>
          <t>SAO PAULO</t>
        </is>
      </c>
      <c r="AT318" s="30" t="inlineStr">
        <is>
          <t>SP</t>
        </is>
      </c>
      <c r="AU318" s="30" t="inlineStr">
        <is>
          <t>Fundos de investimento, exceto previdenciários e imobiliários</t>
        </is>
      </c>
      <c r="AV318" s="30" t="inlineStr">
        <is>
          <t>DEMAIS</t>
        </is>
      </c>
      <c r="AW318" s="31" t="inlineStr"/>
      <c r="AX318" s="30" t="inlineStr">
        <is>
          <t>MID-MARKET</t>
        </is>
      </c>
      <c r="AY318" s="30" t="inlineStr">
        <is>
          <t>42605322</t>
        </is>
      </c>
      <c r="AZ318" s="30" t="n">
        <v>1</v>
      </c>
      <c r="BA318" s="30" t="inlineStr">
        <is>
          <t>ROWS:p3r79 UNRECONCILED_SOURCE</t>
        </is>
      </c>
    </row>
    <row r="319">
      <c r="A319" s="16" t="inlineStr">
        <is>
          <t>BANCO DO BRASIL SA</t>
        </is>
      </c>
      <c r="B319" s="17" t="n">
        <v>2921132.88</v>
      </c>
      <c r="C319" s="18" t="inlineStr">
        <is>
          <t>EQUIP SEG INTELIGÊNCIA EM SEGURANÇA LTDA. E EQUIP SEG SERVIÇOS ESPECIALIZADOS LTDA.</t>
        </is>
      </c>
      <c r="D319" s="19" t="inlineStr">
        <is>
          <t>NEW</t>
        </is>
      </c>
      <c r="E319" s="20" t="inlineStr"/>
      <c r="F319" s="19" t="inlineStr"/>
      <c r="G319" s="20" t="inlineStr"/>
      <c r="H319" s="19" t="inlineStr"/>
      <c r="I319" s="21" t="inlineStr">
        <is>
          <t>Thiago Cavichioli</t>
        </is>
      </c>
      <c r="J319" s="21" t="inlineStr">
        <is>
          <t>Gerente de Cobrança e Recuperação de Crédito</t>
        </is>
      </c>
      <c r="K319" s="21" t="inlineStr">
        <is>
          <t>(61) 3493-9002</t>
        </is>
      </c>
      <c r="L319" s="21" t="inlineStr"/>
      <c r="M319" s="21" t="inlineStr"/>
      <c r="N319" s="21" t="inlineStr">
        <is>
          <t>thiago.cavichioli@bb.com.br</t>
        </is>
      </c>
      <c r="O319" s="21" t="inlineStr">
        <is>
          <t>suelenmondador@bb.com.br</t>
        </is>
      </c>
      <c r="P319" s="21" t="inlineStr">
        <is>
          <t>Suelen Mondador</t>
        </is>
      </c>
      <c r="Q319" s="21" t="inlineStr">
        <is>
          <t>Gerente Especialista em Recuperação de Crédito</t>
        </is>
      </c>
      <c r="R319" s="21" t="inlineStr"/>
      <c r="S319" s="21" t="inlineStr">
        <is>
          <t>suelenmondador@bb.com.br</t>
        </is>
      </c>
      <c r="T319" s="21" t="inlineStr">
        <is>
          <t>email verified by Apollo</t>
        </is>
      </c>
      <c r="U319" s="22" t="n">
        <v>2921132.88</v>
      </c>
      <c r="V319" s="39" t="inlineStr">
        <is>
          <t>D</t>
        </is>
      </c>
      <c r="W319" s="24">
        <f>IFERROR(VLOOKUP(V319,Assumptions!$A$7:$F$11,2,FALSE),0)</f>
        <v/>
      </c>
      <c r="X319" s="25">
        <f>IF(V319="A",MAX(1,IFERROR(VLOOKUP(V319,Assumptions!$A$7:$F$11,3,FALSE),3)+IFERROR(VLOOKUP(V319,Assumptions!$A$7:$F$11,4,FALSE),8)/2-MAX(0,IF(AO319="",0,YEAR(TODAY())-AO319)-IFERROR(VLOOKUP(V319,Assumptions!$A$7:$F$11,5,FALSE),1.5))),IFERROR(VLOOKUP(V319,Assumptions!$A$7:$F$11,5,FALSE),2.5)+IFERROR(VLOOKUP(V319,Assumptions!$A$7:$F$11,3,FALSE),3)+IFERROR(VLOOKUP(V319,Assumptions!$A$7:$F$11,4,FALSE),8)/2)</f>
        <v/>
      </c>
      <c r="Y319" s="22">
        <f>U319*W319/(1+Assumptions!$B$3)^X319</f>
        <v/>
      </c>
      <c r="Z319" s="26">
        <f>IF(U319=0,"",ROUND(Y319/U319*100,1))</f>
        <v/>
      </c>
      <c r="AA319" s="27">
        <f>Y319*Assumptions!$B$4</f>
        <v/>
      </c>
      <c r="AB319" s="26">
        <f>IF(U319=0,"",ROUND(AA319/U319*100,1))</f>
        <v/>
      </c>
      <c r="AC319" s="27">
        <f>Y319-AA319</f>
        <v/>
      </c>
      <c r="AD319" s="26">
        <f>IF(U319=0,"",ROUND((Y319-AA319)/U319*100,1))</f>
        <v/>
      </c>
      <c r="AE319" s="33" t="inlineStr">
        <is>
          <t>NO TOTALS — list prints none; check page</t>
        </is>
      </c>
      <c r="AF319" s="29" t="inlineStr">
        <is>
          <t>https://bbsadvogados.com.br/wp-content/uploads/2025/04/Equipseg-Edital-Relacao-de-Credores-da-Administradora-Judicial-art.-7o2o-da-LRF.pdf</t>
        </is>
      </c>
      <c r="AG319" s="28" t="inlineStr">
        <is>
          <t>p38 r5</t>
        </is>
      </c>
      <c r="AH319" s="28" t="inlineStr">
        <is>
          <t>p38: R$ 2.921.132,88</t>
        </is>
      </c>
      <c r="AI319" s="28" t="inlineStr">
        <is>
          <t>AJ list (art. 7 §2)</t>
        </is>
      </c>
      <c r="AJ319" s="28" t="inlineStr">
        <is>
          <t>2025-04-08</t>
        </is>
      </c>
      <c r="AK319" s="28" t="inlineStr">
        <is>
          <t>NONE FOUND</t>
        </is>
      </c>
      <c r="AL319" s="30" t="inlineStr">
        <is>
          <t>0033736-15.2023.8.16.0185</t>
        </is>
      </c>
      <c r="AM319" s="30" t="inlineStr">
        <is>
          <t>TJPR</t>
        </is>
      </c>
      <c r="AN319" s="30" t="inlineStr"/>
      <c r="AO319" s="30" t="n">
        <v>2023</v>
      </c>
      <c r="AP319" s="30" t="inlineStr">
        <is>
          <t>document is a falência (bankruptcy) list</t>
        </is>
      </c>
      <c r="AQ319" s="30" t="inlineStr"/>
      <c r="AR319" s="30" t="inlineStr">
        <is>
          <t>printed on the list (read twice)</t>
        </is>
      </c>
      <c r="AS319" s="30" t="inlineStr">
        <is>
          <t>BRASILIA</t>
        </is>
      </c>
      <c r="AT319" s="30" t="inlineStr">
        <is>
          <t>DF</t>
        </is>
      </c>
      <c r="AU319" s="30" t="inlineStr">
        <is>
          <t>Bancos múltiplos, com carteira comercial</t>
        </is>
      </c>
      <c r="AV319" s="30" t="inlineStr">
        <is>
          <t>DEMAIS</t>
        </is>
      </c>
      <c r="AW319" s="31" t="n">
        <v>120000000000</v>
      </c>
      <c r="AX319" s="30" t="inlineStr">
        <is>
          <t>LARGE CORP</t>
        </is>
      </c>
      <c r="AY319" s="30" t="inlineStr">
        <is>
          <t>00000000</t>
        </is>
      </c>
      <c r="AZ319" s="30" t="n">
        <v>1</v>
      </c>
      <c r="BA319" s="30" t="inlineStr">
        <is>
          <t>LIKELY_FINANCIAL_BY_NAME ROWS:p38r5 UNRECONCILED_SOURCE</t>
        </is>
      </c>
    </row>
    <row r="320">
      <c r="A320" s="16" t="inlineStr">
        <is>
          <t>GUARDIAN CAPITAL SECURITIZADORA S/A. (</t>
        </is>
      </c>
      <c r="B320" s="17" t="n">
        <v>1588129.34</v>
      </c>
      <c r="C320" s="18" t="inlineStr">
        <is>
          <t>VECTOR INDÚSTRIA DE PRODUTOS METALÚRGICOS LTDA.</t>
        </is>
      </c>
      <c r="D320" s="19" t="inlineStr">
        <is>
          <t>NEW</t>
        </is>
      </c>
      <c r="E320" s="20" t="inlineStr"/>
      <c r="F320" s="19" t="inlineStr"/>
      <c r="G320" s="20" t="inlineStr"/>
      <c r="H320" s="19" t="inlineStr"/>
      <c r="I320" s="21" t="inlineStr">
        <is>
          <t>Rafael Castilho</t>
        </is>
      </c>
      <c r="J320" s="21" t="inlineStr">
        <is>
          <t>Analista de Credito e Risco Sênior</t>
        </is>
      </c>
      <c r="K320" s="21" t="inlineStr"/>
      <c r="L320" s="21" t="inlineStr"/>
      <c r="M320" s="21" t="inlineStr"/>
      <c r="N320" s="21" t="inlineStr">
        <is>
          <t>rafael@guardiancapital.com.br</t>
        </is>
      </c>
      <c r="O320" s="21" t="inlineStr"/>
      <c r="P320" s="21" t="inlineStr">
        <is>
          <t>Luis Junior</t>
        </is>
      </c>
      <c r="Q320" s="21" t="inlineStr">
        <is>
          <t>Managing Partner</t>
        </is>
      </c>
      <c r="R320" s="21" t="inlineStr"/>
      <c r="S320" s="21" t="inlineStr"/>
      <c r="T320" s="21" t="inlineStr">
        <is>
          <t>email verified by Apollo</t>
        </is>
      </c>
      <c r="U320" s="22" t="n">
        <v>1588129.34</v>
      </c>
      <c r="V320" s="38" t="inlineStr">
        <is>
          <t>C</t>
        </is>
      </c>
      <c r="W320" s="24">
        <f>IFERROR(VLOOKUP(V320,Assumptions!$A$7:$F$11,2,FALSE),0)</f>
        <v/>
      </c>
      <c r="X320" s="25">
        <f>IF(V320="A",MAX(1,IFERROR(VLOOKUP(V320,Assumptions!$A$7:$F$11,3,FALSE),3)+IFERROR(VLOOKUP(V320,Assumptions!$A$7:$F$11,4,FALSE),8)/2-MAX(0,IF(AO320="",0,YEAR(TODAY())-AO320)-IFERROR(VLOOKUP(V320,Assumptions!$A$7:$F$11,5,FALSE),1.5))),IFERROR(VLOOKUP(V320,Assumptions!$A$7:$F$11,5,FALSE),2.5)+IFERROR(VLOOKUP(V320,Assumptions!$A$7:$F$11,3,FALSE),3)+IFERROR(VLOOKUP(V320,Assumptions!$A$7:$F$11,4,FALSE),8)/2)</f>
        <v/>
      </c>
      <c r="Y320" s="22">
        <f>U320*W320/(1+Assumptions!$B$3)^X320</f>
        <v/>
      </c>
      <c r="Z320" s="26">
        <f>IF(U320=0,"",ROUND(Y320/U320*100,1))</f>
        <v/>
      </c>
      <c r="AA320" s="27">
        <f>Y320*Assumptions!$B$4</f>
        <v/>
      </c>
      <c r="AB320" s="26">
        <f>IF(U320=0,"",ROUND(AA320/U320*100,1))</f>
        <v/>
      </c>
      <c r="AC320" s="27">
        <f>Y320-AA320</f>
        <v/>
      </c>
      <c r="AD320" s="26">
        <f>IF(U320=0,"",ROUND((Y320-AA320)/U320*100,1))</f>
        <v/>
      </c>
      <c r="AE320" s="33" t="inlineStr">
        <is>
          <t>NO TOTALS — list prints none; check page</t>
        </is>
      </c>
      <c r="AF320" s="29" t="inlineStr">
        <is>
          <t>https://scalzilliaj.com.br/sgc/download.php?file=files/processo_documento/processo_documento15513401112022_1_.pdf&amp;nome=15 - Edital do art. 7º, §2º (segunda lista de credores) e do art. 53 da Lei 11.101/2005 (recebimento do plano)</t>
        </is>
      </c>
      <c r="AG320" s="28" t="inlineStr">
        <is>
          <t>p7 r22</t>
        </is>
      </c>
      <c r="AH320" s="28" t="inlineStr">
        <is>
          <t>p7: R$ 1.588.129,34</t>
        </is>
      </c>
      <c r="AI320" s="28" t="inlineStr">
        <is>
          <t>AJ list (art. 7 §2)</t>
        </is>
      </c>
      <c r="AJ320" s="28" t="inlineStr">
        <is>
          <t>2022-11-01</t>
        </is>
      </c>
      <c r="AK320" s="28" t="inlineStr">
        <is>
          <t>NONE FOUND</t>
        </is>
      </c>
      <c r="AL320" s="30" t="inlineStr">
        <is>
          <t>5014104-85.2021.8.21.0010</t>
        </is>
      </c>
      <c r="AM320" s="30" t="inlineStr">
        <is>
          <t>TJRS</t>
        </is>
      </c>
      <c r="AN320" s="30" t="inlineStr">
        <is>
          <t>ACTIVE</t>
        </is>
      </c>
      <c r="AO320" s="30" t="n">
        <v>2021</v>
      </c>
      <c r="AP320" s="30" t="inlineStr">
        <is>
          <t>5y since filing, no plan document</t>
        </is>
      </c>
      <c r="AQ320" s="30" t="inlineStr">
        <is>
          <t>03.018.339/0001-03</t>
        </is>
      </c>
      <c r="AR320" s="30" t="inlineStr">
        <is>
          <t>printed on the list (read twice)</t>
        </is>
      </c>
      <c r="AS320" s="30" t="inlineStr"/>
      <c r="AT320" s="30" t="inlineStr"/>
      <c r="AU320" s="30" t="inlineStr"/>
      <c r="AV320" s="30" t="inlineStr"/>
      <c r="AW320" s="31" t="inlineStr"/>
      <c r="AX320" s="30" t="inlineStr">
        <is>
          <t>MID-MARKET</t>
        </is>
      </c>
      <c r="AY320" s="30" t="inlineStr">
        <is>
          <t>26628896</t>
        </is>
      </c>
      <c r="AZ320" s="30" t="n">
        <v>1</v>
      </c>
      <c r="BA320" s="30" t="inlineStr">
        <is>
          <t>LIKELY_FINANCIAL_BY_NAME ROWS:p7r22 UNRECONCILED_SOURCE</t>
        </is>
      </c>
    </row>
    <row r="321">
      <c r="A321" s="16" t="inlineStr">
        <is>
          <t>BANCO DO NORDESTE DO BRASIL SA</t>
        </is>
      </c>
      <c r="B321" s="17" t="n">
        <v>402799.67</v>
      </c>
      <c r="C321" s="18" t="inlineStr">
        <is>
          <t>VENEZA SERVIÇOS ADMINISTRATIVOS LTDA.</t>
        </is>
      </c>
      <c r="D321" s="19" t="inlineStr">
        <is>
          <t>NEW</t>
        </is>
      </c>
      <c r="E321" s="20" t="inlineStr"/>
      <c r="F321" s="19" t="inlineStr"/>
      <c r="G321" s="20" t="inlineStr"/>
      <c r="H321" s="19" t="inlineStr"/>
      <c r="I321" s="21" t="inlineStr">
        <is>
          <t>Layslan Medeiros</t>
        </is>
      </c>
      <c r="J321" s="21" t="inlineStr">
        <is>
          <t>Gerente Executivo Operacional e de Recuperação de Crédito</t>
        </is>
      </c>
      <c r="K321" s="21" t="inlineStr">
        <is>
          <t>(85) 3299-3000</t>
        </is>
      </c>
      <c r="L321" s="21" t="inlineStr"/>
      <c r="M321" s="21" t="inlineStr"/>
      <c r="N321" s="21" t="inlineStr"/>
      <c r="O321" s="21" t="inlineStr">
        <is>
          <t>alexsander@bnb.gov.br</t>
        </is>
      </c>
      <c r="P321" s="21" t="inlineStr">
        <is>
          <t>Alexsander Farias</t>
        </is>
      </c>
      <c r="Q321" s="21" t="inlineStr">
        <is>
          <t>Gerente de Recuperação de Crédito</t>
        </is>
      </c>
      <c r="R321" s="21" t="inlineStr"/>
      <c r="S321" s="21" t="inlineStr">
        <is>
          <t>alexsander@bnb.gov.br</t>
        </is>
      </c>
      <c r="T321" s="21" t="inlineStr">
        <is>
          <t>no work email found in Apollo</t>
        </is>
      </c>
      <c r="U321" s="22" t="n">
        <v>402799.67</v>
      </c>
      <c r="V321" s="23" t="inlineStr">
        <is>
          <t>B</t>
        </is>
      </c>
      <c r="W321" s="24">
        <f>IFERROR(VLOOKUP(V321,Assumptions!$A$7:$F$11,2,FALSE),0)</f>
        <v/>
      </c>
      <c r="X321" s="25">
        <f>IF(V321="A",MAX(1,IFERROR(VLOOKUP(V321,Assumptions!$A$7:$F$11,3,FALSE),3)+IFERROR(VLOOKUP(V321,Assumptions!$A$7:$F$11,4,FALSE),8)/2-MAX(0,IF(AO321="",0,YEAR(TODAY())-AO321)-IFERROR(VLOOKUP(V321,Assumptions!$A$7:$F$11,5,FALSE),1.5))),IFERROR(VLOOKUP(V321,Assumptions!$A$7:$F$11,5,FALSE),2.5)+IFERROR(VLOOKUP(V321,Assumptions!$A$7:$F$11,3,FALSE),3)+IFERROR(VLOOKUP(V321,Assumptions!$A$7:$F$11,4,FALSE),8)/2)</f>
        <v/>
      </c>
      <c r="Y321" s="22">
        <f>U321*W321/(1+Assumptions!$B$3)^X321</f>
        <v/>
      </c>
      <c r="Z321" s="26">
        <f>IF(U321=0,"",ROUND(Y321/U321*100,1))</f>
        <v/>
      </c>
      <c r="AA321" s="27">
        <f>Y321*Assumptions!$B$4</f>
        <v/>
      </c>
      <c r="AB321" s="26">
        <f>IF(U321=0,"",ROUND(AA321/U321*100,1))</f>
        <v/>
      </c>
      <c r="AC321" s="27">
        <f>Y321-AA321</f>
        <v/>
      </c>
      <c r="AD321" s="26">
        <f>IF(U321=0,"",ROUND((Y321-AA321)/U321*100,1))</f>
        <v/>
      </c>
      <c r="AE321" s="28" t="inlineStr">
        <is>
          <t>OK — totals reconciled</t>
        </is>
      </c>
      <c r="AF321" s="29" t="inlineStr">
        <is>
          <t>https://bugarimecoelho.com.br/ws/media-library/b6b7ea42b9fa2afe30bc728fe00cd5c6/07---edital-do-processamento-da-recuperacao-judicial.pdf</t>
        </is>
      </c>
      <c r="AG321" s="28" t="inlineStr">
        <is>
          <t>p16 r11</t>
        </is>
      </c>
      <c r="AH321" s="28" t="inlineStr">
        <is>
          <t>p16: R$ 402.799,67</t>
        </is>
      </c>
      <c r="AI321" s="28" t="inlineStr">
        <is>
          <t>Unclassified list</t>
        </is>
      </c>
      <c r="AJ321" s="28" t="inlineStr">
        <is>
          <t>2026-07-09</t>
        </is>
      </c>
      <c r="AK321" s="28" t="inlineStr">
        <is>
          <t>NONE FOUND</t>
        </is>
      </c>
      <c r="AL321" s="30" t="inlineStr">
        <is>
          <t>3000117-40.2025.8.06.0512</t>
        </is>
      </c>
      <c r="AM321" s="30" t="inlineStr">
        <is>
          <t>TJCE</t>
        </is>
      </c>
      <c r="AN321" s="30" t="inlineStr">
        <is>
          <t>ACTIVE</t>
        </is>
      </c>
      <c r="AO321" s="30" t="n">
        <v>2025</v>
      </c>
      <c r="AP321" s="30" t="inlineStr">
        <is>
          <t>live case, no plan document yet</t>
        </is>
      </c>
      <c r="AQ321" s="30" t="inlineStr">
        <is>
          <t>11.399.787/0001-22</t>
        </is>
      </c>
      <c r="AR321" s="30" t="inlineStr">
        <is>
          <t>printed on the list (read twice)</t>
        </is>
      </c>
      <c r="AS321" s="30" t="inlineStr">
        <is>
          <t>FORTALEZA</t>
        </is>
      </c>
      <c r="AT321" s="30" t="inlineStr">
        <is>
          <t>CE</t>
        </is>
      </c>
      <c r="AU321" s="30" t="inlineStr">
        <is>
          <t>Bancos múltiplos, com carteira comercial</t>
        </is>
      </c>
      <c r="AV321" s="30" t="inlineStr">
        <is>
          <t>DEMAIS</t>
        </is>
      </c>
      <c r="AW321" s="31" t="n">
        <v>15139032000</v>
      </c>
      <c r="AX321" s="30" t="inlineStr">
        <is>
          <t>LARGE CORP</t>
        </is>
      </c>
      <c r="AY321" s="30" t="inlineStr">
        <is>
          <t>07237373</t>
        </is>
      </c>
      <c r="AZ321" s="30" t="n">
        <v>1</v>
      </c>
      <c r="BA321" s="30" t="inlineStr">
        <is>
          <t>LIKELY_FINANCIAL_BY_NAME ROWS:p16r11</t>
        </is>
      </c>
    </row>
    <row r="322">
      <c r="A322" s="16" t="inlineStr">
        <is>
          <t>W K SECURITIZADORA S.A.</t>
        </is>
      </c>
      <c r="B322" s="17" t="n">
        <v>402501.34</v>
      </c>
      <c r="C322" s="18" t="inlineStr">
        <is>
          <t>Alto Uruguai Indústria e Comércio de Óleos Ltda</t>
        </is>
      </c>
      <c r="D322" s="19" t="inlineStr">
        <is>
          <t>NEW</t>
        </is>
      </c>
      <c r="E322" s="20" t="inlineStr"/>
      <c r="F322" s="19" t="inlineStr"/>
      <c r="G322" s="20" t="inlineStr"/>
      <c r="H322" s="19" t="inlineStr"/>
      <c r="I322" s="21" t="inlineStr"/>
      <c r="J322" s="21" t="inlineStr"/>
      <c r="K322" s="21" t="inlineStr"/>
      <c r="L322" s="21" t="inlineStr"/>
      <c r="M322" s="21" t="inlineStr"/>
      <c r="N322" s="21" t="inlineStr"/>
      <c r="O322" s="21" t="inlineStr"/>
      <c r="P322" s="21" t="inlineStr"/>
      <c r="Q322" s="21" t="inlineStr"/>
      <c r="R322" s="21" t="inlineStr"/>
      <c r="S322" s="21" t="inlineStr"/>
      <c r="T322" s="21" t="inlineStr">
        <is>
          <t>no named contact found</t>
        </is>
      </c>
      <c r="U322" s="22" t="n">
        <v>402501.34</v>
      </c>
      <c r="V322" s="23" t="inlineStr">
        <is>
          <t>B</t>
        </is>
      </c>
      <c r="W322" s="24">
        <f>IFERROR(VLOOKUP(V322,Assumptions!$A$7:$F$11,2,FALSE),0)</f>
        <v/>
      </c>
      <c r="X322" s="25">
        <f>IF(V322="A",MAX(1,IFERROR(VLOOKUP(V322,Assumptions!$A$7:$F$11,3,FALSE),3)+IFERROR(VLOOKUP(V322,Assumptions!$A$7:$F$11,4,FALSE),8)/2-MAX(0,IF(AO322="",0,YEAR(TODAY())-AO322)-IFERROR(VLOOKUP(V322,Assumptions!$A$7:$F$11,5,FALSE),1.5))),IFERROR(VLOOKUP(V322,Assumptions!$A$7:$F$11,5,FALSE),2.5)+IFERROR(VLOOKUP(V322,Assumptions!$A$7:$F$11,3,FALSE),3)+IFERROR(VLOOKUP(V322,Assumptions!$A$7:$F$11,4,FALSE),8)/2)</f>
        <v/>
      </c>
      <c r="Y322" s="22">
        <f>U322*W322/(1+Assumptions!$B$3)^X322</f>
        <v/>
      </c>
      <c r="Z322" s="26">
        <f>IF(U322=0,"",ROUND(Y322/U322*100,1))</f>
        <v/>
      </c>
      <c r="AA322" s="27">
        <f>Y322*Assumptions!$B$4</f>
        <v/>
      </c>
      <c r="AB322" s="26">
        <f>IF(U322=0,"",ROUND(AA322/U322*100,1))</f>
        <v/>
      </c>
      <c r="AC322" s="27">
        <f>Y322-AA322</f>
        <v/>
      </c>
      <c r="AD322" s="26">
        <f>IF(U322=0,"",ROUND((Y322-AA322)/U322*100,1))</f>
        <v/>
      </c>
      <c r="AE322" s="28" t="inlineStr">
        <is>
          <t>OK — totals reconciled</t>
        </is>
      </c>
      <c r="AF322" s="29" t="inlineStr">
        <is>
          <t>https://ajruiz.com.br/sites/default/files/public/arquivos-processos/2026-06/alto_uruguai_qgc_junho.2026.pdf</t>
        </is>
      </c>
      <c r="AG322" s="28" t="inlineStr">
        <is>
          <t>p1 r37</t>
        </is>
      </c>
      <c r="AH322" s="28" t="inlineStr">
        <is>
          <t>p1: R$ 402.501,34</t>
        </is>
      </c>
      <c r="AI322" s="28" t="inlineStr">
        <is>
          <t>Unclassified list</t>
        </is>
      </c>
      <c r="AJ322" s="28" t="inlineStr"/>
      <c r="AK322" s="28" t="inlineStr">
        <is>
          <t>NONE FOUND</t>
        </is>
      </c>
      <c r="AL322" s="30" t="inlineStr">
        <is>
          <t>5012743-51.2023.8.24.0019</t>
        </is>
      </c>
      <c r="AM322" s="30" t="inlineStr">
        <is>
          <t>TJSC</t>
        </is>
      </c>
      <c r="AN322" s="30" t="inlineStr">
        <is>
          <t>ACTIVE</t>
        </is>
      </c>
      <c r="AO322" s="30" t="n">
        <v>2023</v>
      </c>
      <c r="AP322" s="30" t="inlineStr">
        <is>
          <t>live case, no plan document yet</t>
        </is>
      </c>
      <c r="AQ322" s="30" t="inlineStr"/>
      <c r="AR322" s="30" t="inlineStr">
        <is>
          <t>printed on the list (read twice)</t>
        </is>
      </c>
      <c r="AS322" s="30" t="inlineStr"/>
      <c r="AT322" s="30" t="inlineStr"/>
      <c r="AU322" s="30" t="inlineStr"/>
      <c r="AV322" s="30" t="inlineStr"/>
      <c r="AW322" s="31" t="inlineStr"/>
      <c r="AX322" s="30" t="inlineStr">
        <is>
          <t>MID-MARKET</t>
        </is>
      </c>
      <c r="AY322" s="30" t="inlineStr">
        <is>
          <t>40373446</t>
        </is>
      </c>
      <c r="AZ322" s="30" t="n">
        <v>1</v>
      </c>
      <c r="BA322" s="30" t="inlineStr">
        <is>
          <t>LIKELY_FINANCIAL_BY_NAME ROWS:p1r37 VALUE_COL:Valor_Do_Crédito</t>
        </is>
      </c>
    </row>
    <row r="323">
      <c r="A323" s="16" t="inlineStr">
        <is>
          <t>RNX FUNDO DE INVESTIMENTO EM DIREITOS CREDITORIOS MULTISSETORIAL</t>
        </is>
      </c>
      <c r="B323" s="17" t="n">
        <v>394138.08</v>
      </c>
      <c r="C323" s="18" t="inlineStr">
        <is>
          <t>Alto Uruguai Indústria e Comércio de Óleos Ltda</t>
        </is>
      </c>
      <c r="D323" s="19" t="inlineStr">
        <is>
          <t>NEW</t>
        </is>
      </c>
      <c r="E323" s="20" t="inlineStr"/>
      <c r="F323" s="19" t="inlineStr"/>
      <c r="G323" s="20" t="inlineStr"/>
      <c r="H323" s="19" t="inlineStr"/>
      <c r="I323" s="21" t="inlineStr">
        <is>
          <t>Tales Haubert</t>
        </is>
      </c>
      <c r="J323" s="21" t="inlineStr">
        <is>
          <t>Gerente de Crédito e Cadastro</t>
        </is>
      </c>
      <c r="K323" s="21" t="inlineStr"/>
      <c r="L323" s="21" t="inlineStr"/>
      <c r="M323" s="21" t="inlineStr"/>
      <c r="N323" s="21" t="inlineStr">
        <is>
          <t>tales@rnxfidc.com.br</t>
        </is>
      </c>
      <c r="O323" s="21" t="inlineStr">
        <is>
          <t>jose.vechini@rnxfidc.com.br</t>
        </is>
      </c>
      <c r="P323" s="21" t="inlineStr">
        <is>
          <t>Jose Vechini</t>
        </is>
      </c>
      <c r="Q323" s="21" t="inlineStr">
        <is>
          <t>Credit Coordinator</t>
        </is>
      </c>
      <c r="R323" s="21" t="inlineStr"/>
      <c r="S323" s="21" t="inlineStr">
        <is>
          <t>jose.vechini@rnxfidc.com.br</t>
        </is>
      </c>
      <c r="T323" s="21" t="inlineStr">
        <is>
          <t>email verified by Apollo</t>
        </is>
      </c>
      <c r="U323" s="22" t="n">
        <v>394138.08</v>
      </c>
      <c r="V323" s="23" t="inlineStr">
        <is>
          <t>B</t>
        </is>
      </c>
      <c r="W323" s="24">
        <f>IFERROR(VLOOKUP(V323,Assumptions!$A$7:$F$11,2,FALSE),0)</f>
        <v/>
      </c>
      <c r="X323" s="25">
        <f>IF(V323="A",MAX(1,IFERROR(VLOOKUP(V323,Assumptions!$A$7:$F$11,3,FALSE),3)+IFERROR(VLOOKUP(V323,Assumptions!$A$7:$F$11,4,FALSE),8)/2-MAX(0,IF(AO323="",0,YEAR(TODAY())-AO323)-IFERROR(VLOOKUP(V323,Assumptions!$A$7:$F$11,5,FALSE),1.5))),IFERROR(VLOOKUP(V323,Assumptions!$A$7:$F$11,5,FALSE),2.5)+IFERROR(VLOOKUP(V323,Assumptions!$A$7:$F$11,3,FALSE),3)+IFERROR(VLOOKUP(V323,Assumptions!$A$7:$F$11,4,FALSE),8)/2)</f>
        <v/>
      </c>
      <c r="Y323" s="22">
        <f>U323*W323/(1+Assumptions!$B$3)^X323</f>
        <v/>
      </c>
      <c r="Z323" s="26">
        <f>IF(U323=0,"",ROUND(Y323/U323*100,1))</f>
        <v/>
      </c>
      <c r="AA323" s="27">
        <f>Y323*Assumptions!$B$4</f>
        <v/>
      </c>
      <c r="AB323" s="26">
        <f>IF(U323=0,"",ROUND(AA323/U323*100,1))</f>
        <v/>
      </c>
      <c r="AC323" s="27">
        <f>Y323-AA323</f>
        <v/>
      </c>
      <c r="AD323" s="26">
        <f>IF(U323=0,"",ROUND((Y323-AA323)/U323*100,1))</f>
        <v/>
      </c>
      <c r="AE323" s="28" t="inlineStr">
        <is>
          <t>OK — totals reconciled</t>
        </is>
      </c>
      <c r="AF323" s="29" t="inlineStr">
        <is>
          <t>https://ajruiz.com.br/sites/default/files/public/arquivos-processos/2026-06/alto_uruguai_qgc_junho.2026.pdf</t>
        </is>
      </c>
      <c r="AG323" s="28" t="inlineStr">
        <is>
          <t>p1 r34</t>
        </is>
      </c>
      <c r="AH323" s="28" t="inlineStr">
        <is>
          <t>p1: R$ 394.138,08</t>
        </is>
      </c>
      <c r="AI323" s="28" t="inlineStr">
        <is>
          <t>Unclassified list</t>
        </is>
      </c>
      <c r="AJ323" s="28" t="inlineStr"/>
      <c r="AK323" s="28" t="inlineStr">
        <is>
          <t>NONE FOUND</t>
        </is>
      </c>
      <c r="AL323" s="30" t="inlineStr">
        <is>
          <t>5012743-51.2023.8.24.0019</t>
        </is>
      </c>
      <c r="AM323" s="30" t="inlineStr">
        <is>
          <t>TJSC</t>
        </is>
      </c>
      <c r="AN323" s="30" t="inlineStr">
        <is>
          <t>ACTIVE</t>
        </is>
      </c>
      <c r="AO323" s="30" t="n">
        <v>2023</v>
      </c>
      <c r="AP323" s="30" t="inlineStr">
        <is>
          <t>live case, no plan document yet</t>
        </is>
      </c>
      <c r="AQ323" s="30" t="inlineStr"/>
      <c r="AR323" s="30" t="inlineStr">
        <is>
          <t>printed on the list (read twice)</t>
        </is>
      </c>
      <c r="AS323" s="30" t="inlineStr"/>
      <c r="AT323" s="30" t="inlineStr"/>
      <c r="AU323" s="30" t="inlineStr"/>
      <c r="AV323" s="30" t="inlineStr"/>
      <c r="AW323" s="31" t="inlineStr"/>
      <c r="AX323" s="30" t="inlineStr">
        <is>
          <t>MID-MARKET</t>
        </is>
      </c>
      <c r="AY323" s="30" t="inlineStr">
        <is>
          <t>12813212</t>
        </is>
      </c>
      <c r="AZ323" s="30" t="n">
        <v>1</v>
      </c>
      <c r="BA323" s="30" t="inlineStr">
        <is>
          <t>LIKELY_FINANCIAL_BY_NAME ROWS:p1r34 VALUE_COL:Valor_Do_Crédito</t>
        </is>
      </c>
    </row>
    <row r="324">
      <c r="A324" s="16" t="inlineStr">
        <is>
          <t>BANCO SAFRA S A</t>
        </is>
      </c>
      <c r="B324" s="17" t="n">
        <v>393908.14</v>
      </c>
      <c r="C324" s="18" t="inlineStr">
        <is>
          <t>B1 COMÉRCIO DE MANUFATURADOS LTDA</t>
        </is>
      </c>
      <c r="D324" s="19" t="inlineStr">
        <is>
          <t>NEW</t>
        </is>
      </c>
      <c r="E324" s="20" t="inlineStr"/>
      <c r="F324" s="19" t="inlineStr"/>
      <c r="G324" s="20" t="inlineStr"/>
      <c r="H324" s="19" t="inlineStr"/>
      <c r="I324" s="21" t="inlineStr">
        <is>
          <t>Vanessa Biotti</t>
        </is>
      </c>
      <c r="J324" s="21" t="inlineStr">
        <is>
          <t>Gerente de Recuperação de Crédito</t>
        </is>
      </c>
      <c r="K324" s="21" t="inlineStr">
        <is>
          <t>(11) 3175-7575</t>
        </is>
      </c>
      <c r="L324" s="21" t="inlineStr"/>
      <c r="M324" s="21" t="inlineStr"/>
      <c r="N324" s="21" t="inlineStr">
        <is>
          <t>vanessa.biotti@safra.com.br</t>
        </is>
      </c>
      <c r="O324" s="21" t="inlineStr">
        <is>
          <t>rodrigo.anjos@safra.com.br</t>
        </is>
      </c>
      <c r="P324" s="21" t="inlineStr">
        <is>
          <t>Rodrigo Anjos</t>
        </is>
      </c>
      <c r="Q324" s="21" t="inlineStr">
        <is>
          <t>Advogado Sênior - Jurídico Contencioso - Recuperação de Crédito - NPL</t>
        </is>
      </c>
      <c r="R324" s="21" t="inlineStr"/>
      <c r="S324" s="21" t="inlineStr">
        <is>
          <t>rodrigo.anjos@safra.com.br</t>
        </is>
      </c>
      <c r="T324" s="21" t="inlineStr">
        <is>
          <t>email verified by Apollo</t>
        </is>
      </c>
      <c r="U324" s="22" t="n">
        <v>393908.14</v>
      </c>
      <c r="V324" s="23" t="inlineStr">
        <is>
          <t>B</t>
        </is>
      </c>
      <c r="W324" s="24">
        <f>IFERROR(VLOOKUP(V324,Assumptions!$A$7:$F$11,2,FALSE),0)</f>
        <v/>
      </c>
      <c r="X324" s="25">
        <f>IF(V324="A",MAX(1,IFERROR(VLOOKUP(V324,Assumptions!$A$7:$F$11,3,FALSE),3)+IFERROR(VLOOKUP(V324,Assumptions!$A$7:$F$11,4,FALSE),8)/2-MAX(0,IF(AO324="",0,YEAR(TODAY())-AO324)-IFERROR(VLOOKUP(V324,Assumptions!$A$7:$F$11,5,FALSE),1.5))),IFERROR(VLOOKUP(V324,Assumptions!$A$7:$F$11,5,FALSE),2.5)+IFERROR(VLOOKUP(V324,Assumptions!$A$7:$F$11,3,FALSE),3)+IFERROR(VLOOKUP(V324,Assumptions!$A$7:$F$11,4,FALSE),8)/2)</f>
        <v/>
      </c>
      <c r="Y324" s="22">
        <f>U324*W324/(1+Assumptions!$B$3)^X324</f>
        <v/>
      </c>
      <c r="Z324" s="26">
        <f>IF(U324=0,"",ROUND(Y324/U324*100,1))</f>
        <v/>
      </c>
      <c r="AA324" s="27">
        <f>Y324*Assumptions!$B$4</f>
        <v/>
      </c>
      <c r="AB324" s="26">
        <f>IF(U324=0,"",ROUND(AA324/U324*100,1))</f>
        <v/>
      </c>
      <c r="AC324" s="27">
        <f>Y324-AA324</f>
        <v/>
      </c>
      <c r="AD324" s="26">
        <f>IF(U324=0,"",ROUND((Y324-AA324)/U324*100,1))</f>
        <v/>
      </c>
      <c r="AE324" s="33" t="inlineStr">
        <is>
          <t>NO TOTALS — list prints none; check page</t>
        </is>
      </c>
      <c r="AF324" s="29" t="inlineStr">
        <is>
          <t>https://marquesadmjudicial.com.br/sgc/download.php?file=files/processo_documento/processo_documento18581929042026_1_.pdf&amp;nome=3º Edital - Relação de Credores e PRJ</t>
        </is>
      </c>
      <c r="AG324" s="28" t="inlineStr">
        <is>
          <t>p1 r38</t>
        </is>
      </c>
      <c r="AH324" s="28" t="inlineStr">
        <is>
          <t>p1: R$ 393.908,14</t>
        </is>
      </c>
      <c r="AI324" s="28" t="inlineStr">
        <is>
          <t>AJ list (art. 7 §2)</t>
        </is>
      </c>
      <c r="AJ324" s="28" t="inlineStr">
        <is>
          <t>2025-09-12</t>
        </is>
      </c>
      <c r="AK324" s="28" t="inlineStr">
        <is>
          <t>NONE FOUND</t>
        </is>
      </c>
      <c r="AL324" s="30" t="inlineStr">
        <is>
          <t>0043030-30.2025.8.16.0021</t>
        </is>
      </c>
      <c r="AM324" s="30" t="inlineStr">
        <is>
          <t>TJPR</t>
        </is>
      </c>
      <c r="AN324" s="30" t="inlineStr">
        <is>
          <t>ACTIVE</t>
        </is>
      </c>
      <c r="AO324" s="30" t="n">
        <v>2025</v>
      </c>
      <c r="AP324" s="30" t="inlineStr">
        <is>
          <t>live case, no plan document yet</t>
        </is>
      </c>
      <c r="AQ324" s="30" t="inlineStr">
        <is>
          <t>29.448.809/0001-62</t>
        </is>
      </c>
      <c r="AR324" s="30" t="inlineStr">
        <is>
          <t>printed on the list (read twice)</t>
        </is>
      </c>
      <c r="AS324" s="30" t="inlineStr">
        <is>
          <t>SAO PAULO</t>
        </is>
      </c>
      <c r="AT324" s="30" t="inlineStr">
        <is>
          <t>SP</t>
        </is>
      </c>
      <c r="AU324" s="30" t="inlineStr">
        <is>
          <t>Bancos múltiplos, com carteira comercial</t>
        </is>
      </c>
      <c r="AV324" s="30" t="inlineStr">
        <is>
          <t>DEMAIS</t>
        </is>
      </c>
      <c r="AW324" s="31" t="n">
        <v>13924903000</v>
      </c>
      <c r="AX324" s="30" t="inlineStr">
        <is>
          <t>LARGE CORP</t>
        </is>
      </c>
      <c r="AY324" s="30" t="inlineStr">
        <is>
          <t>58160789</t>
        </is>
      </c>
      <c r="AZ324" s="30" t="n">
        <v>1</v>
      </c>
      <c r="BA324" s="30" t="inlineStr">
        <is>
          <t>LIKELY_FINANCIAL_BY_NAME ROWS:p1r38 UNRECONCILED_SOURCE</t>
        </is>
      </c>
    </row>
    <row r="325">
      <c r="A325" s="16" t="inlineStr">
        <is>
          <t>BANCO BRADESCO S.A.</t>
        </is>
      </c>
      <c r="B325" s="17" t="n">
        <v>393478.57</v>
      </c>
      <c r="C325" s="18" t="inlineStr">
        <is>
          <t>AZEPLAST INDÚSTRIA E COMÉRCIO LTDA</t>
        </is>
      </c>
      <c r="D325" s="19" t="inlineStr">
        <is>
          <t>NEW</t>
        </is>
      </c>
      <c r="E325" s="20" t="inlineStr"/>
      <c r="F325" s="19" t="inlineStr"/>
      <c r="G325" s="20" t="inlineStr"/>
      <c r="H325" s="19" t="inlineStr"/>
      <c r="I325" s="21" t="inlineStr">
        <is>
          <t>Marcela Martins</t>
        </is>
      </c>
      <c r="J325" s="21" t="inlineStr">
        <is>
          <t>Superintendente de Recuperação de Crédito - Canais e Operações</t>
        </is>
      </c>
      <c r="K325" s="21" t="inlineStr">
        <is>
          <t>(11) 3684-5122</t>
        </is>
      </c>
      <c r="L325" s="21" t="inlineStr"/>
      <c r="M325" s="21" t="inlineStr"/>
      <c r="N325" s="21" t="inlineStr"/>
      <c r="O325" s="21" t="inlineStr">
        <is>
          <t>sl@bradesco.com.br</t>
        </is>
      </c>
      <c r="P325" s="21" t="inlineStr">
        <is>
          <t>Luis S</t>
        </is>
      </c>
      <c r="Q325" s="21" t="inlineStr">
        <is>
          <t>DRC - Departamento de Recuperação de Crédito - Gerente de Reestruturação de Crédito</t>
        </is>
      </c>
      <c r="R325" s="21" t="inlineStr"/>
      <c r="S325" s="21" t="inlineStr">
        <is>
          <t>sl@bradesco.com.br</t>
        </is>
      </c>
      <c r="T325" s="21" t="inlineStr">
        <is>
          <t>no work email found in Apollo</t>
        </is>
      </c>
      <c r="U325" s="22" t="n">
        <v>393478.57</v>
      </c>
      <c r="V325" s="23" t="inlineStr">
        <is>
          <t>B</t>
        </is>
      </c>
      <c r="W325" s="24">
        <f>IFERROR(VLOOKUP(V325,Assumptions!$A$7:$F$11,2,FALSE),0)</f>
        <v/>
      </c>
      <c r="X325" s="25">
        <f>IF(V325="A",MAX(1,IFERROR(VLOOKUP(V325,Assumptions!$A$7:$F$11,3,FALSE),3)+IFERROR(VLOOKUP(V325,Assumptions!$A$7:$F$11,4,FALSE),8)/2-MAX(0,IF(AO325="",0,YEAR(TODAY())-AO325)-IFERROR(VLOOKUP(V325,Assumptions!$A$7:$F$11,5,FALSE),1.5))),IFERROR(VLOOKUP(V325,Assumptions!$A$7:$F$11,5,FALSE),2.5)+IFERROR(VLOOKUP(V325,Assumptions!$A$7:$F$11,3,FALSE),3)+IFERROR(VLOOKUP(V325,Assumptions!$A$7:$F$11,4,FALSE),8)/2)</f>
        <v/>
      </c>
      <c r="Y325" s="22">
        <f>U325*W325/(1+Assumptions!$B$3)^X325</f>
        <v/>
      </c>
      <c r="Z325" s="26">
        <f>IF(U325=0,"",ROUND(Y325/U325*100,1))</f>
        <v/>
      </c>
      <c r="AA325" s="27">
        <f>Y325*Assumptions!$B$4</f>
        <v/>
      </c>
      <c r="AB325" s="26">
        <f>IF(U325=0,"",ROUND(AA325/U325*100,1))</f>
        <v/>
      </c>
      <c r="AC325" s="27">
        <f>Y325-AA325</f>
        <v/>
      </c>
      <c r="AD325" s="26">
        <f>IF(U325=0,"",ROUND((Y325-AA325)/U325*100,1))</f>
        <v/>
      </c>
      <c r="AE325" s="34" t="inlineStr">
        <is>
          <t>PARTIAL — class III reconciled, other classes not</t>
        </is>
      </c>
      <c r="AF325" s="29" t="inlineStr">
        <is>
          <t>https://ajruiz.com.br/sites/default/files/public/arquivos-processos/2026-08/qgc_azeplast_julho_2026.pdf</t>
        </is>
      </c>
      <c r="AG325" s="28" t="inlineStr">
        <is>
          <t>p1 r7</t>
        </is>
      </c>
      <c r="AH325" s="28" t="inlineStr">
        <is>
          <t>p1: R$ 393.478,57</t>
        </is>
      </c>
      <c r="AI325" s="28" t="inlineStr">
        <is>
          <t>QGC (art. 18)</t>
        </is>
      </c>
      <c r="AJ325" s="28" t="inlineStr"/>
      <c r="AK325" s="28" t="inlineStr">
        <is>
          <t>NONE FOUND</t>
        </is>
      </c>
      <c r="AL325" s="30" t="inlineStr">
        <is>
          <t>5008793-34.2023.8.24.0019</t>
        </is>
      </c>
      <c r="AM325" s="30" t="inlineStr">
        <is>
          <t>TJSC</t>
        </is>
      </c>
      <c r="AN325" s="30" t="inlineStr">
        <is>
          <t>ACTIVE</t>
        </is>
      </c>
      <c r="AO325" s="30" t="n">
        <v>2023</v>
      </c>
      <c r="AP325" s="30" t="inlineStr">
        <is>
          <t>live case, no plan document yet</t>
        </is>
      </c>
      <c r="AQ325" s="30" t="inlineStr">
        <is>
          <t>05.378.317/0001-80</t>
        </is>
      </c>
      <c r="AR325" s="30" t="inlineStr">
        <is>
          <t>printed on the list (read twice)</t>
        </is>
      </c>
      <c r="AS325" s="30" t="inlineStr">
        <is>
          <t>OSASCO</t>
        </is>
      </c>
      <c r="AT325" s="30" t="inlineStr">
        <is>
          <t>SP</t>
        </is>
      </c>
      <c r="AU325" s="30" t="inlineStr">
        <is>
          <t>Bancos múltiplos, com carteira comercial</t>
        </is>
      </c>
      <c r="AV325" s="30" t="inlineStr">
        <is>
          <t>DEMAIS</t>
        </is>
      </c>
      <c r="AW325" s="31" t="n">
        <v>93770000000</v>
      </c>
      <c r="AX325" s="30" t="inlineStr">
        <is>
          <t>LARGE CORP</t>
        </is>
      </c>
      <c r="AY325" s="30" t="inlineStr">
        <is>
          <t>60746948</t>
        </is>
      </c>
      <c r="AZ325" s="30" t="n">
        <v>1</v>
      </c>
      <c r="BA325" s="30" t="inlineStr">
        <is>
          <t>LIKELY_FINANCIAL_BY_NAME PARTIAL_DOC_CLASS_III_RECONCILED ROWS:p1r7</t>
        </is>
      </c>
    </row>
    <row r="326">
      <c r="A326" s="16" t="inlineStr">
        <is>
          <t>BANCO VOTORANTIM S.A.</t>
        </is>
      </c>
      <c r="B326" s="17" t="n">
        <v>2791496.59</v>
      </c>
      <c r="C326" s="18" t="inlineStr">
        <is>
          <t>Mannes</t>
        </is>
      </c>
      <c r="D326" s="19" t="inlineStr">
        <is>
          <t>NEW</t>
        </is>
      </c>
      <c r="E326" s="20" t="inlineStr"/>
      <c r="F326" s="19" t="inlineStr"/>
      <c r="G326" s="20" t="inlineStr"/>
      <c r="H326" s="19" t="inlineStr"/>
      <c r="I326" s="21" t="inlineStr">
        <is>
          <t>Red Silva</t>
        </is>
      </c>
      <c r="J326" s="21" t="inlineStr">
        <is>
          <t>Special Assets - Banker Senior</t>
        </is>
      </c>
      <c r="K326" s="21" t="inlineStr">
        <is>
          <t>(11) 5171-2672</t>
        </is>
      </c>
      <c r="L326" s="21" t="inlineStr">
        <is>
          <t>(11) 5171-2488</t>
        </is>
      </c>
      <c r="M326" s="21" t="inlineStr"/>
      <c r="N326" s="21" t="inlineStr">
        <is>
          <t>red.silva@bv.com.br</t>
        </is>
      </c>
      <c r="O326" s="21" t="inlineStr">
        <is>
          <t>caroline.oishi@bv.com.br</t>
        </is>
      </c>
      <c r="P326" s="21" t="inlineStr">
        <is>
          <t>Caroline Oishi</t>
        </is>
      </c>
      <c r="Q326" s="21" t="inlineStr">
        <is>
          <t>Gerente Executivo de Recuperação de Crédito</t>
        </is>
      </c>
      <c r="R326" s="21" t="inlineStr"/>
      <c r="S326" s="21" t="inlineStr">
        <is>
          <t>caroline.oishi@bv.com.br</t>
        </is>
      </c>
      <c r="T326" s="21" t="inlineStr">
        <is>
          <t>email verified by Apollo</t>
        </is>
      </c>
      <c r="U326" s="22" t="n">
        <v>2791496.59</v>
      </c>
      <c r="V326" s="39" t="inlineStr">
        <is>
          <t>D</t>
        </is>
      </c>
      <c r="W326" s="24">
        <f>IFERROR(VLOOKUP(V326,Assumptions!$A$7:$F$11,2,FALSE),0)</f>
        <v/>
      </c>
      <c r="X326" s="25">
        <f>IF(V326="A",MAX(1,IFERROR(VLOOKUP(V326,Assumptions!$A$7:$F$11,3,FALSE),3)+IFERROR(VLOOKUP(V326,Assumptions!$A$7:$F$11,4,FALSE),8)/2-MAX(0,IF(AO326="",0,YEAR(TODAY())-AO326)-IFERROR(VLOOKUP(V326,Assumptions!$A$7:$F$11,5,FALSE),1.5))),IFERROR(VLOOKUP(V326,Assumptions!$A$7:$F$11,5,FALSE),2.5)+IFERROR(VLOOKUP(V326,Assumptions!$A$7:$F$11,3,FALSE),3)+IFERROR(VLOOKUP(V326,Assumptions!$A$7:$F$11,4,FALSE),8)/2)</f>
        <v/>
      </c>
      <c r="Y326" s="22">
        <f>U326*W326/(1+Assumptions!$B$3)^X326</f>
        <v/>
      </c>
      <c r="Z326" s="26">
        <f>IF(U326=0,"",ROUND(Y326/U326*100,1))</f>
        <v/>
      </c>
      <c r="AA326" s="27">
        <f>Y326*Assumptions!$B$4</f>
        <v/>
      </c>
      <c r="AB326" s="26">
        <f>IF(U326=0,"",ROUND(AA326/U326*100,1))</f>
        <v/>
      </c>
      <c r="AC326" s="27">
        <f>Y326-AA326</f>
        <v/>
      </c>
      <c r="AD326" s="26">
        <f>IF(U326=0,"",ROUND((Y326-AA326)/U326*100,1))</f>
        <v/>
      </c>
      <c r="AE326" s="36" t="inlineStr">
        <is>
          <t>CHECK — source is not a statutory creditor list</t>
        </is>
      </c>
      <c r="AF326" s="29" t="inlineStr">
        <is>
          <t>https://administradorajudicialgs.com.br/wp-content/uploads/2024/12/relacao-de-credores-da-falida.pdf</t>
        </is>
      </c>
      <c r="AG326" s="28" t="inlineStr">
        <is>
          <t>p13 r12</t>
        </is>
      </c>
      <c r="AH326" s="28" t="inlineStr">
        <is>
          <t>p13: R$ 2.791.496,59</t>
        </is>
      </c>
      <c r="AI326" s="28" t="inlineStr">
        <is>
          <t>Other filing — NOT an art. 7/51 list</t>
        </is>
      </c>
      <c r="AJ326" s="28" t="inlineStr">
        <is>
          <t>2025-03-25</t>
        </is>
      </c>
      <c r="AK326" s="28" t="inlineStr">
        <is>
          <t>NONE FOUND</t>
        </is>
      </c>
      <c r="AL326" s="30" t="inlineStr">
        <is>
          <t>0005010-50.2013.8.24.0026</t>
        </is>
      </c>
      <c r="AM326" s="30" t="inlineStr">
        <is>
          <t>TJSC</t>
        </is>
      </c>
      <c r="AN326" s="30" t="inlineStr"/>
      <c r="AO326" s="30" t="n">
        <v>2013</v>
      </c>
      <c r="AP326" s="30" t="inlineStr">
        <is>
          <t>document is a falência (bankruptcy) list</t>
        </is>
      </c>
      <c r="AQ326" s="30" t="inlineStr"/>
      <c r="AR326" s="30" t="inlineStr">
        <is>
          <t>printed on the list (read twice)</t>
        </is>
      </c>
      <c r="AS326" s="30" t="inlineStr">
        <is>
          <t>SAO PAULO</t>
        </is>
      </c>
      <c r="AT326" s="30" t="inlineStr">
        <is>
          <t>SP</t>
        </is>
      </c>
      <c r="AU326" s="30" t="inlineStr">
        <is>
          <t>Bancos múltiplos, com carteira comercial</t>
        </is>
      </c>
      <c r="AV326" s="30" t="inlineStr">
        <is>
          <t>DEMAIS</t>
        </is>
      </c>
      <c r="AW326" s="31" t="n">
        <v>8480372000</v>
      </c>
      <c r="AX326" s="30" t="inlineStr">
        <is>
          <t>LARGE CORP</t>
        </is>
      </c>
      <c r="AY326" s="30" t="inlineStr">
        <is>
          <t>59588111</t>
        </is>
      </c>
      <c r="AZ326" s="30" t="n">
        <v>1</v>
      </c>
      <c r="BA326" s="30" t="inlineStr">
        <is>
          <t>LIKELY_FINANCIAL_BY_NAME ROWS:p13r12 UNRECONCILED_SOURCE CASE_NUMBER_CORRECTED</t>
        </is>
      </c>
    </row>
    <row r="327">
      <c r="A327" s="16" t="inlineStr">
        <is>
          <t>NOVA CAPITAL FUNDO DE INVESTIMENTO EM DIREITOS CREDITO</t>
        </is>
      </c>
      <c r="B327" s="17" t="n">
        <v>387460.38</v>
      </c>
      <c r="C327" s="18" t="inlineStr">
        <is>
          <t>GRUPO DIVINA</t>
        </is>
      </c>
      <c r="D327" s="19" t="inlineStr">
        <is>
          <t>NEW</t>
        </is>
      </c>
      <c r="E327" s="20" t="inlineStr"/>
      <c r="F327" s="19" t="inlineStr"/>
      <c r="G327" s="20" t="inlineStr"/>
      <c r="H327" s="19" t="inlineStr"/>
      <c r="I327" s="21" t="inlineStr">
        <is>
          <t>Alana Silveira</t>
        </is>
      </c>
      <c r="J327" s="21" t="inlineStr">
        <is>
          <t>Coordenadora de Crédito e Cobrança</t>
        </is>
      </c>
      <c r="K327" s="21" t="inlineStr"/>
      <c r="L327" s="21" t="inlineStr"/>
      <c r="M327" s="21" t="inlineStr"/>
      <c r="N327" s="21" t="inlineStr">
        <is>
          <t>alana@novacapitalsa.com.br</t>
        </is>
      </c>
      <c r="O327" s="21" t="inlineStr">
        <is>
          <t>taina@novacapitalsa.com.br</t>
        </is>
      </c>
      <c r="P327" s="21" t="inlineStr">
        <is>
          <t>Taina Lencina</t>
        </is>
      </c>
      <c r="Q327" s="21" t="inlineStr">
        <is>
          <t>Credit Coordinator</t>
        </is>
      </c>
      <c r="R327" s="21" t="inlineStr"/>
      <c r="S327" s="21" t="inlineStr">
        <is>
          <t>taina@novacapitalsa.com.br</t>
        </is>
      </c>
      <c r="T327" s="21" t="inlineStr">
        <is>
          <t>email verified by Apollo</t>
        </is>
      </c>
      <c r="U327" s="22" t="n">
        <v>387460.38</v>
      </c>
      <c r="V327" s="23" t="inlineStr">
        <is>
          <t>B</t>
        </is>
      </c>
      <c r="W327" s="24">
        <f>IFERROR(VLOOKUP(V327,Assumptions!$A$7:$F$11,2,FALSE),0)</f>
        <v/>
      </c>
      <c r="X327" s="25">
        <f>IF(V327="A",MAX(1,IFERROR(VLOOKUP(V327,Assumptions!$A$7:$F$11,3,FALSE),3)+IFERROR(VLOOKUP(V327,Assumptions!$A$7:$F$11,4,FALSE),8)/2-MAX(0,IF(AO327="",0,YEAR(TODAY())-AO327)-IFERROR(VLOOKUP(V327,Assumptions!$A$7:$F$11,5,FALSE),1.5))),IFERROR(VLOOKUP(V327,Assumptions!$A$7:$F$11,5,FALSE),2.5)+IFERROR(VLOOKUP(V327,Assumptions!$A$7:$F$11,3,FALSE),3)+IFERROR(VLOOKUP(V327,Assumptions!$A$7:$F$11,4,FALSE),8)/2)</f>
        <v/>
      </c>
      <c r="Y327" s="22">
        <f>U327*W327/(1+Assumptions!$B$3)^X327</f>
        <v/>
      </c>
      <c r="Z327" s="26">
        <f>IF(U327=0,"",ROUND(Y327/U327*100,1))</f>
        <v/>
      </c>
      <c r="AA327" s="27">
        <f>Y327*Assumptions!$B$4</f>
        <v/>
      </c>
      <c r="AB327" s="26">
        <f>IF(U327=0,"",ROUND(AA327/U327*100,1))</f>
        <v/>
      </c>
      <c r="AC327" s="27">
        <f>Y327-AA327</f>
        <v/>
      </c>
      <c r="AD327" s="26">
        <f>IF(U327=0,"",ROUND((Y327-AA327)/U327*100,1))</f>
        <v/>
      </c>
      <c r="AE327" s="34" t="inlineStr">
        <is>
          <t>PARTIAL — class III reconciled, other classes not</t>
        </is>
      </c>
      <c r="AF327" s="29" t="inlineStr">
        <is>
          <t>https://lrflideres.com.br/wp-content/plugins/download-attachments/includes/download.php?id=6252</t>
        </is>
      </c>
      <c r="AG327" s="28" t="inlineStr">
        <is>
          <t>p2 r64</t>
        </is>
      </c>
      <c r="AH327" s="28" t="inlineStr">
        <is>
          <t>p2: R$ 387.460,38</t>
        </is>
      </c>
      <c r="AI327" s="28" t="inlineStr">
        <is>
          <t>AJ list (art. 7 §2)</t>
        </is>
      </c>
      <c r="AJ327" s="28" t="inlineStr">
        <is>
          <t>2024-11-27</t>
        </is>
      </c>
      <c r="AK327" s="28" t="inlineStr">
        <is>
          <t>NONE FOUND</t>
        </is>
      </c>
      <c r="AL327" s="30" t="inlineStr">
        <is>
          <t>0000721-61.2024.8.17.2620</t>
        </is>
      </c>
      <c r="AM327" s="30" t="inlineStr">
        <is>
          <t>TJPE</t>
        </is>
      </c>
      <c r="AN327" s="30" t="inlineStr">
        <is>
          <t>ACTIVE</t>
        </is>
      </c>
      <c r="AO327" s="30" t="n">
        <v>2024</v>
      </c>
      <c r="AP327" s="30" t="inlineStr">
        <is>
          <t>live case, no plan document yet</t>
        </is>
      </c>
      <c r="AQ327" s="30" t="inlineStr">
        <is>
          <t>08.785.522/0001-58</t>
        </is>
      </c>
      <c r="AR327" s="30" t="inlineStr">
        <is>
          <t>printed on the list (read twice)</t>
        </is>
      </c>
      <c r="AS327" s="30" t="inlineStr"/>
      <c r="AT327" s="30" t="inlineStr"/>
      <c r="AU327" s="30" t="inlineStr"/>
      <c r="AV327" s="30" t="inlineStr"/>
      <c r="AW327" s="31" t="inlineStr"/>
      <c r="AX327" s="30" t="inlineStr">
        <is>
          <t>MID-MARKET</t>
        </is>
      </c>
      <c r="AY327" s="30" t="inlineStr">
        <is>
          <t>33289359</t>
        </is>
      </c>
      <c r="AZ327" s="30" t="n">
        <v>1</v>
      </c>
      <c r="BA327" s="30" t="inlineStr">
        <is>
          <t>LIKELY_FINANCIAL_BY_NAME PARTIAL_DOC_CLASS_III_RECONCILED ROWS:p2r64</t>
        </is>
      </c>
    </row>
    <row r="328">
      <c r="A328" s="16" t="inlineStr">
        <is>
          <t>ITAU UNIBANCO S.A.</t>
        </is>
      </c>
      <c r="B328" s="17" t="n">
        <v>1501468.8</v>
      </c>
      <c r="C328" s="18" t="inlineStr">
        <is>
          <t>CONSTRUTORA ANDRADE GUEDES LTDA</t>
        </is>
      </c>
      <c r="D328" s="19" t="inlineStr">
        <is>
          <t>NEW</t>
        </is>
      </c>
      <c r="E328" s="20" t="inlineStr"/>
      <c r="F328" s="19" t="inlineStr"/>
      <c r="G328" s="20" t="inlineStr"/>
      <c r="H328" s="19" t="inlineStr"/>
      <c r="I328" s="21" t="inlineStr">
        <is>
          <t>Murilo Gigliucci</t>
        </is>
      </c>
      <c r="J328" s="21" t="inlineStr">
        <is>
          <t>Superintendente de Reestruturação de Crédito</t>
        </is>
      </c>
      <c r="K328" s="21" t="inlineStr">
        <is>
          <t>(11) 3003-4828</t>
        </is>
      </c>
      <c r="L328" s="21" t="inlineStr"/>
      <c r="M328" s="21" t="inlineStr"/>
      <c r="N328" s="21" t="inlineStr">
        <is>
          <t>murilo.gigliucci@itau-unibanco.com.br</t>
        </is>
      </c>
      <c r="O328" s="21" t="inlineStr">
        <is>
          <t>pedro.ornellas-geronimo@itau-unibanco.com.br</t>
        </is>
      </c>
      <c r="P328" s="21" t="inlineStr">
        <is>
          <t>Pedro Ornellas</t>
        </is>
      </c>
      <c r="Q328" s="21" t="inlineStr">
        <is>
          <t>Superintendente de Recuperação de Crédito</t>
        </is>
      </c>
      <c r="R328" s="21" t="inlineStr"/>
      <c r="S328" s="21" t="inlineStr">
        <is>
          <t>pedro.ornellas-geronimo@itau-unibanco.com.br</t>
        </is>
      </c>
      <c r="T328" s="21" t="inlineStr">
        <is>
          <t>email verified by Apollo</t>
        </is>
      </c>
      <c r="U328" s="22" t="n">
        <v>1501468.8</v>
      </c>
      <c r="V328" s="38" t="inlineStr">
        <is>
          <t>C</t>
        </is>
      </c>
      <c r="W328" s="24">
        <f>IFERROR(VLOOKUP(V328,Assumptions!$A$7:$F$11,2,FALSE),0)</f>
        <v/>
      </c>
      <c r="X328" s="25">
        <f>IF(V328="A",MAX(1,IFERROR(VLOOKUP(V328,Assumptions!$A$7:$F$11,3,FALSE),3)+IFERROR(VLOOKUP(V328,Assumptions!$A$7:$F$11,4,FALSE),8)/2-MAX(0,IF(AO328="",0,YEAR(TODAY())-AO328)-IFERROR(VLOOKUP(V328,Assumptions!$A$7:$F$11,5,FALSE),1.5))),IFERROR(VLOOKUP(V328,Assumptions!$A$7:$F$11,5,FALSE),2.5)+IFERROR(VLOOKUP(V328,Assumptions!$A$7:$F$11,3,FALSE),3)+IFERROR(VLOOKUP(V328,Assumptions!$A$7:$F$11,4,FALSE),8)/2)</f>
        <v/>
      </c>
      <c r="Y328" s="22">
        <f>U328*W328/(1+Assumptions!$B$3)^X328</f>
        <v/>
      </c>
      <c r="Z328" s="26">
        <f>IF(U328=0,"",ROUND(Y328/U328*100,1))</f>
        <v/>
      </c>
      <c r="AA328" s="27">
        <f>Y328*Assumptions!$B$4</f>
        <v/>
      </c>
      <c r="AB328" s="26">
        <f>IF(U328=0,"",ROUND(AA328/U328*100,1))</f>
        <v/>
      </c>
      <c r="AC328" s="27">
        <f>Y328-AA328</f>
        <v/>
      </c>
      <c r="AD328" s="26">
        <f>IF(U328=0,"",ROUND((Y328-AA328)/U328*100,1))</f>
        <v/>
      </c>
      <c r="AE328" s="33" t="inlineStr">
        <is>
          <t>NO TOTALS — list prints none; check page</t>
        </is>
      </c>
      <c r="AF328" s="29" t="inlineStr">
        <is>
          <t>https://diligence.adm.br/wp-content/plugins/download-attachments/includes/download.php?id=4599</t>
        </is>
      </c>
      <c r="AG328" s="28" t="inlineStr">
        <is>
          <t>p10 r40</t>
        </is>
      </c>
      <c r="AH328" s="28" t="inlineStr">
        <is>
          <t>p10: R$ 1.501.468,80</t>
        </is>
      </c>
      <c r="AI328" s="28" t="inlineStr">
        <is>
          <t>AJ list (art. 7 §2)</t>
        </is>
      </c>
      <c r="AJ328" s="28" t="inlineStr">
        <is>
          <t>2024-06-25</t>
        </is>
      </c>
      <c r="AK328" s="28" t="inlineStr">
        <is>
          <t>NONE FOUND</t>
        </is>
      </c>
      <c r="AL328" s="30" t="inlineStr">
        <is>
          <t>0000880-57.2020.8.17.2001</t>
        </is>
      </c>
      <c r="AM328" s="30" t="inlineStr">
        <is>
          <t>TJPE</t>
        </is>
      </c>
      <c r="AN328" s="30" t="inlineStr">
        <is>
          <t>ACTIVE</t>
        </is>
      </c>
      <c r="AO328" s="30" t="n">
        <v>2020</v>
      </c>
      <c r="AP328" s="30" t="inlineStr">
        <is>
          <t>6y since filing, no plan document</t>
        </is>
      </c>
      <c r="AQ328" s="30" t="inlineStr">
        <is>
          <t>08.073.264/0001-87</t>
        </is>
      </c>
      <c r="AR328" s="30" t="inlineStr">
        <is>
          <t>printed on the list (read twice)</t>
        </is>
      </c>
      <c r="AS328" s="30" t="inlineStr">
        <is>
          <t>SAO PAULO</t>
        </is>
      </c>
      <c r="AT328" s="30" t="inlineStr">
        <is>
          <t>SP</t>
        </is>
      </c>
      <c r="AU328" s="30" t="inlineStr">
        <is>
          <t>Bancos comerciais</t>
        </is>
      </c>
      <c r="AV328" s="30" t="inlineStr">
        <is>
          <t>DEMAIS</t>
        </is>
      </c>
      <c r="AW328" s="31" t="n">
        <v>76200000000</v>
      </c>
      <c r="AX328" s="30" t="inlineStr">
        <is>
          <t>LARGE CORP</t>
        </is>
      </c>
      <c r="AY328" s="30" t="inlineStr">
        <is>
          <t>60701190</t>
        </is>
      </c>
      <c r="AZ328" s="30" t="n">
        <v>1</v>
      </c>
      <c r="BA328" s="30" t="inlineStr">
        <is>
          <t>ALT_VALUE:R$1.468,80 ALT_VALUE:R$1.500.000,00 LIKELY_FINANCIAL_BY_NAME ROWS:p10r40 UNRECONCILED_SOURCE VALUE_COL:2ª_Lista</t>
        </is>
      </c>
    </row>
    <row r="329">
      <c r="A329" s="16" t="inlineStr">
        <is>
          <t>Itau Administradora de Consórcios Ltda</t>
        </is>
      </c>
      <c r="B329" s="17" t="n">
        <v>380137.08</v>
      </c>
      <c r="C329" s="18" t="inlineStr">
        <is>
          <t>Grupo Agromeal</t>
        </is>
      </c>
      <c r="D329" s="19" t="inlineStr">
        <is>
          <t>NEW</t>
        </is>
      </c>
      <c r="E329" s="20" t="inlineStr"/>
      <c r="F329" s="19" t="inlineStr"/>
      <c r="G329" s="20" t="inlineStr"/>
      <c r="H329" s="19" t="inlineStr"/>
      <c r="I329" s="21" t="inlineStr">
        <is>
          <t>Daniel Cordoni</t>
        </is>
      </c>
      <c r="J329" s="21" t="inlineStr">
        <is>
          <t>Analista Jurídico Pleno em Consórcios</t>
        </is>
      </c>
      <c r="K329" s="21" t="inlineStr"/>
      <c r="L329" s="21" t="inlineStr"/>
      <c r="M329" s="21" t="inlineStr"/>
      <c r="N329" s="21" t="inlineStr"/>
      <c r="O329" s="21" t="inlineStr">
        <is>
          <t>wesley.alves@itau-unibanco.com.br</t>
        </is>
      </c>
      <c r="P329" s="21" t="inlineStr">
        <is>
          <t>Wesley Alves</t>
        </is>
      </c>
      <c r="Q329" s="21" t="inlineStr">
        <is>
          <t>Diretor de Relacionamento Estratégico</t>
        </is>
      </c>
      <c r="R329" s="21" t="inlineStr"/>
      <c r="S329" s="21" t="inlineStr">
        <is>
          <t>wesley.alves@itau-unibanco.com.br</t>
        </is>
      </c>
      <c r="T329" s="21" t="inlineStr">
        <is>
          <t>no work email found in Apollo</t>
        </is>
      </c>
      <c r="U329" s="22" t="n">
        <v>380137.08</v>
      </c>
      <c r="V329" s="23" t="inlineStr">
        <is>
          <t>B</t>
        </is>
      </c>
      <c r="W329" s="24">
        <f>IFERROR(VLOOKUP(V329,Assumptions!$A$7:$F$11,2,FALSE),0)</f>
        <v/>
      </c>
      <c r="X329" s="25">
        <f>IF(V329="A",MAX(1,IFERROR(VLOOKUP(V329,Assumptions!$A$7:$F$11,3,FALSE),3)+IFERROR(VLOOKUP(V329,Assumptions!$A$7:$F$11,4,FALSE),8)/2-MAX(0,IF(AO329="",0,YEAR(TODAY())-AO329)-IFERROR(VLOOKUP(V329,Assumptions!$A$7:$F$11,5,FALSE),1.5))),IFERROR(VLOOKUP(V329,Assumptions!$A$7:$F$11,5,FALSE),2.5)+IFERROR(VLOOKUP(V329,Assumptions!$A$7:$F$11,3,FALSE),3)+IFERROR(VLOOKUP(V329,Assumptions!$A$7:$F$11,4,FALSE),8)/2)</f>
        <v/>
      </c>
      <c r="Y329" s="22">
        <f>U329*W329/(1+Assumptions!$B$3)^X329</f>
        <v/>
      </c>
      <c r="Z329" s="26">
        <f>IF(U329=0,"",ROUND(Y329/U329*100,1))</f>
        <v/>
      </c>
      <c r="AA329" s="27">
        <f>Y329*Assumptions!$B$4</f>
        <v/>
      </c>
      <c r="AB329" s="26">
        <f>IF(U329=0,"",ROUND(AA329/U329*100,1))</f>
        <v/>
      </c>
      <c r="AC329" s="27">
        <f>Y329-AA329</f>
        <v/>
      </c>
      <c r="AD329" s="26">
        <f>IF(U329=0,"",ROUND((Y329-AA329)/U329*100,1))</f>
        <v/>
      </c>
      <c r="AE329" s="34" t="inlineStr">
        <is>
          <t>PARTIAL — class III reconciled, other classes not</t>
        </is>
      </c>
      <c r="AF329" s="29" t="inlineStr">
        <is>
          <t>https://marquesadmjudicial.com.br/sgc/download.php?file=files/processo_documento/processo_documento17040729052024_1_.pdf&amp;nome=Relação Nominal de Credores AJ-Sintética</t>
        </is>
      </c>
      <c r="AG329" s="28" t="inlineStr">
        <is>
          <t>p12 r4</t>
        </is>
      </c>
      <c r="AH329" s="28" t="inlineStr">
        <is>
          <t>p12: R$ 380.137,08</t>
        </is>
      </c>
      <c r="AI329" s="28" t="inlineStr">
        <is>
          <t>AJ list (art. 7 §2)</t>
        </is>
      </c>
      <c r="AJ329" s="28" t="inlineStr">
        <is>
          <t>2024-05-27</t>
        </is>
      </c>
      <c r="AK329" s="28" t="inlineStr">
        <is>
          <t>NONE FOUND</t>
        </is>
      </c>
      <c r="AL329" s="30" t="inlineStr">
        <is>
          <t>0003971-03.2023.8.16.0119</t>
        </is>
      </c>
      <c r="AM329" s="30" t="inlineStr">
        <is>
          <t>TJPR</t>
        </is>
      </c>
      <c r="AN329" s="30" t="inlineStr">
        <is>
          <t>ACTIVE</t>
        </is>
      </c>
      <c r="AO329" s="30" t="n">
        <v>2023</v>
      </c>
      <c r="AP329" s="30" t="inlineStr">
        <is>
          <t>live case, no plan document yet</t>
        </is>
      </c>
      <c r="AQ329" s="30" t="inlineStr">
        <is>
          <t>11.624.776/0001-07</t>
        </is>
      </c>
      <c r="AR329" s="30" t="inlineStr">
        <is>
          <t>printed on the list (read twice)</t>
        </is>
      </c>
      <c r="AS329" s="30" t="inlineStr"/>
      <c r="AT329" s="30" t="inlineStr"/>
      <c r="AU329" s="30" t="inlineStr"/>
      <c r="AV329" s="30" t="inlineStr"/>
      <c r="AW329" s="31" t="inlineStr"/>
      <c r="AX329" s="30" t="inlineStr">
        <is>
          <t>MID-MARKET</t>
        </is>
      </c>
      <c r="AY329" s="30" t="inlineStr">
        <is>
          <t>00000776</t>
        </is>
      </c>
      <c r="AZ329" s="30" t="n">
        <v>1</v>
      </c>
      <c r="BA329" s="30" t="inlineStr">
        <is>
          <t>LIKELY_FINANCIAL_BY_NAME PARTIAL_DOC_CLASS_III_RECONCILED ROWS:p12r4</t>
        </is>
      </c>
    </row>
    <row r="330">
      <c r="A330" s="16" t="inlineStr">
        <is>
          <t>BANCO DA AMAZONIA SA</t>
        </is>
      </c>
      <c r="B330" s="17" t="n">
        <v>1484078.44</v>
      </c>
      <c r="C330" s="18" t="inlineStr">
        <is>
          <t>Grupo Mastter</t>
        </is>
      </c>
      <c r="D330" s="19" t="inlineStr">
        <is>
          <t>NEW</t>
        </is>
      </c>
      <c r="E330" s="20" t="inlineStr"/>
      <c r="F330" s="19" t="inlineStr"/>
      <c r="G330" s="20" t="inlineStr"/>
      <c r="H330" s="19" t="inlineStr"/>
      <c r="I330" s="21" t="inlineStr">
        <is>
          <t>Edigard Henrique</t>
        </is>
      </c>
      <c r="J330" s="21" t="inlineStr">
        <is>
          <t>Coodenador de Cobrança</t>
        </is>
      </c>
      <c r="K330" s="21" t="inlineStr">
        <is>
          <t>(91) 4008-3316</t>
        </is>
      </c>
      <c r="L330" s="21" t="inlineStr">
        <is>
          <t>(91) 4008-2409</t>
        </is>
      </c>
      <c r="M330" s="21" t="inlineStr"/>
      <c r="N330" s="21" t="inlineStr">
        <is>
          <t>edigard.henrique@bancoamazonia.com.br</t>
        </is>
      </c>
      <c r="O330" s="21" t="inlineStr">
        <is>
          <t>igor.galvao@bancoamazonia.com.br</t>
        </is>
      </c>
      <c r="P330" s="21" t="inlineStr">
        <is>
          <t>Igor Galvao</t>
        </is>
      </c>
      <c r="Q330" s="21" t="inlineStr">
        <is>
          <t>Gerente Jurídico Contencioso</t>
        </is>
      </c>
      <c r="R330" s="21" t="inlineStr"/>
      <c r="S330" s="21" t="inlineStr">
        <is>
          <t>igor.galvao@bancoamazonia.com.br</t>
        </is>
      </c>
      <c r="T330" s="21" t="inlineStr">
        <is>
          <t>email verified by Apollo</t>
        </is>
      </c>
      <c r="U330" s="22" t="n">
        <v>1484078.44</v>
      </c>
      <c r="V330" s="38" t="inlineStr">
        <is>
          <t>C</t>
        </is>
      </c>
      <c r="W330" s="24">
        <f>IFERROR(VLOOKUP(V330,Assumptions!$A$7:$F$11,2,FALSE),0)</f>
        <v/>
      </c>
      <c r="X330" s="25">
        <f>IF(V330="A",MAX(1,IFERROR(VLOOKUP(V330,Assumptions!$A$7:$F$11,3,FALSE),3)+IFERROR(VLOOKUP(V330,Assumptions!$A$7:$F$11,4,FALSE),8)/2-MAX(0,IF(AO330="",0,YEAR(TODAY())-AO330)-IFERROR(VLOOKUP(V330,Assumptions!$A$7:$F$11,5,FALSE),1.5))),IFERROR(VLOOKUP(V330,Assumptions!$A$7:$F$11,5,FALSE),2.5)+IFERROR(VLOOKUP(V330,Assumptions!$A$7:$F$11,3,FALSE),3)+IFERROR(VLOOKUP(V330,Assumptions!$A$7:$F$11,4,FALSE),8)/2)</f>
        <v/>
      </c>
      <c r="Y330" s="22">
        <f>U330*W330/(1+Assumptions!$B$3)^X330</f>
        <v/>
      </c>
      <c r="Z330" s="26">
        <f>IF(U330=0,"",ROUND(Y330/U330*100,1))</f>
        <v/>
      </c>
      <c r="AA330" s="27">
        <f>Y330*Assumptions!$B$4</f>
        <v/>
      </c>
      <c r="AB330" s="26">
        <f>IF(U330=0,"",ROUND(AA330/U330*100,1))</f>
        <v/>
      </c>
      <c r="AC330" s="27">
        <f>Y330-AA330</f>
        <v/>
      </c>
      <c r="AD330" s="26">
        <f>IF(U330=0,"",ROUND((Y330-AA330)/U330*100,1))</f>
        <v/>
      </c>
      <c r="AE330" s="33" t="inlineStr">
        <is>
          <t>NO TOTALS — list prints none; check page</t>
        </is>
      </c>
      <c r="AF330" s="29" t="inlineStr">
        <is>
          <t>https://realbrasil.com.br/wp-content/uploads/2017/05/Relação-de-Credores_-Mastter-1.pdf</t>
        </is>
      </c>
      <c r="AG330" s="28" t="inlineStr">
        <is>
          <t>p2 r1; p2 r2; p2 r3; p2 r4; p2 r5</t>
        </is>
      </c>
      <c r="AH330" s="28" t="inlineStr">
        <is>
          <t>p2: R$ 16.856,60; p2: R$ 172.222,05; p2: R$ 433.333,29; p2: R$ 666.666,50; p2: R$ 195.000,00</t>
        </is>
      </c>
      <c r="AI330" s="28" t="inlineStr">
        <is>
          <t>Debtor list (art. 51)</t>
        </is>
      </c>
      <c r="AJ330" s="28" t="inlineStr">
        <is>
          <t>2016-02-10</t>
        </is>
      </c>
      <c r="AK330" s="28" t="inlineStr">
        <is>
          <t>NONE FOUND</t>
        </is>
      </c>
      <c r="AL330" s="30" t="inlineStr">
        <is>
          <t>0801893-91.2016.8.12.0011</t>
        </is>
      </c>
      <c r="AM330" s="30" t="inlineStr">
        <is>
          <t>TJMS</t>
        </is>
      </c>
      <c r="AN330" s="30" t="inlineStr"/>
      <c r="AO330" s="30" t="n">
        <v>2016</v>
      </c>
      <c r="AP330" s="30" t="inlineStr">
        <is>
          <t>10y since filing, no plan document</t>
        </is>
      </c>
      <c r="AQ330" s="30" t="inlineStr"/>
      <c r="AR330" s="30" t="inlineStr">
        <is>
          <t>printed on the list (read twice)</t>
        </is>
      </c>
      <c r="AS330" s="30" t="inlineStr">
        <is>
          <t>BELEM</t>
        </is>
      </c>
      <c r="AT330" s="30" t="inlineStr">
        <is>
          <t>PA</t>
        </is>
      </c>
      <c r="AU330" s="30" t="inlineStr">
        <is>
          <t>Bancos comerciais</t>
        </is>
      </c>
      <c r="AV330" s="30" t="inlineStr">
        <is>
          <t>DEMAIS</t>
        </is>
      </c>
      <c r="AW330" s="31" t="n">
        <v>3654918100</v>
      </c>
      <c r="AX330" s="30" t="inlineStr">
        <is>
          <t>LARGE CORP</t>
        </is>
      </c>
      <c r="AY330" s="30" t="inlineStr">
        <is>
          <t>04902979</t>
        </is>
      </c>
      <c r="AZ330" s="30" t="n">
        <v>5</v>
      </c>
      <c r="BA330" s="30" t="inlineStr">
        <is>
          <t>ALT_VALUE:R$16.856,60 ALT_VALUE:R$26.666,66 ALT_VALUE:R$33.333,33 ALT_VALUE:R$5.555,55 ALT_VALUE:R$6.500,00 ROWS:p2r1,p2r2,p2r3,p2r4,p2r5 UNRECONCILED_SOURCE VALUE_COL:Valor_Da_Parcela</t>
        </is>
      </c>
    </row>
    <row r="331">
      <c r="A331" s="16" t="inlineStr">
        <is>
          <t>BANCO DO BRASIL SA</t>
        </is>
      </c>
      <c r="B331" s="17" t="n">
        <v>2715487.96</v>
      </c>
      <c r="C331" s="18" t="inlineStr">
        <is>
          <t>MUNDO BIZARRO IMPORTACAO E EXPORTACAO LTDA</t>
        </is>
      </c>
      <c r="D331" s="19" t="inlineStr">
        <is>
          <t>NEW</t>
        </is>
      </c>
      <c r="E331" s="20" t="inlineStr"/>
      <c r="F331" s="19" t="inlineStr"/>
      <c r="G331" s="20" t="inlineStr"/>
      <c r="H331" s="19" t="inlineStr"/>
      <c r="I331" s="21" t="inlineStr">
        <is>
          <t>Thiago Cavichioli</t>
        </is>
      </c>
      <c r="J331" s="21" t="inlineStr">
        <is>
          <t>Gerente de Cobrança e Recuperação de Crédito</t>
        </is>
      </c>
      <c r="K331" s="21" t="inlineStr">
        <is>
          <t>(61) 3493-9002</t>
        </is>
      </c>
      <c r="L331" s="21" t="inlineStr"/>
      <c r="M331" s="21" t="inlineStr"/>
      <c r="N331" s="21" t="inlineStr">
        <is>
          <t>thiago.cavichioli@bb.com.br</t>
        </is>
      </c>
      <c r="O331" s="21" t="inlineStr">
        <is>
          <t>suelenmondador@bb.com.br</t>
        </is>
      </c>
      <c r="P331" s="21" t="inlineStr">
        <is>
          <t>Suelen Mondador</t>
        </is>
      </c>
      <c r="Q331" s="21" t="inlineStr">
        <is>
          <t>Gerente Especialista em Recuperação de Crédito</t>
        </is>
      </c>
      <c r="R331" s="21" t="inlineStr"/>
      <c r="S331" s="21" t="inlineStr">
        <is>
          <t>suelenmondador@bb.com.br</t>
        </is>
      </c>
      <c r="T331" s="21" t="inlineStr">
        <is>
          <t>email verified by Apollo</t>
        </is>
      </c>
      <c r="U331" s="22" t="n">
        <v>2715487.96</v>
      </c>
      <c r="V331" s="39" t="inlineStr">
        <is>
          <t>D</t>
        </is>
      </c>
      <c r="W331" s="24">
        <f>IFERROR(VLOOKUP(V331,Assumptions!$A$7:$F$11,2,FALSE),0)</f>
        <v/>
      </c>
      <c r="X331" s="25">
        <f>IF(V331="A",MAX(1,IFERROR(VLOOKUP(V331,Assumptions!$A$7:$F$11,3,FALSE),3)+IFERROR(VLOOKUP(V331,Assumptions!$A$7:$F$11,4,FALSE),8)/2-MAX(0,IF(AO331="",0,YEAR(TODAY())-AO331)-IFERROR(VLOOKUP(V331,Assumptions!$A$7:$F$11,5,FALSE),1.5))),IFERROR(VLOOKUP(V331,Assumptions!$A$7:$F$11,5,FALSE),2.5)+IFERROR(VLOOKUP(V331,Assumptions!$A$7:$F$11,3,FALSE),3)+IFERROR(VLOOKUP(V331,Assumptions!$A$7:$F$11,4,FALSE),8)/2)</f>
        <v/>
      </c>
      <c r="Y331" s="22">
        <f>U331*W331/(1+Assumptions!$B$3)^X331</f>
        <v/>
      </c>
      <c r="Z331" s="26">
        <f>IF(U331=0,"",ROUND(Y331/U331*100,1))</f>
        <v/>
      </c>
      <c r="AA331" s="27">
        <f>Y331*Assumptions!$B$4</f>
        <v/>
      </c>
      <c r="AB331" s="26">
        <f>IF(U331=0,"",ROUND(AA331/U331*100,1))</f>
        <v/>
      </c>
      <c r="AC331" s="27">
        <f>Y331-AA331</f>
        <v/>
      </c>
      <c r="AD331" s="26">
        <f>IF(U331=0,"",ROUND((Y331-AA331)/U331*100,1))</f>
        <v/>
      </c>
      <c r="AE331" s="33" t="inlineStr">
        <is>
          <t>NO TOTALS — list prints none; check page</t>
        </is>
      </c>
      <c r="AF331" s="29" t="inlineStr">
        <is>
          <t>https://administradorajudicialgs.com.br/wp-content/uploads/2024/10/relacao-de-credores-e-verificacao-de-credito-2025.pdf</t>
        </is>
      </c>
      <c r="AG331" s="28" t="inlineStr">
        <is>
          <t>p16 r2</t>
        </is>
      </c>
      <c r="AH331" s="28" t="inlineStr">
        <is>
          <t>p16: R$ 2.715.487,96</t>
        </is>
      </c>
      <c r="AI331" s="28" t="inlineStr">
        <is>
          <t>AJ list (art. 7 §2)</t>
        </is>
      </c>
      <c r="AJ331" s="28" t="inlineStr">
        <is>
          <t>2025-04-24</t>
        </is>
      </c>
      <c r="AK331" s="28" t="inlineStr">
        <is>
          <t>NONE FOUND</t>
        </is>
      </c>
      <c r="AL331" s="30" t="inlineStr">
        <is>
          <t>5100227-29.2022.8.24.0023</t>
        </is>
      </c>
      <c r="AM331" s="30" t="inlineStr">
        <is>
          <t>TJSC</t>
        </is>
      </c>
      <c r="AN331" s="30" t="inlineStr"/>
      <c r="AO331" s="30" t="n">
        <v>2022</v>
      </c>
      <c r="AP331" s="30" t="inlineStr">
        <is>
          <t>document is a falência (bankruptcy) list</t>
        </is>
      </c>
      <c r="AQ331" s="30" t="inlineStr">
        <is>
          <t>05.316.275/0001-52</t>
        </is>
      </c>
      <c r="AR331" s="30" t="inlineStr">
        <is>
          <t>printed on the list (read twice)</t>
        </is>
      </c>
      <c r="AS331" s="30" t="inlineStr">
        <is>
          <t>BRASILIA</t>
        </is>
      </c>
      <c r="AT331" s="30" t="inlineStr">
        <is>
          <t>DF</t>
        </is>
      </c>
      <c r="AU331" s="30" t="inlineStr">
        <is>
          <t>Bancos múltiplos, com carteira comercial</t>
        </is>
      </c>
      <c r="AV331" s="30" t="inlineStr">
        <is>
          <t>DEMAIS</t>
        </is>
      </c>
      <c r="AW331" s="31" t="n">
        <v>120000000000</v>
      </c>
      <c r="AX331" s="30" t="inlineStr">
        <is>
          <t>LARGE CORP</t>
        </is>
      </c>
      <c r="AY331" s="30" t="inlineStr">
        <is>
          <t>00000000</t>
        </is>
      </c>
      <c r="AZ331" s="30" t="n">
        <v>1</v>
      </c>
      <c r="BA331" s="30" t="inlineStr">
        <is>
          <t>ROWS:p16r2 UNRECONCILED_SOURCE</t>
        </is>
      </c>
    </row>
    <row r="332">
      <c r="A332" s="16" t="inlineStr">
        <is>
          <t>BANCO DO BRASIL SA</t>
        </is>
      </c>
      <c r="B332" s="17" t="n">
        <v>1428907.29</v>
      </c>
      <c r="C332" s="18" t="inlineStr">
        <is>
          <t>DICARLO Móveis e Acessórios para Casa e Lojas Ltda</t>
        </is>
      </c>
      <c r="D332" s="19" t="inlineStr">
        <is>
          <t>NEW</t>
        </is>
      </c>
      <c r="E332" s="20" t="inlineStr"/>
      <c r="F332" s="19" t="inlineStr"/>
      <c r="G332" s="20" t="inlineStr"/>
      <c r="H332" s="19" t="inlineStr"/>
      <c r="I332" s="21" t="inlineStr">
        <is>
          <t>Thiago Cavichioli</t>
        </is>
      </c>
      <c r="J332" s="21" t="inlineStr">
        <is>
          <t>Gerente de Cobrança e Recuperação de Crédito</t>
        </is>
      </c>
      <c r="K332" s="21" t="inlineStr">
        <is>
          <t>(61) 3493-9002</t>
        </is>
      </c>
      <c r="L332" s="21" t="inlineStr"/>
      <c r="M332" s="21" t="inlineStr"/>
      <c r="N332" s="21" t="inlineStr">
        <is>
          <t>thiago.cavichioli@bb.com.br</t>
        </is>
      </c>
      <c r="O332" s="21" t="inlineStr">
        <is>
          <t>suelenmondador@bb.com.br</t>
        </is>
      </c>
      <c r="P332" s="21" t="inlineStr">
        <is>
          <t>Suelen Mondador</t>
        </is>
      </c>
      <c r="Q332" s="21" t="inlineStr">
        <is>
          <t>Gerente Especialista em Recuperação de Crédito</t>
        </is>
      </c>
      <c r="R332" s="21" t="inlineStr"/>
      <c r="S332" s="21" t="inlineStr">
        <is>
          <t>suelenmondador@bb.com.br</t>
        </is>
      </c>
      <c r="T332" s="21" t="inlineStr">
        <is>
          <t>email verified by Apollo</t>
        </is>
      </c>
      <c r="U332" s="22" t="n">
        <v>1428907.29</v>
      </c>
      <c r="V332" s="38" t="inlineStr">
        <is>
          <t>C</t>
        </is>
      </c>
      <c r="W332" s="24">
        <f>IFERROR(VLOOKUP(V332,Assumptions!$A$7:$F$11,2,FALSE),0)</f>
        <v/>
      </c>
      <c r="X332" s="25">
        <f>IF(V332="A",MAX(1,IFERROR(VLOOKUP(V332,Assumptions!$A$7:$F$11,3,FALSE),3)+IFERROR(VLOOKUP(V332,Assumptions!$A$7:$F$11,4,FALSE),8)/2-MAX(0,IF(AO332="",0,YEAR(TODAY())-AO332)-IFERROR(VLOOKUP(V332,Assumptions!$A$7:$F$11,5,FALSE),1.5))),IFERROR(VLOOKUP(V332,Assumptions!$A$7:$F$11,5,FALSE),2.5)+IFERROR(VLOOKUP(V332,Assumptions!$A$7:$F$11,3,FALSE),3)+IFERROR(VLOOKUP(V332,Assumptions!$A$7:$F$11,4,FALSE),8)/2)</f>
        <v/>
      </c>
      <c r="Y332" s="22">
        <f>U332*W332/(1+Assumptions!$B$3)^X332</f>
        <v/>
      </c>
      <c r="Z332" s="26">
        <f>IF(U332=0,"",ROUND(Y332/U332*100,1))</f>
        <v/>
      </c>
      <c r="AA332" s="27">
        <f>Y332*Assumptions!$B$4</f>
        <v/>
      </c>
      <c r="AB332" s="26">
        <f>IF(U332=0,"",ROUND(AA332/U332*100,1))</f>
        <v/>
      </c>
      <c r="AC332" s="27">
        <f>Y332-AA332</f>
        <v/>
      </c>
      <c r="AD332" s="26">
        <f>IF(U332=0,"",ROUND((Y332-AA332)/U332*100,1))</f>
        <v/>
      </c>
      <c r="AE332" s="33" t="inlineStr">
        <is>
          <t>NO TOTALS — list prints none; check page</t>
        </is>
      </c>
      <c r="AF332" s="29" t="inlineStr">
        <is>
          <t>https://administradorajudicialgs.com.br/wp-content/uploads/2023/08/edital-quadro-geral-de-credores.pdf</t>
        </is>
      </c>
      <c r="AG332" s="28" t="inlineStr">
        <is>
          <t>p2 r15</t>
        </is>
      </c>
      <c r="AH332" s="28" t="inlineStr">
        <is>
          <t>p2: R$ 1.428.907,29</t>
        </is>
      </c>
      <c r="AI332" s="28" t="inlineStr">
        <is>
          <t>QGC (art. 18)</t>
        </is>
      </c>
      <c r="AJ332" s="28" t="inlineStr">
        <is>
          <t>2024-07-05</t>
        </is>
      </c>
      <c r="AK332" s="28" t="inlineStr">
        <is>
          <t>NONE FOUND</t>
        </is>
      </c>
      <c r="AL332" s="30" t="inlineStr">
        <is>
          <t>0301015-33.2016.8.24.0031</t>
        </is>
      </c>
      <c r="AM332" s="30" t="inlineStr">
        <is>
          <t>TJSC</t>
        </is>
      </c>
      <c r="AN332" s="30" t="inlineStr"/>
      <c r="AO332" s="30" t="n">
        <v>2016</v>
      </c>
      <c r="AP332" s="30" t="inlineStr">
        <is>
          <t>10y since filing, no plan document</t>
        </is>
      </c>
      <c r="AQ332" s="30" t="inlineStr">
        <is>
          <t>01.314.776/0001-49</t>
        </is>
      </c>
      <c r="AR332" s="30" t="inlineStr">
        <is>
          <t>printed on the list (read twice)</t>
        </is>
      </c>
      <c r="AS332" s="30" t="inlineStr">
        <is>
          <t>BRASILIA</t>
        </is>
      </c>
      <c r="AT332" s="30" t="inlineStr">
        <is>
          <t>DF</t>
        </is>
      </c>
      <c r="AU332" s="30" t="inlineStr">
        <is>
          <t>Bancos múltiplos, com carteira comercial</t>
        </is>
      </c>
      <c r="AV332" s="30" t="inlineStr">
        <is>
          <t>DEMAIS</t>
        </is>
      </c>
      <c r="AW332" s="31" t="n">
        <v>120000000000</v>
      </c>
      <c r="AX332" s="30" t="inlineStr">
        <is>
          <t>LARGE CORP</t>
        </is>
      </c>
      <c r="AY332" s="30" t="inlineStr">
        <is>
          <t>00000000</t>
        </is>
      </c>
      <c r="AZ332" s="30" t="n">
        <v>1</v>
      </c>
      <c r="BA332" s="30" t="inlineStr">
        <is>
          <t>LIKELY_FINANCIAL_BY_NAME ROWS:p2r15 UNRECONCILED_SOURCE</t>
        </is>
      </c>
    </row>
    <row r="333">
      <c r="A333" s="16" t="inlineStr">
        <is>
          <t>POLUX SECURITIZADORA DE RECEBÍVEIS COMERCIAIS S.A.</t>
        </is>
      </c>
      <c r="B333" s="17" t="n">
        <v>361043.83</v>
      </c>
      <c r="C333" s="18" t="inlineStr">
        <is>
          <t>Grupo Conduscabos</t>
        </is>
      </c>
      <c r="D333" s="19" t="inlineStr">
        <is>
          <t>NEW</t>
        </is>
      </c>
      <c r="E333" s="20" t="inlineStr"/>
      <c r="F333" s="19" t="inlineStr"/>
      <c r="G333" s="20" t="inlineStr"/>
      <c r="H333" s="19" t="inlineStr"/>
      <c r="I333" s="21" t="inlineStr"/>
      <c r="J333" s="21" t="inlineStr"/>
      <c r="K333" s="21" t="inlineStr"/>
      <c r="L333" s="21" t="inlineStr"/>
      <c r="M333" s="21" t="inlineStr"/>
      <c r="N333" s="21" t="inlineStr"/>
      <c r="O333" s="21" t="inlineStr"/>
      <c r="P333" s="21" t="inlineStr"/>
      <c r="Q333" s="21" t="inlineStr"/>
      <c r="R333" s="21" t="inlineStr"/>
      <c r="S333" s="21" t="inlineStr"/>
      <c r="T333" s="21" t="inlineStr">
        <is>
          <t>no named contact found</t>
        </is>
      </c>
      <c r="U333" s="22" t="n">
        <v>361043.83</v>
      </c>
      <c r="V333" s="23" t="inlineStr">
        <is>
          <t>B</t>
        </is>
      </c>
      <c r="W333" s="24">
        <f>IFERROR(VLOOKUP(V333,Assumptions!$A$7:$F$11,2,FALSE),0)</f>
        <v/>
      </c>
      <c r="X333" s="25">
        <f>IF(V333="A",MAX(1,IFERROR(VLOOKUP(V333,Assumptions!$A$7:$F$11,3,FALSE),3)+IFERROR(VLOOKUP(V333,Assumptions!$A$7:$F$11,4,FALSE),8)/2-MAX(0,IF(AO333="",0,YEAR(TODAY())-AO333)-IFERROR(VLOOKUP(V333,Assumptions!$A$7:$F$11,5,FALSE),1.5))),IFERROR(VLOOKUP(V333,Assumptions!$A$7:$F$11,5,FALSE),2.5)+IFERROR(VLOOKUP(V333,Assumptions!$A$7:$F$11,3,FALSE),3)+IFERROR(VLOOKUP(V333,Assumptions!$A$7:$F$11,4,FALSE),8)/2)</f>
        <v/>
      </c>
      <c r="Y333" s="22">
        <f>U333*W333/(1+Assumptions!$B$3)^X333</f>
        <v/>
      </c>
      <c r="Z333" s="26">
        <f>IF(U333=0,"",ROUND(Y333/U333*100,1))</f>
        <v/>
      </c>
      <c r="AA333" s="27">
        <f>Y333*Assumptions!$B$4</f>
        <v/>
      </c>
      <c r="AB333" s="26">
        <f>IF(U333=0,"",ROUND(AA333/U333*100,1))</f>
        <v/>
      </c>
      <c r="AC333" s="27">
        <f>Y333-AA333</f>
        <v/>
      </c>
      <c r="AD333" s="26">
        <f>IF(U333=0,"",ROUND((Y333-AA333)/U333*100,1))</f>
        <v/>
      </c>
      <c r="AE333" s="33" t="inlineStr">
        <is>
          <t>NO TOTALS — list prints none; check page</t>
        </is>
      </c>
      <c r="AF333" s="29" t="inlineStr">
        <is>
          <t>https://assistjud.com.br/wp-content/uploads/elementor/forms/65098c80a5824.pdf</t>
        </is>
      </c>
      <c r="AG333" s="28" t="inlineStr">
        <is>
          <t>p9 r5</t>
        </is>
      </c>
      <c r="AH333" s="28" t="inlineStr">
        <is>
          <t>p9: R$ 361.043,83</t>
        </is>
      </c>
      <c r="AI333" s="28" t="inlineStr">
        <is>
          <t>AJ list (art. 7 §2)</t>
        </is>
      </c>
      <c r="AJ333" s="28" t="inlineStr">
        <is>
          <t>2023-09-18</t>
        </is>
      </c>
      <c r="AK333" s="28" t="inlineStr">
        <is>
          <t>NONE FOUND</t>
        </is>
      </c>
      <c r="AL333" s="30" t="inlineStr">
        <is>
          <t>8005129-09.2023.8.05.0039</t>
        </is>
      </c>
      <c r="AM333" s="30" t="inlineStr">
        <is>
          <t>TJBA</t>
        </is>
      </c>
      <c r="AN333" s="30" t="inlineStr">
        <is>
          <t>ACTIVE</t>
        </is>
      </c>
      <c r="AO333" s="30" t="n">
        <v>2023</v>
      </c>
      <c r="AP333" s="30" t="inlineStr">
        <is>
          <t>live case, no plan document yet</t>
        </is>
      </c>
      <c r="AQ333" s="30" t="inlineStr"/>
      <c r="AR333" s="30" t="inlineStr">
        <is>
          <t>printed on the list (read twice)</t>
        </is>
      </c>
      <c r="AS333" s="30" t="inlineStr"/>
      <c r="AT333" s="30" t="inlineStr"/>
      <c r="AU333" s="30" t="inlineStr"/>
      <c r="AV333" s="30" t="inlineStr"/>
      <c r="AW333" s="31" t="inlineStr"/>
      <c r="AX333" s="30" t="inlineStr">
        <is>
          <t>MID-MARKET</t>
        </is>
      </c>
      <c r="AY333" s="30" t="inlineStr">
        <is>
          <t>36238945</t>
        </is>
      </c>
      <c r="AZ333" s="30" t="n">
        <v>1</v>
      </c>
      <c r="BA333" s="30" t="inlineStr">
        <is>
          <t>LIKELY_FINANCIAL_BY_NAME ROWS:p9r5 UNRECONCILED_SOURCE</t>
        </is>
      </c>
    </row>
    <row r="334">
      <c r="A334" s="16" t="inlineStr">
        <is>
          <t>BANCO DO BRASIL SA</t>
        </is>
      </c>
      <c r="B334" s="17" t="n">
        <v>352476.89</v>
      </c>
      <c r="C334" s="37" t="inlineStr">
        <is>
          <t>(debtor not identified — see proof)</t>
        </is>
      </c>
      <c r="D334" s="19" t="inlineStr">
        <is>
          <t>NEW</t>
        </is>
      </c>
      <c r="E334" s="20" t="inlineStr"/>
      <c r="F334" s="19" t="inlineStr"/>
      <c r="G334" s="20" t="inlineStr"/>
      <c r="H334" s="19" t="inlineStr"/>
      <c r="I334" s="21" t="inlineStr">
        <is>
          <t>Thiago Cavichioli</t>
        </is>
      </c>
      <c r="J334" s="21" t="inlineStr">
        <is>
          <t>Gerente de Cobrança e Recuperação de Crédito</t>
        </is>
      </c>
      <c r="K334" s="21" t="inlineStr">
        <is>
          <t>(61) 3493-9002</t>
        </is>
      </c>
      <c r="L334" s="21" t="inlineStr"/>
      <c r="M334" s="21" t="inlineStr"/>
      <c r="N334" s="21" t="inlineStr">
        <is>
          <t>thiago.cavichioli@bb.com.br</t>
        </is>
      </c>
      <c r="O334" s="21" t="inlineStr">
        <is>
          <t>suelenmondador@bb.com.br</t>
        </is>
      </c>
      <c r="P334" s="21" t="inlineStr">
        <is>
          <t>Suelen Mondador</t>
        </is>
      </c>
      <c r="Q334" s="21" t="inlineStr">
        <is>
          <t>Gerente Especialista em Recuperação de Crédito</t>
        </is>
      </c>
      <c r="R334" s="21" t="inlineStr"/>
      <c r="S334" s="21" t="inlineStr">
        <is>
          <t>suelenmondador@bb.com.br</t>
        </is>
      </c>
      <c r="T334" s="21" t="inlineStr">
        <is>
          <t>email verified by Apollo</t>
        </is>
      </c>
      <c r="U334" s="22" t="n">
        <v>352476.89</v>
      </c>
      <c r="V334" s="23" t="inlineStr">
        <is>
          <t>B</t>
        </is>
      </c>
      <c r="W334" s="24">
        <f>IFERROR(VLOOKUP(V334,Assumptions!$A$7:$F$11,2,FALSE),0)</f>
        <v/>
      </c>
      <c r="X334" s="25">
        <f>IF(V334="A",MAX(1,IFERROR(VLOOKUP(V334,Assumptions!$A$7:$F$11,3,FALSE),3)+IFERROR(VLOOKUP(V334,Assumptions!$A$7:$F$11,4,FALSE),8)/2-MAX(0,IF(AO334="",0,YEAR(TODAY())-AO334)-IFERROR(VLOOKUP(V334,Assumptions!$A$7:$F$11,5,FALSE),1.5))),IFERROR(VLOOKUP(V334,Assumptions!$A$7:$F$11,5,FALSE),2.5)+IFERROR(VLOOKUP(V334,Assumptions!$A$7:$F$11,3,FALSE),3)+IFERROR(VLOOKUP(V334,Assumptions!$A$7:$F$11,4,FALSE),8)/2)</f>
        <v/>
      </c>
      <c r="Y334" s="22">
        <f>U334*W334/(1+Assumptions!$B$3)^X334</f>
        <v/>
      </c>
      <c r="Z334" s="26">
        <f>IF(U334=0,"",ROUND(Y334/U334*100,1))</f>
        <v/>
      </c>
      <c r="AA334" s="27">
        <f>Y334*Assumptions!$B$4</f>
        <v/>
      </c>
      <c r="AB334" s="26">
        <f>IF(U334=0,"",ROUND(AA334/U334*100,1))</f>
        <v/>
      </c>
      <c r="AC334" s="27">
        <f>Y334-AA334</f>
        <v/>
      </c>
      <c r="AD334" s="26">
        <f>IF(U334=0,"",ROUND((Y334-AA334)/U334*100,1))</f>
        <v/>
      </c>
      <c r="AE334" s="33" t="inlineStr">
        <is>
          <t>NO TOTALS — list prints none; check page</t>
        </is>
      </c>
      <c r="AF334" s="29" t="inlineStr">
        <is>
          <t>https://scalzilliaj.com.br/sgc/download.php?file=files/processo_documento/processo_documento11421222052026_1_.pdf&amp;nome=08. Lista de credores do edital do art. 52, §1º da LREF</t>
        </is>
      </c>
      <c r="AG334" s="28" t="inlineStr">
        <is>
          <t>p4 r8</t>
        </is>
      </c>
      <c r="AH334" s="28" t="inlineStr">
        <is>
          <t>p4: R$ 352.476,89</t>
        </is>
      </c>
      <c r="AI334" s="28" t="inlineStr">
        <is>
          <t>Unclassified list</t>
        </is>
      </c>
      <c r="AJ334" s="28" t="inlineStr"/>
      <c r="AK334" s="28" t="inlineStr">
        <is>
          <t>NONE FOUND</t>
        </is>
      </c>
      <c r="AL334" s="30" t="inlineStr">
        <is>
          <t>5011369-81.2026.8.09.0093</t>
        </is>
      </c>
      <c r="AM334" s="30" t="inlineStr">
        <is>
          <t>TJGO</t>
        </is>
      </c>
      <c r="AN334" s="30" t="inlineStr">
        <is>
          <t>ACTIVE</t>
        </is>
      </c>
      <c r="AO334" s="30" t="n">
        <v>2026</v>
      </c>
      <c r="AP334" s="30" t="inlineStr">
        <is>
          <t>live case, no plan document yet</t>
        </is>
      </c>
      <c r="AQ334" s="30" t="inlineStr"/>
      <c r="AR334" s="30" t="inlineStr">
        <is>
          <t>not identified</t>
        </is>
      </c>
      <c r="AS334" s="30" t="inlineStr">
        <is>
          <t>BRASILIA</t>
        </is>
      </c>
      <c r="AT334" s="30" t="inlineStr">
        <is>
          <t>DF</t>
        </is>
      </c>
      <c r="AU334" s="30" t="inlineStr">
        <is>
          <t>Bancos múltiplos, com carteira comercial</t>
        </is>
      </c>
      <c r="AV334" s="30" t="inlineStr">
        <is>
          <t>DEMAIS</t>
        </is>
      </c>
      <c r="AW334" s="31" t="n">
        <v>120000000000</v>
      </c>
      <c r="AX334" s="30" t="inlineStr">
        <is>
          <t>LARGE CORP</t>
        </is>
      </c>
      <c r="AY334" s="30" t="inlineStr">
        <is>
          <t>00000000</t>
        </is>
      </c>
      <c r="AZ334" s="30" t="n">
        <v>1</v>
      </c>
      <c r="BA334" s="30" t="inlineStr">
        <is>
          <t>LIKELY_FINANCIAL_BY_NAME ROWS:p4r8 UNRECONCILED_SOURCE</t>
        </is>
      </c>
    </row>
    <row r="335">
      <c r="A335" s="16" t="inlineStr">
        <is>
          <t>CENTRUM FUNDO DE INVESTIMENTO EM DIREITOS CREDITORIOS</t>
        </is>
      </c>
      <c r="B335" s="17" t="n">
        <v>350000</v>
      </c>
      <c r="C335" s="18" t="inlineStr">
        <is>
          <t>GRUPO DIVINA</t>
        </is>
      </c>
      <c r="D335" s="19" t="inlineStr">
        <is>
          <t>NEW</t>
        </is>
      </c>
      <c r="E335" s="20" t="inlineStr"/>
      <c r="F335" s="19" t="inlineStr"/>
      <c r="G335" s="20" t="inlineStr"/>
      <c r="H335" s="19" t="inlineStr"/>
      <c r="I335" s="21" t="inlineStr"/>
      <c r="J335" s="21" t="inlineStr"/>
      <c r="K335" s="21" t="inlineStr"/>
      <c r="L335" s="21" t="inlineStr"/>
      <c r="M335" s="21" t="inlineStr"/>
      <c r="N335" s="21" t="inlineStr"/>
      <c r="O335" s="21" t="inlineStr"/>
      <c r="P335" s="21" t="inlineStr"/>
      <c r="Q335" s="21" t="inlineStr"/>
      <c r="R335" s="21" t="inlineStr"/>
      <c r="S335" s="21" t="inlineStr"/>
      <c r="T335" s="21" t="inlineStr">
        <is>
          <t>no named contact found</t>
        </is>
      </c>
      <c r="U335" s="22" t="n">
        <v>350000</v>
      </c>
      <c r="V335" s="23" t="inlineStr">
        <is>
          <t>B</t>
        </is>
      </c>
      <c r="W335" s="24">
        <f>IFERROR(VLOOKUP(V335,Assumptions!$A$7:$F$11,2,FALSE),0)</f>
        <v/>
      </c>
      <c r="X335" s="25">
        <f>IF(V335="A",MAX(1,IFERROR(VLOOKUP(V335,Assumptions!$A$7:$F$11,3,FALSE),3)+IFERROR(VLOOKUP(V335,Assumptions!$A$7:$F$11,4,FALSE),8)/2-MAX(0,IF(AO335="",0,YEAR(TODAY())-AO335)-IFERROR(VLOOKUP(V335,Assumptions!$A$7:$F$11,5,FALSE),1.5))),IFERROR(VLOOKUP(V335,Assumptions!$A$7:$F$11,5,FALSE),2.5)+IFERROR(VLOOKUP(V335,Assumptions!$A$7:$F$11,3,FALSE),3)+IFERROR(VLOOKUP(V335,Assumptions!$A$7:$F$11,4,FALSE),8)/2)</f>
        <v/>
      </c>
      <c r="Y335" s="22">
        <f>U335*W335/(1+Assumptions!$B$3)^X335</f>
        <v/>
      </c>
      <c r="Z335" s="26">
        <f>IF(U335=0,"",ROUND(Y335/U335*100,1))</f>
        <v/>
      </c>
      <c r="AA335" s="27">
        <f>Y335*Assumptions!$B$4</f>
        <v/>
      </c>
      <c r="AB335" s="26">
        <f>IF(U335=0,"",ROUND(AA335/U335*100,1))</f>
        <v/>
      </c>
      <c r="AC335" s="27">
        <f>Y335-AA335</f>
        <v/>
      </c>
      <c r="AD335" s="26">
        <f>IF(U335=0,"",ROUND((Y335-AA335)/U335*100,1))</f>
        <v/>
      </c>
      <c r="AE335" s="34" t="inlineStr">
        <is>
          <t>PARTIAL — class III reconciled, other classes not</t>
        </is>
      </c>
      <c r="AF335" s="29" t="inlineStr">
        <is>
          <t>https://lrflideres.com.br/wp-content/plugins/download-attachments/includes/download.php?id=6252</t>
        </is>
      </c>
      <c r="AG335" s="28" t="inlineStr">
        <is>
          <t>p2 r25</t>
        </is>
      </c>
      <c r="AH335" s="28" t="inlineStr">
        <is>
          <t>p2: R$ 350.000,00</t>
        </is>
      </c>
      <c r="AI335" s="28" t="inlineStr">
        <is>
          <t>AJ list (art. 7 §2)</t>
        </is>
      </c>
      <c r="AJ335" s="28" t="inlineStr">
        <is>
          <t>2024-11-27</t>
        </is>
      </c>
      <c r="AK335" s="28" t="inlineStr">
        <is>
          <t>NONE FOUND</t>
        </is>
      </c>
      <c r="AL335" s="30" t="inlineStr">
        <is>
          <t>0000721-61.2024.8.17.2620</t>
        </is>
      </c>
      <c r="AM335" s="30" t="inlineStr">
        <is>
          <t>TJPE</t>
        </is>
      </c>
      <c r="AN335" s="30" t="inlineStr">
        <is>
          <t>ACTIVE</t>
        </is>
      </c>
      <c r="AO335" s="30" t="n">
        <v>2024</v>
      </c>
      <c r="AP335" s="30" t="inlineStr">
        <is>
          <t>live case, no plan document yet</t>
        </is>
      </c>
      <c r="AQ335" s="30" t="inlineStr">
        <is>
          <t>08.785.522/0001-58</t>
        </is>
      </c>
      <c r="AR335" s="30" t="inlineStr">
        <is>
          <t>printed on the list (read twice)</t>
        </is>
      </c>
      <c r="AS335" s="30" t="inlineStr"/>
      <c r="AT335" s="30" t="inlineStr"/>
      <c r="AU335" s="30" t="inlineStr"/>
      <c r="AV335" s="30" t="inlineStr"/>
      <c r="AW335" s="31" t="inlineStr"/>
      <c r="AX335" s="30" t="inlineStr">
        <is>
          <t>MID-MARKET</t>
        </is>
      </c>
      <c r="AY335" s="30" t="inlineStr">
        <is>
          <t>17213074</t>
        </is>
      </c>
      <c r="AZ335" s="30" t="n">
        <v>1</v>
      </c>
      <c r="BA335" s="30" t="inlineStr">
        <is>
          <t>LIKELY_FINANCIAL_BY_NAME PARTIAL_DOC_CLASS_III_RECONCILED ROWS:p2r25</t>
        </is>
      </c>
    </row>
    <row r="336">
      <c r="A336" s="16" t="inlineStr">
        <is>
          <t>BANCO SANTANDER (BRASIL) S.A.</t>
        </is>
      </c>
      <c r="B336" s="17" t="n">
        <v>345941.2</v>
      </c>
      <c r="C336" s="18" t="inlineStr">
        <is>
          <t>GRUPO DIVINA</t>
        </is>
      </c>
      <c r="D336" s="19" t="inlineStr">
        <is>
          <t>NEW</t>
        </is>
      </c>
      <c r="E336" s="20" t="inlineStr"/>
      <c r="F336" s="19" t="inlineStr"/>
      <c r="G336" s="20" t="inlineStr"/>
      <c r="H336" s="19" t="inlineStr"/>
      <c r="I336" s="21" t="inlineStr">
        <is>
          <t>Igor Puertas</t>
        </is>
      </c>
      <c r="J336" s="21" t="inlineStr">
        <is>
          <t>Distressed Assets | NPL</t>
        </is>
      </c>
      <c r="K336" s="21" t="inlineStr">
        <is>
          <t>(11) 4004-3535</t>
        </is>
      </c>
      <c r="L336" s="21" t="inlineStr"/>
      <c r="M336" s="21" t="inlineStr"/>
      <c r="N336" s="21" t="inlineStr">
        <is>
          <t>igor.puertas@santander.com.br</t>
        </is>
      </c>
      <c r="O336" s="21" t="inlineStr">
        <is>
          <t>antonio.pequeno.junior@santander.com.br</t>
        </is>
      </c>
      <c r="P336" s="21" t="inlineStr">
        <is>
          <t>Antonio Junior</t>
        </is>
      </c>
      <c r="Q336" s="21" t="inlineStr">
        <is>
          <t>Superintendente Recuperação de Crédito</t>
        </is>
      </c>
      <c r="R336" s="21" t="inlineStr"/>
      <c r="S336" s="21" t="inlineStr">
        <is>
          <t>antonio.pequeno.junior@santander.com.br</t>
        </is>
      </c>
      <c r="T336" s="21" t="inlineStr">
        <is>
          <t>email verified by Apollo</t>
        </is>
      </c>
      <c r="U336" s="22" t="n">
        <v>345941.2</v>
      </c>
      <c r="V336" s="23" t="inlineStr">
        <is>
          <t>B</t>
        </is>
      </c>
      <c r="W336" s="24">
        <f>IFERROR(VLOOKUP(V336,Assumptions!$A$7:$F$11,2,FALSE),0)</f>
        <v/>
      </c>
      <c r="X336" s="25">
        <f>IF(V336="A",MAX(1,IFERROR(VLOOKUP(V336,Assumptions!$A$7:$F$11,3,FALSE),3)+IFERROR(VLOOKUP(V336,Assumptions!$A$7:$F$11,4,FALSE),8)/2-MAX(0,IF(AO336="",0,YEAR(TODAY())-AO336)-IFERROR(VLOOKUP(V336,Assumptions!$A$7:$F$11,5,FALSE),1.5))),IFERROR(VLOOKUP(V336,Assumptions!$A$7:$F$11,5,FALSE),2.5)+IFERROR(VLOOKUP(V336,Assumptions!$A$7:$F$11,3,FALSE),3)+IFERROR(VLOOKUP(V336,Assumptions!$A$7:$F$11,4,FALSE),8)/2)</f>
        <v/>
      </c>
      <c r="Y336" s="22">
        <f>U336*W336/(1+Assumptions!$B$3)^X336</f>
        <v/>
      </c>
      <c r="Z336" s="26">
        <f>IF(U336=0,"",ROUND(Y336/U336*100,1))</f>
        <v/>
      </c>
      <c r="AA336" s="27">
        <f>Y336*Assumptions!$B$4</f>
        <v/>
      </c>
      <c r="AB336" s="26">
        <f>IF(U336=0,"",ROUND(AA336/U336*100,1))</f>
        <v/>
      </c>
      <c r="AC336" s="27">
        <f>Y336-AA336</f>
        <v/>
      </c>
      <c r="AD336" s="26">
        <f>IF(U336=0,"",ROUND((Y336-AA336)/U336*100,1))</f>
        <v/>
      </c>
      <c r="AE336" s="34" t="inlineStr">
        <is>
          <t>PARTIAL — class III reconciled, other classes not</t>
        </is>
      </c>
      <c r="AF336" s="29" t="inlineStr">
        <is>
          <t>https://lrflideres.com.br/wp-content/plugins/download-attachments/includes/download.php?id=6252</t>
        </is>
      </c>
      <c r="AG336" s="28" t="inlineStr">
        <is>
          <t>p2 r14</t>
        </is>
      </c>
      <c r="AH336" s="28" t="inlineStr">
        <is>
          <t>p2: R$ 345.941,20</t>
        </is>
      </c>
      <c r="AI336" s="28" t="inlineStr">
        <is>
          <t>AJ list (art. 7 §2)</t>
        </is>
      </c>
      <c r="AJ336" s="28" t="inlineStr">
        <is>
          <t>2024-11-27</t>
        </is>
      </c>
      <c r="AK336" s="28" t="inlineStr">
        <is>
          <t>NONE FOUND</t>
        </is>
      </c>
      <c r="AL336" s="30" t="inlineStr">
        <is>
          <t>0000721-61.2024.8.17.2620</t>
        </is>
      </c>
      <c r="AM336" s="30" t="inlineStr">
        <is>
          <t>TJPE</t>
        </is>
      </c>
      <c r="AN336" s="30" t="inlineStr">
        <is>
          <t>ACTIVE</t>
        </is>
      </c>
      <c r="AO336" s="30" t="n">
        <v>2024</v>
      </c>
      <c r="AP336" s="30" t="inlineStr">
        <is>
          <t>live case, no plan document yet</t>
        </is>
      </c>
      <c r="AQ336" s="30" t="inlineStr">
        <is>
          <t>08.785.522/0001-58</t>
        </is>
      </c>
      <c r="AR336" s="30" t="inlineStr">
        <is>
          <t>printed on the list (read twice)</t>
        </is>
      </c>
      <c r="AS336" s="30" t="inlineStr">
        <is>
          <t>SAO PAULO</t>
        </is>
      </c>
      <c r="AT336" s="30" t="inlineStr">
        <is>
          <t>SP</t>
        </is>
      </c>
      <c r="AU336" s="30" t="inlineStr">
        <is>
          <t>Bancos múltiplos, com carteira comercial</t>
        </is>
      </c>
      <c r="AV336" s="30" t="inlineStr">
        <is>
          <t>DEMAIS</t>
        </is>
      </c>
      <c r="AW336" s="31" t="n">
        <v>65000000000</v>
      </c>
      <c r="AX336" s="30" t="inlineStr">
        <is>
          <t>LARGE CORP</t>
        </is>
      </c>
      <c r="AY336" s="30" t="inlineStr">
        <is>
          <t>90400888</t>
        </is>
      </c>
      <c r="AZ336" s="30" t="n">
        <v>1</v>
      </c>
      <c r="BA336" s="30" t="inlineStr">
        <is>
          <t>LIKELY_FINANCIAL_BY_NAME PARTIAL_DOC_CLASS_III_RECONCILED ROWS:p2r14</t>
        </is>
      </c>
    </row>
    <row r="337">
      <c r="A337" s="16" t="inlineStr">
        <is>
          <t>FS TATUI SECURITIZADORA S.A.</t>
        </is>
      </c>
      <c r="B337" s="17" t="n">
        <v>341146.25</v>
      </c>
      <c r="C337" s="18" t="inlineStr">
        <is>
          <t>GRUPO DIVINA</t>
        </is>
      </c>
      <c r="D337" s="19" t="inlineStr">
        <is>
          <t>NEW</t>
        </is>
      </c>
      <c r="E337" s="20" t="inlineStr"/>
      <c r="F337" s="19" t="inlineStr"/>
      <c r="G337" s="20" t="inlineStr"/>
      <c r="H337" s="19" t="inlineStr"/>
      <c r="I337" s="21" t="inlineStr">
        <is>
          <t>DENERVAL FUGOLIN</t>
        </is>
      </c>
      <c r="J337" s="21" t="inlineStr">
        <is>
          <t>Diretor (RFB partner)</t>
        </is>
      </c>
      <c r="K337" s="21" t="inlineStr">
        <is>
          <t>(15) 3259-8100</t>
        </is>
      </c>
      <c r="L337" s="21" t="inlineStr"/>
      <c r="M337" s="21" t="inlineStr"/>
      <c r="N337" s="21" t="inlineStr"/>
      <c r="O337" s="21" t="inlineStr"/>
      <c r="P337" s="21" t="inlineStr">
        <is>
          <t>MARCIO SEGALLA</t>
        </is>
      </c>
      <c r="Q337" s="21" t="inlineStr">
        <is>
          <t>Diretor (RFB partner)</t>
        </is>
      </c>
      <c r="R337" s="21" t="inlineStr"/>
      <c r="S337" s="21" t="inlineStr"/>
      <c r="T337" s="21" t="inlineStr">
        <is>
          <t>RFB partner (QSA); no Apollo match</t>
        </is>
      </c>
      <c r="U337" s="22" t="n">
        <v>341146.25</v>
      </c>
      <c r="V337" s="23" t="inlineStr">
        <is>
          <t>B</t>
        </is>
      </c>
      <c r="W337" s="24">
        <f>IFERROR(VLOOKUP(V337,Assumptions!$A$7:$F$11,2,FALSE),0)</f>
        <v/>
      </c>
      <c r="X337" s="25">
        <f>IF(V337="A",MAX(1,IFERROR(VLOOKUP(V337,Assumptions!$A$7:$F$11,3,FALSE),3)+IFERROR(VLOOKUP(V337,Assumptions!$A$7:$F$11,4,FALSE),8)/2-MAX(0,IF(AO337="",0,YEAR(TODAY())-AO337)-IFERROR(VLOOKUP(V337,Assumptions!$A$7:$F$11,5,FALSE),1.5))),IFERROR(VLOOKUP(V337,Assumptions!$A$7:$F$11,5,FALSE),2.5)+IFERROR(VLOOKUP(V337,Assumptions!$A$7:$F$11,3,FALSE),3)+IFERROR(VLOOKUP(V337,Assumptions!$A$7:$F$11,4,FALSE),8)/2)</f>
        <v/>
      </c>
      <c r="Y337" s="22">
        <f>U337*W337/(1+Assumptions!$B$3)^X337</f>
        <v/>
      </c>
      <c r="Z337" s="26">
        <f>IF(U337=0,"",ROUND(Y337/U337*100,1))</f>
        <v/>
      </c>
      <c r="AA337" s="27">
        <f>Y337*Assumptions!$B$4</f>
        <v/>
      </c>
      <c r="AB337" s="26">
        <f>IF(U337=0,"",ROUND(AA337/U337*100,1))</f>
        <v/>
      </c>
      <c r="AC337" s="27">
        <f>Y337-AA337</f>
        <v/>
      </c>
      <c r="AD337" s="26">
        <f>IF(U337=0,"",ROUND((Y337-AA337)/U337*100,1))</f>
        <v/>
      </c>
      <c r="AE337" s="34" t="inlineStr">
        <is>
          <t>PARTIAL — class III reconciled, other classes not</t>
        </is>
      </c>
      <c r="AF337" s="29" t="inlineStr">
        <is>
          <t>https://lrflideres.com.br/wp-content/plugins/download-attachments/includes/download.php?id=6252</t>
        </is>
      </c>
      <c r="AG337" s="28" t="inlineStr">
        <is>
          <t>p2 r44</t>
        </is>
      </c>
      <c r="AH337" s="28" t="inlineStr">
        <is>
          <t>p2: R$ 341.146,25</t>
        </is>
      </c>
      <c r="AI337" s="28" t="inlineStr">
        <is>
          <t>AJ list (art. 7 §2)</t>
        </is>
      </c>
      <c r="AJ337" s="28" t="inlineStr">
        <is>
          <t>2024-11-27</t>
        </is>
      </c>
      <c r="AK337" s="28" t="inlineStr">
        <is>
          <t>NONE FOUND</t>
        </is>
      </c>
      <c r="AL337" s="30" t="inlineStr">
        <is>
          <t>0000721-61.2024.8.17.2620</t>
        </is>
      </c>
      <c r="AM337" s="30" t="inlineStr">
        <is>
          <t>TJPE</t>
        </is>
      </c>
      <c r="AN337" s="30" t="inlineStr">
        <is>
          <t>ACTIVE</t>
        </is>
      </c>
      <c r="AO337" s="30" t="n">
        <v>2024</v>
      </c>
      <c r="AP337" s="30" t="inlineStr">
        <is>
          <t>live case, no plan document yet</t>
        </is>
      </c>
      <c r="AQ337" s="30" t="inlineStr">
        <is>
          <t>08.785.522/0001-58</t>
        </is>
      </c>
      <c r="AR337" s="30" t="inlineStr">
        <is>
          <t>printed on the list (read twice)</t>
        </is>
      </c>
      <c r="AS337" s="30" t="inlineStr">
        <is>
          <t>TATUI</t>
        </is>
      </c>
      <c r="AT337" s="30" t="inlineStr">
        <is>
          <t>SP</t>
        </is>
      </c>
      <c r="AU337" s="30" t="inlineStr">
        <is>
          <t>Sociedades de fomento mercantil - factoring</t>
        </is>
      </c>
      <c r="AV337" s="30" t="inlineStr">
        <is>
          <t>DEMAIS</t>
        </is>
      </c>
      <c r="AW337" s="31" t="n">
        <v>1000000</v>
      </c>
      <c r="AX337" s="30" t="inlineStr">
        <is>
          <t>MID-MARKET</t>
        </is>
      </c>
      <c r="AY337" s="30" t="inlineStr">
        <is>
          <t>24744042</t>
        </is>
      </c>
      <c r="AZ337" s="30" t="n">
        <v>1</v>
      </c>
      <c r="BA337" s="30" t="inlineStr">
        <is>
          <t>PARTIAL_DOC_CLASS_III_RECONCILED ROWS:p2r44</t>
        </is>
      </c>
    </row>
    <row r="338">
      <c r="A338" s="16" t="inlineStr">
        <is>
          <t>FIDC DA INDUSTRIA EXODUS INSTITUCIONAL (TRUST)</t>
        </is>
      </c>
      <c r="B338" s="17" t="n">
        <v>336289.98</v>
      </c>
      <c r="C338" s="18" t="inlineStr">
        <is>
          <t>GRUPO DIVINA</t>
        </is>
      </c>
      <c r="D338" s="19" t="inlineStr">
        <is>
          <t>NEW</t>
        </is>
      </c>
      <c r="E338" s="20" t="inlineStr"/>
      <c r="F338" s="19" t="inlineStr"/>
      <c r="G338" s="20" t="inlineStr"/>
      <c r="H338" s="19" t="inlineStr"/>
      <c r="I338" s="21" t="inlineStr"/>
      <c r="J338" s="21" t="inlineStr"/>
      <c r="K338" s="21" t="inlineStr"/>
      <c r="L338" s="21" t="inlineStr"/>
      <c r="M338" s="21" t="inlineStr"/>
      <c r="N338" s="21" t="inlineStr"/>
      <c r="O338" s="21" t="inlineStr"/>
      <c r="P338" s="21" t="inlineStr"/>
      <c r="Q338" s="21" t="inlineStr"/>
      <c r="R338" s="21" t="inlineStr"/>
      <c r="S338" s="21" t="inlineStr"/>
      <c r="T338" s="21" t="inlineStr">
        <is>
          <t>no named contact found</t>
        </is>
      </c>
      <c r="U338" s="22" t="n">
        <v>336289.98</v>
      </c>
      <c r="V338" s="23" t="inlineStr">
        <is>
          <t>B</t>
        </is>
      </c>
      <c r="W338" s="24">
        <f>IFERROR(VLOOKUP(V338,Assumptions!$A$7:$F$11,2,FALSE),0)</f>
        <v/>
      </c>
      <c r="X338" s="25">
        <f>IF(V338="A",MAX(1,IFERROR(VLOOKUP(V338,Assumptions!$A$7:$F$11,3,FALSE),3)+IFERROR(VLOOKUP(V338,Assumptions!$A$7:$F$11,4,FALSE),8)/2-MAX(0,IF(AO338="",0,YEAR(TODAY())-AO338)-IFERROR(VLOOKUP(V338,Assumptions!$A$7:$F$11,5,FALSE),1.5))),IFERROR(VLOOKUP(V338,Assumptions!$A$7:$F$11,5,FALSE),2.5)+IFERROR(VLOOKUP(V338,Assumptions!$A$7:$F$11,3,FALSE),3)+IFERROR(VLOOKUP(V338,Assumptions!$A$7:$F$11,4,FALSE),8)/2)</f>
        <v/>
      </c>
      <c r="Y338" s="22">
        <f>U338*W338/(1+Assumptions!$B$3)^X338</f>
        <v/>
      </c>
      <c r="Z338" s="26">
        <f>IF(U338=0,"",ROUND(Y338/U338*100,1))</f>
        <v/>
      </c>
      <c r="AA338" s="27">
        <f>Y338*Assumptions!$B$4</f>
        <v/>
      </c>
      <c r="AB338" s="26">
        <f>IF(U338=0,"",ROUND(AA338/U338*100,1))</f>
        <v/>
      </c>
      <c r="AC338" s="27">
        <f>Y338-AA338</f>
        <v/>
      </c>
      <c r="AD338" s="26">
        <f>IF(U338=0,"",ROUND((Y338-AA338)/U338*100,1))</f>
        <v/>
      </c>
      <c r="AE338" s="34" t="inlineStr">
        <is>
          <t>PARTIAL — class III reconciled, other classes not</t>
        </is>
      </c>
      <c r="AF338" s="29" t="inlineStr">
        <is>
          <t>https://lrflideres.com.br/wp-content/plugins/download-attachments/includes/download.php?id=6252</t>
        </is>
      </c>
      <c r="AG338" s="28" t="inlineStr">
        <is>
          <t>p2 r40</t>
        </is>
      </c>
      <c r="AH338" s="28" t="inlineStr">
        <is>
          <t>p2: R$ 336.289,98</t>
        </is>
      </c>
      <c r="AI338" s="28" t="inlineStr">
        <is>
          <t>AJ list (art. 7 §2)</t>
        </is>
      </c>
      <c r="AJ338" s="28" t="inlineStr">
        <is>
          <t>2024-11-27</t>
        </is>
      </c>
      <c r="AK338" s="28" t="inlineStr">
        <is>
          <t>NONE FOUND</t>
        </is>
      </c>
      <c r="AL338" s="30" t="inlineStr">
        <is>
          <t>0000721-61.2024.8.17.2620</t>
        </is>
      </c>
      <c r="AM338" s="30" t="inlineStr">
        <is>
          <t>TJPE</t>
        </is>
      </c>
      <c r="AN338" s="30" t="inlineStr">
        <is>
          <t>ACTIVE</t>
        </is>
      </c>
      <c r="AO338" s="30" t="n">
        <v>2024</v>
      </c>
      <c r="AP338" s="30" t="inlineStr">
        <is>
          <t>live case, no plan document yet</t>
        </is>
      </c>
      <c r="AQ338" s="30" t="inlineStr">
        <is>
          <t>08.785.522/0001-58</t>
        </is>
      </c>
      <c r="AR338" s="30" t="inlineStr">
        <is>
          <t>printed on the list (read twice)</t>
        </is>
      </c>
      <c r="AS338" s="30" t="inlineStr"/>
      <c r="AT338" s="30" t="inlineStr"/>
      <c r="AU338" s="30" t="inlineStr"/>
      <c r="AV338" s="30" t="inlineStr"/>
      <c r="AW338" s="31" t="inlineStr"/>
      <c r="AX338" s="30" t="inlineStr">
        <is>
          <t>MID-MARKET</t>
        </is>
      </c>
      <c r="AY338" s="30" t="inlineStr">
        <is>
          <t>14051028</t>
        </is>
      </c>
      <c r="AZ338" s="30" t="n">
        <v>1</v>
      </c>
      <c r="BA338" s="30" t="inlineStr">
        <is>
          <t>LIKELY_FINANCIAL_BY_NAME PARTIAL_DOC_CLASS_III_RECONCILED ROWS:p2r40</t>
        </is>
      </c>
    </row>
    <row r="339">
      <c r="A339" s="16" t="inlineStr">
        <is>
          <t>BANCO BRADESCO S.A.</t>
        </is>
      </c>
      <c r="B339" s="17" t="n">
        <v>332298.8</v>
      </c>
      <c r="C339" s="18" t="inlineStr">
        <is>
          <t>Agroforte Agropecuaria Ltda</t>
        </is>
      </c>
      <c r="D339" s="19" t="inlineStr">
        <is>
          <t>NEW</t>
        </is>
      </c>
      <c r="E339" s="20" t="inlineStr"/>
      <c r="F339" s="19" t="inlineStr"/>
      <c r="G339" s="20" t="inlineStr"/>
      <c r="H339" s="19" t="inlineStr"/>
      <c r="I339" s="21" t="inlineStr">
        <is>
          <t>Marcela Martins</t>
        </is>
      </c>
      <c r="J339" s="21" t="inlineStr">
        <is>
          <t>Superintendente de Recuperação de Crédito - Canais e Operações</t>
        </is>
      </c>
      <c r="K339" s="21" t="inlineStr">
        <is>
          <t>(11) 3684-5122</t>
        </is>
      </c>
      <c r="L339" s="21" t="inlineStr"/>
      <c r="M339" s="21" t="inlineStr"/>
      <c r="N339" s="21" t="inlineStr"/>
      <c r="O339" s="21" t="inlineStr">
        <is>
          <t>sl@bradesco.com.br</t>
        </is>
      </c>
      <c r="P339" s="21" t="inlineStr">
        <is>
          <t>Luis S</t>
        </is>
      </c>
      <c r="Q339" s="21" t="inlineStr">
        <is>
          <t>DRC - Departamento de Recuperação de Crédito - Gerente de Reestruturação de Crédito</t>
        </is>
      </c>
      <c r="R339" s="21" t="inlineStr"/>
      <c r="S339" s="21" t="inlineStr">
        <is>
          <t>sl@bradesco.com.br</t>
        </is>
      </c>
      <c r="T339" s="21" t="inlineStr">
        <is>
          <t>no work email found in Apollo</t>
        </is>
      </c>
      <c r="U339" s="22" t="n">
        <v>332298.8</v>
      </c>
      <c r="V339" s="23" t="inlineStr">
        <is>
          <t>B</t>
        </is>
      </c>
      <c r="W339" s="24">
        <f>IFERROR(VLOOKUP(V339,Assumptions!$A$7:$F$11,2,FALSE),0)</f>
        <v/>
      </c>
      <c r="X339" s="25">
        <f>IF(V339="A",MAX(1,IFERROR(VLOOKUP(V339,Assumptions!$A$7:$F$11,3,FALSE),3)+IFERROR(VLOOKUP(V339,Assumptions!$A$7:$F$11,4,FALSE),8)/2-MAX(0,IF(AO339="",0,YEAR(TODAY())-AO339)-IFERROR(VLOOKUP(V339,Assumptions!$A$7:$F$11,5,FALSE),1.5))),IFERROR(VLOOKUP(V339,Assumptions!$A$7:$F$11,5,FALSE),2.5)+IFERROR(VLOOKUP(V339,Assumptions!$A$7:$F$11,3,FALSE),3)+IFERROR(VLOOKUP(V339,Assumptions!$A$7:$F$11,4,FALSE),8)/2)</f>
        <v/>
      </c>
      <c r="Y339" s="22">
        <f>U339*W339/(1+Assumptions!$B$3)^X339</f>
        <v/>
      </c>
      <c r="Z339" s="26">
        <f>IF(U339=0,"",ROUND(Y339/U339*100,1))</f>
        <v/>
      </c>
      <c r="AA339" s="27">
        <f>Y339*Assumptions!$B$4</f>
        <v/>
      </c>
      <c r="AB339" s="26">
        <f>IF(U339=0,"",ROUND(AA339/U339*100,1))</f>
        <v/>
      </c>
      <c r="AC339" s="27">
        <f>Y339-AA339</f>
        <v/>
      </c>
      <c r="AD339" s="26">
        <f>IF(U339=0,"",ROUND((Y339-AA339)/U339*100,1))</f>
        <v/>
      </c>
      <c r="AE339" s="34" t="inlineStr">
        <is>
          <t>PARTIAL — class III reconciled, other classes not</t>
        </is>
      </c>
      <c r="AF339" s="29" t="inlineStr">
        <is>
          <t>https://marquesadmjudicial.com.br/sgc/download.php?file=files/processo_documento/processo_documento11370527032026_1_.pdf&amp;nome=Quadro Geral de Credores (QGC) -AJ Anterior</t>
        </is>
      </c>
      <c r="AG339" s="28" t="inlineStr">
        <is>
          <t>p1 r6</t>
        </is>
      </c>
      <c r="AH339" s="28" t="inlineStr">
        <is>
          <t>p1: R$ 332.298,80</t>
        </is>
      </c>
      <c r="AI339" s="28" t="inlineStr">
        <is>
          <t>QGC (art. 18)</t>
        </is>
      </c>
      <c r="AJ339" s="28" t="inlineStr">
        <is>
          <t>2025-09-22</t>
        </is>
      </c>
      <c r="AK339" s="28" t="inlineStr">
        <is>
          <t>NONE FOUND</t>
        </is>
      </c>
      <c r="AL339" s="30" t="inlineStr">
        <is>
          <t>0031120-52.2024.8.16.0017</t>
        </is>
      </c>
      <c r="AM339" s="30" t="inlineStr">
        <is>
          <t>TJPR</t>
        </is>
      </c>
      <c r="AN339" s="30" t="inlineStr">
        <is>
          <t>ACTIVE</t>
        </is>
      </c>
      <c r="AO339" s="30" t="n">
        <v>2024</v>
      </c>
      <c r="AP339" s="30" t="inlineStr">
        <is>
          <t>live case, no plan document yet</t>
        </is>
      </c>
      <c r="AQ339" s="30" t="inlineStr">
        <is>
          <t>33.286.454/0001-20</t>
        </is>
      </c>
      <c r="AR339" s="30" t="inlineStr">
        <is>
          <t>printed on the list (read twice)</t>
        </is>
      </c>
      <c r="AS339" s="30" t="inlineStr">
        <is>
          <t>OSASCO</t>
        </is>
      </c>
      <c r="AT339" s="30" t="inlineStr">
        <is>
          <t>SP</t>
        </is>
      </c>
      <c r="AU339" s="30" t="inlineStr">
        <is>
          <t>Bancos múltiplos, com carteira comercial</t>
        </is>
      </c>
      <c r="AV339" s="30" t="inlineStr">
        <is>
          <t>DEMAIS</t>
        </is>
      </c>
      <c r="AW339" s="31" t="n">
        <v>93770000000</v>
      </c>
      <c r="AX339" s="30" t="inlineStr">
        <is>
          <t>LARGE CORP</t>
        </is>
      </c>
      <c r="AY339" s="30" t="inlineStr">
        <is>
          <t>60746948</t>
        </is>
      </c>
      <c r="AZ339" s="30" t="n">
        <v>1</v>
      </c>
      <c r="BA339" s="30" t="inlineStr">
        <is>
          <t>LIKELY_FINANCIAL_BY_NAME PARTIAL_DOC_CLASS_III_RECONCILED ROWS:p1r6</t>
        </is>
      </c>
    </row>
    <row r="340">
      <c r="A340" s="16" t="inlineStr">
        <is>
          <t>BANCO SAFRA S A</t>
        </is>
      </c>
      <c r="B340" s="17" t="n">
        <v>328600</v>
      </c>
      <c r="C340" s="18" t="inlineStr">
        <is>
          <t>GRUPO RIVER MUSIC</t>
        </is>
      </c>
      <c r="D340" s="19" t="inlineStr">
        <is>
          <t>NEW</t>
        </is>
      </c>
      <c r="E340" s="20" t="inlineStr"/>
      <c r="F340" s="19" t="inlineStr"/>
      <c r="G340" s="20" t="inlineStr"/>
      <c r="H340" s="19" t="inlineStr"/>
      <c r="I340" s="21" t="inlineStr">
        <is>
          <t>Vanessa Biotti</t>
        </is>
      </c>
      <c r="J340" s="21" t="inlineStr">
        <is>
          <t>Gerente de Recuperação de Crédito</t>
        </is>
      </c>
      <c r="K340" s="21" t="inlineStr">
        <is>
          <t>(11) 3175-7575</t>
        </is>
      </c>
      <c r="L340" s="21" t="inlineStr"/>
      <c r="M340" s="21" t="inlineStr"/>
      <c r="N340" s="21" t="inlineStr">
        <is>
          <t>vanessa.biotti@safra.com.br</t>
        </is>
      </c>
      <c r="O340" s="21" t="inlineStr">
        <is>
          <t>rodrigo.anjos@safra.com.br</t>
        </is>
      </c>
      <c r="P340" s="21" t="inlineStr">
        <is>
          <t>Rodrigo Anjos</t>
        </is>
      </c>
      <c r="Q340" s="21" t="inlineStr">
        <is>
          <t>Advogado Sênior - Jurídico Contencioso - Recuperação de Crédito - NPL</t>
        </is>
      </c>
      <c r="R340" s="21" t="inlineStr"/>
      <c r="S340" s="21" t="inlineStr">
        <is>
          <t>rodrigo.anjos@safra.com.br</t>
        </is>
      </c>
      <c r="T340" s="21" t="inlineStr">
        <is>
          <t>email verified by Apollo</t>
        </is>
      </c>
      <c r="U340" s="22" t="n">
        <v>328600</v>
      </c>
      <c r="V340" s="23" t="inlineStr">
        <is>
          <t>B</t>
        </is>
      </c>
      <c r="W340" s="24">
        <f>IFERROR(VLOOKUP(V340,Assumptions!$A$7:$F$11,2,FALSE),0)</f>
        <v/>
      </c>
      <c r="X340" s="25">
        <f>IF(V340="A",MAX(1,IFERROR(VLOOKUP(V340,Assumptions!$A$7:$F$11,3,FALSE),3)+IFERROR(VLOOKUP(V340,Assumptions!$A$7:$F$11,4,FALSE),8)/2-MAX(0,IF(AO340="",0,YEAR(TODAY())-AO340)-IFERROR(VLOOKUP(V340,Assumptions!$A$7:$F$11,5,FALSE),1.5))),IFERROR(VLOOKUP(V340,Assumptions!$A$7:$F$11,5,FALSE),2.5)+IFERROR(VLOOKUP(V340,Assumptions!$A$7:$F$11,3,FALSE),3)+IFERROR(VLOOKUP(V340,Assumptions!$A$7:$F$11,4,FALSE),8)/2)</f>
        <v/>
      </c>
      <c r="Y340" s="22">
        <f>U340*W340/(1+Assumptions!$B$3)^X340</f>
        <v/>
      </c>
      <c r="Z340" s="26">
        <f>IF(U340=0,"",ROUND(Y340/U340*100,1))</f>
        <v/>
      </c>
      <c r="AA340" s="27">
        <f>Y340*Assumptions!$B$4</f>
        <v/>
      </c>
      <c r="AB340" s="26">
        <f>IF(U340=0,"",ROUND(AA340/U340*100,1))</f>
        <v/>
      </c>
      <c r="AC340" s="27">
        <f>Y340-AA340</f>
        <v/>
      </c>
      <c r="AD340" s="26">
        <f>IF(U340=0,"",ROUND((Y340-AA340)/U340*100,1))</f>
        <v/>
      </c>
      <c r="AE340" s="33" t="inlineStr">
        <is>
          <t>NO TOTALS — list prints none; check page</t>
        </is>
      </c>
      <c r="AF340" s="29" t="inlineStr">
        <is>
          <t>https://ativosajce.com.br/admin/download.php?file=files/processo_documento/processo_documento18543908052025_1_.pdf&amp;nome=Relação de Credores - art. 52, §1º da Lei 11.101/05 - 27/01/2025</t>
        </is>
      </c>
      <c r="AG340" s="28" t="inlineStr">
        <is>
          <t>p3 r3</t>
        </is>
      </c>
      <c r="AH340" s="28" t="inlineStr">
        <is>
          <t>p3: R$ 328.600,00</t>
        </is>
      </c>
      <c r="AI340" s="28" t="inlineStr">
        <is>
          <t>Unclassified list</t>
        </is>
      </c>
      <c r="AJ340" s="28" t="inlineStr"/>
      <c r="AK340" s="28" t="inlineStr">
        <is>
          <t>NONE FOUND</t>
        </is>
      </c>
      <c r="AL340" s="30" t="inlineStr">
        <is>
          <t>1001174-80.2024.8.26.0359</t>
        </is>
      </c>
      <c r="AM340" s="30" t="inlineStr">
        <is>
          <t>TJSP</t>
        </is>
      </c>
      <c r="AN340" s="30" t="inlineStr">
        <is>
          <t>ACTIVE</t>
        </is>
      </c>
      <c r="AO340" s="30" t="n">
        <v>2024</v>
      </c>
      <c r="AP340" s="30" t="inlineStr">
        <is>
          <t>live case, no plan document yet</t>
        </is>
      </c>
      <c r="AQ340" s="30" t="inlineStr">
        <is>
          <t>14.469.612/0001-32</t>
        </is>
      </c>
      <c r="AR340" s="30" t="inlineStr">
        <is>
          <t>printed on the list (read twice)</t>
        </is>
      </c>
      <c r="AS340" s="30" t="inlineStr">
        <is>
          <t>SAO PAULO</t>
        </is>
      </c>
      <c r="AT340" s="30" t="inlineStr">
        <is>
          <t>SP</t>
        </is>
      </c>
      <c r="AU340" s="30" t="inlineStr">
        <is>
          <t>Bancos múltiplos, com carteira comercial</t>
        </is>
      </c>
      <c r="AV340" s="30" t="inlineStr">
        <is>
          <t>DEMAIS</t>
        </is>
      </c>
      <c r="AW340" s="31" t="n">
        <v>13924903000</v>
      </c>
      <c r="AX340" s="30" t="inlineStr">
        <is>
          <t>LARGE CORP</t>
        </is>
      </c>
      <c r="AY340" s="30" t="inlineStr">
        <is>
          <t>58160789</t>
        </is>
      </c>
      <c r="AZ340" s="30" t="n">
        <v>1</v>
      </c>
      <c r="BA340" s="30" t="inlineStr">
        <is>
          <t>ROWS:p3r3 UNRECONCILED_SOURCE VALUE_COL:Valor_Do_Créidto</t>
        </is>
      </c>
    </row>
    <row r="341">
      <c r="A341" s="16" t="inlineStr">
        <is>
          <t>C.H.F. ONE PARTICIPACOES LTDA</t>
        </is>
      </c>
      <c r="B341" s="17" t="n">
        <v>327670.06</v>
      </c>
      <c r="C341" s="18" t="inlineStr">
        <is>
          <t>CENTURY CONSTRUÇÕES COMÉRCIO E SERVIÇOS LTDA.</t>
        </is>
      </c>
      <c r="D341" s="19" t="inlineStr">
        <is>
          <t>NEW</t>
        </is>
      </c>
      <c r="E341" s="20" t="inlineStr"/>
      <c r="F341" s="19" t="inlineStr"/>
      <c r="G341" s="20" t="inlineStr"/>
      <c r="H341" s="19" t="inlineStr"/>
      <c r="I341" s="21" t="inlineStr">
        <is>
          <t>ALBERTO ENOUT DE ASSUNCAO</t>
        </is>
      </c>
      <c r="J341" s="21" t="inlineStr">
        <is>
          <t>Administrador (RFB partner)</t>
        </is>
      </c>
      <c r="K341" s="21" t="inlineStr">
        <is>
          <t>(11) 2087-6740</t>
        </is>
      </c>
      <c r="L341" s="21" t="inlineStr"/>
      <c r="M341" s="21" t="inlineStr"/>
      <c r="N341" s="21" t="inlineStr"/>
      <c r="O341" s="21" t="inlineStr"/>
      <c r="P341" s="21" t="inlineStr">
        <is>
          <t>PAULO JOSE FONTES FRIZZARIM</t>
        </is>
      </c>
      <c r="Q341" s="21" t="inlineStr">
        <is>
          <t>Administrador (RFB partner)</t>
        </is>
      </c>
      <c r="R341" s="21" t="inlineStr"/>
      <c r="S341" s="21" t="inlineStr"/>
      <c r="T341" s="21" t="inlineStr">
        <is>
          <t>RFB partner (QSA); no Apollo match</t>
        </is>
      </c>
      <c r="U341" s="22" t="n">
        <v>327670.06</v>
      </c>
      <c r="V341" s="23" t="inlineStr">
        <is>
          <t>B</t>
        </is>
      </c>
      <c r="W341" s="24">
        <f>IFERROR(VLOOKUP(V341,Assumptions!$A$7:$F$11,2,FALSE),0)</f>
        <v/>
      </c>
      <c r="X341" s="25">
        <f>IF(V341="A",MAX(1,IFERROR(VLOOKUP(V341,Assumptions!$A$7:$F$11,3,FALSE),3)+IFERROR(VLOOKUP(V341,Assumptions!$A$7:$F$11,4,FALSE),8)/2-MAX(0,IF(AO341="",0,YEAR(TODAY())-AO341)-IFERROR(VLOOKUP(V341,Assumptions!$A$7:$F$11,5,FALSE),1.5))),IFERROR(VLOOKUP(V341,Assumptions!$A$7:$F$11,5,FALSE),2.5)+IFERROR(VLOOKUP(V341,Assumptions!$A$7:$F$11,3,FALSE),3)+IFERROR(VLOOKUP(V341,Assumptions!$A$7:$F$11,4,FALSE),8)/2)</f>
        <v/>
      </c>
      <c r="Y341" s="22">
        <f>U341*W341/(1+Assumptions!$B$3)^X341</f>
        <v/>
      </c>
      <c r="Z341" s="26">
        <f>IF(U341=0,"",ROUND(Y341/U341*100,1))</f>
        <v/>
      </c>
      <c r="AA341" s="27">
        <f>Y341*Assumptions!$B$4</f>
        <v/>
      </c>
      <c r="AB341" s="26">
        <f>IF(U341=0,"",ROUND(AA341/U341*100,1))</f>
        <v/>
      </c>
      <c r="AC341" s="27">
        <f>Y341-AA341</f>
        <v/>
      </c>
      <c r="AD341" s="26">
        <f>IF(U341=0,"",ROUND((Y341-AA341)/U341*100,1))</f>
        <v/>
      </c>
      <c r="AE341" s="33" t="inlineStr">
        <is>
          <t>NO TOTALS — list prints none; check page</t>
        </is>
      </c>
      <c r="AF341" s="29" t="inlineStr">
        <is>
          <t>https://ativosajce.com.br/admin/download.php?file=files/processo_documento/processo_documento16022716122025_1_.pdf&amp;nome=Relação de credores - art. 52, §1º da Lei 11.101/05 - 15/12/2025</t>
        </is>
      </c>
      <c r="AG341" s="28" t="inlineStr">
        <is>
          <t>p2 r45</t>
        </is>
      </c>
      <c r="AH341" s="28" t="inlineStr">
        <is>
          <t>p2: R$ 327.670,06</t>
        </is>
      </c>
      <c r="AI341" s="28" t="inlineStr">
        <is>
          <t>Unclassified list</t>
        </is>
      </c>
      <c r="AJ341" s="28" t="inlineStr"/>
      <c r="AK341" s="28" t="inlineStr">
        <is>
          <t>NONE FOUND</t>
        </is>
      </c>
      <c r="AL341" s="30" t="inlineStr">
        <is>
          <t>4054599-35.2025.8.26.0100</t>
        </is>
      </c>
      <c r="AM341" s="30" t="inlineStr">
        <is>
          <t>TJSP</t>
        </is>
      </c>
      <c r="AN341" s="30" t="inlineStr">
        <is>
          <t>ACTIVE</t>
        </is>
      </c>
      <c r="AO341" s="30" t="n">
        <v>2025</v>
      </c>
      <c r="AP341" s="30" t="inlineStr">
        <is>
          <t>live case, no plan document yet</t>
        </is>
      </c>
      <c r="AQ341" s="30" t="inlineStr">
        <is>
          <t>03.299.563/0001-10</t>
        </is>
      </c>
      <c r="AR341" s="30" t="inlineStr">
        <is>
          <t>printed on the list (read twice)</t>
        </is>
      </c>
      <c r="AS341" s="30" t="inlineStr">
        <is>
          <t>SAO PAULO</t>
        </is>
      </c>
      <c r="AT341" s="30" t="inlineStr">
        <is>
          <t>SP</t>
        </is>
      </c>
      <c r="AU341" s="30" t="inlineStr">
        <is>
          <t>Holdings de instituições não-financeiras</t>
        </is>
      </c>
      <c r="AV341" s="30" t="inlineStr">
        <is>
          <t>DEMAIS</t>
        </is>
      </c>
      <c r="AW341" s="31" t="n">
        <v>3000000</v>
      </c>
      <c r="AX341" s="30" t="inlineStr">
        <is>
          <t>MID-MARKET</t>
        </is>
      </c>
      <c r="AY341" s="30" t="inlineStr">
        <is>
          <t>12222798</t>
        </is>
      </c>
      <c r="AZ341" s="30" t="n">
        <v>1</v>
      </c>
      <c r="BA341" s="30" t="inlineStr">
        <is>
          <t>ROWS:p2r45 UNRECONCILED_SOURCE VALUE_COL:Valor</t>
        </is>
      </c>
    </row>
    <row r="342">
      <c r="A342" s="16" t="inlineStr">
        <is>
          <t>CAIXA ECONOMICA FEDERAL</t>
        </is>
      </c>
      <c r="B342" s="17" t="n">
        <v>322411.47</v>
      </c>
      <c r="C342" s="18" t="inlineStr">
        <is>
          <t>GRUPO MARINGÁ PARK</t>
        </is>
      </c>
      <c r="D342" s="19" t="inlineStr">
        <is>
          <t>NEW</t>
        </is>
      </c>
      <c r="E342" s="20" t="inlineStr"/>
      <c r="F342" s="19" t="inlineStr"/>
      <c r="G342" s="20" t="inlineStr"/>
      <c r="H342" s="19" t="inlineStr"/>
      <c r="I342" s="21" t="inlineStr">
        <is>
          <t>Livia Serikaku</t>
        </is>
      </c>
      <c r="J342" s="21" t="inlineStr">
        <is>
          <t>Gerente de Clientes e Negócios | Recuperação de Crédito</t>
        </is>
      </c>
      <c r="K342" s="21" t="inlineStr">
        <is>
          <t>(00) 4004-0104</t>
        </is>
      </c>
      <c r="L342" s="21" t="inlineStr"/>
      <c r="M342" s="21" t="inlineStr"/>
      <c r="N342" s="21" t="inlineStr"/>
      <c r="O342" s="21" t="inlineStr"/>
      <c r="P342" s="21" t="inlineStr">
        <is>
          <t>Rodolfo Trevizan</t>
        </is>
      </c>
      <c r="Q342" s="21" t="inlineStr">
        <is>
          <t>Investment Banking | Distressed Assets | Project Finance</t>
        </is>
      </c>
      <c r="R342" s="21" t="inlineStr"/>
      <c r="S342" s="21" t="inlineStr"/>
      <c r="T342" s="21" t="inlineStr">
        <is>
          <t>no work email found in Apollo</t>
        </is>
      </c>
      <c r="U342" s="22" t="n">
        <v>322411.47</v>
      </c>
      <c r="V342" s="23" t="inlineStr">
        <is>
          <t>B</t>
        </is>
      </c>
      <c r="W342" s="24">
        <f>IFERROR(VLOOKUP(V342,Assumptions!$A$7:$F$11,2,FALSE),0)</f>
        <v/>
      </c>
      <c r="X342" s="25">
        <f>IF(V342="A",MAX(1,IFERROR(VLOOKUP(V342,Assumptions!$A$7:$F$11,3,FALSE),3)+IFERROR(VLOOKUP(V342,Assumptions!$A$7:$F$11,4,FALSE),8)/2-MAX(0,IF(AO342="",0,YEAR(TODAY())-AO342)-IFERROR(VLOOKUP(V342,Assumptions!$A$7:$F$11,5,FALSE),1.5))),IFERROR(VLOOKUP(V342,Assumptions!$A$7:$F$11,5,FALSE),2.5)+IFERROR(VLOOKUP(V342,Assumptions!$A$7:$F$11,3,FALSE),3)+IFERROR(VLOOKUP(V342,Assumptions!$A$7:$F$11,4,FALSE),8)/2)</f>
        <v/>
      </c>
      <c r="Y342" s="22">
        <f>U342*W342/(1+Assumptions!$B$3)^X342</f>
        <v/>
      </c>
      <c r="Z342" s="26">
        <f>IF(U342=0,"",ROUND(Y342/U342*100,1))</f>
        <v/>
      </c>
      <c r="AA342" s="27">
        <f>Y342*Assumptions!$B$4</f>
        <v/>
      </c>
      <c r="AB342" s="26">
        <f>IF(U342=0,"",ROUND(AA342/U342*100,1))</f>
        <v/>
      </c>
      <c r="AC342" s="27">
        <f>Y342-AA342</f>
        <v/>
      </c>
      <c r="AD342" s="26">
        <f>IF(U342=0,"",ROUND((Y342-AA342)/U342*100,1))</f>
        <v/>
      </c>
      <c r="AE342" s="28" t="inlineStr">
        <is>
          <t>OK — totals reconciled</t>
        </is>
      </c>
      <c r="AF342" s="29" t="inlineStr">
        <is>
          <t>https://marquesadmjudicial.com.br/sgc/download.php?file=files/processo_documento/processo_documento19270817122025_1_.pdf&amp;nome=Relação Nominal de Credores AJ</t>
        </is>
      </c>
      <c r="AG342" s="28" t="inlineStr">
        <is>
          <t>p4 r5</t>
        </is>
      </c>
      <c r="AH342" s="28" t="inlineStr">
        <is>
          <t>p4: R$ 322.411,47</t>
        </is>
      </c>
      <c r="AI342" s="28" t="inlineStr">
        <is>
          <t>AJ list (art. 7 §2)</t>
        </is>
      </c>
      <c r="AJ342" s="28" t="inlineStr">
        <is>
          <t>2025-12-17</t>
        </is>
      </c>
      <c r="AK342" s="28" t="inlineStr">
        <is>
          <t>NONE FOUND</t>
        </is>
      </c>
      <c r="AL342" s="30" t="inlineStr">
        <is>
          <t>0016033-22.2025.8.16.0017</t>
        </is>
      </c>
      <c r="AM342" s="30" t="inlineStr">
        <is>
          <t>TJPR</t>
        </is>
      </c>
      <c r="AN342" s="30" t="inlineStr">
        <is>
          <t>ACTIVE</t>
        </is>
      </c>
      <c r="AO342" s="30" t="n">
        <v>2025</v>
      </c>
      <c r="AP342" s="30" t="inlineStr">
        <is>
          <t>live case, no plan document yet</t>
        </is>
      </c>
      <c r="AQ342" s="30" t="inlineStr">
        <is>
          <t>00.073.485/0001-43</t>
        </is>
      </c>
      <c r="AR342" s="30" t="inlineStr">
        <is>
          <t>printed on the list (read twice)</t>
        </is>
      </c>
      <c r="AS342" s="30" t="inlineStr">
        <is>
          <t>BRASILIA</t>
        </is>
      </c>
      <c r="AT342" s="30" t="inlineStr">
        <is>
          <t>DF</t>
        </is>
      </c>
      <c r="AU342" s="30" t="inlineStr">
        <is>
          <t>Caixas econômicas</t>
        </is>
      </c>
      <c r="AV342" s="30" t="inlineStr">
        <is>
          <t>DEMAIS</t>
        </is>
      </c>
      <c r="AW342" s="31" t="n">
        <v>105300000000</v>
      </c>
      <c r="AX342" s="30" t="inlineStr">
        <is>
          <t>LARGE CORP</t>
        </is>
      </c>
      <c r="AY342" s="30" t="inlineStr">
        <is>
          <t>00360305</t>
        </is>
      </c>
      <c r="AZ342" s="30" t="n">
        <v>1</v>
      </c>
      <c r="BA342" s="30" t="inlineStr">
        <is>
          <t>LIKELY_FINANCIAL_BY_NAME ROWS:p4r5</t>
        </is>
      </c>
    </row>
    <row r="343">
      <c r="A343" s="16" t="inlineStr">
        <is>
          <t>AVLA SEGUROS BRASIL S.A.</t>
        </is>
      </c>
      <c r="B343" s="17" t="n">
        <v>321452.22</v>
      </c>
      <c r="C343" s="18" t="inlineStr">
        <is>
          <t>Grupo Rech</t>
        </is>
      </c>
      <c r="D343" s="19" t="inlineStr">
        <is>
          <t>NEW</t>
        </is>
      </c>
      <c r="E343" s="20" t="inlineStr"/>
      <c r="F343" s="19" t="inlineStr"/>
      <c r="G343" s="20" t="inlineStr"/>
      <c r="H343" s="19" t="inlineStr"/>
      <c r="I343" s="21" t="inlineStr">
        <is>
          <t>FELIPPE KAC ASTRACHAN</t>
        </is>
      </c>
      <c r="J343" s="21" t="inlineStr">
        <is>
          <t>Presidente (RFB partner)</t>
        </is>
      </c>
      <c r="K343" s="21" t="inlineStr">
        <is>
          <t>(11) 2829-7676</t>
        </is>
      </c>
      <c r="L343" s="21" t="inlineStr"/>
      <c r="M343" s="21" t="inlineStr"/>
      <c r="N343" s="21" t="inlineStr"/>
      <c r="O343" s="21" t="inlineStr"/>
      <c r="P343" s="21" t="inlineStr">
        <is>
          <t>ANDRE LUIZ BERTOLINO</t>
        </is>
      </c>
      <c r="Q343" s="21" t="inlineStr">
        <is>
          <t>Diretor (RFB partner)</t>
        </is>
      </c>
      <c r="R343" s="21" t="inlineStr"/>
      <c r="S343" s="21" t="inlineStr"/>
      <c r="T343" s="21" t="inlineStr">
        <is>
          <t>RFB partner (QSA); no Apollo match</t>
        </is>
      </c>
      <c r="U343" s="22" t="n">
        <v>321452.22</v>
      </c>
      <c r="V343" s="23" t="inlineStr">
        <is>
          <t>B</t>
        </is>
      </c>
      <c r="W343" s="24">
        <f>IFERROR(VLOOKUP(V343,Assumptions!$A$7:$F$11,2,FALSE),0)</f>
        <v/>
      </c>
      <c r="X343" s="25">
        <f>IF(V343="A",MAX(1,IFERROR(VLOOKUP(V343,Assumptions!$A$7:$F$11,3,FALSE),3)+IFERROR(VLOOKUP(V343,Assumptions!$A$7:$F$11,4,FALSE),8)/2-MAX(0,IF(AO343="",0,YEAR(TODAY())-AO343)-IFERROR(VLOOKUP(V343,Assumptions!$A$7:$F$11,5,FALSE),1.5))),IFERROR(VLOOKUP(V343,Assumptions!$A$7:$F$11,5,FALSE),2.5)+IFERROR(VLOOKUP(V343,Assumptions!$A$7:$F$11,3,FALSE),3)+IFERROR(VLOOKUP(V343,Assumptions!$A$7:$F$11,4,FALSE),8)/2)</f>
        <v/>
      </c>
      <c r="Y343" s="22">
        <f>U343*W343/(1+Assumptions!$B$3)^X343</f>
        <v/>
      </c>
      <c r="Z343" s="26">
        <f>IF(U343=0,"",ROUND(Y343/U343*100,1))</f>
        <v/>
      </c>
      <c r="AA343" s="27">
        <f>Y343*Assumptions!$B$4</f>
        <v/>
      </c>
      <c r="AB343" s="26">
        <f>IF(U343=0,"",ROUND(AA343/U343*100,1))</f>
        <v/>
      </c>
      <c r="AC343" s="27">
        <f>Y343-AA343</f>
        <v/>
      </c>
      <c r="AD343" s="26">
        <f>IF(U343=0,"",ROUND((Y343-AA343)/U343*100,1))</f>
        <v/>
      </c>
      <c r="AE343" s="36" t="inlineStr">
        <is>
          <t>CHECK — source is not a statutory creditor list</t>
        </is>
      </c>
      <c r="AF343" s="29" t="inlineStr">
        <is>
          <t>https://credibilita.com.br/wp-content/uploads/2025/09/Relacao-Credores-29.04.2026.pdf</t>
        </is>
      </c>
      <c r="AG343" s="28" t="inlineStr">
        <is>
          <t>p1 r2</t>
        </is>
      </c>
      <c r="AH343" s="28" t="inlineStr">
        <is>
          <t>p1: R$ 321.452,22</t>
        </is>
      </c>
      <c r="AI343" s="28" t="inlineStr">
        <is>
          <t>Quorum list — NOT an art. 7/51 list</t>
        </is>
      </c>
      <c r="AJ343" s="28" t="inlineStr"/>
      <c r="AK343" s="28" t="inlineStr">
        <is>
          <t>NONE FOUND</t>
        </is>
      </c>
      <c r="AL343" s="30" t="inlineStr">
        <is>
          <t>5057720-48.2025.8.24.0023</t>
        </is>
      </c>
      <c r="AM343" s="30" t="inlineStr">
        <is>
          <t>TJSC</t>
        </is>
      </c>
      <c r="AN343" s="30" t="inlineStr"/>
      <c r="AO343" s="30" t="n">
        <v>2025</v>
      </c>
      <c r="AP343" s="30" t="inlineStr">
        <is>
          <t>live case, no plan document yet</t>
        </is>
      </c>
      <c r="AQ343" s="30" t="inlineStr"/>
      <c r="AR343" s="30" t="inlineStr">
        <is>
          <t>portal page title / URL — not printed on the list</t>
        </is>
      </c>
      <c r="AS343" s="30" t="inlineStr">
        <is>
          <t>SAO PAULO</t>
        </is>
      </c>
      <c r="AT343" s="30" t="inlineStr">
        <is>
          <t>SP</t>
        </is>
      </c>
      <c r="AU343" s="30" t="inlineStr">
        <is>
          <t>Sociedade seguradora de seguros não vida</t>
        </is>
      </c>
      <c r="AV343" s="30" t="inlineStr">
        <is>
          <t>DEMAIS</t>
        </is>
      </c>
      <c r="AW343" s="31" t="n">
        <v>76905110</v>
      </c>
      <c r="AX343" s="30" t="inlineStr">
        <is>
          <t>MID-MARKET</t>
        </is>
      </c>
      <c r="AY343" s="30" t="inlineStr">
        <is>
          <t>41182665</t>
        </is>
      </c>
      <c r="AZ343" s="30" t="n">
        <v>1</v>
      </c>
      <c r="BA343" s="30" t="inlineStr">
        <is>
          <t>ROWS:p1r2 UNRECONCILED_SOURCE VALUE_COL:Valor_Após_Analise CASE_NUMBER_CORRECTED</t>
        </is>
      </c>
    </row>
    <row r="344">
      <c r="A344" s="16" t="inlineStr">
        <is>
          <t>CAIXA ECONOMICA FEDERAL</t>
        </is>
      </c>
      <c r="B344" s="17" t="n">
        <v>2299818.75</v>
      </c>
      <c r="C344" s="18" t="inlineStr">
        <is>
          <t>Mannes</t>
        </is>
      </c>
      <c r="D344" s="19" t="inlineStr">
        <is>
          <t>NEW</t>
        </is>
      </c>
      <c r="E344" s="20" t="inlineStr"/>
      <c r="F344" s="19" t="inlineStr"/>
      <c r="G344" s="20" t="inlineStr"/>
      <c r="H344" s="19" t="inlineStr"/>
      <c r="I344" s="21" t="inlineStr">
        <is>
          <t>Livia Serikaku</t>
        </is>
      </c>
      <c r="J344" s="21" t="inlineStr">
        <is>
          <t>Gerente de Clientes e Negócios | Recuperação de Crédito</t>
        </is>
      </c>
      <c r="K344" s="21" t="inlineStr">
        <is>
          <t>(00) 4004-0104</t>
        </is>
      </c>
      <c r="L344" s="21" t="inlineStr"/>
      <c r="M344" s="21" t="inlineStr"/>
      <c r="N344" s="21" t="inlineStr"/>
      <c r="O344" s="21" t="inlineStr"/>
      <c r="P344" s="21" t="inlineStr">
        <is>
          <t>Rodolfo Trevizan</t>
        </is>
      </c>
      <c r="Q344" s="21" t="inlineStr">
        <is>
          <t>Investment Banking | Distressed Assets | Project Finance</t>
        </is>
      </c>
      <c r="R344" s="21" t="inlineStr"/>
      <c r="S344" s="21" t="inlineStr"/>
      <c r="T344" s="21" t="inlineStr">
        <is>
          <t>no work email found in Apollo</t>
        </is>
      </c>
      <c r="U344" s="22" t="n">
        <v>2299818.75</v>
      </c>
      <c r="V344" s="39" t="inlineStr">
        <is>
          <t>D</t>
        </is>
      </c>
      <c r="W344" s="24">
        <f>IFERROR(VLOOKUP(V344,Assumptions!$A$7:$F$11,2,FALSE),0)</f>
        <v/>
      </c>
      <c r="X344" s="25">
        <f>IF(V344="A",MAX(1,IFERROR(VLOOKUP(V344,Assumptions!$A$7:$F$11,3,FALSE),3)+IFERROR(VLOOKUP(V344,Assumptions!$A$7:$F$11,4,FALSE),8)/2-MAX(0,IF(AO344="",0,YEAR(TODAY())-AO344)-IFERROR(VLOOKUP(V344,Assumptions!$A$7:$F$11,5,FALSE),1.5))),IFERROR(VLOOKUP(V344,Assumptions!$A$7:$F$11,5,FALSE),2.5)+IFERROR(VLOOKUP(V344,Assumptions!$A$7:$F$11,3,FALSE),3)+IFERROR(VLOOKUP(V344,Assumptions!$A$7:$F$11,4,FALSE),8)/2)</f>
        <v/>
      </c>
      <c r="Y344" s="22">
        <f>U344*W344/(1+Assumptions!$B$3)^X344</f>
        <v/>
      </c>
      <c r="Z344" s="26">
        <f>IF(U344=0,"",ROUND(Y344/U344*100,1))</f>
        <v/>
      </c>
      <c r="AA344" s="27">
        <f>Y344*Assumptions!$B$4</f>
        <v/>
      </c>
      <c r="AB344" s="26">
        <f>IF(U344=0,"",ROUND(AA344/U344*100,1))</f>
        <v/>
      </c>
      <c r="AC344" s="27">
        <f>Y344-AA344</f>
        <v/>
      </c>
      <c r="AD344" s="26">
        <f>IF(U344=0,"",ROUND((Y344-AA344)/U344*100,1))</f>
        <v/>
      </c>
      <c r="AE344" s="36" t="inlineStr">
        <is>
          <t>CHECK — source is not a statutory creditor list</t>
        </is>
      </c>
      <c r="AF344" s="29" t="inlineStr">
        <is>
          <t>https://administradorajudicialgs.com.br/wp-content/uploads/2024/12/relacao-de-credores-da-falida.pdf</t>
        </is>
      </c>
      <c r="AG344" s="28" t="inlineStr">
        <is>
          <t>p13 r32</t>
        </is>
      </c>
      <c r="AH344" s="28" t="inlineStr">
        <is>
          <t>p13: R$ 2.299.818,75</t>
        </is>
      </c>
      <c r="AI344" s="28" t="inlineStr">
        <is>
          <t>Other filing — NOT an art. 7/51 list</t>
        </is>
      </c>
      <c r="AJ344" s="28" t="inlineStr">
        <is>
          <t>2025-03-25</t>
        </is>
      </c>
      <c r="AK344" s="28" t="inlineStr">
        <is>
          <t>NONE FOUND</t>
        </is>
      </c>
      <c r="AL344" s="30" t="inlineStr">
        <is>
          <t>0005010-50.2013.8.24.0026</t>
        </is>
      </c>
      <c r="AM344" s="30" t="inlineStr">
        <is>
          <t>TJSC</t>
        </is>
      </c>
      <c r="AN344" s="30" t="inlineStr"/>
      <c r="AO344" s="30" t="n">
        <v>2013</v>
      </c>
      <c r="AP344" s="30" t="inlineStr">
        <is>
          <t>document is a falência (bankruptcy) list</t>
        </is>
      </c>
      <c r="AQ344" s="30" t="inlineStr"/>
      <c r="AR344" s="30" t="inlineStr">
        <is>
          <t>printed on the list (read twice)</t>
        </is>
      </c>
      <c r="AS344" s="30" t="inlineStr">
        <is>
          <t>BRASILIA</t>
        </is>
      </c>
      <c r="AT344" s="30" t="inlineStr">
        <is>
          <t>DF</t>
        </is>
      </c>
      <c r="AU344" s="30" t="inlineStr">
        <is>
          <t>Caixas econômicas</t>
        </is>
      </c>
      <c r="AV344" s="30" t="inlineStr">
        <is>
          <t>DEMAIS</t>
        </is>
      </c>
      <c r="AW344" s="31" t="n">
        <v>105300000000</v>
      </c>
      <c r="AX344" s="30" t="inlineStr">
        <is>
          <t>LARGE CORP</t>
        </is>
      </c>
      <c r="AY344" s="30" t="inlineStr">
        <is>
          <t>00360305</t>
        </is>
      </c>
      <c r="AZ344" s="30" t="n">
        <v>1</v>
      </c>
      <c r="BA344" s="30" t="inlineStr">
        <is>
          <t>LIKELY_FINANCIAL_BY_NAME ROWS:p13r32 UNRECONCILED_SOURCE CASE_NUMBER_CORRECTED</t>
        </is>
      </c>
    </row>
    <row r="345">
      <c r="A345" s="16" t="inlineStr">
        <is>
          <t>CONSORCIO VALORGÁS ENERGIA SUSTENTÁVEL PE I</t>
        </is>
      </c>
      <c r="B345" s="17" t="n">
        <v>315495.92</v>
      </c>
      <c r="C345" s="18" t="inlineStr">
        <is>
          <t>GRUPO CATTAN</t>
        </is>
      </c>
      <c r="D345" s="19" t="inlineStr">
        <is>
          <t>NEW</t>
        </is>
      </c>
      <c r="E345" s="20" t="inlineStr"/>
      <c r="F345" s="19" t="inlineStr"/>
      <c r="G345" s="20" t="inlineStr"/>
      <c r="H345" s="19" t="inlineStr"/>
      <c r="I345" s="21" t="inlineStr"/>
      <c r="J345" s="21" t="inlineStr"/>
      <c r="K345" s="21" t="inlineStr"/>
      <c r="L345" s="21" t="inlineStr"/>
      <c r="M345" s="21" t="inlineStr"/>
      <c r="N345" s="21" t="inlineStr"/>
      <c r="O345" s="21" t="inlineStr"/>
      <c r="P345" s="21" t="inlineStr"/>
      <c r="Q345" s="21" t="inlineStr"/>
      <c r="R345" s="21" t="inlineStr"/>
      <c r="S345" s="21" t="inlineStr"/>
      <c r="T345" s="21" t="inlineStr">
        <is>
          <t>no named contact found</t>
        </is>
      </c>
      <c r="U345" s="22" t="n">
        <v>315495.92</v>
      </c>
      <c r="V345" s="23" t="inlineStr">
        <is>
          <t>B</t>
        </is>
      </c>
      <c r="W345" s="24">
        <f>IFERROR(VLOOKUP(V345,Assumptions!$A$7:$F$11,2,FALSE),0)</f>
        <v/>
      </c>
      <c r="X345" s="25">
        <f>IF(V345="A",MAX(1,IFERROR(VLOOKUP(V345,Assumptions!$A$7:$F$11,3,FALSE),3)+IFERROR(VLOOKUP(V345,Assumptions!$A$7:$F$11,4,FALSE),8)/2-MAX(0,IF(AO345="",0,YEAR(TODAY())-AO345)-IFERROR(VLOOKUP(V345,Assumptions!$A$7:$F$11,5,FALSE),1.5))),IFERROR(VLOOKUP(V345,Assumptions!$A$7:$F$11,5,FALSE),2.5)+IFERROR(VLOOKUP(V345,Assumptions!$A$7:$F$11,3,FALSE),3)+IFERROR(VLOOKUP(V345,Assumptions!$A$7:$F$11,4,FALSE),8)/2)</f>
        <v/>
      </c>
      <c r="Y345" s="22">
        <f>U345*W345/(1+Assumptions!$B$3)^X345</f>
        <v/>
      </c>
      <c r="Z345" s="26">
        <f>IF(U345=0,"",ROUND(Y345/U345*100,1))</f>
        <v/>
      </c>
      <c r="AA345" s="27">
        <f>Y345*Assumptions!$B$4</f>
        <v/>
      </c>
      <c r="AB345" s="26">
        <f>IF(U345=0,"",ROUND(AA345/U345*100,1))</f>
        <v/>
      </c>
      <c r="AC345" s="27">
        <f>Y345-AA345</f>
        <v/>
      </c>
      <c r="AD345" s="26">
        <f>IF(U345=0,"",ROUND((Y345-AA345)/U345*100,1))</f>
        <v/>
      </c>
      <c r="AE345" s="34" t="inlineStr">
        <is>
          <t>PARTIAL — class III reconciled, other classes not</t>
        </is>
      </c>
      <c r="AF345" s="29" t="inlineStr">
        <is>
          <t>https://lrflideres.com.br/wp-content/plugins/download-attachments/includes/download.php?id=4023</t>
        </is>
      </c>
      <c r="AG345" s="28" t="inlineStr">
        <is>
          <t>p4 r66; p7 r91</t>
        </is>
      </c>
      <c r="AH345" s="28" t="inlineStr">
        <is>
          <t>p4: R$ 151.462,96; p7: R$ 164.032,96</t>
        </is>
      </c>
      <c r="AI345" s="28" t="inlineStr">
        <is>
          <t>Debtor list (art. 51)</t>
        </is>
      </c>
      <c r="AJ345" s="28" t="inlineStr"/>
      <c r="AK345" s="28" t="inlineStr">
        <is>
          <t>NONE FOUND</t>
        </is>
      </c>
      <c r="AL345" s="30" t="inlineStr">
        <is>
          <t>0002484-82.2022.8.17.2001</t>
        </is>
      </c>
      <c r="AM345" s="30" t="inlineStr">
        <is>
          <t>TJPE</t>
        </is>
      </c>
      <c r="AN345" s="30" t="inlineStr">
        <is>
          <t>ACTIVE</t>
        </is>
      </c>
      <c r="AO345" s="30" t="n">
        <v>2022</v>
      </c>
      <c r="AP345" s="30" t="inlineStr">
        <is>
          <t>live case, no plan document yet</t>
        </is>
      </c>
      <c r="AQ345" s="30" t="inlineStr"/>
      <c r="AR345" s="30" t="inlineStr">
        <is>
          <t>printed on the list (read twice)</t>
        </is>
      </c>
      <c r="AS345" s="30" t="inlineStr"/>
      <c r="AT345" s="30" t="inlineStr"/>
      <c r="AU345" s="30" t="inlineStr"/>
      <c r="AV345" s="30" t="inlineStr"/>
      <c r="AW345" s="31" t="inlineStr"/>
      <c r="AX345" s="30" t="inlineStr">
        <is>
          <t>MID-MARKET</t>
        </is>
      </c>
      <c r="AY345" s="30" t="inlineStr">
        <is>
          <t>32904168</t>
        </is>
      </c>
      <c r="AZ345" s="30" t="n">
        <v>2</v>
      </c>
      <c r="BA345" s="30" t="inlineStr">
        <is>
          <t>LIKELY_FINANCIAL_BY_NAME PARTIAL_DOC_CLASS_III_RECONCILED ROWS:p4r66,p7r91</t>
        </is>
      </c>
    </row>
    <row r="346">
      <c r="A346" s="16" t="inlineStr">
        <is>
          <t>BANCO BRADESCO S.A.</t>
        </is>
      </c>
      <c r="B346" s="17" t="n">
        <v>313593.84</v>
      </c>
      <c r="C346" s="18" t="inlineStr">
        <is>
          <t>Grupo Agromeal</t>
        </is>
      </c>
      <c r="D346" s="19" t="inlineStr">
        <is>
          <t>NEW</t>
        </is>
      </c>
      <c r="E346" s="20" t="inlineStr"/>
      <c r="F346" s="19" t="inlineStr"/>
      <c r="G346" s="20" t="inlineStr"/>
      <c r="H346" s="19" t="inlineStr"/>
      <c r="I346" s="21" t="inlineStr">
        <is>
          <t>Marcela Martins</t>
        </is>
      </c>
      <c r="J346" s="21" t="inlineStr">
        <is>
          <t>Superintendente de Recuperação de Crédito - Canais e Operações</t>
        </is>
      </c>
      <c r="K346" s="21" t="inlineStr">
        <is>
          <t>(11) 3684-5122</t>
        </is>
      </c>
      <c r="L346" s="21" t="inlineStr"/>
      <c r="M346" s="21" t="inlineStr"/>
      <c r="N346" s="21" t="inlineStr"/>
      <c r="O346" s="21" t="inlineStr">
        <is>
          <t>sl@bradesco.com.br</t>
        </is>
      </c>
      <c r="P346" s="21" t="inlineStr">
        <is>
          <t>Luis S</t>
        </is>
      </c>
      <c r="Q346" s="21" t="inlineStr">
        <is>
          <t>DRC - Departamento de Recuperação de Crédito - Gerente de Reestruturação de Crédito</t>
        </is>
      </c>
      <c r="R346" s="21" t="inlineStr"/>
      <c r="S346" s="21" t="inlineStr">
        <is>
          <t>sl@bradesco.com.br</t>
        </is>
      </c>
      <c r="T346" s="21" t="inlineStr">
        <is>
          <t>no work email found in Apollo</t>
        </is>
      </c>
      <c r="U346" s="22" t="n">
        <v>313593.84</v>
      </c>
      <c r="V346" s="23" t="inlineStr">
        <is>
          <t>B</t>
        </is>
      </c>
      <c r="W346" s="24">
        <f>IFERROR(VLOOKUP(V346,Assumptions!$A$7:$F$11,2,FALSE),0)</f>
        <v/>
      </c>
      <c r="X346" s="25">
        <f>IF(V346="A",MAX(1,IFERROR(VLOOKUP(V346,Assumptions!$A$7:$F$11,3,FALSE),3)+IFERROR(VLOOKUP(V346,Assumptions!$A$7:$F$11,4,FALSE),8)/2-MAX(0,IF(AO346="",0,YEAR(TODAY())-AO346)-IFERROR(VLOOKUP(V346,Assumptions!$A$7:$F$11,5,FALSE),1.5))),IFERROR(VLOOKUP(V346,Assumptions!$A$7:$F$11,5,FALSE),2.5)+IFERROR(VLOOKUP(V346,Assumptions!$A$7:$F$11,3,FALSE),3)+IFERROR(VLOOKUP(V346,Assumptions!$A$7:$F$11,4,FALSE),8)/2)</f>
        <v/>
      </c>
      <c r="Y346" s="22">
        <f>U346*W346/(1+Assumptions!$B$3)^X346</f>
        <v/>
      </c>
      <c r="Z346" s="26">
        <f>IF(U346=0,"",ROUND(Y346/U346*100,1))</f>
        <v/>
      </c>
      <c r="AA346" s="27">
        <f>Y346*Assumptions!$B$4</f>
        <v/>
      </c>
      <c r="AB346" s="26">
        <f>IF(U346=0,"",ROUND(AA346/U346*100,1))</f>
        <v/>
      </c>
      <c r="AC346" s="27">
        <f>Y346-AA346</f>
        <v/>
      </c>
      <c r="AD346" s="26">
        <f>IF(U346=0,"",ROUND((Y346-AA346)/U346*100,1))</f>
        <v/>
      </c>
      <c r="AE346" s="34" t="inlineStr">
        <is>
          <t>PARTIAL — class III reconciled, other classes not</t>
        </is>
      </c>
      <c r="AF346" s="29" t="inlineStr">
        <is>
          <t>https://marquesadmjudicial.com.br/sgc/download.php?file=files/processo_documento/processo_documento17040729052024_1_.pdf&amp;nome=Relação Nominal de Credores AJ-Sintética</t>
        </is>
      </c>
      <c r="AG346" s="28" t="inlineStr">
        <is>
          <t>p9 r16</t>
        </is>
      </c>
      <c r="AH346" s="28" t="inlineStr">
        <is>
          <t>p9: R$ 313.593,84</t>
        </is>
      </c>
      <c r="AI346" s="28" t="inlineStr">
        <is>
          <t>AJ list (art. 7 §2)</t>
        </is>
      </c>
      <c r="AJ346" s="28" t="inlineStr">
        <is>
          <t>2024-05-27</t>
        </is>
      </c>
      <c r="AK346" s="28" t="inlineStr">
        <is>
          <t>NONE FOUND</t>
        </is>
      </c>
      <c r="AL346" s="30" t="inlineStr">
        <is>
          <t>0003971-03.2023.8.16.0119</t>
        </is>
      </c>
      <c r="AM346" s="30" t="inlineStr">
        <is>
          <t>TJPR</t>
        </is>
      </c>
      <c r="AN346" s="30" t="inlineStr">
        <is>
          <t>ACTIVE</t>
        </is>
      </c>
      <c r="AO346" s="30" t="n">
        <v>2023</v>
      </c>
      <c r="AP346" s="30" t="inlineStr">
        <is>
          <t>live case, no plan document yet</t>
        </is>
      </c>
      <c r="AQ346" s="30" t="inlineStr">
        <is>
          <t>11.624.776/0001-07</t>
        </is>
      </c>
      <c r="AR346" s="30" t="inlineStr">
        <is>
          <t>printed on the list (read twice)</t>
        </is>
      </c>
      <c r="AS346" s="30" t="inlineStr">
        <is>
          <t>OSASCO</t>
        </is>
      </c>
      <c r="AT346" s="30" t="inlineStr">
        <is>
          <t>SP</t>
        </is>
      </c>
      <c r="AU346" s="30" t="inlineStr">
        <is>
          <t>Bancos múltiplos, com carteira comercial</t>
        </is>
      </c>
      <c r="AV346" s="30" t="inlineStr">
        <is>
          <t>DEMAIS</t>
        </is>
      </c>
      <c r="AW346" s="31" t="n">
        <v>93770000000</v>
      </c>
      <c r="AX346" s="30" t="inlineStr">
        <is>
          <t>LARGE CORP</t>
        </is>
      </c>
      <c r="AY346" s="30" t="inlineStr">
        <is>
          <t>60746948</t>
        </is>
      </c>
      <c r="AZ346" s="30" t="n">
        <v>1</v>
      </c>
      <c r="BA346" s="30" t="inlineStr">
        <is>
          <t>LIKELY_FINANCIAL_BY_NAME PARTIAL_DOC_CLASS_III_RECONCILED ROWS:p9r16</t>
        </is>
      </c>
    </row>
    <row r="347">
      <c r="A347" s="16" t="inlineStr">
        <is>
          <t>CAIXA ECONOMICA FEDERAL</t>
        </is>
      </c>
      <c r="B347" s="17" t="n">
        <v>310918.57</v>
      </c>
      <c r="C347" s="18" t="inlineStr">
        <is>
          <t>FRIGORÍFICO ALFA INDÚSTRIA E COMÉRCIO DE CARNES E DERIVADOS LTDA e CTX LOGÍSTICA, TRANSPORTE E LOCAÇÕES LTDA</t>
        </is>
      </c>
      <c r="D347" s="19" t="inlineStr">
        <is>
          <t>NEW</t>
        </is>
      </c>
      <c r="E347" s="20" t="inlineStr"/>
      <c r="F347" s="19" t="inlineStr"/>
      <c r="G347" s="20" t="inlineStr"/>
      <c r="H347" s="19" t="inlineStr"/>
      <c r="I347" s="21" t="inlineStr">
        <is>
          <t>Livia Serikaku</t>
        </is>
      </c>
      <c r="J347" s="21" t="inlineStr">
        <is>
          <t>Gerente de Clientes e Negócios | Recuperação de Crédito</t>
        </is>
      </c>
      <c r="K347" s="21" t="inlineStr">
        <is>
          <t>(00) 4004-0104</t>
        </is>
      </c>
      <c r="L347" s="21" t="inlineStr"/>
      <c r="M347" s="21" t="inlineStr"/>
      <c r="N347" s="21" t="inlineStr"/>
      <c r="O347" s="21" t="inlineStr"/>
      <c r="P347" s="21" t="inlineStr">
        <is>
          <t>Rodolfo Trevizan</t>
        </is>
      </c>
      <c r="Q347" s="21" t="inlineStr">
        <is>
          <t>Investment Banking | Distressed Assets | Project Finance</t>
        </is>
      </c>
      <c r="R347" s="21" t="inlineStr"/>
      <c r="S347" s="21" t="inlineStr"/>
      <c r="T347" s="21" t="inlineStr">
        <is>
          <t>no work email found in Apollo</t>
        </is>
      </c>
      <c r="U347" s="22" t="n">
        <v>310918.57</v>
      </c>
      <c r="V347" s="23" t="inlineStr">
        <is>
          <t>B</t>
        </is>
      </c>
      <c r="W347" s="24">
        <f>IFERROR(VLOOKUP(V347,Assumptions!$A$7:$F$11,2,FALSE),0)</f>
        <v/>
      </c>
      <c r="X347" s="25">
        <f>IF(V347="A",MAX(1,IFERROR(VLOOKUP(V347,Assumptions!$A$7:$F$11,3,FALSE),3)+IFERROR(VLOOKUP(V347,Assumptions!$A$7:$F$11,4,FALSE),8)/2-MAX(0,IF(AO347="",0,YEAR(TODAY())-AO347)-IFERROR(VLOOKUP(V347,Assumptions!$A$7:$F$11,5,FALSE),1.5))),IFERROR(VLOOKUP(V347,Assumptions!$A$7:$F$11,5,FALSE),2.5)+IFERROR(VLOOKUP(V347,Assumptions!$A$7:$F$11,3,FALSE),3)+IFERROR(VLOOKUP(V347,Assumptions!$A$7:$F$11,4,FALSE),8)/2)</f>
        <v/>
      </c>
      <c r="Y347" s="22">
        <f>U347*W347/(1+Assumptions!$B$3)^X347</f>
        <v/>
      </c>
      <c r="Z347" s="26">
        <f>IF(U347=0,"",ROUND(Y347/U347*100,1))</f>
        <v/>
      </c>
      <c r="AA347" s="27">
        <f>Y347*Assumptions!$B$4</f>
        <v/>
      </c>
      <c r="AB347" s="26">
        <f>IF(U347=0,"",ROUND(AA347/U347*100,1))</f>
        <v/>
      </c>
      <c r="AC347" s="27">
        <f>Y347-AA347</f>
        <v/>
      </c>
      <c r="AD347" s="26">
        <f>IF(U347=0,"",ROUND((Y347-AA347)/U347*100,1))</f>
        <v/>
      </c>
      <c r="AE347" s="28" t="inlineStr">
        <is>
          <t>OK — totals reconciled</t>
        </is>
      </c>
      <c r="AF347" s="29" t="inlineStr">
        <is>
          <t>https://vtladm.com.br/wp-content/uploads/2024/04/09-–-EDITAL-DE-CONVOCACAO-DE-CREDORES-–-Frigorifico-Alfa-Industria-e-Comercio-de-Carnes-e-Derivados-Ltda.-e-Ctx-Logistica-Transporte-E-Locacoes-Ltda.pdf</t>
        </is>
      </c>
      <c r="AG347" s="28" t="inlineStr">
        <is>
          <t>p1 r16</t>
        </is>
      </c>
      <c r="AH347" s="28" t="inlineStr">
        <is>
          <t>p1: R$ 310.918,57</t>
        </is>
      </c>
      <c r="AI347" s="28" t="inlineStr">
        <is>
          <t>AJ list (art. 7 §2)</t>
        </is>
      </c>
      <c r="AJ347" s="28" t="inlineStr"/>
      <c r="AK347" s="28" t="inlineStr">
        <is>
          <t>NONE FOUND</t>
        </is>
      </c>
      <c r="AL347" s="30" t="inlineStr">
        <is>
          <t>1009827-02.2024.8.26.0576</t>
        </is>
      </c>
      <c r="AM347" s="30" t="inlineStr">
        <is>
          <t>TJSP</t>
        </is>
      </c>
      <c r="AN347" s="30" t="inlineStr">
        <is>
          <t>ACTIVE</t>
        </is>
      </c>
      <c r="AO347" s="30" t="n">
        <v>2024</v>
      </c>
      <c r="AP347" s="30" t="inlineStr">
        <is>
          <t>live case, no plan document yet</t>
        </is>
      </c>
      <c r="AQ347" s="30" t="inlineStr">
        <is>
          <t>00.975.846/0001-47</t>
        </is>
      </c>
      <c r="AR347" s="30" t="inlineStr">
        <is>
          <t>printed on the list (read twice)</t>
        </is>
      </c>
      <c r="AS347" s="30" t="inlineStr">
        <is>
          <t>BRASILIA</t>
        </is>
      </c>
      <c r="AT347" s="30" t="inlineStr">
        <is>
          <t>DF</t>
        </is>
      </c>
      <c r="AU347" s="30" t="inlineStr">
        <is>
          <t>Caixas econômicas</t>
        </is>
      </c>
      <c r="AV347" s="30" t="inlineStr">
        <is>
          <t>DEMAIS</t>
        </is>
      </c>
      <c r="AW347" s="31" t="n">
        <v>105300000000</v>
      </c>
      <c r="AX347" s="30" t="inlineStr">
        <is>
          <t>LARGE CORP</t>
        </is>
      </c>
      <c r="AY347" s="30" t="inlineStr">
        <is>
          <t>00360305</t>
        </is>
      </c>
      <c r="AZ347" s="30" t="n">
        <v>1</v>
      </c>
      <c r="BA347" s="30" t="inlineStr">
        <is>
          <t>ALT_VALUE:310.918,57 LIKELY_FINANCIAL_BY_NAME ROWS:p1r16</t>
        </is>
      </c>
    </row>
    <row r="348">
      <c r="A348" s="16" t="inlineStr">
        <is>
          <t>BANCO DE LAGE LANDEN BRASIL S.A</t>
        </is>
      </c>
      <c r="B348" s="17" t="n">
        <v>302609.01</v>
      </c>
      <c r="C348" s="18" t="inlineStr">
        <is>
          <t>GRUPO DIAGSON</t>
        </is>
      </c>
      <c r="D348" s="19" t="inlineStr">
        <is>
          <t>NEW</t>
        </is>
      </c>
      <c r="E348" s="20" t="inlineStr"/>
      <c r="F348" s="19" t="inlineStr"/>
      <c r="G348" s="20" t="inlineStr"/>
      <c r="H348" s="19" t="inlineStr"/>
      <c r="I348" s="21" t="inlineStr"/>
      <c r="J348" s="21" t="inlineStr"/>
      <c r="K348" s="21" t="inlineStr"/>
      <c r="L348" s="21" t="inlineStr"/>
      <c r="M348" s="21" t="inlineStr"/>
      <c r="N348" s="21" t="inlineStr"/>
      <c r="O348" s="21" t="inlineStr"/>
      <c r="P348" s="21" t="inlineStr"/>
      <c r="Q348" s="21" t="inlineStr"/>
      <c r="R348" s="21" t="inlineStr"/>
      <c r="S348" s="21" t="inlineStr"/>
      <c r="T348" s="21" t="inlineStr">
        <is>
          <t>no named contact found</t>
        </is>
      </c>
      <c r="U348" s="22" t="n">
        <v>302609.01</v>
      </c>
      <c r="V348" s="23" t="inlineStr">
        <is>
          <t>B</t>
        </is>
      </c>
      <c r="W348" s="24">
        <f>IFERROR(VLOOKUP(V348,Assumptions!$A$7:$F$11,2,FALSE),0)</f>
        <v/>
      </c>
      <c r="X348" s="25">
        <f>IF(V348="A",MAX(1,IFERROR(VLOOKUP(V348,Assumptions!$A$7:$F$11,3,FALSE),3)+IFERROR(VLOOKUP(V348,Assumptions!$A$7:$F$11,4,FALSE),8)/2-MAX(0,IF(AO348="",0,YEAR(TODAY())-AO348)-IFERROR(VLOOKUP(V348,Assumptions!$A$7:$F$11,5,FALSE),1.5))),IFERROR(VLOOKUP(V348,Assumptions!$A$7:$F$11,5,FALSE),2.5)+IFERROR(VLOOKUP(V348,Assumptions!$A$7:$F$11,3,FALSE),3)+IFERROR(VLOOKUP(V348,Assumptions!$A$7:$F$11,4,FALSE),8)/2)</f>
        <v/>
      </c>
      <c r="Y348" s="22">
        <f>U348*W348/(1+Assumptions!$B$3)^X348</f>
        <v/>
      </c>
      <c r="Z348" s="26">
        <f>IF(U348=0,"",ROUND(Y348/U348*100,1))</f>
        <v/>
      </c>
      <c r="AA348" s="27">
        <f>Y348*Assumptions!$B$4</f>
        <v/>
      </c>
      <c r="AB348" s="26">
        <f>IF(U348=0,"",ROUND(AA348/U348*100,1))</f>
        <v/>
      </c>
      <c r="AC348" s="27">
        <f>Y348-AA348</f>
        <v/>
      </c>
      <c r="AD348" s="26">
        <f>IF(U348=0,"",ROUND((Y348-AA348)/U348*100,1))</f>
        <v/>
      </c>
      <c r="AE348" s="34" t="inlineStr">
        <is>
          <t>PARTIAL — class III reconciled, other classes not</t>
        </is>
      </c>
      <c r="AF348" s="29" t="inlineStr">
        <is>
          <t>https://lrflideres.com.br/wp-content/plugins/download-attachments/includes/download.php?id=7418</t>
        </is>
      </c>
      <c r="AG348" s="28" t="inlineStr">
        <is>
          <t>p2 r39</t>
        </is>
      </c>
      <c r="AH348" s="28" t="inlineStr">
        <is>
          <t>p2: R$ 302.609,01</t>
        </is>
      </c>
      <c r="AI348" s="28" t="inlineStr">
        <is>
          <t>Debtor list (art. 51)</t>
        </is>
      </c>
      <c r="AJ348" s="28" t="inlineStr">
        <is>
          <t>2026-07-28</t>
        </is>
      </c>
      <c r="AK348" s="28" t="inlineStr">
        <is>
          <t>NONE FOUND</t>
        </is>
      </c>
      <c r="AL348" s="30" t="inlineStr">
        <is>
          <t>0822279-56.2026.8.15.2001</t>
        </is>
      </c>
      <c r="AM348" s="30" t="inlineStr">
        <is>
          <t>TJPB</t>
        </is>
      </c>
      <c r="AN348" s="30" t="inlineStr">
        <is>
          <t>ACTIVE</t>
        </is>
      </c>
      <c r="AO348" s="30" t="n">
        <v>2026</v>
      </c>
      <c r="AP348" s="30" t="inlineStr">
        <is>
          <t>live case, no plan document yet</t>
        </is>
      </c>
      <c r="AQ348" s="30" t="inlineStr">
        <is>
          <t>00.149.703/0001-86</t>
        </is>
      </c>
      <c r="AR348" s="30" t="inlineStr">
        <is>
          <t>printed on the list (read twice)</t>
        </is>
      </c>
      <c r="AS348" s="30" t="inlineStr"/>
      <c r="AT348" s="30" t="inlineStr"/>
      <c r="AU348" s="30" t="inlineStr"/>
      <c r="AV348" s="30" t="inlineStr"/>
      <c r="AW348" s="31" t="inlineStr"/>
      <c r="AX348" s="30" t="inlineStr">
        <is>
          <t>MID-MARKET</t>
        </is>
      </c>
      <c r="AY348" s="30" t="inlineStr">
        <is>
          <t>05040481</t>
        </is>
      </c>
      <c r="AZ348" s="30" t="n">
        <v>1</v>
      </c>
      <c r="BA348" s="30" t="inlineStr">
        <is>
          <t>LIKELY_FINANCIAL_BY_NAME PARTIAL_DOC_CLASS_III_RECONCILED ROWS:p2r39</t>
        </is>
      </c>
    </row>
    <row r="349">
      <c r="A349" s="16" t="inlineStr">
        <is>
          <t>Fundo De Investimento Em Direitos Creditorios - Não Padronizados Daniele</t>
        </is>
      </c>
      <c r="B349" s="17" t="n">
        <v>301000</v>
      </c>
      <c r="C349" s="18" t="inlineStr">
        <is>
          <t>Grupo Agromeal</t>
        </is>
      </c>
      <c r="D349" s="19" t="inlineStr">
        <is>
          <t>NEW</t>
        </is>
      </c>
      <c r="E349" s="20" t="inlineStr"/>
      <c r="F349" s="19" t="inlineStr"/>
      <c r="G349" s="20" t="inlineStr"/>
      <c r="H349" s="19" t="inlineStr"/>
      <c r="I349" s="21" t="inlineStr">
        <is>
          <t>Wellington Cruz</t>
        </is>
      </c>
      <c r="J349" s="21" t="inlineStr">
        <is>
          <t>Gerente de Operações Financeiras - BackOffice FIDC</t>
        </is>
      </c>
      <c r="K349" s="21" t="inlineStr"/>
      <c r="L349" s="21" t="inlineStr"/>
      <c r="M349" s="21" t="inlineStr"/>
      <c r="N349" s="21" t="inlineStr">
        <is>
          <t>wellington@danielebanco.com.br</t>
        </is>
      </c>
      <c r="O349" s="21" t="inlineStr">
        <is>
          <t>ismael.santos@danielebanco.com.br</t>
        </is>
      </c>
      <c r="P349" s="21" t="inlineStr">
        <is>
          <t>Ismael Santos</t>
        </is>
      </c>
      <c r="Q349" s="21" t="inlineStr">
        <is>
          <t>Gerente Comercial FIDC</t>
        </is>
      </c>
      <c r="R349" s="21" t="inlineStr"/>
      <c r="S349" s="21" t="inlineStr">
        <is>
          <t>ismael.santos@danielebanco.com.br</t>
        </is>
      </c>
      <c r="T349" s="21" t="inlineStr">
        <is>
          <t>email verified by Apollo</t>
        </is>
      </c>
      <c r="U349" s="22" t="n">
        <v>301000</v>
      </c>
      <c r="V349" s="23" t="inlineStr">
        <is>
          <t>B</t>
        </is>
      </c>
      <c r="W349" s="24">
        <f>IFERROR(VLOOKUP(V349,Assumptions!$A$7:$F$11,2,FALSE),0)</f>
        <v/>
      </c>
      <c r="X349" s="25">
        <f>IF(V349="A",MAX(1,IFERROR(VLOOKUP(V349,Assumptions!$A$7:$F$11,3,FALSE),3)+IFERROR(VLOOKUP(V349,Assumptions!$A$7:$F$11,4,FALSE),8)/2-MAX(0,IF(AO349="",0,YEAR(TODAY())-AO349)-IFERROR(VLOOKUP(V349,Assumptions!$A$7:$F$11,5,FALSE),1.5))),IFERROR(VLOOKUP(V349,Assumptions!$A$7:$F$11,5,FALSE),2.5)+IFERROR(VLOOKUP(V349,Assumptions!$A$7:$F$11,3,FALSE),3)+IFERROR(VLOOKUP(V349,Assumptions!$A$7:$F$11,4,FALSE),8)/2)</f>
        <v/>
      </c>
      <c r="Y349" s="22">
        <f>U349*W349/(1+Assumptions!$B$3)^X349</f>
        <v/>
      </c>
      <c r="Z349" s="26">
        <f>IF(U349=0,"",ROUND(Y349/U349*100,1))</f>
        <v/>
      </c>
      <c r="AA349" s="27">
        <f>Y349*Assumptions!$B$4</f>
        <v/>
      </c>
      <c r="AB349" s="26">
        <f>IF(U349=0,"",ROUND(AA349/U349*100,1))</f>
        <v/>
      </c>
      <c r="AC349" s="27">
        <f>Y349-AA349</f>
        <v/>
      </c>
      <c r="AD349" s="26">
        <f>IF(U349=0,"",ROUND((Y349-AA349)/U349*100,1))</f>
        <v/>
      </c>
      <c r="AE349" s="34" t="inlineStr">
        <is>
          <t>PARTIAL — class III reconciled, other classes not</t>
        </is>
      </c>
      <c r="AF349" s="29" t="inlineStr">
        <is>
          <t>https://marquesadmjudicial.com.br/sgc/download.php?file=files/processo_documento/processo_documento17040729052024_1_.pdf&amp;nome=Relação Nominal de Credores AJ-Sintética</t>
        </is>
      </c>
      <c r="AG349" s="28" t="inlineStr">
        <is>
          <t>p11 r8</t>
        </is>
      </c>
      <c r="AH349" s="28" t="inlineStr">
        <is>
          <t>p11: R$ 301.000,00</t>
        </is>
      </c>
      <c r="AI349" s="28" t="inlineStr">
        <is>
          <t>AJ list (art. 7 §2)</t>
        </is>
      </c>
      <c r="AJ349" s="28" t="inlineStr">
        <is>
          <t>2024-05-27</t>
        </is>
      </c>
      <c r="AK349" s="28" t="inlineStr">
        <is>
          <t>NONE FOUND</t>
        </is>
      </c>
      <c r="AL349" s="30" t="inlineStr">
        <is>
          <t>0003971-03.2023.8.16.0119</t>
        </is>
      </c>
      <c r="AM349" s="30" t="inlineStr">
        <is>
          <t>TJPR</t>
        </is>
      </c>
      <c r="AN349" s="30" t="inlineStr">
        <is>
          <t>ACTIVE</t>
        </is>
      </c>
      <c r="AO349" s="30" t="n">
        <v>2023</v>
      </c>
      <c r="AP349" s="30" t="inlineStr">
        <is>
          <t>live case, no plan document yet</t>
        </is>
      </c>
      <c r="AQ349" s="30" t="inlineStr">
        <is>
          <t>11.624.776/0001-07</t>
        </is>
      </c>
      <c r="AR349" s="30" t="inlineStr">
        <is>
          <t>printed on the list (read twice)</t>
        </is>
      </c>
      <c r="AS349" s="30" t="inlineStr"/>
      <c r="AT349" s="30" t="inlineStr"/>
      <c r="AU349" s="30" t="inlineStr"/>
      <c r="AV349" s="30" t="inlineStr"/>
      <c r="AW349" s="31" t="inlineStr"/>
      <c r="AX349" s="30" t="inlineStr">
        <is>
          <t>MID-MARKET</t>
        </is>
      </c>
      <c r="AY349" s="30" t="inlineStr">
        <is>
          <t>11491061</t>
        </is>
      </c>
      <c r="AZ349" s="30" t="n">
        <v>1</v>
      </c>
      <c r="BA349" s="30" t="inlineStr">
        <is>
          <t>LIKELY_FINANCIAL_BY_NAME PARTIAL_DOC_CLASS_III_RECONCILED ROWS:p11r8</t>
        </is>
      </c>
    </row>
    <row r="350">
      <c r="A350" s="16" t="inlineStr">
        <is>
          <t>DLR CAPITAL FUNDOS DE INVESTIMENTOS EM DIREITOS CREDITÓRIOS (</t>
        </is>
      </c>
      <c r="B350" s="17" t="n">
        <v>1170052.77</v>
      </c>
      <c r="C350" s="18" t="inlineStr">
        <is>
          <t>VECTOR INDÚSTRIA DE PRODUTOS METALÚRGICOS LTDA.</t>
        </is>
      </c>
      <c r="D350" s="19" t="inlineStr">
        <is>
          <t>NEW</t>
        </is>
      </c>
      <c r="E350" s="20" t="inlineStr"/>
      <c r="F350" s="19" t="inlineStr"/>
      <c r="G350" s="20" t="inlineStr"/>
      <c r="H350" s="19" t="inlineStr"/>
      <c r="I350" s="21" t="inlineStr"/>
      <c r="J350" s="21" t="inlineStr"/>
      <c r="K350" s="21" t="inlineStr"/>
      <c r="L350" s="21" t="inlineStr"/>
      <c r="M350" s="21" t="inlineStr"/>
      <c r="N350" s="21" t="inlineStr"/>
      <c r="O350" s="21" t="inlineStr"/>
      <c r="P350" s="21" t="inlineStr"/>
      <c r="Q350" s="21" t="inlineStr"/>
      <c r="R350" s="21" t="inlineStr"/>
      <c r="S350" s="21" t="inlineStr"/>
      <c r="T350" s="21" t="inlineStr">
        <is>
          <t>no named contact found</t>
        </is>
      </c>
      <c r="U350" s="22" t="n">
        <v>1170052.77</v>
      </c>
      <c r="V350" s="38" t="inlineStr">
        <is>
          <t>C</t>
        </is>
      </c>
      <c r="W350" s="24">
        <f>IFERROR(VLOOKUP(V350,Assumptions!$A$7:$F$11,2,FALSE),0)</f>
        <v/>
      </c>
      <c r="X350" s="25">
        <f>IF(V350="A",MAX(1,IFERROR(VLOOKUP(V350,Assumptions!$A$7:$F$11,3,FALSE),3)+IFERROR(VLOOKUP(V350,Assumptions!$A$7:$F$11,4,FALSE),8)/2-MAX(0,IF(AO350="",0,YEAR(TODAY())-AO350)-IFERROR(VLOOKUP(V350,Assumptions!$A$7:$F$11,5,FALSE),1.5))),IFERROR(VLOOKUP(V350,Assumptions!$A$7:$F$11,5,FALSE),2.5)+IFERROR(VLOOKUP(V350,Assumptions!$A$7:$F$11,3,FALSE),3)+IFERROR(VLOOKUP(V350,Assumptions!$A$7:$F$11,4,FALSE),8)/2)</f>
        <v/>
      </c>
      <c r="Y350" s="22">
        <f>U350*W350/(1+Assumptions!$B$3)^X350</f>
        <v/>
      </c>
      <c r="Z350" s="26">
        <f>IF(U350=0,"",ROUND(Y350/U350*100,1))</f>
        <v/>
      </c>
      <c r="AA350" s="27">
        <f>Y350*Assumptions!$B$4</f>
        <v/>
      </c>
      <c r="AB350" s="26">
        <f>IF(U350=0,"",ROUND(AA350/U350*100,1))</f>
        <v/>
      </c>
      <c r="AC350" s="27">
        <f>Y350-AA350</f>
        <v/>
      </c>
      <c r="AD350" s="26">
        <f>IF(U350=0,"",ROUND((Y350-AA350)/U350*100,1))</f>
        <v/>
      </c>
      <c r="AE350" s="33" t="inlineStr">
        <is>
          <t>NO TOTALS — list prints none; check page</t>
        </is>
      </c>
      <c r="AF350" s="29" t="inlineStr">
        <is>
          <t>https://scalzilliaj.com.br/sgc/download.php?file=files/processo_documento/processo_documento15513401112022_1_.pdf&amp;nome=15 - Edital do art. 7º, §2º (segunda lista de credores) e do art. 53 da Lei 11.101/2005 (recebimento do plano)</t>
        </is>
      </c>
      <c r="AG350" s="28" t="inlineStr">
        <is>
          <t>p6 r33</t>
        </is>
      </c>
      <c r="AH350" s="28" t="inlineStr">
        <is>
          <t>p6: R$ 1.170.052,77</t>
        </is>
      </c>
      <c r="AI350" s="28" t="inlineStr">
        <is>
          <t>AJ list (art. 7 §2)</t>
        </is>
      </c>
      <c r="AJ350" s="28" t="inlineStr">
        <is>
          <t>2022-11-01</t>
        </is>
      </c>
      <c r="AK350" s="28" t="inlineStr">
        <is>
          <t>NONE FOUND</t>
        </is>
      </c>
      <c r="AL350" s="30" t="inlineStr">
        <is>
          <t>5014104-85.2021.8.21.0010</t>
        </is>
      </c>
      <c r="AM350" s="30" t="inlineStr">
        <is>
          <t>TJRS</t>
        </is>
      </c>
      <c r="AN350" s="30" t="inlineStr">
        <is>
          <t>ACTIVE</t>
        </is>
      </c>
      <c r="AO350" s="30" t="n">
        <v>2021</v>
      </c>
      <c r="AP350" s="30" t="inlineStr">
        <is>
          <t>5y since filing, no plan document</t>
        </is>
      </c>
      <c r="AQ350" s="30" t="inlineStr">
        <is>
          <t>03.018.339/0001-03</t>
        </is>
      </c>
      <c r="AR350" s="30" t="inlineStr">
        <is>
          <t>printed on the list (read twice)</t>
        </is>
      </c>
      <c r="AS350" s="30" t="inlineStr"/>
      <c r="AT350" s="30" t="inlineStr"/>
      <c r="AU350" s="30" t="inlineStr"/>
      <c r="AV350" s="30" t="inlineStr"/>
      <c r="AW350" s="31" t="inlineStr"/>
      <c r="AX350" s="30" t="inlineStr">
        <is>
          <t>MID-MARKET</t>
        </is>
      </c>
      <c r="AY350" s="30" t="inlineStr">
        <is>
          <t>28849641</t>
        </is>
      </c>
      <c r="AZ350" s="30" t="n">
        <v>1</v>
      </c>
      <c r="BA350" s="30" t="inlineStr">
        <is>
          <t>LIKELY_FINANCIAL_BY_NAME ROWS:p6r33 UNRECONCILED_SOURCE</t>
        </is>
      </c>
    </row>
    <row r="351">
      <c r="A351" s="16" t="inlineStr">
        <is>
          <t>CAPITAL RS NP FUNDO DE INVESTIMENTO EM DIREITOS CREDITÓRIOS NÃO PADRONIZADOS MULTISSETORIAL (</t>
        </is>
      </c>
      <c r="B351" s="17" t="n">
        <v>1169956.13</v>
      </c>
      <c r="C351" s="18" t="inlineStr">
        <is>
          <t>VECTOR INDÚSTRIA DE PRODUTOS METALÚRGICOS LTDA.</t>
        </is>
      </c>
      <c r="D351" s="19" t="inlineStr">
        <is>
          <t>NEW</t>
        </is>
      </c>
      <c r="E351" s="20" t="inlineStr"/>
      <c r="F351" s="19" t="inlineStr"/>
      <c r="G351" s="20" t="inlineStr"/>
      <c r="H351" s="19" t="inlineStr"/>
      <c r="I351" s="21" t="inlineStr">
        <is>
          <t>Claudia Goulart</t>
        </is>
      </c>
      <c r="J351" s="21" t="inlineStr">
        <is>
          <t>Credit Analyst</t>
        </is>
      </c>
      <c r="K351" s="21" t="inlineStr"/>
      <c r="L351" s="21" t="inlineStr"/>
      <c r="M351" s="21" t="inlineStr"/>
      <c r="N351" s="21" t="inlineStr"/>
      <c r="O351" s="21" t="inlineStr">
        <is>
          <t>gabriele@capitalrs.com.br</t>
        </is>
      </c>
      <c r="P351" s="21" t="inlineStr">
        <is>
          <t>Gabriele Vargas</t>
        </is>
      </c>
      <c r="Q351" s="21" t="inlineStr">
        <is>
          <t>Operational Manager</t>
        </is>
      </c>
      <c r="R351" s="21" t="inlineStr"/>
      <c r="S351" s="21" t="inlineStr">
        <is>
          <t>gabriele@capitalrs.com.br</t>
        </is>
      </c>
      <c r="T351" s="21" t="inlineStr">
        <is>
          <t>no work email found in Apollo</t>
        </is>
      </c>
      <c r="U351" s="22" t="n">
        <v>1169956.13</v>
      </c>
      <c r="V351" s="38" t="inlineStr">
        <is>
          <t>C</t>
        </is>
      </c>
      <c r="W351" s="24">
        <f>IFERROR(VLOOKUP(V351,Assumptions!$A$7:$F$11,2,FALSE),0)</f>
        <v/>
      </c>
      <c r="X351" s="25">
        <f>IF(V351="A",MAX(1,IFERROR(VLOOKUP(V351,Assumptions!$A$7:$F$11,3,FALSE),3)+IFERROR(VLOOKUP(V351,Assumptions!$A$7:$F$11,4,FALSE),8)/2-MAX(0,IF(AO351="",0,YEAR(TODAY())-AO351)-IFERROR(VLOOKUP(V351,Assumptions!$A$7:$F$11,5,FALSE),1.5))),IFERROR(VLOOKUP(V351,Assumptions!$A$7:$F$11,5,FALSE),2.5)+IFERROR(VLOOKUP(V351,Assumptions!$A$7:$F$11,3,FALSE),3)+IFERROR(VLOOKUP(V351,Assumptions!$A$7:$F$11,4,FALSE),8)/2)</f>
        <v/>
      </c>
      <c r="Y351" s="22">
        <f>U351*W351/(1+Assumptions!$B$3)^X351</f>
        <v/>
      </c>
      <c r="Z351" s="26">
        <f>IF(U351=0,"",ROUND(Y351/U351*100,1))</f>
        <v/>
      </c>
      <c r="AA351" s="27">
        <f>Y351*Assumptions!$B$4</f>
        <v/>
      </c>
      <c r="AB351" s="26">
        <f>IF(U351=0,"",ROUND(AA351/U351*100,1))</f>
        <v/>
      </c>
      <c r="AC351" s="27">
        <f>Y351-AA351</f>
        <v/>
      </c>
      <c r="AD351" s="26">
        <f>IF(U351=0,"",ROUND((Y351-AA351)/U351*100,1))</f>
        <v/>
      </c>
      <c r="AE351" s="33" t="inlineStr">
        <is>
          <t>NO TOTALS — list prints none; check page</t>
        </is>
      </c>
      <c r="AF351" s="29" t="inlineStr">
        <is>
          <t>https://scalzilliaj.com.br/sgc/download.php?file=files/processo_documento/processo_documento15513401112022_1_.pdf&amp;nome=15 - Edital do art. 7º, §2º (segunda lista de credores) e do art. 53 da Lei 11.101/2005 (recebimento do plano)</t>
        </is>
      </c>
      <c r="AG351" s="28" t="inlineStr">
        <is>
          <t>p6 r10</t>
        </is>
      </c>
      <c r="AH351" s="28" t="inlineStr">
        <is>
          <t>p6: R$ 1.169.956,13</t>
        </is>
      </c>
      <c r="AI351" s="28" t="inlineStr">
        <is>
          <t>AJ list (art. 7 §2)</t>
        </is>
      </c>
      <c r="AJ351" s="28" t="inlineStr">
        <is>
          <t>2022-11-01</t>
        </is>
      </c>
      <c r="AK351" s="28" t="inlineStr">
        <is>
          <t>NONE FOUND</t>
        </is>
      </c>
      <c r="AL351" s="30" t="inlineStr">
        <is>
          <t>5014104-85.2021.8.21.0010</t>
        </is>
      </c>
      <c r="AM351" s="30" t="inlineStr">
        <is>
          <t>TJRS</t>
        </is>
      </c>
      <c r="AN351" s="30" t="inlineStr">
        <is>
          <t>ACTIVE</t>
        </is>
      </c>
      <c r="AO351" s="30" t="n">
        <v>2021</v>
      </c>
      <c r="AP351" s="30" t="inlineStr">
        <is>
          <t>5y since filing, no plan document</t>
        </is>
      </c>
      <c r="AQ351" s="30" t="inlineStr">
        <is>
          <t>03.018.339/0001-03</t>
        </is>
      </c>
      <c r="AR351" s="30" t="inlineStr">
        <is>
          <t>printed on the list (read twice)</t>
        </is>
      </c>
      <c r="AS351" s="30" t="inlineStr"/>
      <c r="AT351" s="30" t="inlineStr"/>
      <c r="AU351" s="30" t="inlineStr"/>
      <c r="AV351" s="30" t="inlineStr"/>
      <c r="AW351" s="31" t="inlineStr"/>
      <c r="AX351" s="30" t="inlineStr">
        <is>
          <t>MID-MARKET</t>
        </is>
      </c>
      <c r="AY351" s="30" t="inlineStr">
        <is>
          <t>12910463</t>
        </is>
      </c>
      <c r="AZ351" s="30" t="n">
        <v>1</v>
      </c>
      <c r="BA351" s="30" t="inlineStr">
        <is>
          <t>LIKELY_FINANCIAL_BY_NAME ROWS:p6r10 UNRECONCILED_SOURCE</t>
        </is>
      </c>
    </row>
    <row r="352">
      <c r="A352" s="16" t="inlineStr">
        <is>
          <t>BANCO SANTANDER (BRASIL) S.A.</t>
        </is>
      </c>
      <c r="B352" s="17" t="n">
        <v>2126885.97</v>
      </c>
      <c r="C352" s="18" t="inlineStr">
        <is>
          <t>EQUIP SEG INTELIGÊNCIA EM SEGURANÇA LTDA. E EQUIP SEG SERVIÇOS ESPECIALIZADOS LTDA.</t>
        </is>
      </c>
      <c r="D352" s="19" t="inlineStr">
        <is>
          <t>NEW</t>
        </is>
      </c>
      <c r="E352" s="20" t="inlineStr"/>
      <c r="F352" s="19" t="inlineStr"/>
      <c r="G352" s="20" t="inlineStr"/>
      <c r="H352" s="19" t="inlineStr"/>
      <c r="I352" s="21" t="inlineStr">
        <is>
          <t>Igor Puertas</t>
        </is>
      </c>
      <c r="J352" s="21" t="inlineStr">
        <is>
          <t>Distressed Assets | NPL</t>
        </is>
      </c>
      <c r="K352" s="21" t="inlineStr">
        <is>
          <t>(11) 4004-3535</t>
        </is>
      </c>
      <c r="L352" s="21" t="inlineStr"/>
      <c r="M352" s="21" t="inlineStr"/>
      <c r="N352" s="21" t="inlineStr">
        <is>
          <t>igor.puertas@santander.com.br</t>
        </is>
      </c>
      <c r="O352" s="21" t="inlineStr">
        <is>
          <t>antonio.pequeno.junior@santander.com.br</t>
        </is>
      </c>
      <c r="P352" s="21" t="inlineStr">
        <is>
          <t>Antonio Junior</t>
        </is>
      </c>
      <c r="Q352" s="21" t="inlineStr">
        <is>
          <t>Superintendente Recuperação de Crédito</t>
        </is>
      </c>
      <c r="R352" s="21" t="inlineStr"/>
      <c r="S352" s="21" t="inlineStr">
        <is>
          <t>antonio.pequeno.junior@santander.com.br</t>
        </is>
      </c>
      <c r="T352" s="21" t="inlineStr">
        <is>
          <t>email verified by Apollo</t>
        </is>
      </c>
      <c r="U352" s="22" t="n">
        <v>2126885.97</v>
      </c>
      <c r="V352" s="39" t="inlineStr">
        <is>
          <t>D</t>
        </is>
      </c>
      <c r="W352" s="24">
        <f>IFERROR(VLOOKUP(V352,Assumptions!$A$7:$F$11,2,FALSE),0)</f>
        <v/>
      </c>
      <c r="X352" s="25">
        <f>IF(V352="A",MAX(1,IFERROR(VLOOKUP(V352,Assumptions!$A$7:$F$11,3,FALSE),3)+IFERROR(VLOOKUP(V352,Assumptions!$A$7:$F$11,4,FALSE),8)/2-MAX(0,IF(AO352="",0,YEAR(TODAY())-AO352)-IFERROR(VLOOKUP(V352,Assumptions!$A$7:$F$11,5,FALSE),1.5))),IFERROR(VLOOKUP(V352,Assumptions!$A$7:$F$11,5,FALSE),2.5)+IFERROR(VLOOKUP(V352,Assumptions!$A$7:$F$11,3,FALSE),3)+IFERROR(VLOOKUP(V352,Assumptions!$A$7:$F$11,4,FALSE),8)/2)</f>
        <v/>
      </c>
      <c r="Y352" s="22">
        <f>U352*W352/(1+Assumptions!$B$3)^X352</f>
        <v/>
      </c>
      <c r="Z352" s="26">
        <f>IF(U352=0,"",ROUND(Y352/U352*100,1))</f>
        <v/>
      </c>
      <c r="AA352" s="27">
        <f>Y352*Assumptions!$B$4</f>
        <v/>
      </c>
      <c r="AB352" s="26">
        <f>IF(U352=0,"",ROUND(AA352/U352*100,1))</f>
        <v/>
      </c>
      <c r="AC352" s="27">
        <f>Y352-AA352</f>
        <v/>
      </c>
      <c r="AD352" s="26">
        <f>IF(U352=0,"",ROUND((Y352-AA352)/U352*100,1))</f>
        <v/>
      </c>
      <c r="AE352" s="33" t="inlineStr">
        <is>
          <t>NO TOTALS — list prints none; check page</t>
        </is>
      </c>
      <c r="AF352" s="29" t="inlineStr">
        <is>
          <t>https://bbsadvogados.com.br/wp-content/uploads/2025/04/Equipseg-Edital-Relacao-de-Credores-da-Administradora-Judicial-art.-7o2o-da-LRF.pdf</t>
        </is>
      </c>
      <c r="AG352" s="28" t="inlineStr">
        <is>
          <t>p38 r8</t>
        </is>
      </c>
      <c r="AH352" s="28" t="inlineStr">
        <is>
          <t>p38: R$ 2.126.885,97</t>
        </is>
      </c>
      <c r="AI352" s="28" t="inlineStr">
        <is>
          <t>AJ list (art. 7 §2)</t>
        </is>
      </c>
      <c r="AJ352" s="28" t="inlineStr">
        <is>
          <t>2025-04-08</t>
        </is>
      </c>
      <c r="AK352" s="28" t="inlineStr">
        <is>
          <t>NONE FOUND</t>
        </is>
      </c>
      <c r="AL352" s="30" t="inlineStr">
        <is>
          <t>0033736-15.2023.8.16.0185</t>
        </is>
      </c>
      <c r="AM352" s="30" t="inlineStr">
        <is>
          <t>TJPR</t>
        </is>
      </c>
      <c r="AN352" s="30" t="inlineStr"/>
      <c r="AO352" s="30" t="n">
        <v>2023</v>
      </c>
      <c r="AP352" s="30" t="inlineStr">
        <is>
          <t>document is a falência (bankruptcy) list</t>
        </is>
      </c>
      <c r="AQ352" s="30" t="inlineStr"/>
      <c r="AR352" s="30" t="inlineStr">
        <is>
          <t>printed on the list (read twice)</t>
        </is>
      </c>
      <c r="AS352" s="30" t="inlineStr">
        <is>
          <t>SAO PAULO</t>
        </is>
      </c>
      <c r="AT352" s="30" t="inlineStr">
        <is>
          <t>SP</t>
        </is>
      </c>
      <c r="AU352" s="30" t="inlineStr">
        <is>
          <t>Bancos múltiplos, com carteira comercial</t>
        </is>
      </c>
      <c r="AV352" s="30" t="inlineStr">
        <is>
          <t>DEMAIS</t>
        </is>
      </c>
      <c r="AW352" s="31" t="n">
        <v>65000000000</v>
      </c>
      <c r="AX352" s="30" t="inlineStr">
        <is>
          <t>LARGE CORP</t>
        </is>
      </c>
      <c r="AY352" s="30" t="inlineStr">
        <is>
          <t>90400888</t>
        </is>
      </c>
      <c r="AZ352" s="30" t="n">
        <v>1</v>
      </c>
      <c r="BA352" s="30" t="inlineStr">
        <is>
          <t>LIKELY_FINANCIAL_BY_NAME ROWS:p38r8 UNRECONCILED_SOURCE</t>
        </is>
      </c>
    </row>
    <row r="353">
      <c r="A353" s="16" t="inlineStr">
        <is>
          <t>COOPERATIVA DE CREDITO E ECONOMIA COM INTERACAO SOLIDARIA DE CHAPECO - CRESOL CHAPECO (</t>
        </is>
      </c>
      <c r="B353" s="17" t="n">
        <v>295395.13</v>
      </c>
      <c r="C353" s="18" t="inlineStr">
        <is>
          <t>GAMAC IMPORTACAO E EXPORTACAO LTDA (EM RECUPERAÇÃO JUDICIAL)</t>
        </is>
      </c>
      <c r="D353" s="19" t="inlineStr">
        <is>
          <t>NEW</t>
        </is>
      </c>
      <c r="E353" s="20" t="inlineStr"/>
      <c r="F353" s="19" t="inlineStr"/>
      <c r="G353" s="20" t="inlineStr"/>
      <c r="H353" s="19" t="inlineStr"/>
      <c r="I353" s="21" t="inlineStr"/>
      <c r="J353" s="21" t="inlineStr"/>
      <c r="K353" s="21" t="inlineStr"/>
      <c r="L353" s="21" t="inlineStr"/>
      <c r="M353" s="21" t="inlineStr"/>
      <c r="N353" s="21" t="inlineStr"/>
      <c r="O353" s="21" t="inlineStr"/>
      <c r="P353" s="21" t="inlineStr"/>
      <c r="Q353" s="21" t="inlineStr"/>
      <c r="R353" s="21" t="inlineStr"/>
      <c r="S353" s="21" t="inlineStr"/>
      <c r="T353" s="21" t="inlineStr">
        <is>
          <t>no named contact found</t>
        </is>
      </c>
      <c r="U353" s="22" t="n">
        <v>295395.13</v>
      </c>
      <c r="V353" s="23" t="inlineStr">
        <is>
          <t>B</t>
        </is>
      </c>
      <c r="W353" s="24">
        <f>IFERROR(VLOOKUP(V353,Assumptions!$A$7:$F$11,2,FALSE),0)</f>
        <v/>
      </c>
      <c r="X353" s="25">
        <f>IF(V353="A",MAX(1,IFERROR(VLOOKUP(V353,Assumptions!$A$7:$F$11,3,FALSE),3)+IFERROR(VLOOKUP(V353,Assumptions!$A$7:$F$11,4,FALSE),8)/2-MAX(0,IF(AO353="",0,YEAR(TODAY())-AO353)-IFERROR(VLOOKUP(V353,Assumptions!$A$7:$F$11,5,FALSE),1.5))),IFERROR(VLOOKUP(V353,Assumptions!$A$7:$F$11,5,FALSE),2.5)+IFERROR(VLOOKUP(V353,Assumptions!$A$7:$F$11,3,FALSE),3)+IFERROR(VLOOKUP(V353,Assumptions!$A$7:$F$11,4,FALSE),8)/2)</f>
        <v/>
      </c>
      <c r="Y353" s="22">
        <f>U353*W353/(1+Assumptions!$B$3)^X353</f>
        <v/>
      </c>
      <c r="Z353" s="26">
        <f>IF(U353=0,"",ROUND(Y353/U353*100,1))</f>
        <v/>
      </c>
      <c r="AA353" s="27">
        <f>Y353*Assumptions!$B$4</f>
        <v/>
      </c>
      <c r="AB353" s="26">
        <f>IF(U353=0,"",ROUND(AA353/U353*100,1))</f>
        <v/>
      </c>
      <c r="AC353" s="27">
        <f>Y353-AA353</f>
        <v/>
      </c>
      <c r="AD353" s="26">
        <f>IF(U353=0,"",ROUND((Y353-AA353)/U353*100,1))</f>
        <v/>
      </c>
      <c r="AE353" s="33" t="inlineStr">
        <is>
          <t>NO TOTALS — list prints none; check page</t>
        </is>
      </c>
      <c r="AF353" s="29" t="inlineStr">
        <is>
          <t>https://scalzilliaj.com.br/sgc/download.php?file=files/processo_documento/processo_documento10141405032024_1_.pdf&amp;nome=10 - Edital do art. 7º, §2º da Lei 11.101/2005 (segunda lista de credores)</t>
        </is>
      </c>
      <c r="AG353" s="28" t="inlineStr">
        <is>
          <t>p2 r3</t>
        </is>
      </c>
      <c r="AH353" s="28" t="inlineStr">
        <is>
          <t>p2: R$ 295.395,13</t>
        </is>
      </c>
      <c r="AI353" s="28" t="inlineStr">
        <is>
          <t>QGC (art. 18)</t>
        </is>
      </c>
      <c r="AJ353" s="28" t="inlineStr">
        <is>
          <t>2024-03-05</t>
        </is>
      </c>
      <c r="AK353" s="28" t="inlineStr">
        <is>
          <t>NONE FOUND</t>
        </is>
      </c>
      <c r="AL353" s="30" t="inlineStr">
        <is>
          <t>5012295-78.2023.8.24.0019</t>
        </is>
      </c>
      <c r="AM353" s="30" t="inlineStr">
        <is>
          <t>TJSC</t>
        </is>
      </c>
      <c r="AN353" s="30" t="inlineStr">
        <is>
          <t>ACTIVE</t>
        </is>
      </c>
      <c r="AO353" s="30" t="n">
        <v>2023</v>
      </c>
      <c r="AP353" s="30" t="inlineStr">
        <is>
          <t>live case, no plan document yet</t>
        </is>
      </c>
      <c r="AQ353" s="30" t="inlineStr"/>
      <c r="AR353" s="30" t="inlineStr">
        <is>
          <t>printed on the list (read twice)</t>
        </is>
      </c>
      <c r="AS353" s="30" t="inlineStr"/>
      <c r="AT353" s="30" t="inlineStr"/>
      <c r="AU353" s="30" t="inlineStr"/>
      <c r="AV353" s="30" t="inlineStr"/>
      <c r="AW353" s="31" t="inlineStr"/>
      <c r="AX353" s="30" t="inlineStr">
        <is>
          <t>MID-MARKET</t>
        </is>
      </c>
      <c r="AY353" s="30" t="inlineStr">
        <is>
          <t>04281182</t>
        </is>
      </c>
      <c r="AZ353" s="30" t="n">
        <v>1</v>
      </c>
      <c r="BA353" s="30" t="inlineStr">
        <is>
          <t>LIKELY_FINANCIAL_BY_NAME ROWS:p2r3 UNRECONCILED_SOURCE</t>
        </is>
      </c>
    </row>
    <row r="354">
      <c r="A354" s="16" t="inlineStr">
        <is>
          <t>OXSS SECURITIZADORA S/A. (</t>
        </is>
      </c>
      <c r="B354" s="17" t="n">
        <v>1150184.84</v>
      </c>
      <c r="C354" s="18" t="inlineStr">
        <is>
          <t>VECTOR INDÚSTRIA DE PRODUTOS METALÚRGICOS LTDA.</t>
        </is>
      </c>
      <c r="D354" s="19" t="inlineStr">
        <is>
          <t>NEW</t>
        </is>
      </c>
      <c r="E354" s="20" t="inlineStr"/>
      <c r="F354" s="19" t="inlineStr"/>
      <c r="G354" s="20" t="inlineStr"/>
      <c r="H354" s="19" t="inlineStr"/>
      <c r="I354" s="21" t="inlineStr"/>
      <c r="J354" s="21" t="inlineStr"/>
      <c r="K354" s="21" t="inlineStr"/>
      <c r="L354" s="21" t="inlineStr"/>
      <c r="M354" s="21" t="inlineStr"/>
      <c r="N354" s="21" t="inlineStr"/>
      <c r="O354" s="21" t="inlineStr"/>
      <c r="P354" s="21" t="inlineStr"/>
      <c r="Q354" s="21" t="inlineStr"/>
      <c r="R354" s="21" t="inlineStr"/>
      <c r="S354" s="21" t="inlineStr"/>
      <c r="T354" s="21" t="inlineStr">
        <is>
          <t>no named contact found</t>
        </is>
      </c>
      <c r="U354" s="22" t="n">
        <v>1150184.84</v>
      </c>
      <c r="V354" s="38" t="inlineStr">
        <is>
          <t>C</t>
        </is>
      </c>
      <c r="W354" s="24">
        <f>IFERROR(VLOOKUP(V354,Assumptions!$A$7:$F$11,2,FALSE),0)</f>
        <v/>
      </c>
      <c r="X354" s="25">
        <f>IF(V354="A",MAX(1,IFERROR(VLOOKUP(V354,Assumptions!$A$7:$F$11,3,FALSE),3)+IFERROR(VLOOKUP(V354,Assumptions!$A$7:$F$11,4,FALSE),8)/2-MAX(0,IF(AO354="",0,YEAR(TODAY())-AO354)-IFERROR(VLOOKUP(V354,Assumptions!$A$7:$F$11,5,FALSE),1.5))),IFERROR(VLOOKUP(V354,Assumptions!$A$7:$F$11,5,FALSE),2.5)+IFERROR(VLOOKUP(V354,Assumptions!$A$7:$F$11,3,FALSE),3)+IFERROR(VLOOKUP(V354,Assumptions!$A$7:$F$11,4,FALSE),8)/2)</f>
        <v/>
      </c>
      <c r="Y354" s="22">
        <f>U354*W354/(1+Assumptions!$B$3)^X354</f>
        <v/>
      </c>
      <c r="Z354" s="26">
        <f>IF(U354=0,"",ROUND(Y354/U354*100,1))</f>
        <v/>
      </c>
      <c r="AA354" s="27">
        <f>Y354*Assumptions!$B$4</f>
        <v/>
      </c>
      <c r="AB354" s="26">
        <f>IF(U354=0,"",ROUND(AA354/U354*100,1))</f>
        <v/>
      </c>
      <c r="AC354" s="27">
        <f>Y354-AA354</f>
        <v/>
      </c>
      <c r="AD354" s="26">
        <f>IF(U354=0,"",ROUND((Y354-AA354)/U354*100,1))</f>
        <v/>
      </c>
      <c r="AE354" s="33" t="inlineStr">
        <is>
          <t>NO TOTALS — list prints none; check page</t>
        </is>
      </c>
      <c r="AF354" s="29" t="inlineStr">
        <is>
          <t>https://scalzilliaj.com.br/sgc/download.php?file=files/processo_documento/processo_documento15513401112022_1_.pdf&amp;nome=15 - Edital do art. 7º, §2º (segunda lista de credores) e do art. 53 da Lei 11.101/2005 (recebimento do plano)</t>
        </is>
      </c>
      <c r="AG354" s="28" t="inlineStr">
        <is>
          <t>p8 r39</t>
        </is>
      </c>
      <c r="AH354" s="28" t="inlineStr">
        <is>
          <t>p8: R$ 1.150.184,84</t>
        </is>
      </c>
      <c r="AI354" s="28" t="inlineStr">
        <is>
          <t>AJ list (art. 7 §2)</t>
        </is>
      </c>
      <c r="AJ354" s="28" t="inlineStr">
        <is>
          <t>2022-11-01</t>
        </is>
      </c>
      <c r="AK354" s="28" t="inlineStr">
        <is>
          <t>NONE FOUND</t>
        </is>
      </c>
      <c r="AL354" s="30" t="inlineStr">
        <is>
          <t>5014104-85.2021.8.21.0010</t>
        </is>
      </c>
      <c r="AM354" s="30" t="inlineStr">
        <is>
          <t>TJRS</t>
        </is>
      </c>
      <c r="AN354" s="30" t="inlineStr">
        <is>
          <t>ACTIVE</t>
        </is>
      </c>
      <c r="AO354" s="30" t="n">
        <v>2021</v>
      </c>
      <c r="AP354" s="30" t="inlineStr">
        <is>
          <t>5y since filing, no plan document</t>
        </is>
      </c>
      <c r="AQ354" s="30" t="inlineStr">
        <is>
          <t>03.018.339/0001-03</t>
        </is>
      </c>
      <c r="AR354" s="30" t="inlineStr">
        <is>
          <t>printed on the list (read twice)</t>
        </is>
      </c>
      <c r="AS354" s="30" t="inlineStr"/>
      <c r="AT354" s="30" t="inlineStr"/>
      <c r="AU354" s="30" t="inlineStr"/>
      <c r="AV354" s="30" t="inlineStr"/>
      <c r="AW354" s="31" t="inlineStr"/>
      <c r="AX354" s="30" t="inlineStr">
        <is>
          <t>MID-MARKET</t>
        </is>
      </c>
      <c r="AY354" s="30" t="inlineStr">
        <is>
          <t>18329685</t>
        </is>
      </c>
      <c r="AZ354" s="30" t="n">
        <v>1</v>
      </c>
      <c r="BA354" s="30" t="inlineStr">
        <is>
          <t>LIKELY_FINANCIAL_BY_NAME ROWS:p8r39 UNRECONCILED_SOURCE</t>
        </is>
      </c>
    </row>
    <row r="355">
      <c r="A355" s="16" t="inlineStr">
        <is>
          <t>HARPIA FUNDO DE INVESTIMENTO EM DIREITOS CREDITORIOS (A</t>
        </is>
      </c>
      <c r="B355" s="17" t="n">
        <v>293905.93</v>
      </c>
      <c r="C355" s="18" t="inlineStr">
        <is>
          <t>GRUPO DIVINA</t>
        </is>
      </c>
      <c r="D355" s="19" t="inlineStr">
        <is>
          <t>NEW</t>
        </is>
      </c>
      <c r="E355" s="20" t="inlineStr"/>
      <c r="F355" s="19" t="inlineStr"/>
      <c r="G355" s="20" t="inlineStr"/>
      <c r="H355" s="19" t="inlineStr"/>
      <c r="I355" s="21" t="inlineStr"/>
      <c r="J355" s="21" t="inlineStr"/>
      <c r="K355" s="21" t="inlineStr"/>
      <c r="L355" s="21" t="inlineStr"/>
      <c r="M355" s="21" t="inlineStr"/>
      <c r="N355" s="21" t="inlineStr"/>
      <c r="O355" s="21" t="inlineStr"/>
      <c r="P355" s="21" t="inlineStr"/>
      <c r="Q355" s="21" t="inlineStr"/>
      <c r="R355" s="21" t="inlineStr"/>
      <c r="S355" s="21" t="inlineStr"/>
      <c r="T355" s="21" t="inlineStr">
        <is>
          <t>no named contact found</t>
        </is>
      </c>
      <c r="U355" s="22" t="n">
        <v>293905.93</v>
      </c>
      <c r="V355" s="23" t="inlineStr">
        <is>
          <t>B</t>
        </is>
      </c>
      <c r="W355" s="24">
        <f>IFERROR(VLOOKUP(V355,Assumptions!$A$7:$F$11,2,FALSE),0)</f>
        <v/>
      </c>
      <c r="X355" s="25">
        <f>IF(V355="A",MAX(1,IFERROR(VLOOKUP(V355,Assumptions!$A$7:$F$11,3,FALSE),3)+IFERROR(VLOOKUP(V355,Assumptions!$A$7:$F$11,4,FALSE),8)/2-MAX(0,IF(AO355="",0,YEAR(TODAY())-AO355)-IFERROR(VLOOKUP(V355,Assumptions!$A$7:$F$11,5,FALSE),1.5))),IFERROR(VLOOKUP(V355,Assumptions!$A$7:$F$11,5,FALSE),2.5)+IFERROR(VLOOKUP(V355,Assumptions!$A$7:$F$11,3,FALSE),3)+IFERROR(VLOOKUP(V355,Assumptions!$A$7:$F$11,4,FALSE),8)/2)</f>
        <v/>
      </c>
      <c r="Y355" s="22">
        <f>U355*W355/(1+Assumptions!$B$3)^X355</f>
        <v/>
      </c>
      <c r="Z355" s="26">
        <f>IF(U355=0,"",ROUND(Y355/U355*100,1))</f>
        <v/>
      </c>
      <c r="AA355" s="27">
        <f>Y355*Assumptions!$B$4</f>
        <v/>
      </c>
      <c r="AB355" s="26">
        <f>IF(U355=0,"",ROUND(AA355/U355*100,1))</f>
        <v/>
      </c>
      <c r="AC355" s="27">
        <f>Y355-AA355</f>
        <v/>
      </c>
      <c r="AD355" s="26">
        <f>IF(U355=0,"",ROUND((Y355-AA355)/U355*100,1))</f>
        <v/>
      </c>
      <c r="AE355" s="34" t="inlineStr">
        <is>
          <t>PARTIAL — class III reconciled, other classes not</t>
        </is>
      </c>
      <c r="AF355" s="29" t="inlineStr">
        <is>
          <t>https://lrflideres.com.br/wp-content/plugins/download-attachments/includes/download.php?id=6252</t>
        </is>
      </c>
      <c r="AG355" s="28" t="inlineStr">
        <is>
          <t>p2 r49</t>
        </is>
      </c>
      <c r="AH355" s="28" t="inlineStr">
        <is>
          <t>p2: R$ 293.905,93</t>
        </is>
      </c>
      <c r="AI355" s="28" t="inlineStr">
        <is>
          <t>AJ list (art. 7 §2)</t>
        </is>
      </c>
      <c r="AJ355" s="28" t="inlineStr">
        <is>
          <t>2024-11-27</t>
        </is>
      </c>
      <c r="AK355" s="28" t="inlineStr">
        <is>
          <t>NONE FOUND</t>
        </is>
      </c>
      <c r="AL355" s="30" t="inlineStr">
        <is>
          <t>0000721-61.2024.8.17.2620</t>
        </is>
      </c>
      <c r="AM355" s="30" t="inlineStr">
        <is>
          <t>TJPE</t>
        </is>
      </c>
      <c r="AN355" s="30" t="inlineStr">
        <is>
          <t>ACTIVE</t>
        </is>
      </c>
      <c r="AO355" s="30" t="n">
        <v>2024</v>
      </c>
      <c r="AP355" s="30" t="inlineStr">
        <is>
          <t>live case, no plan document yet</t>
        </is>
      </c>
      <c r="AQ355" s="30" t="inlineStr">
        <is>
          <t>08.785.522/0001-58</t>
        </is>
      </c>
      <c r="AR355" s="30" t="inlineStr">
        <is>
          <t>printed on the list (read twice)</t>
        </is>
      </c>
      <c r="AS355" s="30" t="inlineStr"/>
      <c r="AT355" s="30" t="inlineStr"/>
      <c r="AU355" s="30" t="inlineStr"/>
      <c r="AV355" s="30" t="inlineStr"/>
      <c r="AW355" s="31" t="inlineStr"/>
      <c r="AX355" s="30" t="inlineStr">
        <is>
          <t>MID-MARKET</t>
        </is>
      </c>
      <c r="AY355" s="30" t="inlineStr">
        <is>
          <t>20057764</t>
        </is>
      </c>
      <c r="AZ355" s="30" t="n">
        <v>1</v>
      </c>
      <c r="BA355" s="30" t="inlineStr">
        <is>
          <t>LIKELY_FINANCIAL_BY_NAME PARTIAL_DOC_CLASS_III_RECONCILED ROWS:p2r49</t>
        </is>
      </c>
    </row>
    <row r="356">
      <c r="A356" s="16" t="inlineStr">
        <is>
          <t>BANCO PACCAR S.A.</t>
        </is>
      </c>
      <c r="B356" s="17" t="n">
        <v>293344.31</v>
      </c>
      <c r="C356" s="18" t="inlineStr">
        <is>
          <t>GRUPO DIVINA</t>
        </is>
      </c>
      <c r="D356" s="19" t="inlineStr">
        <is>
          <t>NEW</t>
        </is>
      </c>
      <c r="E356" s="20" t="inlineStr"/>
      <c r="F356" s="19" t="inlineStr"/>
      <c r="G356" s="20" t="inlineStr"/>
      <c r="H356" s="19" t="inlineStr"/>
      <c r="I356" s="21" t="inlineStr">
        <is>
          <t>Mariane Emrich</t>
        </is>
      </c>
      <c r="J356" s="21" t="inlineStr">
        <is>
          <t>Gerente de Cobrança Banco Paccar S. A.</t>
        </is>
      </c>
      <c r="K356" s="21" t="inlineStr">
        <is>
          <t>(42) 3122-9218</t>
        </is>
      </c>
      <c r="L356" s="21" t="inlineStr"/>
      <c r="M356" s="21" t="inlineStr"/>
      <c r="N356" s="21" t="inlineStr">
        <is>
          <t>mariane.emrich@paccar.com</t>
        </is>
      </c>
      <c r="O356" s="21" t="inlineStr"/>
      <c r="P356" s="21" t="inlineStr">
        <is>
          <t>FABIO DE OLIVEIRA MOREIRA</t>
        </is>
      </c>
      <c r="Q356" s="21" t="inlineStr">
        <is>
          <t>Diretor (RFB partner)</t>
        </is>
      </c>
      <c r="R356" s="21" t="inlineStr"/>
      <c r="S356" s="21" t="inlineStr"/>
      <c r="T356" s="21" t="inlineStr">
        <is>
          <t>email verified by Apollo</t>
        </is>
      </c>
      <c r="U356" s="22" t="n">
        <v>293344.31</v>
      </c>
      <c r="V356" s="23" t="inlineStr">
        <is>
          <t>B</t>
        </is>
      </c>
      <c r="W356" s="24">
        <f>IFERROR(VLOOKUP(V356,Assumptions!$A$7:$F$11,2,FALSE),0)</f>
        <v/>
      </c>
      <c r="X356" s="25">
        <f>IF(V356="A",MAX(1,IFERROR(VLOOKUP(V356,Assumptions!$A$7:$F$11,3,FALSE),3)+IFERROR(VLOOKUP(V356,Assumptions!$A$7:$F$11,4,FALSE),8)/2-MAX(0,IF(AO356="",0,YEAR(TODAY())-AO356)-IFERROR(VLOOKUP(V356,Assumptions!$A$7:$F$11,5,FALSE),1.5))),IFERROR(VLOOKUP(V356,Assumptions!$A$7:$F$11,5,FALSE),2.5)+IFERROR(VLOOKUP(V356,Assumptions!$A$7:$F$11,3,FALSE),3)+IFERROR(VLOOKUP(V356,Assumptions!$A$7:$F$11,4,FALSE),8)/2)</f>
        <v/>
      </c>
      <c r="Y356" s="22">
        <f>U356*W356/(1+Assumptions!$B$3)^X356</f>
        <v/>
      </c>
      <c r="Z356" s="26">
        <f>IF(U356=0,"",ROUND(Y356/U356*100,1))</f>
        <v/>
      </c>
      <c r="AA356" s="27">
        <f>Y356*Assumptions!$B$4</f>
        <v/>
      </c>
      <c r="AB356" s="26">
        <f>IF(U356=0,"",ROUND(AA356/U356*100,1))</f>
        <v/>
      </c>
      <c r="AC356" s="27">
        <f>Y356-AA356</f>
        <v/>
      </c>
      <c r="AD356" s="26">
        <f>IF(U356=0,"",ROUND((Y356-AA356)/U356*100,1))</f>
        <v/>
      </c>
      <c r="AE356" s="34" t="inlineStr">
        <is>
          <t>PARTIAL — class III reconciled, other classes not</t>
        </is>
      </c>
      <c r="AF356" s="29" t="inlineStr">
        <is>
          <t>https://lrflideres.com.br/wp-content/plugins/download-attachments/includes/download.php?id=6252</t>
        </is>
      </c>
      <c r="AG356" s="28" t="inlineStr">
        <is>
          <t>p2 r68</t>
        </is>
      </c>
      <c r="AH356" s="28" t="inlineStr">
        <is>
          <t>p2: R$ 293.344,31</t>
        </is>
      </c>
      <c r="AI356" s="28" t="inlineStr">
        <is>
          <t>AJ list (art. 7 §2)</t>
        </is>
      </c>
      <c r="AJ356" s="28" t="inlineStr">
        <is>
          <t>2024-11-27</t>
        </is>
      </c>
      <c r="AK356" s="28" t="inlineStr">
        <is>
          <t>NONE FOUND</t>
        </is>
      </c>
      <c r="AL356" s="30" t="inlineStr">
        <is>
          <t>0000721-61.2024.8.17.2620</t>
        </is>
      </c>
      <c r="AM356" s="30" t="inlineStr">
        <is>
          <t>TJPE</t>
        </is>
      </c>
      <c r="AN356" s="30" t="inlineStr">
        <is>
          <t>ACTIVE</t>
        </is>
      </c>
      <c r="AO356" s="30" t="n">
        <v>2024</v>
      </c>
      <c r="AP356" s="30" t="inlineStr">
        <is>
          <t>live case, no plan document yet</t>
        </is>
      </c>
      <c r="AQ356" s="30" t="inlineStr">
        <is>
          <t>08.785.522/0001-58</t>
        </is>
      </c>
      <c r="AR356" s="30" t="inlineStr">
        <is>
          <t>printed on the list (read twice)</t>
        </is>
      </c>
      <c r="AS356" s="30" t="inlineStr">
        <is>
          <t>PONTA GROSSA</t>
        </is>
      </c>
      <c r="AT356" s="30" t="inlineStr">
        <is>
          <t>PR</t>
        </is>
      </c>
      <c r="AU356" s="30" t="inlineStr">
        <is>
          <t>Bancos múltiplos, sem carteira comercial</t>
        </is>
      </c>
      <c r="AV356" s="30" t="inlineStr">
        <is>
          <t>DEMAIS</t>
        </is>
      </c>
      <c r="AW356" s="31" t="n">
        <v>2685471000</v>
      </c>
      <c r="AX356" s="30" t="inlineStr">
        <is>
          <t>LARGE CORP</t>
        </is>
      </c>
      <c r="AY356" s="30" t="inlineStr">
        <is>
          <t>28517628</t>
        </is>
      </c>
      <c r="AZ356" s="30" t="n">
        <v>1</v>
      </c>
      <c r="BA356" s="30" t="inlineStr">
        <is>
          <t>PARTIAL_DOC_CLASS_III_RECONCILED ROWS:p2r68</t>
        </is>
      </c>
    </row>
    <row r="357">
      <c r="A357" s="16" t="inlineStr">
        <is>
          <t>Cooperativa de Crédito, Poupança e Investimento da Região Centro Oeste Paulista - Sicredi Centro Oeste Paulista</t>
        </is>
      </c>
      <c r="B357" s="17" t="n">
        <v>289547.95</v>
      </c>
      <c r="C357" s="18" t="inlineStr">
        <is>
          <t>FRIGORÍFICO ALFA INDÚSTRIA E COMÉRCIO DE CARNES E DERIVADOS LTDA e CTX LOGÍSTICA, TRANSPORTE E LOCAÇÕES LTDA</t>
        </is>
      </c>
      <c r="D357" s="19" t="inlineStr">
        <is>
          <t>NEW</t>
        </is>
      </c>
      <c r="E357" s="20" t="inlineStr"/>
      <c r="F357" s="19" t="inlineStr"/>
      <c r="G357" s="20" t="inlineStr"/>
      <c r="H357" s="19" t="inlineStr"/>
      <c r="I357" s="21" t="inlineStr">
        <is>
          <t>Renata Coelho</t>
        </is>
      </c>
      <c r="J357" s="21" t="inlineStr">
        <is>
          <t>Recuperação de Crédito</t>
        </is>
      </c>
      <c r="K357" s="21" t="inlineStr"/>
      <c r="L357" s="21" t="inlineStr"/>
      <c r="M357" s="21" t="inlineStr"/>
      <c r="N357" s="21" t="inlineStr">
        <is>
          <t>renata_coelho@sicredi.com.br</t>
        </is>
      </c>
      <c r="O357" s="21" t="inlineStr"/>
      <c r="P357" s="21" t="inlineStr"/>
      <c r="Q357" s="21" t="inlineStr"/>
      <c r="R357" s="21" t="inlineStr"/>
      <c r="S357" s="21" t="inlineStr"/>
      <c r="T357" s="21" t="inlineStr">
        <is>
          <t>email verified by Apollo</t>
        </is>
      </c>
      <c r="U357" s="22" t="n">
        <v>289547.95</v>
      </c>
      <c r="V357" s="23" t="inlineStr">
        <is>
          <t>B</t>
        </is>
      </c>
      <c r="W357" s="24">
        <f>IFERROR(VLOOKUP(V357,Assumptions!$A$7:$F$11,2,FALSE),0)</f>
        <v/>
      </c>
      <c r="X357" s="25">
        <f>IF(V357="A",MAX(1,IFERROR(VLOOKUP(V357,Assumptions!$A$7:$F$11,3,FALSE),3)+IFERROR(VLOOKUP(V357,Assumptions!$A$7:$F$11,4,FALSE),8)/2-MAX(0,IF(AO357="",0,YEAR(TODAY())-AO357)-IFERROR(VLOOKUP(V357,Assumptions!$A$7:$F$11,5,FALSE),1.5))),IFERROR(VLOOKUP(V357,Assumptions!$A$7:$F$11,5,FALSE),2.5)+IFERROR(VLOOKUP(V357,Assumptions!$A$7:$F$11,3,FALSE),3)+IFERROR(VLOOKUP(V357,Assumptions!$A$7:$F$11,4,FALSE),8)/2)</f>
        <v/>
      </c>
      <c r="Y357" s="22">
        <f>U357*W357/(1+Assumptions!$B$3)^X357</f>
        <v/>
      </c>
      <c r="Z357" s="26">
        <f>IF(U357=0,"",ROUND(Y357/U357*100,1))</f>
        <v/>
      </c>
      <c r="AA357" s="27">
        <f>Y357*Assumptions!$B$4</f>
        <v/>
      </c>
      <c r="AB357" s="26">
        <f>IF(U357=0,"",ROUND(AA357/U357*100,1))</f>
        <v/>
      </c>
      <c r="AC357" s="27">
        <f>Y357-AA357</f>
        <v/>
      </c>
      <c r="AD357" s="26">
        <f>IF(U357=0,"",ROUND((Y357-AA357)/U357*100,1))</f>
        <v/>
      </c>
      <c r="AE357" s="28" t="inlineStr">
        <is>
          <t>OK — totals reconciled</t>
        </is>
      </c>
      <c r="AF357" s="29" t="inlineStr">
        <is>
          <t>https://vtladm.com.br/wp-content/uploads/2024/04/09-–-EDITAL-DE-CONVOCACAO-DE-CREDORES-–-Frigorifico-Alfa-Industria-e-Comercio-de-Carnes-e-Derivados-Ltda.-e-Ctx-Logistica-Transporte-E-Locacoes-Ltda.pdf</t>
        </is>
      </c>
      <c r="AG357" s="28" t="inlineStr">
        <is>
          <t>p1 r19</t>
        </is>
      </c>
      <c r="AH357" s="28" t="inlineStr">
        <is>
          <t>p1: R$ 289.547,95</t>
        </is>
      </c>
      <c r="AI357" s="28" t="inlineStr">
        <is>
          <t>AJ list (art. 7 §2)</t>
        </is>
      </c>
      <c r="AJ357" s="28" t="inlineStr"/>
      <c r="AK357" s="28" t="inlineStr">
        <is>
          <t>NONE FOUND</t>
        </is>
      </c>
      <c r="AL357" s="30" t="inlineStr">
        <is>
          <t>1009827-02.2024.8.26.0576</t>
        </is>
      </c>
      <c r="AM357" s="30" t="inlineStr">
        <is>
          <t>TJSP</t>
        </is>
      </c>
      <c r="AN357" s="30" t="inlineStr">
        <is>
          <t>ACTIVE</t>
        </is>
      </c>
      <c r="AO357" s="30" t="n">
        <v>2024</v>
      </c>
      <c r="AP357" s="30" t="inlineStr">
        <is>
          <t>live case, no plan document yet</t>
        </is>
      </c>
      <c r="AQ357" s="30" t="inlineStr">
        <is>
          <t>00.975.846/0001-47</t>
        </is>
      </c>
      <c r="AR357" s="30" t="inlineStr">
        <is>
          <t>printed on the list (read twice)</t>
        </is>
      </c>
      <c r="AS357" s="30" t="inlineStr"/>
      <c r="AT357" s="30" t="inlineStr"/>
      <c r="AU357" s="30" t="inlineStr"/>
      <c r="AV357" s="30" t="inlineStr"/>
      <c r="AW357" s="31" t="inlineStr"/>
      <c r="AX357" s="30" t="inlineStr">
        <is>
          <t>MID-MARKET</t>
        </is>
      </c>
      <c r="AY357" s="30" t="inlineStr">
        <is>
          <t>04463602</t>
        </is>
      </c>
      <c r="AZ357" s="30" t="n">
        <v>1</v>
      </c>
      <c r="BA357" s="30" t="inlineStr">
        <is>
          <t>LIKELY_FINANCIAL_BY_NAME ROWS:p1r19</t>
        </is>
      </c>
    </row>
    <row r="358">
      <c r="A358" s="16" t="inlineStr">
        <is>
          <t>Soldamaq Comercio de Ferramentas Sicredi LTDA (CNPJ nº</t>
        </is>
      </c>
      <c r="B358" s="17" t="n">
        <v>288724.8</v>
      </c>
      <c r="C358" s="18" t="inlineStr">
        <is>
          <t>CARAVAGGIO CONSTRUTORA LTDA</t>
        </is>
      </c>
      <c r="D358" s="19" t="inlineStr">
        <is>
          <t>NEW</t>
        </is>
      </c>
      <c r="E358" s="20" t="inlineStr"/>
      <c r="F358" s="19" t="inlineStr"/>
      <c r="G358" s="20" t="inlineStr"/>
      <c r="H358" s="19" t="inlineStr"/>
      <c r="I358" s="21" t="inlineStr">
        <is>
          <t>Fatima Soldamaq</t>
        </is>
      </c>
      <c r="J358" s="21" t="inlineStr">
        <is>
          <t>Director</t>
        </is>
      </c>
      <c r="K358" s="21" t="inlineStr"/>
      <c r="L358" s="21" t="inlineStr"/>
      <c r="M358" s="21" t="inlineStr"/>
      <c r="N358" s="21" t="inlineStr">
        <is>
          <t>fatima@soldamaq.com.br</t>
        </is>
      </c>
      <c r="O358" s="21" t="inlineStr">
        <is>
          <t>rafael@soldamaq.com.br</t>
        </is>
      </c>
      <c r="P358" s="21" t="inlineStr">
        <is>
          <t>Rafael Alessio</t>
        </is>
      </c>
      <c r="Q358" s="21" t="inlineStr">
        <is>
          <t>Director</t>
        </is>
      </c>
      <c r="R358" s="21" t="inlineStr"/>
      <c r="S358" s="21" t="inlineStr">
        <is>
          <t>rafael@soldamaq.com.br</t>
        </is>
      </c>
      <c r="T358" s="21" t="inlineStr">
        <is>
          <t>DM verified email; VERIFY org: Soldamaq (tool retailer, Campo Grande MS) - not a co-op/financial; email verified by Apollo</t>
        </is>
      </c>
      <c r="U358" s="22" t="n">
        <v>288724.8</v>
      </c>
      <c r="V358" s="23" t="inlineStr">
        <is>
          <t>B</t>
        </is>
      </c>
      <c r="W358" s="24">
        <f>IFERROR(VLOOKUP(V358,Assumptions!$A$7:$F$11,2,FALSE),0)</f>
        <v/>
      </c>
      <c r="X358" s="25">
        <f>IF(V358="A",MAX(1,IFERROR(VLOOKUP(V358,Assumptions!$A$7:$F$11,3,FALSE),3)+IFERROR(VLOOKUP(V358,Assumptions!$A$7:$F$11,4,FALSE),8)/2-MAX(0,IF(AO358="",0,YEAR(TODAY())-AO358)-IFERROR(VLOOKUP(V358,Assumptions!$A$7:$F$11,5,FALSE),1.5))),IFERROR(VLOOKUP(V358,Assumptions!$A$7:$F$11,5,FALSE),2.5)+IFERROR(VLOOKUP(V358,Assumptions!$A$7:$F$11,3,FALSE),3)+IFERROR(VLOOKUP(V358,Assumptions!$A$7:$F$11,4,FALSE),8)/2)</f>
        <v/>
      </c>
      <c r="Y358" s="22">
        <f>U358*W358/(1+Assumptions!$B$3)^X358</f>
        <v/>
      </c>
      <c r="Z358" s="26">
        <f>IF(U358=0,"",ROUND(Y358/U358*100,1))</f>
        <v/>
      </c>
      <c r="AA358" s="27">
        <f>Y358*Assumptions!$B$4</f>
        <v/>
      </c>
      <c r="AB358" s="26">
        <f>IF(U358=0,"",ROUND(AA358/U358*100,1))</f>
        <v/>
      </c>
      <c r="AC358" s="27">
        <f>Y358-AA358</f>
        <v/>
      </c>
      <c r="AD358" s="26">
        <f>IF(U358=0,"",ROUND((Y358-AA358)/U358*100,1))</f>
        <v/>
      </c>
      <c r="AE358" s="33" t="inlineStr">
        <is>
          <t>NO TOTALS — list prints none; check page</t>
        </is>
      </c>
      <c r="AF358" s="29" t="inlineStr">
        <is>
          <t>https://marquesadmjudicial.com.br/sgc/download.php?file=files/processo_documento/processo_documento16562707032024_1_.pdf&amp;nome=2º Edital-Relação de Credores do art. 7, §2 da LREF e do Plano de Recuperação Judicial</t>
        </is>
      </c>
      <c r="AG358" s="28" t="inlineStr">
        <is>
          <t>p1 r21</t>
        </is>
      </c>
      <c r="AH358" s="28" t="inlineStr">
        <is>
          <t>p1: R$ 288.724,80</t>
        </is>
      </c>
      <c r="AI358" s="28" t="inlineStr">
        <is>
          <t>AJ list (art. 7 §2)</t>
        </is>
      </c>
      <c r="AJ358" s="28" t="inlineStr">
        <is>
          <t>2022-11-17</t>
        </is>
      </c>
      <c r="AK358" s="28" t="inlineStr">
        <is>
          <t>NONE FOUND</t>
        </is>
      </c>
      <c r="AL358" s="30" t="inlineStr">
        <is>
          <t>0037411-27.2022.8.16.0021</t>
        </is>
      </c>
      <c r="AM358" s="30" t="inlineStr">
        <is>
          <t>TJPR</t>
        </is>
      </c>
      <c r="AN358" s="30" t="inlineStr">
        <is>
          <t>ACTIVE</t>
        </is>
      </c>
      <c r="AO358" s="30" t="n">
        <v>2022</v>
      </c>
      <c r="AP358" s="30" t="inlineStr">
        <is>
          <t>live case, no plan document yet</t>
        </is>
      </c>
      <c r="AQ358" s="30" t="inlineStr">
        <is>
          <t>04.929.130/0001-64</t>
        </is>
      </c>
      <c r="AR358" s="30" t="inlineStr">
        <is>
          <t>printed on the list (read twice)</t>
        </is>
      </c>
      <c r="AS358" s="30" t="inlineStr"/>
      <c r="AT358" s="30" t="inlineStr"/>
      <c r="AU358" s="30" t="inlineStr"/>
      <c r="AV358" s="30" t="inlineStr"/>
      <c r="AW358" s="31" t="inlineStr"/>
      <c r="AX358" s="30" t="inlineStr">
        <is>
          <t>MID-MARKET</t>
        </is>
      </c>
      <c r="AY358" s="30" t="inlineStr">
        <is>
          <t>07808907</t>
        </is>
      </c>
      <c r="AZ358" s="30" t="n">
        <v>1</v>
      </c>
      <c r="BA358" s="30" t="inlineStr">
        <is>
          <t>LIKELY_FINANCIAL_BY_NAME ROWS:p1r21 UNRECONCILED_SOURCE</t>
        </is>
      </c>
    </row>
    <row r="359">
      <c r="A359" s="16" t="inlineStr">
        <is>
          <t>CAPITAL ANNEX FUNDO DE INVESTIMENTO EM DIREITOS CREDITORIOS MULTISSETORIAL</t>
        </is>
      </c>
      <c r="B359" s="17" t="n">
        <v>286765.7</v>
      </c>
      <c r="C359" s="18" t="inlineStr">
        <is>
          <t>Grupo Arruda (ARRUDA &amp; MELO REPRESENTACAO DE ALIMENTOS E BEBIDAS LTDA, ARRUDA &amp; MELO COMERCIO E DISTRIBUICAO DE ALIMENTOS E BEBIDAS LTDA, ARRUDA &amp; MELO COMERCIO E DISTRIBUICAO DE ALIMENTOS E BEBIDAS DA BAHIA LTDA)</t>
        </is>
      </c>
      <c r="D359" s="19" t="inlineStr">
        <is>
          <t>NEW</t>
        </is>
      </c>
      <c r="E359" s="20" t="inlineStr"/>
      <c r="F359" s="19" t="inlineStr"/>
      <c r="G359" s="20" t="inlineStr"/>
      <c r="H359" s="19" t="inlineStr"/>
      <c r="I359" s="21" t="inlineStr">
        <is>
          <t>Miron Fogaca</t>
        </is>
      </c>
      <c r="J359" s="21" t="inlineStr">
        <is>
          <t>Director</t>
        </is>
      </c>
      <c r="K359" s="21" t="inlineStr"/>
      <c r="L359" s="21" t="inlineStr"/>
      <c r="M359" s="21" t="inlineStr"/>
      <c r="N359" s="21" t="inlineStr"/>
      <c r="O359" s="21" t="inlineStr"/>
      <c r="P359" s="21" t="inlineStr"/>
      <c r="Q359" s="21" t="inlineStr"/>
      <c r="R359" s="21" t="inlineStr"/>
      <c r="S359" s="21" t="inlineStr"/>
      <c r="T359" s="21" t="inlineStr">
        <is>
          <t>DM VERIFY org: Annex Capital; no work email found in Apollo</t>
        </is>
      </c>
      <c r="U359" s="22" t="n">
        <v>286765.7</v>
      </c>
      <c r="V359" s="23" t="inlineStr">
        <is>
          <t>B</t>
        </is>
      </c>
      <c r="W359" s="24">
        <f>IFERROR(VLOOKUP(V359,Assumptions!$A$7:$F$11,2,FALSE),0)</f>
        <v/>
      </c>
      <c r="X359" s="25">
        <f>IF(V359="A",MAX(1,IFERROR(VLOOKUP(V359,Assumptions!$A$7:$F$11,3,FALSE),3)+IFERROR(VLOOKUP(V359,Assumptions!$A$7:$F$11,4,FALSE),8)/2-MAX(0,IF(AO359="",0,YEAR(TODAY())-AO359)-IFERROR(VLOOKUP(V359,Assumptions!$A$7:$F$11,5,FALSE),1.5))),IFERROR(VLOOKUP(V359,Assumptions!$A$7:$F$11,5,FALSE),2.5)+IFERROR(VLOOKUP(V359,Assumptions!$A$7:$F$11,3,FALSE),3)+IFERROR(VLOOKUP(V359,Assumptions!$A$7:$F$11,4,FALSE),8)/2)</f>
        <v/>
      </c>
      <c r="Y359" s="22">
        <f>U359*W359/(1+Assumptions!$B$3)^X359</f>
        <v/>
      </c>
      <c r="Z359" s="26">
        <f>IF(U359=0,"",ROUND(Y359/U359*100,1))</f>
        <v/>
      </c>
      <c r="AA359" s="27">
        <f>Y359*Assumptions!$B$4</f>
        <v/>
      </c>
      <c r="AB359" s="26">
        <f>IF(U359=0,"",ROUND(AA359/U359*100,1))</f>
        <v/>
      </c>
      <c r="AC359" s="27">
        <f>Y359-AA359</f>
        <v/>
      </c>
      <c r="AD359" s="26">
        <f>IF(U359=0,"",ROUND((Y359-AA359)/U359*100,1))</f>
        <v/>
      </c>
      <c r="AE359" s="28" t="inlineStr">
        <is>
          <t>OK — totals reconciled</t>
        </is>
      </c>
      <c r="AF359" s="29" t="inlineStr">
        <is>
          <t>https://diligence.adm.br/wp-content/uploads/2025/06/Edital-1a-Lista-de-Credores.pdf</t>
        </is>
      </c>
      <c r="AG359" s="28" t="inlineStr">
        <is>
          <t>p5 r68</t>
        </is>
      </c>
      <c r="AH359" s="28" t="inlineStr">
        <is>
          <t>p5: R$ 286.765,70</t>
        </is>
      </c>
      <c r="AI359" s="28" t="inlineStr">
        <is>
          <t>Debtor list (art. 51)</t>
        </is>
      </c>
      <c r="AJ359" s="28" t="inlineStr">
        <is>
          <t>2025-06-10</t>
        </is>
      </c>
      <c r="AK359" s="28" t="inlineStr">
        <is>
          <t>NONE FOUND</t>
        </is>
      </c>
      <c r="AL359" s="30" t="inlineStr">
        <is>
          <t>0008526-45.2025.8.17.2001</t>
        </is>
      </c>
      <c r="AM359" s="30" t="inlineStr">
        <is>
          <t>TJPE</t>
        </is>
      </c>
      <c r="AN359" s="30" t="inlineStr">
        <is>
          <t>ACTIVE</t>
        </is>
      </c>
      <c r="AO359" s="30" t="n">
        <v>2025</v>
      </c>
      <c r="AP359" s="30" t="inlineStr">
        <is>
          <t>live case, no plan document yet</t>
        </is>
      </c>
      <c r="AQ359" s="30" t="inlineStr"/>
      <c r="AR359" s="30" t="inlineStr">
        <is>
          <t>printed on the list (read twice)</t>
        </is>
      </c>
      <c r="AS359" s="30" t="inlineStr"/>
      <c r="AT359" s="30" t="inlineStr"/>
      <c r="AU359" s="30" t="inlineStr"/>
      <c r="AV359" s="30" t="inlineStr"/>
      <c r="AW359" s="31" t="inlineStr"/>
      <c r="AX359" s="30" t="inlineStr">
        <is>
          <t>MID-MARKET</t>
        </is>
      </c>
      <c r="AY359" s="30" t="inlineStr">
        <is>
          <t>12093804</t>
        </is>
      </c>
      <c r="AZ359" s="30" t="n">
        <v>1</v>
      </c>
      <c r="BA359" s="30" t="inlineStr">
        <is>
          <t>LIKELY_FINANCIAL_BY_NAME ROWS:p5r68</t>
        </is>
      </c>
    </row>
    <row r="360">
      <c r="A360" s="16" t="inlineStr">
        <is>
          <t>SERRANA FINANCIAMENTO - BANCO LOSANGO</t>
        </is>
      </c>
      <c r="B360" s="17" t="n">
        <v>283611.42</v>
      </c>
      <c r="C360" s="18" t="inlineStr">
        <is>
          <t>GRUPO DIVINA</t>
        </is>
      </c>
      <c r="D360" s="19" t="inlineStr">
        <is>
          <t>NEW</t>
        </is>
      </c>
      <c r="E360" s="20" t="inlineStr"/>
      <c r="F360" s="19" t="inlineStr"/>
      <c r="G360" s="20" t="inlineStr"/>
      <c r="H360" s="19" t="inlineStr"/>
      <c r="I360" s="21" t="inlineStr">
        <is>
          <t>Valdir Losango</t>
        </is>
      </c>
      <c r="J360" s="21" t="inlineStr">
        <is>
          <t>Gerente Relacionamento - Cobrança Brasil</t>
        </is>
      </c>
      <c r="K360" s="21" t="inlineStr"/>
      <c r="L360" s="21" t="inlineStr"/>
      <c r="M360" s="21" t="inlineStr"/>
      <c r="N360" s="21" t="inlineStr">
        <is>
          <t>valdir.losango@losango.com.br</t>
        </is>
      </c>
      <c r="O360" s="21" t="inlineStr"/>
      <c r="P360" s="21" t="inlineStr">
        <is>
          <t>Sayonara Espindola</t>
        </is>
      </c>
      <c r="Q360" s="21" t="inlineStr">
        <is>
          <t>Analista Planj Cobrança</t>
        </is>
      </c>
      <c r="R360" s="21" t="inlineStr"/>
      <c r="S360" s="21" t="inlineStr"/>
      <c r="T360" s="21" t="inlineStr">
        <is>
          <t>email verified by Apollo</t>
        </is>
      </c>
      <c r="U360" s="22" t="n">
        <v>283611.42</v>
      </c>
      <c r="V360" s="23" t="inlineStr">
        <is>
          <t>B</t>
        </is>
      </c>
      <c r="W360" s="24">
        <f>IFERROR(VLOOKUP(V360,Assumptions!$A$7:$F$11,2,FALSE),0)</f>
        <v/>
      </c>
      <c r="X360" s="25">
        <f>IF(V360="A",MAX(1,IFERROR(VLOOKUP(V360,Assumptions!$A$7:$F$11,3,FALSE),3)+IFERROR(VLOOKUP(V360,Assumptions!$A$7:$F$11,4,FALSE),8)/2-MAX(0,IF(AO360="",0,YEAR(TODAY())-AO360)-IFERROR(VLOOKUP(V360,Assumptions!$A$7:$F$11,5,FALSE),1.5))),IFERROR(VLOOKUP(V360,Assumptions!$A$7:$F$11,5,FALSE),2.5)+IFERROR(VLOOKUP(V360,Assumptions!$A$7:$F$11,3,FALSE),3)+IFERROR(VLOOKUP(V360,Assumptions!$A$7:$F$11,4,FALSE),8)/2)</f>
        <v/>
      </c>
      <c r="Y360" s="22">
        <f>U360*W360/(1+Assumptions!$B$3)^X360</f>
        <v/>
      </c>
      <c r="Z360" s="26">
        <f>IF(U360=0,"",ROUND(Y360/U360*100,1))</f>
        <v/>
      </c>
      <c r="AA360" s="27">
        <f>Y360*Assumptions!$B$4</f>
        <v/>
      </c>
      <c r="AB360" s="26">
        <f>IF(U360=0,"",ROUND(AA360/U360*100,1))</f>
        <v/>
      </c>
      <c r="AC360" s="27">
        <f>Y360-AA360</f>
        <v/>
      </c>
      <c r="AD360" s="26">
        <f>IF(U360=0,"",ROUND((Y360-AA360)/U360*100,1))</f>
        <v/>
      </c>
      <c r="AE360" s="34" t="inlineStr">
        <is>
          <t>PARTIAL — class III reconciled, other classes not</t>
        </is>
      </c>
      <c r="AF360" s="29" t="inlineStr">
        <is>
          <t>https://lrflideres.com.br/wp-content/plugins/download-attachments/includes/download.php?id=6252</t>
        </is>
      </c>
      <c r="AG360" s="28" t="inlineStr">
        <is>
          <t>p2 r78</t>
        </is>
      </c>
      <c r="AH360" s="28" t="inlineStr">
        <is>
          <t>p2: R$ 283.611,42</t>
        </is>
      </c>
      <c r="AI360" s="28" t="inlineStr">
        <is>
          <t>AJ list (art. 7 §2)</t>
        </is>
      </c>
      <c r="AJ360" s="28" t="inlineStr">
        <is>
          <t>2024-11-27</t>
        </is>
      </c>
      <c r="AK360" s="28" t="inlineStr">
        <is>
          <t>NONE FOUND</t>
        </is>
      </c>
      <c r="AL360" s="30" t="inlineStr">
        <is>
          <t>0000721-61.2024.8.17.2620</t>
        </is>
      </c>
      <c r="AM360" s="30" t="inlineStr">
        <is>
          <t>TJPE</t>
        </is>
      </c>
      <c r="AN360" s="30" t="inlineStr">
        <is>
          <t>ACTIVE</t>
        </is>
      </c>
      <c r="AO360" s="30" t="n">
        <v>2024</v>
      </c>
      <c r="AP360" s="30" t="inlineStr">
        <is>
          <t>live case, no plan document yet</t>
        </is>
      </c>
      <c r="AQ360" s="30" t="inlineStr">
        <is>
          <t>08.785.522/0001-58</t>
        </is>
      </c>
      <c r="AR360" s="30" t="inlineStr">
        <is>
          <t>printed on the list (read twice)</t>
        </is>
      </c>
      <c r="AS360" s="30" t="inlineStr"/>
      <c r="AT360" s="30" t="inlineStr"/>
      <c r="AU360" s="30" t="inlineStr"/>
      <c r="AV360" s="30" t="inlineStr"/>
      <c r="AW360" s="31" t="inlineStr"/>
      <c r="AX360" s="30" t="inlineStr">
        <is>
          <t>MID-MARKET</t>
        </is>
      </c>
      <c r="AY360" s="30" t="inlineStr">
        <is>
          <t>33254319</t>
        </is>
      </c>
      <c r="AZ360" s="30" t="n">
        <v>1</v>
      </c>
      <c r="BA360" s="30" t="inlineStr">
        <is>
          <t>LIKELY_FINANCIAL_BY_NAME PARTIAL_DOC_CLASS_III_RECONCILED ROWS:p2r78</t>
        </is>
      </c>
    </row>
    <row r="361">
      <c r="A361" s="16" t="inlineStr">
        <is>
          <t>REDFACTOR FACTORING E FOMENTO COMERCIAL S/A</t>
        </is>
      </c>
      <c r="B361" s="17" t="n">
        <v>1097808.59</v>
      </c>
      <c r="C361" s="18" t="inlineStr">
        <is>
          <t>BLUTRAFOS BLUMENAU TRANSFORMADORES LTDA</t>
        </is>
      </c>
      <c r="D361" s="19" t="inlineStr">
        <is>
          <t>NEW</t>
        </is>
      </c>
      <c r="E361" s="20" t="inlineStr"/>
      <c r="F361" s="19" t="inlineStr"/>
      <c r="G361" s="20" t="inlineStr"/>
      <c r="H361" s="19" t="inlineStr"/>
      <c r="I361" s="21" t="inlineStr">
        <is>
          <t>Marco Brescancini</t>
        </is>
      </c>
      <c r="J361" s="21" t="inlineStr">
        <is>
          <t>Gerente Credito</t>
        </is>
      </c>
      <c r="K361" s="21" t="inlineStr"/>
      <c r="L361" s="21" t="inlineStr"/>
      <c r="M361" s="21" t="inlineStr"/>
      <c r="N361" s="21" t="inlineStr"/>
      <c r="O361" s="21" t="inlineStr">
        <is>
          <t>rogerio.gomes@redasset.com.br</t>
        </is>
      </c>
      <c r="P361" s="21" t="inlineStr">
        <is>
          <t>Rogerio Gomes</t>
        </is>
      </c>
      <c r="Q361" s="21" t="inlineStr">
        <is>
          <t>Manager</t>
        </is>
      </c>
      <c r="R361" s="21" t="inlineStr"/>
      <c r="S361" s="21" t="inlineStr">
        <is>
          <t>rogerio.gomes@redasset.com.br</t>
        </is>
      </c>
      <c r="T361" s="21" t="inlineStr">
        <is>
          <t>no work email found in Apollo</t>
        </is>
      </c>
      <c r="U361" s="22" t="n">
        <v>1097808.59</v>
      </c>
      <c r="V361" s="38" t="inlineStr">
        <is>
          <t>C</t>
        </is>
      </c>
      <c r="W361" s="24">
        <f>IFERROR(VLOOKUP(V361,Assumptions!$A$7:$F$11,2,FALSE),0)</f>
        <v/>
      </c>
      <c r="X361" s="25">
        <f>IF(V361="A",MAX(1,IFERROR(VLOOKUP(V361,Assumptions!$A$7:$F$11,3,FALSE),3)+IFERROR(VLOOKUP(V361,Assumptions!$A$7:$F$11,4,FALSE),8)/2-MAX(0,IF(AO361="",0,YEAR(TODAY())-AO361)-IFERROR(VLOOKUP(V361,Assumptions!$A$7:$F$11,5,FALSE),1.5))),IFERROR(VLOOKUP(V361,Assumptions!$A$7:$F$11,5,FALSE),2.5)+IFERROR(VLOOKUP(V361,Assumptions!$A$7:$F$11,3,FALSE),3)+IFERROR(VLOOKUP(V361,Assumptions!$A$7:$F$11,4,FALSE),8)/2)</f>
        <v/>
      </c>
      <c r="Y361" s="22">
        <f>U361*W361/(1+Assumptions!$B$3)^X361</f>
        <v/>
      </c>
      <c r="Z361" s="26">
        <f>IF(U361=0,"",ROUND(Y361/U361*100,1))</f>
        <v/>
      </c>
      <c r="AA361" s="27">
        <f>Y361*Assumptions!$B$4</f>
        <v/>
      </c>
      <c r="AB361" s="26">
        <f>IF(U361=0,"",ROUND(AA361/U361*100,1))</f>
        <v/>
      </c>
      <c r="AC361" s="27">
        <f>Y361-AA361</f>
        <v/>
      </c>
      <c r="AD361" s="26">
        <f>IF(U361=0,"",ROUND((Y361-AA361)/U361*100,1))</f>
        <v/>
      </c>
      <c r="AE361" s="28" t="inlineStr">
        <is>
          <t>OK — totals reconciled</t>
        </is>
      </c>
      <c r="AF361" s="29" t="inlineStr">
        <is>
          <t>https://administradorajudicialgs.com.br/wp-content/uploads/2023/08/advogados-sgrott-doc-22-relacao-de-credores-do-administrador-judicial-classe-iii-05-02-14.pdf</t>
        </is>
      </c>
      <c r="AG361" s="28" t="inlineStr">
        <is>
          <t>p5 r7</t>
        </is>
      </c>
      <c r="AH361" s="28" t="inlineStr">
        <is>
          <t>p5: R$ 1.097.808,59</t>
        </is>
      </c>
      <c r="AI361" s="28" t="inlineStr">
        <is>
          <t>Unclassified list</t>
        </is>
      </c>
      <c r="AJ361" s="28" t="inlineStr"/>
      <c r="AK361" s="28" t="inlineStr">
        <is>
          <t>NONE FOUND</t>
        </is>
      </c>
      <c r="AL361" s="30" t="inlineStr">
        <is>
          <t>0022845-08.2013.8.24.0008</t>
        </is>
      </c>
      <c r="AM361" s="30" t="inlineStr">
        <is>
          <t>TJSC</t>
        </is>
      </c>
      <c r="AN361" s="30" t="inlineStr"/>
      <c r="AO361" s="30" t="n">
        <v>2013</v>
      </c>
      <c r="AP361" s="30" t="inlineStr">
        <is>
          <t>13y since filing, no plan document</t>
        </is>
      </c>
      <c r="AQ361" s="30" t="inlineStr"/>
      <c r="AR361" s="30" t="inlineStr">
        <is>
          <t>portal page title / URL — not printed on the list</t>
        </is>
      </c>
      <c r="AS361" s="30" t="inlineStr"/>
      <c r="AT361" s="30" t="inlineStr"/>
      <c r="AU361" s="30" t="inlineStr"/>
      <c r="AV361" s="30" t="inlineStr"/>
      <c r="AW361" s="31" t="inlineStr"/>
      <c r="AX361" s="30" t="inlineStr">
        <is>
          <t>MID-MARKET</t>
        </is>
      </c>
      <c r="AY361" s="30" t="inlineStr">
        <is>
          <t>67915785</t>
        </is>
      </c>
      <c r="AZ361" s="30" t="n">
        <v>1</v>
      </c>
      <c r="BA361" s="30" t="inlineStr">
        <is>
          <t>LIKELY_FINANCIAL_BY_NAME ROWS:p5r7</t>
        </is>
      </c>
    </row>
    <row r="362">
      <c r="A362" s="16" t="inlineStr">
        <is>
          <t>BRADESCO LEASING S.A. - ARRENDAMENTO MERCANTIL</t>
        </is>
      </c>
      <c r="B362" s="17" t="n">
        <v>525845.5600000001</v>
      </c>
      <c r="C362" s="18" t="inlineStr">
        <is>
          <t>EGESA ENGENHARIA S/A (Consórcio ETDI)</t>
        </is>
      </c>
      <c r="D362" s="19" t="inlineStr">
        <is>
          <t>NEW</t>
        </is>
      </c>
      <c r="E362" s="20" t="inlineStr"/>
      <c r="F362" s="19" t="inlineStr"/>
      <c r="G362" s="20" t="inlineStr"/>
      <c r="H362" s="19" t="inlineStr"/>
      <c r="I362" s="21" t="inlineStr">
        <is>
          <t>Marcela Martins</t>
        </is>
      </c>
      <c r="J362" s="21" t="inlineStr">
        <is>
          <t>Superintendente de Recuperação de Crédito - Canais e Operações</t>
        </is>
      </c>
      <c r="K362" s="21" t="inlineStr">
        <is>
          <t>(11) 3681-4011</t>
        </is>
      </c>
      <c r="L362" s="21" t="inlineStr">
        <is>
          <t>(11) 3684-2750</t>
        </is>
      </c>
      <c r="M362" s="21" t="inlineStr"/>
      <c r="N362" s="21" t="inlineStr"/>
      <c r="O362" s="21" t="inlineStr">
        <is>
          <t>sl@bradesco.com.br</t>
        </is>
      </c>
      <c r="P362" s="21" t="inlineStr">
        <is>
          <t>Luis S</t>
        </is>
      </c>
      <c r="Q362" s="21" t="inlineStr">
        <is>
          <t>DRC - Departamento de Recuperação de Crédito - Gerente de Reestruturação de Crédito</t>
        </is>
      </c>
      <c r="R362" s="21" t="inlineStr"/>
      <c r="S362" s="21" t="inlineStr">
        <is>
          <t>sl@bradesco.com.br</t>
        </is>
      </c>
      <c r="T362" s="21" t="inlineStr">
        <is>
          <t>no work email found in Apollo</t>
        </is>
      </c>
      <c r="U362" s="22" t="n">
        <v>525845.5600000001</v>
      </c>
      <c r="V362" s="32" t="inlineStr">
        <is>
          <t>U</t>
        </is>
      </c>
      <c r="W362" s="24">
        <f>IFERROR(VLOOKUP(V362,Assumptions!$A$7:$F$11,2,FALSE),0)</f>
        <v/>
      </c>
      <c r="X362" s="25">
        <f>IF(V362="A",MAX(1,IFERROR(VLOOKUP(V362,Assumptions!$A$7:$F$11,3,FALSE),3)+IFERROR(VLOOKUP(V362,Assumptions!$A$7:$F$11,4,FALSE),8)/2-MAX(0,IF(AO362="",0,YEAR(TODAY())-AO362)-IFERROR(VLOOKUP(V362,Assumptions!$A$7:$F$11,5,FALSE),1.5))),IFERROR(VLOOKUP(V362,Assumptions!$A$7:$F$11,5,FALSE),2.5)+IFERROR(VLOOKUP(V362,Assumptions!$A$7:$F$11,3,FALSE),3)+IFERROR(VLOOKUP(V362,Assumptions!$A$7:$F$11,4,FALSE),8)/2)</f>
        <v/>
      </c>
      <c r="Y362" s="22">
        <f>U362*W362/(1+Assumptions!$B$3)^X362</f>
        <v/>
      </c>
      <c r="Z362" s="26">
        <f>IF(U362=0,"",ROUND(Y362/U362*100,1))</f>
        <v/>
      </c>
      <c r="AA362" s="27">
        <f>Y362*Assumptions!$B$4</f>
        <v/>
      </c>
      <c r="AB362" s="26">
        <f>IF(U362=0,"",ROUND(AA362/U362*100,1))</f>
        <v/>
      </c>
      <c r="AC362" s="27">
        <f>Y362-AA362</f>
        <v/>
      </c>
      <c r="AD362" s="26">
        <f>IF(U362=0,"",ROUND((Y362-AA362)/U362*100,1))</f>
        <v/>
      </c>
      <c r="AE362" s="28" t="inlineStr">
        <is>
          <t>OK — totals reconciled</t>
        </is>
      </c>
      <c r="AF362" s="29" t="inlineStr">
        <is>
          <t>https://scalzilliaj.com.br/sgc/download.php?file=files/processo_documento/processo_documento09514021082025_1_.pdf&amp;nome=04 - Relação de credores das Recuperandas</t>
        </is>
      </c>
      <c r="AG362" s="28" t="inlineStr">
        <is>
          <t>p63 r11</t>
        </is>
      </c>
      <c r="AH362" s="28" t="inlineStr">
        <is>
          <t>p63: R$ 525.845,56</t>
        </is>
      </c>
      <c r="AI362" s="28" t="inlineStr">
        <is>
          <t>Debtor list (art. 51)</t>
        </is>
      </c>
      <c r="AJ362" s="28" t="inlineStr"/>
      <c r="AK362" s="28" t="inlineStr">
        <is>
          <t>NONE FOUND</t>
        </is>
      </c>
      <c r="AL362" s="30" t="inlineStr">
        <is>
          <t>(not printed)</t>
        </is>
      </c>
      <c r="AM362" s="30" t="inlineStr"/>
      <c r="AN362" s="30" t="inlineStr"/>
      <c r="AO362" s="30" t="inlineStr"/>
      <c r="AP362" s="30" t="inlineStr">
        <is>
          <t>RJ case number not identified on the document</t>
        </is>
      </c>
      <c r="AQ362" s="30" t="inlineStr"/>
      <c r="AR362" s="30" t="inlineStr">
        <is>
          <t>portal page title / URL — not printed on the list</t>
        </is>
      </c>
      <c r="AS362" s="30" t="inlineStr">
        <is>
          <t>OSASCO</t>
        </is>
      </c>
      <c r="AT362" s="30" t="inlineStr">
        <is>
          <t>SP</t>
        </is>
      </c>
      <c r="AU362" s="30" t="inlineStr">
        <is>
          <t>Arrendamento mercantil</t>
        </is>
      </c>
      <c r="AV362" s="30" t="inlineStr">
        <is>
          <t>DEMAIS</t>
        </is>
      </c>
      <c r="AW362" s="31" t="n">
        <v>2660000000</v>
      </c>
      <c r="AX362" s="30" t="inlineStr">
        <is>
          <t>LARGE CORP</t>
        </is>
      </c>
      <c r="AY362" s="30" t="inlineStr">
        <is>
          <t>47509120</t>
        </is>
      </c>
      <c r="AZ362" s="30" t="n">
        <v>1</v>
      </c>
      <c r="BA362" s="30" t="inlineStr">
        <is>
          <t>LIKELY_FINANCIAL_BY_NAME ROWS:p63r11 VALUE_COL:Valor_Atualizado CASE_NUMBER_CORRECTED</t>
        </is>
      </c>
    </row>
    <row r="363">
      <c r="A363" s="16" t="inlineStr">
        <is>
          <t>BMP SOCIEDADE DE CREDITO DIRETO S.A</t>
        </is>
      </c>
      <c r="B363" s="17" t="n">
        <v>275989.58</v>
      </c>
      <c r="C363" s="18" t="inlineStr">
        <is>
          <t>GRUPO DIVINA</t>
        </is>
      </c>
      <c r="D363" s="19" t="inlineStr">
        <is>
          <t>NEW</t>
        </is>
      </c>
      <c r="E363" s="20" t="inlineStr"/>
      <c r="F363" s="19" t="inlineStr"/>
      <c r="G363" s="20" t="inlineStr"/>
      <c r="H363" s="19" t="inlineStr"/>
      <c r="I363" s="21" t="inlineStr">
        <is>
          <t>Alexandre Cardoso</t>
        </is>
      </c>
      <c r="J363" s="21" t="inlineStr">
        <is>
          <t>Gerente de Credito De Operações Estruturadas na BMP Money Plus</t>
        </is>
      </c>
      <c r="K363" s="21" t="inlineStr">
        <is>
          <t>(11) 3810-9313</t>
        </is>
      </c>
      <c r="L363" s="21" t="inlineStr"/>
      <c r="M363" s="21" t="inlineStr"/>
      <c r="N363" s="21" t="inlineStr">
        <is>
          <t>alexandre.cardoso@moneyp.com.br</t>
        </is>
      </c>
      <c r="O363" s="21" t="inlineStr">
        <is>
          <t>clovis.dotta@moneyp.com.br</t>
        </is>
      </c>
      <c r="P363" s="21" t="inlineStr">
        <is>
          <t>Clovis Dotta</t>
        </is>
      </c>
      <c r="Q363" s="21" t="inlineStr">
        <is>
          <t>Diretor Comercial na BMP Money PLUS</t>
        </is>
      </c>
      <c r="R363" s="21" t="inlineStr"/>
      <c r="S363" s="21" t="inlineStr">
        <is>
          <t>clovis.dotta@moneyp.com.br</t>
        </is>
      </c>
      <c r="T363" s="21" t="inlineStr">
        <is>
          <t>email verified by Apollo</t>
        </is>
      </c>
      <c r="U363" s="22" t="n">
        <v>275989.58</v>
      </c>
      <c r="V363" s="23" t="inlineStr">
        <is>
          <t>B</t>
        </is>
      </c>
      <c r="W363" s="24">
        <f>IFERROR(VLOOKUP(V363,Assumptions!$A$7:$F$11,2,FALSE),0)</f>
        <v/>
      </c>
      <c r="X363" s="25">
        <f>IF(V363="A",MAX(1,IFERROR(VLOOKUP(V363,Assumptions!$A$7:$F$11,3,FALSE),3)+IFERROR(VLOOKUP(V363,Assumptions!$A$7:$F$11,4,FALSE),8)/2-MAX(0,IF(AO363="",0,YEAR(TODAY())-AO363)-IFERROR(VLOOKUP(V363,Assumptions!$A$7:$F$11,5,FALSE),1.5))),IFERROR(VLOOKUP(V363,Assumptions!$A$7:$F$11,5,FALSE),2.5)+IFERROR(VLOOKUP(V363,Assumptions!$A$7:$F$11,3,FALSE),3)+IFERROR(VLOOKUP(V363,Assumptions!$A$7:$F$11,4,FALSE),8)/2)</f>
        <v/>
      </c>
      <c r="Y363" s="22">
        <f>U363*W363/(1+Assumptions!$B$3)^X363</f>
        <v/>
      </c>
      <c r="Z363" s="26">
        <f>IF(U363=0,"",ROUND(Y363/U363*100,1))</f>
        <v/>
      </c>
      <c r="AA363" s="27">
        <f>Y363*Assumptions!$B$4</f>
        <v/>
      </c>
      <c r="AB363" s="26">
        <f>IF(U363=0,"",ROUND(AA363/U363*100,1))</f>
        <v/>
      </c>
      <c r="AC363" s="27">
        <f>Y363-AA363</f>
        <v/>
      </c>
      <c r="AD363" s="26">
        <f>IF(U363=0,"",ROUND((Y363-AA363)/U363*100,1))</f>
        <v/>
      </c>
      <c r="AE363" s="34" t="inlineStr">
        <is>
          <t>PARTIAL — class III reconciled, other classes not</t>
        </is>
      </c>
      <c r="AF363" s="29" t="inlineStr">
        <is>
          <t>https://lrflideres.com.br/wp-content/plugins/download-attachments/includes/download.php?id=6252</t>
        </is>
      </c>
      <c r="AG363" s="28" t="inlineStr">
        <is>
          <t>p2 r21</t>
        </is>
      </c>
      <c r="AH363" s="28" t="inlineStr">
        <is>
          <t>p2: R$ 275.989,58</t>
        </is>
      </c>
      <c r="AI363" s="28" t="inlineStr">
        <is>
          <t>AJ list (art. 7 §2)</t>
        </is>
      </c>
      <c r="AJ363" s="28" t="inlineStr">
        <is>
          <t>2024-11-27</t>
        </is>
      </c>
      <c r="AK363" s="28" t="inlineStr">
        <is>
          <t>NONE FOUND</t>
        </is>
      </c>
      <c r="AL363" s="30" t="inlineStr">
        <is>
          <t>0000721-61.2024.8.17.2620</t>
        </is>
      </c>
      <c r="AM363" s="30" t="inlineStr">
        <is>
          <t>TJPE</t>
        </is>
      </c>
      <c r="AN363" s="30" t="inlineStr">
        <is>
          <t>ACTIVE</t>
        </is>
      </c>
      <c r="AO363" s="30" t="n">
        <v>2024</v>
      </c>
      <c r="AP363" s="30" t="inlineStr">
        <is>
          <t>live case, no plan document yet</t>
        </is>
      </c>
      <c r="AQ363" s="30" t="inlineStr">
        <is>
          <t>08.785.522/0001-58</t>
        </is>
      </c>
      <c r="AR363" s="30" t="inlineStr">
        <is>
          <t>printed on the list (read twice)</t>
        </is>
      </c>
      <c r="AS363" s="30" t="inlineStr">
        <is>
          <t>SAO PAULO</t>
        </is>
      </c>
      <c r="AT363" s="30" t="inlineStr">
        <is>
          <t>SP</t>
        </is>
      </c>
      <c r="AU363" s="30" t="inlineStr">
        <is>
          <t>Outras atividades de serviços financeiros não especificadas anteriormente</t>
        </is>
      </c>
      <c r="AV363" s="30" t="inlineStr">
        <is>
          <t>DEMAIS</t>
        </is>
      </c>
      <c r="AW363" s="31" t="n">
        <v>35000000</v>
      </c>
      <c r="AX363" s="30" t="inlineStr">
        <is>
          <t>MID-MARKET</t>
        </is>
      </c>
      <c r="AY363" s="30" t="inlineStr">
        <is>
          <t>34337707</t>
        </is>
      </c>
      <c r="AZ363" s="30" t="n">
        <v>1</v>
      </c>
      <c r="BA363" s="30" t="inlineStr">
        <is>
          <t>PARTIAL_DOC_CLASS_III_RECONCILED ROWS:p2r21</t>
        </is>
      </c>
    </row>
    <row r="364">
      <c r="A364" s="16" t="inlineStr">
        <is>
          <t>Fundo de Investimento em Direitos Creditórios XPCE Crédito Middle</t>
        </is>
      </c>
      <c r="B364" s="17" t="n">
        <v>275065.04</v>
      </c>
      <c r="C364" s="18" t="inlineStr">
        <is>
          <t>GRUPO DP4</t>
        </is>
      </c>
      <c r="D364" s="19" t="inlineStr">
        <is>
          <t>NEW</t>
        </is>
      </c>
      <c r="E364" s="20" t="inlineStr"/>
      <c r="F364" s="19" t="inlineStr"/>
      <c r="G364" s="20" t="inlineStr"/>
      <c r="H364" s="19" t="inlineStr"/>
      <c r="I364" s="21" t="inlineStr">
        <is>
          <t>Renato Junqueira</t>
        </is>
      </c>
      <c r="J364" s="21" t="inlineStr">
        <is>
          <t>VP-Crédito Estruturado e Special Situations</t>
        </is>
      </c>
      <c r="K364" s="21" t="inlineStr"/>
      <c r="L364" s="21" t="inlineStr"/>
      <c r="M364" s="21" t="inlineStr"/>
      <c r="N364" s="21" t="inlineStr">
        <is>
          <t>renato.junqueira@xpi.com.br</t>
        </is>
      </c>
      <c r="O364" s="21" t="inlineStr">
        <is>
          <t>lucca.kao@xpasset.com.br</t>
        </is>
      </c>
      <c r="P364" s="21" t="inlineStr">
        <is>
          <t>Lucca Kao</t>
        </is>
      </c>
      <c r="Q364" s="21" t="inlineStr">
        <is>
          <t>Analista de Crédito Estruturado</t>
        </is>
      </c>
      <c r="R364" s="21" t="inlineStr"/>
      <c r="S364" s="21" t="inlineStr">
        <is>
          <t>lucca.kao@xpasset.com.br</t>
        </is>
      </c>
      <c r="T364" s="21" t="inlineStr">
        <is>
          <t>email verified by Apollo</t>
        </is>
      </c>
      <c r="U364" s="22" t="n">
        <v>275065.04</v>
      </c>
      <c r="V364" s="23" t="inlineStr">
        <is>
          <t>B</t>
        </is>
      </c>
      <c r="W364" s="24">
        <f>IFERROR(VLOOKUP(V364,Assumptions!$A$7:$F$11,2,FALSE),0)</f>
        <v/>
      </c>
      <c r="X364" s="25">
        <f>IF(V364="A",MAX(1,IFERROR(VLOOKUP(V364,Assumptions!$A$7:$F$11,3,FALSE),3)+IFERROR(VLOOKUP(V364,Assumptions!$A$7:$F$11,4,FALSE),8)/2-MAX(0,IF(AO364="",0,YEAR(TODAY())-AO364)-IFERROR(VLOOKUP(V364,Assumptions!$A$7:$F$11,5,FALSE),1.5))),IFERROR(VLOOKUP(V364,Assumptions!$A$7:$F$11,5,FALSE),2.5)+IFERROR(VLOOKUP(V364,Assumptions!$A$7:$F$11,3,FALSE),3)+IFERROR(VLOOKUP(V364,Assumptions!$A$7:$F$11,4,FALSE),8)/2)</f>
        <v/>
      </c>
      <c r="Y364" s="22">
        <f>U364*W364/(1+Assumptions!$B$3)^X364</f>
        <v/>
      </c>
      <c r="Z364" s="26">
        <f>IF(U364=0,"",ROUND(Y364/U364*100,1))</f>
        <v/>
      </c>
      <c r="AA364" s="27">
        <f>Y364*Assumptions!$B$4</f>
        <v/>
      </c>
      <c r="AB364" s="26">
        <f>IF(U364=0,"",ROUND(AA364/U364*100,1))</f>
        <v/>
      </c>
      <c r="AC364" s="27">
        <f>Y364-AA364</f>
        <v/>
      </c>
      <c r="AD364" s="26">
        <f>IF(U364=0,"",ROUND((Y364-AA364)/U364*100,1))</f>
        <v/>
      </c>
      <c r="AE364" s="34" t="inlineStr">
        <is>
          <t>PARTIAL — class III reconciled, other classes not</t>
        </is>
      </c>
      <c r="AF364" s="29" t="inlineStr">
        <is>
          <t>https://marquesadmjudicial.com.br/sgc/download.php?file=files/processo_documento/processo_documento15293208032024_1_.pdf&amp;nome=Relação Nominal de Credores da AJ-Sintética</t>
        </is>
      </c>
      <c r="AG364" s="28" t="inlineStr">
        <is>
          <t>p25 r12</t>
        </is>
      </c>
      <c r="AH364" s="28" t="inlineStr">
        <is>
          <t>p25: R$ 275.065,04</t>
        </is>
      </c>
      <c r="AI364" s="28" t="inlineStr">
        <is>
          <t>AJ list (art. 7 §2)</t>
        </is>
      </c>
      <c r="AJ364" s="28" t="inlineStr">
        <is>
          <t>2023-03-02</t>
        </is>
      </c>
      <c r="AK364" s="28" t="inlineStr">
        <is>
          <t>NONE FOUND</t>
        </is>
      </c>
      <c r="AL364" s="30" t="inlineStr">
        <is>
          <t>0005010-98.2023.8.16.0001</t>
        </is>
      </c>
      <c r="AM364" s="30" t="inlineStr">
        <is>
          <t>TJPR</t>
        </is>
      </c>
      <c r="AN364" s="30" t="inlineStr">
        <is>
          <t>ACTIVE</t>
        </is>
      </c>
      <c r="AO364" s="30" t="n">
        <v>2023</v>
      </c>
      <c r="AP364" s="30" t="inlineStr">
        <is>
          <t>live case, no plan document yet</t>
        </is>
      </c>
      <c r="AQ364" s="30" t="inlineStr"/>
      <c r="AR364" s="30" t="inlineStr">
        <is>
          <t>printed on the list (read twice)</t>
        </is>
      </c>
      <c r="AS364" s="30" t="inlineStr"/>
      <c r="AT364" s="30" t="inlineStr"/>
      <c r="AU364" s="30" t="inlineStr"/>
      <c r="AV364" s="30" t="inlineStr"/>
      <c r="AW364" s="31" t="inlineStr"/>
      <c r="AX364" s="30" t="inlineStr">
        <is>
          <t>MID-MARKET</t>
        </is>
      </c>
      <c r="AY364" s="30" t="inlineStr">
        <is>
          <t>31216519</t>
        </is>
      </c>
      <c r="AZ364" s="30" t="n">
        <v>1</v>
      </c>
      <c r="BA364" s="30" t="inlineStr">
        <is>
          <t>LIKELY_FINANCIAL_BY_NAME PARTIAL_DOC_CLASS_III_RECONCILED ROWS:p25r12</t>
        </is>
      </c>
    </row>
    <row r="365">
      <c r="A365" s="16" t="inlineStr">
        <is>
          <t>INTERBANK FUNDO DE INVESTIMENTO EM DIREITOS CREDITORIOS</t>
        </is>
      </c>
      <c r="B365" s="17" t="n">
        <v>273047.11</v>
      </c>
      <c r="C365" s="18" t="inlineStr">
        <is>
          <t>SOJAL COMERCIAL AGRICOLA LTDA e OUTROS</t>
        </is>
      </c>
      <c r="D365" s="19" t="inlineStr">
        <is>
          <t>NEW</t>
        </is>
      </c>
      <c r="E365" s="20" t="inlineStr"/>
      <c r="F365" s="19" t="inlineStr"/>
      <c r="G365" s="20" t="inlineStr"/>
      <c r="H365" s="19" t="inlineStr"/>
      <c r="I365" s="21" t="inlineStr">
        <is>
          <t>Talita Nicacio</t>
        </is>
      </c>
      <c r="J365" s="21" t="inlineStr">
        <is>
          <t>Coordenador(a) de Crédito, Cadastro e Formalização - FIDC</t>
        </is>
      </c>
      <c r="K365" s="21" t="inlineStr">
        <is>
          <t>(11) 2827-3500</t>
        </is>
      </c>
      <c r="L365" s="21" t="inlineStr"/>
      <c r="M365" s="21" t="inlineStr"/>
      <c r="N365" s="21" t="inlineStr">
        <is>
          <t>talita@lsinterbank.com.br</t>
        </is>
      </c>
      <c r="O365" s="21" t="inlineStr"/>
      <c r="P365" s="21" t="inlineStr"/>
      <c r="Q365" s="21" t="inlineStr"/>
      <c r="R365" s="21" t="inlineStr"/>
      <c r="S365" s="21" t="inlineStr"/>
      <c r="T365" s="21" t="inlineStr">
        <is>
          <t>email verified by Apollo</t>
        </is>
      </c>
      <c r="U365" s="22" t="n">
        <v>273047.11</v>
      </c>
      <c r="V365" s="23" t="inlineStr">
        <is>
          <t>B</t>
        </is>
      </c>
      <c r="W365" s="24">
        <f>IFERROR(VLOOKUP(V365,Assumptions!$A$7:$F$11,2,FALSE),0)</f>
        <v/>
      </c>
      <c r="X365" s="25">
        <f>IF(V365="A",MAX(1,IFERROR(VLOOKUP(V365,Assumptions!$A$7:$F$11,3,FALSE),3)+IFERROR(VLOOKUP(V365,Assumptions!$A$7:$F$11,4,FALSE),8)/2-MAX(0,IF(AO365="",0,YEAR(TODAY())-AO365)-IFERROR(VLOOKUP(V365,Assumptions!$A$7:$F$11,5,FALSE),1.5))),IFERROR(VLOOKUP(V365,Assumptions!$A$7:$F$11,5,FALSE),2.5)+IFERROR(VLOOKUP(V365,Assumptions!$A$7:$F$11,3,FALSE),3)+IFERROR(VLOOKUP(V365,Assumptions!$A$7:$F$11,4,FALSE),8)/2)</f>
        <v/>
      </c>
      <c r="Y365" s="22">
        <f>U365*W365/(1+Assumptions!$B$3)^X365</f>
        <v/>
      </c>
      <c r="Z365" s="26">
        <f>IF(U365=0,"",ROUND(Y365/U365*100,1))</f>
        <v/>
      </c>
      <c r="AA365" s="27">
        <f>Y365*Assumptions!$B$4</f>
        <v/>
      </c>
      <c r="AB365" s="26">
        <f>IF(U365=0,"",ROUND(AA365/U365*100,1))</f>
        <v/>
      </c>
      <c r="AC365" s="27">
        <f>Y365-AA365</f>
        <v/>
      </c>
      <c r="AD365" s="26">
        <f>IF(U365=0,"",ROUND((Y365-AA365)/U365*100,1))</f>
        <v/>
      </c>
      <c r="AE365" s="28" t="inlineStr">
        <is>
          <t>OK — totals reconciled</t>
        </is>
      </c>
      <c r="AF365" s="29" t="inlineStr">
        <is>
          <t>https://lrflideres.com.br/wp-content/plugins/download-attachments/includes/download.php?id=6879</t>
        </is>
      </c>
      <c r="AG365" s="28" t="inlineStr">
        <is>
          <t>p2 r3</t>
        </is>
      </c>
      <c r="AH365" s="28" t="inlineStr">
        <is>
          <t>p2: R$ 273.047,11</t>
        </is>
      </c>
      <c r="AI365" s="28" t="inlineStr">
        <is>
          <t>AJ list (art. 7 §2)</t>
        </is>
      </c>
      <c r="AJ365" s="28" t="inlineStr">
        <is>
          <t>2026-01-15</t>
        </is>
      </c>
      <c r="AK365" s="28" t="inlineStr">
        <is>
          <t>NONE FOUND</t>
        </is>
      </c>
      <c r="AL365" s="30" t="inlineStr">
        <is>
          <t>0804401-51.2025.8.14.0039</t>
        </is>
      </c>
      <c r="AM365" s="30" t="inlineStr">
        <is>
          <t>TJPA</t>
        </is>
      </c>
      <c r="AN365" s="30" t="inlineStr">
        <is>
          <t>ACTIVE</t>
        </is>
      </c>
      <c r="AO365" s="30" t="n">
        <v>2025</v>
      </c>
      <c r="AP365" s="30" t="inlineStr">
        <is>
          <t>live case, no plan document yet</t>
        </is>
      </c>
      <c r="AQ365" s="30" t="inlineStr">
        <is>
          <t>15.626.673/0003-90</t>
        </is>
      </c>
      <c r="AR365" s="30" t="inlineStr">
        <is>
          <t>printed on the list (read twice)</t>
        </is>
      </c>
      <c r="AS365" s="30" t="inlineStr">
        <is>
          <t>SAO PAULO</t>
        </is>
      </c>
      <c r="AT365" s="30" t="inlineStr">
        <is>
          <t>SP</t>
        </is>
      </c>
      <c r="AU365" s="30" t="inlineStr">
        <is>
          <t>Fundos de investimento, exceto previdenciários e imobiliários</t>
        </is>
      </c>
      <c r="AV365" s="30" t="inlineStr">
        <is>
          <t>DEMAIS</t>
        </is>
      </c>
      <c r="AW365" s="31" t="inlineStr"/>
      <c r="AX365" s="30" t="inlineStr">
        <is>
          <t>MID-MARKET</t>
        </is>
      </c>
      <c r="AY365" s="30" t="inlineStr">
        <is>
          <t>20791371</t>
        </is>
      </c>
      <c r="AZ365" s="30" t="n">
        <v>1</v>
      </c>
      <c r="BA365" s="30" t="inlineStr">
        <is>
          <t>LIKELY_FINANCIAL_BY_NAME ROWS:p2r3</t>
        </is>
      </c>
    </row>
    <row r="366">
      <c r="A366" s="16" t="inlineStr">
        <is>
          <t>RAFAEL VERCELLI PARTICIPACOES LTDA</t>
        </is>
      </c>
      <c r="B366" s="17" t="n">
        <v>269991.1</v>
      </c>
      <c r="C366" s="18" t="inlineStr">
        <is>
          <t>CENTURY CONSTRUÇÕES COMÉRCIO E SERVIÇOS LTDA.</t>
        </is>
      </c>
      <c r="D366" s="19" t="inlineStr">
        <is>
          <t>NEW</t>
        </is>
      </c>
      <c r="E366" s="20" t="inlineStr"/>
      <c r="F366" s="19" t="inlineStr"/>
      <c r="G366" s="20" t="inlineStr"/>
      <c r="H366" s="19" t="inlineStr"/>
      <c r="I366" s="21" t="inlineStr">
        <is>
          <t>RAFAEL VERCELLI</t>
        </is>
      </c>
      <c r="J366" s="21" t="inlineStr">
        <is>
          <t>Sócio-Administrador (RFB partner)</t>
        </is>
      </c>
      <c r="K366" s="21" t="inlineStr">
        <is>
          <t>(11) 2365-1427</t>
        </is>
      </c>
      <c r="L366" s="21" t="inlineStr"/>
      <c r="M366" s="21" t="inlineStr"/>
      <c r="N366" s="21" t="inlineStr"/>
      <c r="O366" s="21" t="inlineStr"/>
      <c r="P366" s="21" t="inlineStr"/>
      <c r="Q366" s="21" t="inlineStr"/>
      <c r="R366" s="21" t="inlineStr"/>
      <c r="S366" s="21" t="inlineStr"/>
      <c r="T366" s="21" t="inlineStr">
        <is>
          <t>RFB partner (QSA); no Apollo match</t>
        </is>
      </c>
      <c r="U366" s="22" t="n">
        <v>269991.1</v>
      </c>
      <c r="V366" s="23" t="inlineStr">
        <is>
          <t>B</t>
        </is>
      </c>
      <c r="W366" s="24">
        <f>IFERROR(VLOOKUP(V366,Assumptions!$A$7:$F$11,2,FALSE),0)</f>
        <v/>
      </c>
      <c r="X366" s="25">
        <f>IF(V366="A",MAX(1,IFERROR(VLOOKUP(V366,Assumptions!$A$7:$F$11,3,FALSE),3)+IFERROR(VLOOKUP(V366,Assumptions!$A$7:$F$11,4,FALSE),8)/2-MAX(0,IF(AO366="",0,YEAR(TODAY())-AO366)-IFERROR(VLOOKUP(V366,Assumptions!$A$7:$F$11,5,FALSE),1.5))),IFERROR(VLOOKUP(V366,Assumptions!$A$7:$F$11,5,FALSE),2.5)+IFERROR(VLOOKUP(V366,Assumptions!$A$7:$F$11,3,FALSE),3)+IFERROR(VLOOKUP(V366,Assumptions!$A$7:$F$11,4,FALSE),8)/2)</f>
        <v/>
      </c>
      <c r="Y366" s="22">
        <f>U366*W366/(1+Assumptions!$B$3)^X366</f>
        <v/>
      </c>
      <c r="Z366" s="26">
        <f>IF(U366=0,"",ROUND(Y366/U366*100,1))</f>
        <v/>
      </c>
      <c r="AA366" s="27">
        <f>Y366*Assumptions!$B$4</f>
        <v/>
      </c>
      <c r="AB366" s="26">
        <f>IF(U366=0,"",ROUND(AA366/U366*100,1))</f>
        <v/>
      </c>
      <c r="AC366" s="27">
        <f>Y366-AA366</f>
        <v/>
      </c>
      <c r="AD366" s="26">
        <f>IF(U366=0,"",ROUND((Y366-AA366)/U366*100,1))</f>
        <v/>
      </c>
      <c r="AE366" s="33" t="inlineStr">
        <is>
          <t>NO TOTALS — list prints none; check page</t>
        </is>
      </c>
      <c r="AF366" s="29" t="inlineStr">
        <is>
          <t>https://ativosajce.com.br/admin/download.php?file=files/processo_documento/processo_documento16022716122025_1_.pdf&amp;nome=Relação de credores - art. 52, §1º da Lei 11.101/05 - 15/12/2025</t>
        </is>
      </c>
      <c r="AG366" s="28" t="inlineStr">
        <is>
          <t>p4 r20</t>
        </is>
      </c>
      <c r="AH366" s="28" t="inlineStr">
        <is>
          <t>p4: R$ 269.991,10</t>
        </is>
      </c>
      <c r="AI366" s="28" t="inlineStr">
        <is>
          <t>Unclassified list</t>
        </is>
      </c>
      <c r="AJ366" s="28" t="inlineStr"/>
      <c r="AK366" s="28" t="inlineStr">
        <is>
          <t>NONE FOUND</t>
        </is>
      </c>
      <c r="AL366" s="30" t="inlineStr">
        <is>
          <t>4054599-35.2025.8.26.0100</t>
        </is>
      </c>
      <c r="AM366" s="30" t="inlineStr">
        <is>
          <t>TJSP</t>
        </is>
      </c>
      <c r="AN366" s="30" t="inlineStr">
        <is>
          <t>ACTIVE</t>
        </is>
      </c>
      <c r="AO366" s="30" t="n">
        <v>2025</v>
      </c>
      <c r="AP366" s="30" t="inlineStr">
        <is>
          <t>live case, no plan document yet</t>
        </is>
      </c>
      <c r="AQ366" s="30" t="inlineStr">
        <is>
          <t>03.299.563/0001-10</t>
        </is>
      </c>
      <c r="AR366" s="30" t="inlineStr">
        <is>
          <t>printed on the list (read twice)</t>
        </is>
      </c>
      <c r="AS366" s="30" t="inlineStr">
        <is>
          <t>SAO PAULO</t>
        </is>
      </c>
      <c r="AT366" s="30" t="inlineStr">
        <is>
          <t>SP</t>
        </is>
      </c>
      <c r="AU366" s="30" t="inlineStr">
        <is>
          <t>Outras sociedades de participação, exceto holdings</t>
        </is>
      </c>
      <c r="AV366" s="30" t="inlineStr">
        <is>
          <t>DEMAIS</t>
        </is>
      </c>
      <c r="AW366" s="31" t="n">
        <v>501000</v>
      </c>
      <c r="AX366" s="30" t="inlineStr">
        <is>
          <t>MID-MARKET</t>
        </is>
      </c>
      <c r="AY366" s="30" t="inlineStr">
        <is>
          <t>51186412</t>
        </is>
      </c>
      <c r="AZ366" s="30" t="n">
        <v>1</v>
      </c>
      <c r="BA366" s="30" t="inlineStr">
        <is>
          <t>ROWS:p4r20 UNRECONCILED_SOURCE</t>
        </is>
      </c>
    </row>
    <row r="367">
      <c r="A367" s="16" t="inlineStr">
        <is>
          <t>FAN SECURITIZADORA S/A (IGUANA)</t>
        </is>
      </c>
      <c r="B367" s="17" t="n">
        <v>266462.06</v>
      </c>
      <c r="C367" s="18" t="inlineStr">
        <is>
          <t>GRUPO DIVINA</t>
        </is>
      </c>
      <c r="D367" s="19" t="inlineStr">
        <is>
          <t>NEW</t>
        </is>
      </c>
      <c r="E367" s="20" t="inlineStr"/>
      <c r="F367" s="19" t="inlineStr"/>
      <c r="G367" s="20" t="inlineStr"/>
      <c r="H367" s="19" t="inlineStr"/>
      <c r="I367" s="21" t="inlineStr">
        <is>
          <t>Debora Silva</t>
        </is>
      </c>
      <c r="J367" s="21" t="inlineStr">
        <is>
          <t>Financial Administrative Assistant</t>
        </is>
      </c>
      <c r="K367" s="21" t="inlineStr"/>
      <c r="L367" s="21" t="inlineStr"/>
      <c r="M367" s="21" t="inlineStr"/>
      <c r="N367" s="21" t="inlineStr"/>
      <c r="O367" s="21" t="inlineStr"/>
      <c r="P367" s="21" t="inlineStr"/>
      <c r="Q367" s="21" t="inlineStr"/>
      <c r="R367" s="21" t="inlineStr"/>
      <c r="S367" s="21" t="inlineStr"/>
      <c r="T367" s="21" t="inlineStr">
        <is>
          <t>no work email found in Apollo</t>
        </is>
      </c>
      <c r="U367" s="22" t="n">
        <v>266462.06</v>
      </c>
      <c r="V367" s="23" t="inlineStr">
        <is>
          <t>B</t>
        </is>
      </c>
      <c r="W367" s="24">
        <f>IFERROR(VLOOKUP(V367,Assumptions!$A$7:$F$11,2,FALSE),0)</f>
        <v/>
      </c>
      <c r="X367" s="25">
        <f>IF(V367="A",MAX(1,IFERROR(VLOOKUP(V367,Assumptions!$A$7:$F$11,3,FALSE),3)+IFERROR(VLOOKUP(V367,Assumptions!$A$7:$F$11,4,FALSE),8)/2-MAX(0,IF(AO367="",0,YEAR(TODAY())-AO367)-IFERROR(VLOOKUP(V367,Assumptions!$A$7:$F$11,5,FALSE),1.5))),IFERROR(VLOOKUP(V367,Assumptions!$A$7:$F$11,5,FALSE),2.5)+IFERROR(VLOOKUP(V367,Assumptions!$A$7:$F$11,3,FALSE),3)+IFERROR(VLOOKUP(V367,Assumptions!$A$7:$F$11,4,FALSE),8)/2)</f>
        <v/>
      </c>
      <c r="Y367" s="22">
        <f>U367*W367/(1+Assumptions!$B$3)^X367</f>
        <v/>
      </c>
      <c r="Z367" s="26">
        <f>IF(U367=0,"",ROUND(Y367/U367*100,1))</f>
        <v/>
      </c>
      <c r="AA367" s="27">
        <f>Y367*Assumptions!$B$4</f>
        <v/>
      </c>
      <c r="AB367" s="26">
        <f>IF(U367=0,"",ROUND(AA367/U367*100,1))</f>
        <v/>
      </c>
      <c r="AC367" s="27">
        <f>Y367-AA367</f>
        <v/>
      </c>
      <c r="AD367" s="26">
        <f>IF(U367=0,"",ROUND((Y367-AA367)/U367*100,1))</f>
        <v/>
      </c>
      <c r="AE367" s="34" t="inlineStr">
        <is>
          <t>PARTIAL — class III reconciled, other classes not</t>
        </is>
      </c>
      <c r="AF367" s="29" t="inlineStr">
        <is>
          <t>https://lrflideres.com.br/wp-content/plugins/download-attachments/includes/download.php?id=6252</t>
        </is>
      </c>
      <c r="AG367" s="28" t="inlineStr">
        <is>
          <t>p2 r38</t>
        </is>
      </c>
      <c r="AH367" s="28" t="inlineStr">
        <is>
          <t>p2: R$ 266.462,06</t>
        </is>
      </c>
      <c r="AI367" s="28" t="inlineStr">
        <is>
          <t>AJ list (art. 7 §2)</t>
        </is>
      </c>
      <c r="AJ367" s="28" t="inlineStr">
        <is>
          <t>2024-11-27</t>
        </is>
      </c>
      <c r="AK367" s="28" t="inlineStr">
        <is>
          <t>NONE FOUND</t>
        </is>
      </c>
      <c r="AL367" s="30" t="inlineStr">
        <is>
          <t>0000721-61.2024.8.17.2620</t>
        </is>
      </c>
      <c r="AM367" s="30" t="inlineStr">
        <is>
          <t>TJPE</t>
        </is>
      </c>
      <c r="AN367" s="30" t="inlineStr">
        <is>
          <t>ACTIVE</t>
        </is>
      </c>
      <c r="AO367" s="30" t="n">
        <v>2024</v>
      </c>
      <c r="AP367" s="30" t="inlineStr">
        <is>
          <t>live case, no plan document yet</t>
        </is>
      </c>
      <c r="AQ367" s="30" t="inlineStr">
        <is>
          <t>08.785.522/0001-58</t>
        </is>
      </c>
      <c r="AR367" s="30" t="inlineStr">
        <is>
          <t>printed on the list (read twice)</t>
        </is>
      </c>
      <c r="AS367" s="30" t="inlineStr"/>
      <c r="AT367" s="30" t="inlineStr"/>
      <c r="AU367" s="30" t="inlineStr"/>
      <c r="AV367" s="30" t="inlineStr"/>
      <c r="AW367" s="31" t="inlineStr"/>
      <c r="AX367" s="30" t="inlineStr">
        <is>
          <t>MID-MARKET</t>
        </is>
      </c>
      <c r="AY367" s="30" t="inlineStr">
        <is>
          <t>07906625</t>
        </is>
      </c>
      <c r="AZ367" s="30" t="n">
        <v>1</v>
      </c>
      <c r="BA367" s="30" t="inlineStr">
        <is>
          <t>LIKELY_FINANCIAL_BY_NAME PARTIAL_DOC_CLASS_III_RECONCILED ROWS:p2r38</t>
        </is>
      </c>
    </row>
    <row r="368">
      <c r="A368" s="16" t="inlineStr">
        <is>
          <t>KIRTON BANK S.A. - BANCO MULTIPLO</t>
        </is>
      </c>
      <c r="B368" s="17" t="n">
        <v>1894260.28</v>
      </c>
      <c r="C368" s="18" t="inlineStr">
        <is>
          <t>COPA FRUIT IMPORTAÇÃO E EXPORTAÇÃO S.A</t>
        </is>
      </c>
      <c r="D368" s="19" t="inlineStr">
        <is>
          <t>NEW</t>
        </is>
      </c>
      <c r="E368" s="20" t="inlineStr"/>
      <c r="F368" s="19" t="inlineStr"/>
      <c r="G368" s="20" t="inlineStr"/>
      <c r="H368" s="19" t="inlineStr"/>
      <c r="I368" s="21" t="inlineStr">
        <is>
          <t>CLAYTON NEVES XAVIER</t>
        </is>
      </c>
      <c r="J368" s="21" t="inlineStr">
        <is>
          <t>Administrador (RFB partner)</t>
        </is>
      </c>
      <c r="K368" s="21" t="inlineStr">
        <is>
          <t>(11) 3684-3884</t>
        </is>
      </c>
      <c r="L368" s="21" t="inlineStr"/>
      <c r="M368" s="21" t="inlineStr"/>
      <c r="N368" s="21" t="inlineStr"/>
      <c r="O368" s="21" t="inlineStr"/>
      <c r="P368" s="21" t="inlineStr">
        <is>
          <t>CRISTIANO ADJUTO E CAMPOS</t>
        </is>
      </c>
      <c r="Q368" s="21" t="inlineStr">
        <is>
          <t>Administrador (RFB partner)</t>
        </is>
      </c>
      <c r="R368" s="21" t="inlineStr"/>
      <c r="S368" s="21" t="inlineStr"/>
      <c r="T368" s="21" t="inlineStr">
        <is>
          <t>RFB partner (QSA); no Apollo match</t>
        </is>
      </c>
      <c r="U368" s="22" t="n">
        <v>1894260.28</v>
      </c>
      <c r="V368" s="39" t="inlineStr">
        <is>
          <t>D</t>
        </is>
      </c>
      <c r="W368" s="24">
        <f>IFERROR(VLOOKUP(V368,Assumptions!$A$7:$F$11,2,FALSE),0)</f>
        <v/>
      </c>
      <c r="X368" s="25">
        <f>IF(V368="A",MAX(1,IFERROR(VLOOKUP(V368,Assumptions!$A$7:$F$11,3,FALSE),3)+IFERROR(VLOOKUP(V368,Assumptions!$A$7:$F$11,4,FALSE),8)/2-MAX(0,IF(AO368="",0,YEAR(TODAY())-AO368)-IFERROR(VLOOKUP(V368,Assumptions!$A$7:$F$11,5,FALSE),1.5))),IFERROR(VLOOKUP(V368,Assumptions!$A$7:$F$11,5,FALSE),2.5)+IFERROR(VLOOKUP(V368,Assumptions!$A$7:$F$11,3,FALSE),3)+IFERROR(VLOOKUP(V368,Assumptions!$A$7:$F$11,4,FALSE),8)/2)</f>
        <v/>
      </c>
      <c r="Y368" s="22">
        <f>U368*W368/(1+Assumptions!$B$3)^X368</f>
        <v/>
      </c>
      <c r="Z368" s="26">
        <f>IF(U368=0,"",ROUND(Y368/U368*100,1))</f>
        <v/>
      </c>
      <c r="AA368" s="27">
        <f>Y368*Assumptions!$B$4</f>
        <v/>
      </c>
      <c r="AB368" s="26">
        <f>IF(U368=0,"",ROUND(AA368/U368*100,1))</f>
        <v/>
      </c>
      <c r="AC368" s="27">
        <f>Y368-AA368</f>
        <v/>
      </c>
      <c r="AD368" s="26">
        <f>IF(U368=0,"",ROUND((Y368-AA368)/U368*100,1))</f>
        <v/>
      </c>
      <c r="AE368" s="33" t="inlineStr">
        <is>
          <t>NO TOTALS — list prints none; check page</t>
        </is>
      </c>
      <c r="AF368" s="29" t="inlineStr">
        <is>
          <t>https://diligence.adm.br/wp-content/plugins/download-attachments/includes/download.php?id=4579</t>
        </is>
      </c>
      <c r="AG368" s="28" t="inlineStr">
        <is>
          <t>p8 r7</t>
        </is>
      </c>
      <c r="AH368" s="28" t="inlineStr">
        <is>
          <t>p8: R$ 1.894.260,28</t>
        </is>
      </c>
      <c r="AI368" s="28" t="inlineStr">
        <is>
          <t>AJ list (art. 7 §2)</t>
        </is>
      </c>
      <c r="AJ368" s="28" t="inlineStr">
        <is>
          <t>2024-06-11</t>
        </is>
      </c>
      <c r="AK368" s="28" t="inlineStr">
        <is>
          <t>NONE FOUND</t>
        </is>
      </c>
      <c r="AL368" s="30" t="inlineStr">
        <is>
          <t>0032731-52.2010.8.17.0001</t>
        </is>
      </c>
      <c r="AM368" s="30" t="inlineStr">
        <is>
          <t>TJPE</t>
        </is>
      </c>
      <c r="AN368" s="30" t="inlineStr"/>
      <c r="AO368" s="30" t="n">
        <v>2010</v>
      </c>
      <c r="AP368" s="30" t="inlineStr">
        <is>
          <t>document is a falência (bankruptcy) list</t>
        </is>
      </c>
      <c r="AQ368" s="30" t="inlineStr">
        <is>
          <t>01.356.809/0001-13</t>
        </is>
      </c>
      <c r="AR368" s="30" t="inlineStr">
        <is>
          <t>printed on the list (read twice)</t>
        </is>
      </c>
      <c r="AS368" s="30" t="inlineStr">
        <is>
          <t>OSASCO</t>
        </is>
      </c>
      <c r="AT368" s="30" t="inlineStr">
        <is>
          <t>SP</t>
        </is>
      </c>
      <c r="AU368" s="30" t="inlineStr">
        <is>
          <t>Bancos múltiplos, com carteira comercial</t>
        </is>
      </c>
      <c r="AV368" s="30" t="inlineStr">
        <is>
          <t>DEMAIS</t>
        </is>
      </c>
      <c r="AW368" s="31" t="n">
        <v>8778882000</v>
      </c>
      <c r="AX368" s="30" t="inlineStr">
        <is>
          <t>LARGE CORP</t>
        </is>
      </c>
      <c r="AY368" s="30" t="inlineStr">
        <is>
          <t>01701201</t>
        </is>
      </c>
      <c r="AZ368" s="30" t="n">
        <v>1</v>
      </c>
      <c r="BA368" s="30" t="inlineStr">
        <is>
          <t>LIKELY_FINANCIAL_BY_NAME ROWS:p8r7 UNRECONCILED_SOURCE VALUE_COL:Crédito_1ª_Lista</t>
        </is>
      </c>
    </row>
    <row r="369">
      <c r="A369" s="16" t="inlineStr">
        <is>
          <t>BANCO ABC BRASIL S.A.</t>
        </is>
      </c>
      <c r="B369" s="17" t="n">
        <v>263557.92</v>
      </c>
      <c r="C369" s="18" t="inlineStr">
        <is>
          <t>Alto Uruguai Indústria e Comércio de Óleos Ltda</t>
        </is>
      </c>
      <c r="D369" s="19" t="inlineStr">
        <is>
          <t>NEW</t>
        </is>
      </c>
      <c r="E369" s="20" t="inlineStr"/>
      <c r="F369" s="19" t="inlineStr"/>
      <c r="G369" s="20" t="inlineStr"/>
      <c r="H369" s="19" t="inlineStr"/>
      <c r="I369" s="21" t="inlineStr">
        <is>
          <t>Luciano Makino</t>
        </is>
      </c>
      <c r="J369" s="21" t="inlineStr">
        <is>
          <t>Especialista de Recuperação de Crédito</t>
        </is>
      </c>
      <c r="K369" s="21" t="inlineStr">
        <is>
          <t>(11) 3170-2000</t>
        </is>
      </c>
      <c r="L369" s="21" t="inlineStr"/>
      <c r="M369" s="21" t="inlineStr"/>
      <c r="N369" s="21" t="inlineStr">
        <is>
          <t>luciano.makino@abcbrasil.com.br</t>
        </is>
      </c>
      <c r="O369" s="21" t="inlineStr">
        <is>
          <t>marilia.neves@abcbrasil.com.br</t>
        </is>
      </c>
      <c r="P369" s="21" t="inlineStr">
        <is>
          <t>Marilia Neves</t>
        </is>
      </c>
      <c r="Q369" s="21" t="inlineStr">
        <is>
          <t>Advogado Especialista em Recuperação de Crédito</t>
        </is>
      </c>
      <c r="R369" s="21" t="inlineStr"/>
      <c r="S369" s="21" t="inlineStr">
        <is>
          <t>marilia.neves@abcbrasil.com.br</t>
        </is>
      </c>
      <c r="T369" s="21" t="inlineStr">
        <is>
          <t>email verified by Apollo</t>
        </is>
      </c>
      <c r="U369" s="22" t="n">
        <v>263557.92</v>
      </c>
      <c r="V369" s="23" t="inlineStr">
        <is>
          <t>B</t>
        </is>
      </c>
      <c r="W369" s="24">
        <f>IFERROR(VLOOKUP(V369,Assumptions!$A$7:$F$11,2,FALSE),0)</f>
        <v/>
      </c>
      <c r="X369" s="25">
        <f>IF(V369="A",MAX(1,IFERROR(VLOOKUP(V369,Assumptions!$A$7:$F$11,3,FALSE),3)+IFERROR(VLOOKUP(V369,Assumptions!$A$7:$F$11,4,FALSE),8)/2-MAX(0,IF(AO369="",0,YEAR(TODAY())-AO369)-IFERROR(VLOOKUP(V369,Assumptions!$A$7:$F$11,5,FALSE),1.5))),IFERROR(VLOOKUP(V369,Assumptions!$A$7:$F$11,5,FALSE),2.5)+IFERROR(VLOOKUP(V369,Assumptions!$A$7:$F$11,3,FALSE),3)+IFERROR(VLOOKUP(V369,Assumptions!$A$7:$F$11,4,FALSE),8)/2)</f>
        <v/>
      </c>
      <c r="Y369" s="22">
        <f>U369*W369/(1+Assumptions!$B$3)^X369</f>
        <v/>
      </c>
      <c r="Z369" s="26">
        <f>IF(U369=0,"",ROUND(Y369/U369*100,1))</f>
        <v/>
      </c>
      <c r="AA369" s="27">
        <f>Y369*Assumptions!$B$4</f>
        <v/>
      </c>
      <c r="AB369" s="26">
        <f>IF(U369=0,"",ROUND(AA369/U369*100,1))</f>
        <v/>
      </c>
      <c r="AC369" s="27">
        <f>Y369-AA369</f>
        <v/>
      </c>
      <c r="AD369" s="26">
        <f>IF(U369=0,"",ROUND((Y369-AA369)/U369*100,1))</f>
        <v/>
      </c>
      <c r="AE369" s="28" t="inlineStr">
        <is>
          <t>OK — totals reconciled</t>
        </is>
      </c>
      <c r="AF369" s="29" t="inlineStr">
        <is>
          <t>https://ajruiz.com.br/sites/default/files/public/arquivos-processos/2026-06/alto_uruguai_qgc_junho.2026.pdf</t>
        </is>
      </c>
      <c r="AG369" s="28" t="inlineStr">
        <is>
          <t>p1 r11</t>
        </is>
      </c>
      <c r="AH369" s="28" t="inlineStr">
        <is>
          <t>p1: R$ 263.557,92</t>
        </is>
      </c>
      <c r="AI369" s="28" t="inlineStr">
        <is>
          <t>Unclassified list</t>
        </is>
      </c>
      <c r="AJ369" s="28" t="inlineStr"/>
      <c r="AK369" s="28" t="inlineStr">
        <is>
          <t>NONE FOUND</t>
        </is>
      </c>
      <c r="AL369" s="30" t="inlineStr">
        <is>
          <t>5012743-51.2023.8.24.0019</t>
        </is>
      </c>
      <c r="AM369" s="30" t="inlineStr">
        <is>
          <t>TJSC</t>
        </is>
      </c>
      <c r="AN369" s="30" t="inlineStr">
        <is>
          <t>ACTIVE</t>
        </is>
      </c>
      <c r="AO369" s="30" t="n">
        <v>2023</v>
      </c>
      <c r="AP369" s="30" t="inlineStr">
        <is>
          <t>live case, no plan document yet</t>
        </is>
      </c>
      <c r="AQ369" s="30" t="inlineStr"/>
      <c r="AR369" s="30" t="inlineStr">
        <is>
          <t>printed on the list (read twice)</t>
        </is>
      </c>
      <c r="AS369" s="30" t="inlineStr">
        <is>
          <t>SAO PAULO</t>
        </is>
      </c>
      <c r="AT369" s="30" t="inlineStr">
        <is>
          <t>SP</t>
        </is>
      </c>
      <c r="AU369" s="30" t="inlineStr">
        <is>
          <t>Bancos múltiplos, com carteira comercial</t>
        </is>
      </c>
      <c r="AV369" s="30" t="inlineStr">
        <is>
          <t>DEMAIS</t>
        </is>
      </c>
      <c r="AW369" s="31" t="n">
        <v>6012662300</v>
      </c>
      <c r="AX369" s="30" t="inlineStr">
        <is>
          <t>LARGE CORP</t>
        </is>
      </c>
      <c r="AY369" s="30" t="inlineStr">
        <is>
          <t>28195667</t>
        </is>
      </c>
      <c r="AZ369" s="30" t="n">
        <v>1</v>
      </c>
      <c r="BA369" s="30" t="inlineStr">
        <is>
          <t>LIKELY_FINANCIAL_BY_NAME ROWS:p1r11 VALUE_COL:Valor_Do_Crédito</t>
        </is>
      </c>
    </row>
    <row r="370">
      <c r="A370" s="16" t="inlineStr">
        <is>
          <t>BANCO SANTANDER (BRASIL) S.A.</t>
        </is>
      </c>
      <c r="B370" s="17" t="n">
        <v>1022315.01</v>
      </c>
      <c r="C370" s="18" t="inlineStr">
        <is>
          <t>BLUTRAFOS BLUMENAU TRANSFORMADORES LTDA</t>
        </is>
      </c>
      <c r="D370" s="19" t="inlineStr">
        <is>
          <t>NEW</t>
        </is>
      </c>
      <c r="E370" s="20" t="inlineStr"/>
      <c r="F370" s="19" t="inlineStr"/>
      <c r="G370" s="20" t="inlineStr"/>
      <c r="H370" s="19" t="inlineStr"/>
      <c r="I370" s="21" t="inlineStr">
        <is>
          <t>Igor Puertas</t>
        </is>
      </c>
      <c r="J370" s="21" t="inlineStr">
        <is>
          <t>Distressed Assets | NPL</t>
        </is>
      </c>
      <c r="K370" s="21" t="inlineStr">
        <is>
          <t>(11) 4004-3535</t>
        </is>
      </c>
      <c r="L370" s="21" t="inlineStr"/>
      <c r="M370" s="21" t="inlineStr"/>
      <c r="N370" s="21" t="inlineStr">
        <is>
          <t>igor.puertas@santander.com.br</t>
        </is>
      </c>
      <c r="O370" s="21" t="inlineStr">
        <is>
          <t>antonio.pequeno.junior@santander.com.br</t>
        </is>
      </c>
      <c r="P370" s="21" t="inlineStr">
        <is>
          <t>Antonio Junior</t>
        </is>
      </c>
      <c r="Q370" s="21" t="inlineStr">
        <is>
          <t>Superintendente Recuperação de Crédito</t>
        </is>
      </c>
      <c r="R370" s="21" t="inlineStr"/>
      <c r="S370" s="21" t="inlineStr">
        <is>
          <t>antonio.pequeno.junior@santander.com.br</t>
        </is>
      </c>
      <c r="T370" s="21" t="inlineStr">
        <is>
          <t>email verified by Apollo</t>
        </is>
      </c>
      <c r="U370" s="22" t="n">
        <v>1022315.01</v>
      </c>
      <c r="V370" s="38" t="inlineStr">
        <is>
          <t>C</t>
        </is>
      </c>
      <c r="W370" s="24">
        <f>IFERROR(VLOOKUP(V370,Assumptions!$A$7:$F$11,2,FALSE),0)</f>
        <v/>
      </c>
      <c r="X370" s="25">
        <f>IF(V370="A",MAX(1,IFERROR(VLOOKUP(V370,Assumptions!$A$7:$F$11,3,FALSE),3)+IFERROR(VLOOKUP(V370,Assumptions!$A$7:$F$11,4,FALSE),8)/2-MAX(0,IF(AO370="",0,YEAR(TODAY())-AO370)-IFERROR(VLOOKUP(V370,Assumptions!$A$7:$F$11,5,FALSE),1.5))),IFERROR(VLOOKUP(V370,Assumptions!$A$7:$F$11,5,FALSE),2.5)+IFERROR(VLOOKUP(V370,Assumptions!$A$7:$F$11,3,FALSE),3)+IFERROR(VLOOKUP(V370,Assumptions!$A$7:$F$11,4,FALSE),8)/2)</f>
        <v/>
      </c>
      <c r="Y370" s="22">
        <f>U370*W370/(1+Assumptions!$B$3)^X370</f>
        <v/>
      </c>
      <c r="Z370" s="26">
        <f>IF(U370=0,"",ROUND(Y370/U370*100,1))</f>
        <v/>
      </c>
      <c r="AA370" s="27">
        <f>Y370*Assumptions!$B$4</f>
        <v/>
      </c>
      <c r="AB370" s="26">
        <f>IF(U370=0,"",ROUND(AA370/U370*100,1))</f>
        <v/>
      </c>
      <c r="AC370" s="27">
        <f>Y370-AA370</f>
        <v/>
      </c>
      <c r="AD370" s="26">
        <f>IF(U370=0,"",ROUND((Y370-AA370)/U370*100,1))</f>
        <v/>
      </c>
      <c r="AE370" s="28" t="inlineStr">
        <is>
          <t>OK — totals reconciled</t>
        </is>
      </c>
      <c r="AF370" s="29" t="inlineStr">
        <is>
          <t>https://administradorajudicialgs.com.br/wp-content/uploads/2023/08/advogados-sgrott-doc-22-relacao-de-credores-do-administrador-judicial-classe-iii-05-02-14.pdf</t>
        </is>
      </c>
      <c r="AG370" s="28" t="inlineStr">
        <is>
          <t>p1 r35</t>
        </is>
      </c>
      <c r="AH370" s="28" t="inlineStr">
        <is>
          <t>p1: R$ 1.022.315,01</t>
        </is>
      </c>
      <c r="AI370" s="28" t="inlineStr">
        <is>
          <t>Unclassified list</t>
        </is>
      </c>
      <c r="AJ370" s="28" t="inlineStr"/>
      <c r="AK370" s="28" t="inlineStr">
        <is>
          <t>NONE FOUND</t>
        </is>
      </c>
      <c r="AL370" s="30" t="inlineStr">
        <is>
          <t>0022845-08.2013.8.24.0008</t>
        </is>
      </c>
      <c r="AM370" s="30" t="inlineStr">
        <is>
          <t>TJSC</t>
        </is>
      </c>
      <c r="AN370" s="30" t="inlineStr"/>
      <c r="AO370" s="30" t="n">
        <v>2013</v>
      </c>
      <c r="AP370" s="30" t="inlineStr">
        <is>
          <t>13y since filing, no plan document</t>
        </is>
      </c>
      <c r="AQ370" s="30" t="inlineStr"/>
      <c r="AR370" s="30" t="inlineStr">
        <is>
          <t>portal page title / URL — not printed on the list</t>
        </is>
      </c>
      <c r="AS370" s="30" t="inlineStr">
        <is>
          <t>SAO PAULO</t>
        </is>
      </c>
      <c r="AT370" s="30" t="inlineStr">
        <is>
          <t>SP</t>
        </is>
      </c>
      <c r="AU370" s="30" t="inlineStr">
        <is>
          <t>Bancos múltiplos, com carteira comercial</t>
        </is>
      </c>
      <c r="AV370" s="30" t="inlineStr">
        <is>
          <t>DEMAIS</t>
        </is>
      </c>
      <c r="AW370" s="31" t="n">
        <v>65000000000</v>
      </c>
      <c r="AX370" s="30" t="inlineStr">
        <is>
          <t>LARGE CORP</t>
        </is>
      </c>
      <c r="AY370" s="30" t="inlineStr">
        <is>
          <t>90400888</t>
        </is>
      </c>
      <c r="AZ370" s="30" t="n">
        <v>1</v>
      </c>
      <c r="BA370" s="30" t="inlineStr">
        <is>
          <t>LIKELY_FINANCIAL_BY_NAME ROWS:p1r35</t>
        </is>
      </c>
    </row>
    <row r="371">
      <c r="A371" s="16" t="inlineStr">
        <is>
          <t>LOURENCO MALULY PARTICIPACOES LTDA</t>
        </is>
      </c>
      <c r="B371" s="17" t="n">
        <v>258139.2</v>
      </c>
      <c r="C371" s="18" t="inlineStr">
        <is>
          <t>CENTURY CONSTRUÇÕES COMÉRCIO E SERVIÇOS LTDA.</t>
        </is>
      </c>
      <c r="D371" s="19" t="inlineStr">
        <is>
          <t>NEW</t>
        </is>
      </c>
      <c r="E371" s="20" t="inlineStr"/>
      <c r="F371" s="19" t="inlineStr"/>
      <c r="G371" s="20" t="inlineStr"/>
      <c r="H371" s="19" t="inlineStr"/>
      <c r="I371" s="21" t="inlineStr">
        <is>
          <t>LOURENCO MALULY CARDOSO</t>
        </is>
      </c>
      <c r="J371" s="21" t="inlineStr">
        <is>
          <t>Sócio-Administrador (RFB partner)</t>
        </is>
      </c>
      <c r="K371" s="21" t="inlineStr">
        <is>
          <t>(11) 2365-1427</t>
        </is>
      </c>
      <c r="L371" s="21" t="inlineStr"/>
      <c r="M371" s="21" t="inlineStr"/>
      <c r="N371" s="21" t="inlineStr"/>
      <c r="O371" s="21" t="inlineStr"/>
      <c r="P371" s="21" t="inlineStr"/>
      <c r="Q371" s="21" t="inlineStr"/>
      <c r="R371" s="21" t="inlineStr"/>
      <c r="S371" s="21" t="inlineStr"/>
      <c r="T371" s="21" t="inlineStr">
        <is>
          <t>RFB partner (QSA); no Apollo match</t>
        </is>
      </c>
      <c r="U371" s="22" t="n">
        <v>258139.2</v>
      </c>
      <c r="V371" s="23" t="inlineStr">
        <is>
          <t>B</t>
        </is>
      </c>
      <c r="W371" s="24">
        <f>IFERROR(VLOOKUP(V371,Assumptions!$A$7:$F$11,2,FALSE),0)</f>
        <v/>
      </c>
      <c r="X371" s="25">
        <f>IF(V371="A",MAX(1,IFERROR(VLOOKUP(V371,Assumptions!$A$7:$F$11,3,FALSE),3)+IFERROR(VLOOKUP(V371,Assumptions!$A$7:$F$11,4,FALSE),8)/2-MAX(0,IF(AO371="",0,YEAR(TODAY())-AO371)-IFERROR(VLOOKUP(V371,Assumptions!$A$7:$F$11,5,FALSE),1.5))),IFERROR(VLOOKUP(V371,Assumptions!$A$7:$F$11,5,FALSE),2.5)+IFERROR(VLOOKUP(V371,Assumptions!$A$7:$F$11,3,FALSE),3)+IFERROR(VLOOKUP(V371,Assumptions!$A$7:$F$11,4,FALSE),8)/2)</f>
        <v/>
      </c>
      <c r="Y371" s="22">
        <f>U371*W371/(1+Assumptions!$B$3)^X371</f>
        <v/>
      </c>
      <c r="Z371" s="26">
        <f>IF(U371=0,"",ROUND(Y371/U371*100,1))</f>
        <v/>
      </c>
      <c r="AA371" s="27">
        <f>Y371*Assumptions!$B$4</f>
        <v/>
      </c>
      <c r="AB371" s="26">
        <f>IF(U371=0,"",ROUND(AA371/U371*100,1))</f>
        <v/>
      </c>
      <c r="AC371" s="27">
        <f>Y371-AA371</f>
        <v/>
      </c>
      <c r="AD371" s="26">
        <f>IF(U371=0,"",ROUND((Y371-AA371)/U371*100,1))</f>
        <v/>
      </c>
      <c r="AE371" s="33" t="inlineStr">
        <is>
          <t>NO TOTALS — list prints none; check page</t>
        </is>
      </c>
      <c r="AF371" s="29" t="inlineStr">
        <is>
          <t>https://ativosajce.com.br/admin/download.php?file=files/processo_documento/processo_documento16022716122025_1_.pdf&amp;nome=Relação de credores - art. 52, §1º da Lei 11.101/05 - 15/12/2025</t>
        </is>
      </c>
      <c r="AG371" s="28" t="inlineStr">
        <is>
          <t>p3 r49</t>
        </is>
      </c>
      <c r="AH371" s="28" t="inlineStr">
        <is>
          <t>p3: R$ 258.139,20</t>
        </is>
      </c>
      <c r="AI371" s="28" t="inlineStr">
        <is>
          <t>Unclassified list</t>
        </is>
      </c>
      <c r="AJ371" s="28" t="inlineStr"/>
      <c r="AK371" s="28" t="inlineStr">
        <is>
          <t>NONE FOUND</t>
        </is>
      </c>
      <c r="AL371" s="30" t="inlineStr">
        <is>
          <t>4054599-35.2025.8.26.0100</t>
        </is>
      </c>
      <c r="AM371" s="30" t="inlineStr">
        <is>
          <t>TJSP</t>
        </is>
      </c>
      <c r="AN371" s="30" t="inlineStr">
        <is>
          <t>ACTIVE</t>
        </is>
      </c>
      <c r="AO371" s="30" t="n">
        <v>2025</v>
      </c>
      <c r="AP371" s="30" t="inlineStr">
        <is>
          <t>live case, no plan document yet</t>
        </is>
      </c>
      <c r="AQ371" s="30" t="inlineStr">
        <is>
          <t>03.299.563/0001-10</t>
        </is>
      </c>
      <c r="AR371" s="30" t="inlineStr">
        <is>
          <t>printed on the list (read twice)</t>
        </is>
      </c>
      <c r="AS371" s="30" t="inlineStr">
        <is>
          <t>SAO PAULO</t>
        </is>
      </c>
      <c r="AT371" s="30" t="inlineStr">
        <is>
          <t>SP</t>
        </is>
      </c>
      <c r="AU371" s="30" t="inlineStr">
        <is>
          <t>Outras sociedades de participação, exceto holdings</t>
        </is>
      </c>
      <c r="AV371" s="30" t="inlineStr">
        <is>
          <t>DEMAIS</t>
        </is>
      </c>
      <c r="AW371" s="31" t="n">
        <v>1000</v>
      </c>
      <c r="AX371" s="30" t="inlineStr">
        <is>
          <t>MID-MARKET</t>
        </is>
      </c>
      <c r="AY371" s="30" t="inlineStr">
        <is>
          <t>51473709</t>
        </is>
      </c>
      <c r="AZ371" s="30" t="n">
        <v>1</v>
      </c>
      <c r="BA371" s="30" t="inlineStr">
        <is>
          <t>ROWS:p3r49 UNRECONCILED_SOURCE</t>
        </is>
      </c>
    </row>
    <row r="372">
      <c r="A372" s="16" t="inlineStr">
        <is>
          <t>CAIXA ECONOMICA FEDERAL</t>
        </is>
      </c>
      <c r="B372" s="17" t="n">
        <v>997823.01</v>
      </c>
      <c r="C372" s="18" t="inlineStr">
        <is>
          <t>Grupo Mastter</t>
        </is>
      </c>
      <c r="D372" s="19" t="inlineStr">
        <is>
          <t>NEW</t>
        </is>
      </c>
      <c r="E372" s="20" t="inlineStr"/>
      <c r="F372" s="19" t="inlineStr"/>
      <c r="G372" s="20" t="inlineStr"/>
      <c r="H372" s="19" t="inlineStr"/>
      <c r="I372" s="21" t="inlineStr">
        <is>
          <t>Livia Serikaku</t>
        </is>
      </c>
      <c r="J372" s="21" t="inlineStr">
        <is>
          <t>Gerente de Clientes e Negócios | Recuperação de Crédito</t>
        </is>
      </c>
      <c r="K372" s="21" t="inlineStr">
        <is>
          <t>(00) 4004-0104</t>
        </is>
      </c>
      <c r="L372" s="21" t="inlineStr"/>
      <c r="M372" s="21" t="inlineStr"/>
      <c r="N372" s="21" t="inlineStr"/>
      <c r="O372" s="21" t="inlineStr"/>
      <c r="P372" s="21" t="inlineStr">
        <is>
          <t>Rodolfo Trevizan</t>
        </is>
      </c>
      <c r="Q372" s="21" t="inlineStr">
        <is>
          <t>Investment Banking | Distressed Assets | Project Finance</t>
        </is>
      </c>
      <c r="R372" s="21" t="inlineStr"/>
      <c r="S372" s="21" t="inlineStr"/>
      <c r="T372" s="21" t="inlineStr">
        <is>
          <t>no work email found in Apollo</t>
        </is>
      </c>
      <c r="U372" s="22" t="n">
        <v>997823.01</v>
      </c>
      <c r="V372" s="38" t="inlineStr">
        <is>
          <t>C</t>
        </is>
      </c>
      <c r="W372" s="24">
        <f>IFERROR(VLOOKUP(V372,Assumptions!$A$7:$F$11,2,FALSE),0)</f>
        <v/>
      </c>
      <c r="X372" s="25">
        <f>IF(V372="A",MAX(1,IFERROR(VLOOKUP(V372,Assumptions!$A$7:$F$11,3,FALSE),3)+IFERROR(VLOOKUP(V372,Assumptions!$A$7:$F$11,4,FALSE),8)/2-MAX(0,IF(AO372="",0,YEAR(TODAY())-AO372)-IFERROR(VLOOKUP(V372,Assumptions!$A$7:$F$11,5,FALSE),1.5))),IFERROR(VLOOKUP(V372,Assumptions!$A$7:$F$11,5,FALSE),2.5)+IFERROR(VLOOKUP(V372,Assumptions!$A$7:$F$11,3,FALSE),3)+IFERROR(VLOOKUP(V372,Assumptions!$A$7:$F$11,4,FALSE),8)/2)</f>
        <v/>
      </c>
      <c r="Y372" s="22">
        <f>U372*W372/(1+Assumptions!$B$3)^X372</f>
        <v/>
      </c>
      <c r="Z372" s="26">
        <f>IF(U372=0,"",ROUND(Y372/U372*100,1))</f>
        <v/>
      </c>
      <c r="AA372" s="27">
        <f>Y372*Assumptions!$B$4</f>
        <v/>
      </c>
      <c r="AB372" s="26">
        <f>IF(U372=0,"",ROUND(AA372/U372*100,1))</f>
        <v/>
      </c>
      <c r="AC372" s="27">
        <f>Y372-AA372</f>
        <v/>
      </c>
      <c r="AD372" s="26">
        <f>IF(U372=0,"",ROUND((Y372-AA372)/U372*100,1))</f>
        <v/>
      </c>
      <c r="AE372" s="33" t="inlineStr">
        <is>
          <t>NO TOTALS — list prints none; check page</t>
        </is>
      </c>
      <c r="AF372" s="29" t="inlineStr">
        <is>
          <t>https://realbrasil.com.br/wp-content/uploads/2017/05/Relação-de-Credores_-Mastter-1.pdf</t>
        </is>
      </c>
      <c r="AG372" s="28" t="inlineStr">
        <is>
          <t>p11 r18; p15 r7; p15 r8; p15 r9; p15 r10; p15 r11; p15 r12; p15 r13; p15 r15; p27 r3; p27 r5</t>
        </is>
      </c>
      <c r="AH372" s="28" t="inlineStr">
        <is>
          <t>p11: R$ 100.000,00; p15: R$ 19.308,61; p15: R$ 61.893,97; p15: R$ 200.000,00; p15: R$ 129.161,99; p15: R$ 25.242,98; p15: R$ 62.400,25; p15: R$ 108.204,17; p15: R$ 100.000,00; p27: R$ 212.500,00; p27: R$ 79.111,04</t>
        </is>
      </c>
      <c r="AI372" s="28" t="inlineStr">
        <is>
          <t>Debtor list (art. 51)</t>
        </is>
      </c>
      <c r="AJ372" s="28" t="inlineStr">
        <is>
          <t>2016-02-10</t>
        </is>
      </c>
      <c r="AK372" s="28" t="inlineStr">
        <is>
          <t>NONE FOUND</t>
        </is>
      </c>
      <c r="AL372" s="30" t="inlineStr">
        <is>
          <t>0801893-91.2016.8.12.0011</t>
        </is>
      </c>
      <c r="AM372" s="30" t="inlineStr">
        <is>
          <t>TJMS</t>
        </is>
      </c>
      <c r="AN372" s="30" t="inlineStr"/>
      <c r="AO372" s="30" t="n">
        <v>2016</v>
      </c>
      <c r="AP372" s="30" t="inlineStr">
        <is>
          <t>10y since filing, no plan document</t>
        </is>
      </c>
      <c r="AQ372" s="30" t="inlineStr"/>
      <c r="AR372" s="30" t="inlineStr">
        <is>
          <t>printed on the list (read twice)</t>
        </is>
      </c>
      <c r="AS372" s="30" t="inlineStr">
        <is>
          <t>BRASILIA</t>
        </is>
      </c>
      <c r="AT372" s="30" t="inlineStr">
        <is>
          <t>DF</t>
        </is>
      </c>
      <c r="AU372" s="30" t="inlineStr">
        <is>
          <t>Caixas econômicas</t>
        </is>
      </c>
      <c r="AV372" s="30" t="inlineStr">
        <is>
          <t>DEMAIS</t>
        </is>
      </c>
      <c r="AW372" s="31" t="n">
        <v>105300000000</v>
      </c>
      <c r="AX372" s="30" t="inlineStr">
        <is>
          <t>LARGE CORP</t>
        </is>
      </c>
      <c r="AY372" s="30" t="inlineStr">
        <is>
          <t>00360305</t>
        </is>
      </c>
      <c r="AZ372" s="30" t="n">
        <v>10</v>
      </c>
      <c r="BA372" s="30" t="inlineStr">
        <is>
          <t>ALT_VALUE:1.811,26 ALT_VALUE:10.253,77 ALT_VALUE:108.204,17 ALT_VALUE:129.161,99 ALT_VALUE:19.308,49 ALT_VALUE:19.308,61 ALT_VALUE:2.160,98 ALT_VALUE:200.000,00 ALT_VALUE:25.242,98 ALT_VALUE:3.487,60 ALT_VALUE:3.728,97 ALT_VALUE:61.893,97 ALT_VALUE:62.400,25 ALT_VALUE:R$100.000,00 ALT_VALUE:R$12.500,00 ALT_VALUE:R$125.000,00 ALT_VALUE:R$2.472,22 ALT_VALUE:R$450.000,00 ROWS:p11r18,p15r7,p15r8,p15r9,p15r10,p15r11,p15r12,p15r13,p27r3,p27r5 UNRECONCILED_SOURCE VALUE_COL:Valor_Da_Parcela</t>
        </is>
      </c>
    </row>
    <row r="373">
      <c r="A373" s="16" t="inlineStr">
        <is>
          <t>BANCO C6 S.A.</t>
        </is>
      </c>
      <c r="B373" s="17" t="n">
        <v>255371.56</v>
      </c>
      <c r="C373" s="18" t="inlineStr">
        <is>
          <t>Grupo Agromeal</t>
        </is>
      </c>
      <c r="D373" s="19" t="inlineStr">
        <is>
          <t>NEW</t>
        </is>
      </c>
      <c r="E373" s="20" t="inlineStr"/>
      <c r="F373" s="19" t="inlineStr"/>
      <c r="G373" s="20" t="inlineStr"/>
      <c r="H373" s="19" t="inlineStr"/>
      <c r="I373" s="21" t="inlineStr">
        <is>
          <t>Camilla Moriki</t>
        </is>
      </c>
      <c r="J373" s="21" t="inlineStr">
        <is>
          <t>Gerente de Recuperação de Crédito | Reestruturação - Atacado</t>
        </is>
      </c>
      <c r="K373" s="21" t="inlineStr">
        <is>
          <t>(11) 2832-6000</t>
        </is>
      </c>
      <c r="L373" s="21" t="inlineStr"/>
      <c r="M373" s="21" t="inlineStr"/>
      <c r="N373" s="21" t="inlineStr">
        <is>
          <t>camilla.moriki@c6bank.com</t>
        </is>
      </c>
      <c r="O373" s="21" t="inlineStr">
        <is>
          <t>kevin.santana@c6bank.com</t>
        </is>
      </c>
      <c r="P373" s="21" t="inlineStr">
        <is>
          <t>Kevin Santana</t>
        </is>
      </c>
      <c r="Q373" s="21" t="inlineStr">
        <is>
          <t>Gerente de Estratégia de Recuperação de Crédito</t>
        </is>
      </c>
      <c r="R373" s="21" t="inlineStr"/>
      <c r="S373" s="21" t="inlineStr">
        <is>
          <t>kevin.santana@c6bank.com</t>
        </is>
      </c>
      <c r="T373" s="21" t="inlineStr">
        <is>
          <t>email verified by Apollo</t>
        </is>
      </c>
      <c r="U373" s="22" t="n">
        <v>255371.56</v>
      </c>
      <c r="V373" s="23" t="inlineStr">
        <is>
          <t>B</t>
        </is>
      </c>
      <c r="W373" s="24">
        <f>IFERROR(VLOOKUP(V373,Assumptions!$A$7:$F$11,2,FALSE),0)</f>
        <v/>
      </c>
      <c r="X373" s="25">
        <f>IF(V373="A",MAX(1,IFERROR(VLOOKUP(V373,Assumptions!$A$7:$F$11,3,FALSE),3)+IFERROR(VLOOKUP(V373,Assumptions!$A$7:$F$11,4,FALSE),8)/2-MAX(0,IF(AO373="",0,YEAR(TODAY())-AO373)-IFERROR(VLOOKUP(V373,Assumptions!$A$7:$F$11,5,FALSE),1.5))),IFERROR(VLOOKUP(V373,Assumptions!$A$7:$F$11,5,FALSE),2.5)+IFERROR(VLOOKUP(V373,Assumptions!$A$7:$F$11,3,FALSE),3)+IFERROR(VLOOKUP(V373,Assumptions!$A$7:$F$11,4,FALSE),8)/2)</f>
        <v/>
      </c>
      <c r="Y373" s="22">
        <f>U373*W373/(1+Assumptions!$B$3)^X373</f>
        <v/>
      </c>
      <c r="Z373" s="26">
        <f>IF(U373=0,"",ROUND(Y373/U373*100,1))</f>
        <v/>
      </c>
      <c r="AA373" s="27">
        <f>Y373*Assumptions!$B$4</f>
        <v/>
      </c>
      <c r="AB373" s="26">
        <f>IF(U373=0,"",ROUND(AA373/U373*100,1))</f>
        <v/>
      </c>
      <c r="AC373" s="27">
        <f>Y373-AA373</f>
        <v/>
      </c>
      <c r="AD373" s="26">
        <f>IF(U373=0,"",ROUND((Y373-AA373)/U373*100,1))</f>
        <v/>
      </c>
      <c r="AE373" s="34" t="inlineStr">
        <is>
          <t>PARTIAL — class III reconciled, other classes not</t>
        </is>
      </c>
      <c r="AF373" s="29" t="inlineStr">
        <is>
          <t>https://marquesadmjudicial.com.br/sgc/download.php?file=files/processo_documento/processo_documento17040729052024_1_.pdf&amp;nome=Relação Nominal de Credores AJ-Sintética</t>
        </is>
      </c>
      <c r="AG373" s="28" t="inlineStr">
        <is>
          <t>p9 r17</t>
        </is>
      </c>
      <c r="AH373" s="28" t="inlineStr">
        <is>
          <t>p9: R$ 255.371,56</t>
        </is>
      </c>
      <c r="AI373" s="28" t="inlineStr">
        <is>
          <t>AJ list (art. 7 §2)</t>
        </is>
      </c>
      <c r="AJ373" s="28" t="inlineStr">
        <is>
          <t>2024-05-27</t>
        </is>
      </c>
      <c r="AK373" s="28" t="inlineStr">
        <is>
          <t>NONE FOUND</t>
        </is>
      </c>
      <c r="AL373" s="30" t="inlineStr">
        <is>
          <t>0003971-03.2023.8.16.0119</t>
        </is>
      </c>
      <c r="AM373" s="30" t="inlineStr">
        <is>
          <t>TJPR</t>
        </is>
      </c>
      <c r="AN373" s="30" t="inlineStr">
        <is>
          <t>ACTIVE</t>
        </is>
      </c>
      <c r="AO373" s="30" t="n">
        <v>2023</v>
      </c>
      <c r="AP373" s="30" t="inlineStr">
        <is>
          <t>live case, no plan document yet</t>
        </is>
      </c>
      <c r="AQ373" s="30" t="inlineStr">
        <is>
          <t>11.624.776/0001-07</t>
        </is>
      </c>
      <c r="AR373" s="30" t="inlineStr">
        <is>
          <t>printed on the list (read twice)</t>
        </is>
      </c>
      <c r="AS373" s="30" t="inlineStr">
        <is>
          <t>SAO PAULO</t>
        </is>
      </c>
      <c r="AT373" s="30" t="inlineStr">
        <is>
          <t>SP</t>
        </is>
      </c>
      <c r="AU373" s="30" t="inlineStr">
        <is>
          <t>Bancos múltiplos, com carteira comercial</t>
        </is>
      </c>
      <c r="AV373" s="30" t="inlineStr">
        <is>
          <t>DEMAIS</t>
        </is>
      </c>
      <c r="AW373" s="31" t="n">
        <v>1131957000</v>
      </c>
      <c r="AX373" s="30" t="inlineStr">
        <is>
          <t>LARGE CORP</t>
        </is>
      </c>
      <c r="AY373" s="30" t="inlineStr">
        <is>
          <t>31872495</t>
        </is>
      </c>
      <c r="AZ373" s="30" t="n">
        <v>1</v>
      </c>
      <c r="BA373" s="30" t="inlineStr">
        <is>
          <t>LIKELY_FINANCIAL_BY_NAME PARTIAL_DOC_CLASS_III_RECONCILED ROWS:p9r17</t>
        </is>
      </c>
    </row>
    <row r="374">
      <c r="A374" s="16" t="inlineStr">
        <is>
          <t>FUNDO DE INVESTIMENTO EM DIREITOS CREDITORIOS DA INDUSTRIA EXODUS INSTITUCIONAL (</t>
        </is>
      </c>
      <c r="B374" s="17" t="n">
        <v>989663.45</v>
      </c>
      <c r="C374" s="18" t="inlineStr">
        <is>
          <t>VECTOR INDÚSTRIA DE PRODUTOS METALÚRGICOS LTDA.</t>
        </is>
      </c>
      <c r="D374" s="19" t="inlineStr">
        <is>
          <t>NEW</t>
        </is>
      </c>
      <c r="E374" s="20" t="inlineStr"/>
      <c r="F374" s="19" t="inlineStr"/>
      <c r="G374" s="20" t="inlineStr"/>
      <c r="H374" s="19" t="inlineStr"/>
      <c r="I374" s="21" t="inlineStr"/>
      <c r="J374" s="21" t="inlineStr"/>
      <c r="K374" s="21" t="inlineStr"/>
      <c r="L374" s="21" t="inlineStr"/>
      <c r="M374" s="21" t="inlineStr"/>
      <c r="N374" s="21" t="inlineStr"/>
      <c r="O374" s="21" t="inlineStr"/>
      <c r="P374" s="21" t="inlineStr"/>
      <c r="Q374" s="21" t="inlineStr"/>
      <c r="R374" s="21" t="inlineStr"/>
      <c r="S374" s="21" t="inlineStr"/>
      <c r="T374" s="21" t="inlineStr">
        <is>
          <t>no named contact found</t>
        </is>
      </c>
      <c r="U374" s="22" t="n">
        <v>989663.45</v>
      </c>
      <c r="V374" s="38" t="inlineStr">
        <is>
          <t>C</t>
        </is>
      </c>
      <c r="W374" s="24">
        <f>IFERROR(VLOOKUP(V374,Assumptions!$A$7:$F$11,2,FALSE),0)</f>
        <v/>
      </c>
      <c r="X374" s="25">
        <f>IF(V374="A",MAX(1,IFERROR(VLOOKUP(V374,Assumptions!$A$7:$F$11,3,FALSE),3)+IFERROR(VLOOKUP(V374,Assumptions!$A$7:$F$11,4,FALSE),8)/2-MAX(0,IF(AO374="",0,YEAR(TODAY())-AO374)-IFERROR(VLOOKUP(V374,Assumptions!$A$7:$F$11,5,FALSE),1.5))),IFERROR(VLOOKUP(V374,Assumptions!$A$7:$F$11,5,FALSE),2.5)+IFERROR(VLOOKUP(V374,Assumptions!$A$7:$F$11,3,FALSE),3)+IFERROR(VLOOKUP(V374,Assumptions!$A$7:$F$11,4,FALSE),8)/2)</f>
        <v/>
      </c>
      <c r="Y374" s="22">
        <f>U374*W374/(1+Assumptions!$B$3)^X374</f>
        <v/>
      </c>
      <c r="Z374" s="26">
        <f>IF(U374=0,"",ROUND(Y374/U374*100,1))</f>
        <v/>
      </c>
      <c r="AA374" s="27">
        <f>Y374*Assumptions!$B$4</f>
        <v/>
      </c>
      <c r="AB374" s="26">
        <f>IF(U374=0,"",ROUND(AA374/U374*100,1))</f>
        <v/>
      </c>
      <c r="AC374" s="27">
        <f>Y374-AA374</f>
        <v/>
      </c>
      <c r="AD374" s="26">
        <f>IF(U374=0,"",ROUND((Y374-AA374)/U374*100,1))</f>
        <v/>
      </c>
      <c r="AE374" s="33" t="inlineStr">
        <is>
          <t>NO TOTALS — list prints none; check page</t>
        </is>
      </c>
      <c r="AF374" s="29" t="inlineStr">
        <is>
          <t>https://scalzilliaj.com.br/sgc/download.php?file=files/processo_documento/processo_documento15513401112022_1_.pdf&amp;nome=15 - Edital do art. 7º, §2º (segunda lista de credores) e do art. 53 da Lei 11.101/2005 (recebimento do plano)</t>
        </is>
      </c>
      <c r="AG374" s="28" t="inlineStr">
        <is>
          <t>p7 r13</t>
        </is>
      </c>
      <c r="AH374" s="28" t="inlineStr">
        <is>
          <t>p7: R$ 989.663,45</t>
        </is>
      </c>
      <c r="AI374" s="28" t="inlineStr">
        <is>
          <t>AJ list (art. 7 §2)</t>
        </is>
      </c>
      <c r="AJ374" s="28" t="inlineStr">
        <is>
          <t>2022-11-01</t>
        </is>
      </c>
      <c r="AK374" s="28" t="inlineStr">
        <is>
          <t>NONE FOUND</t>
        </is>
      </c>
      <c r="AL374" s="30" t="inlineStr">
        <is>
          <t>5014104-85.2021.8.21.0010</t>
        </is>
      </c>
      <c r="AM374" s="30" t="inlineStr">
        <is>
          <t>TJRS</t>
        </is>
      </c>
      <c r="AN374" s="30" t="inlineStr">
        <is>
          <t>ACTIVE</t>
        </is>
      </c>
      <c r="AO374" s="30" t="n">
        <v>2021</v>
      </c>
      <c r="AP374" s="30" t="inlineStr">
        <is>
          <t>5y since filing, no plan document</t>
        </is>
      </c>
      <c r="AQ374" s="30" t="inlineStr">
        <is>
          <t>03.018.339/0001-03</t>
        </is>
      </c>
      <c r="AR374" s="30" t="inlineStr">
        <is>
          <t>printed on the list (read twice)</t>
        </is>
      </c>
      <c r="AS374" s="30" t="inlineStr"/>
      <c r="AT374" s="30" t="inlineStr"/>
      <c r="AU374" s="30" t="inlineStr"/>
      <c r="AV374" s="30" t="inlineStr"/>
      <c r="AW374" s="31" t="inlineStr"/>
      <c r="AX374" s="30" t="inlineStr">
        <is>
          <t>MID-MARKET</t>
        </is>
      </c>
      <c r="AY374" s="30" t="inlineStr">
        <is>
          <t>14051028</t>
        </is>
      </c>
      <c r="AZ374" s="30" t="n">
        <v>1</v>
      </c>
      <c r="BA374" s="30" t="inlineStr">
        <is>
          <t>LIKELY_FINANCIAL_BY_NAME ROWS:p7r13 UNRECONCILED_SOURCE</t>
        </is>
      </c>
    </row>
    <row r="375">
      <c r="A375" s="16" t="inlineStr">
        <is>
          <t>JPF FOMENTO MERCANTIL LTDA</t>
        </is>
      </c>
      <c r="B375" s="17" t="n">
        <v>250000</v>
      </c>
      <c r="C375" s="18" t="inlineStr">
        <is>
          <t>GRUPO DIVINA</t>
        </is>
      </c>
      <c r="D375" s="19" t="inlineStr">
        <is>
          <t>NEW</t>
        </is>
      </c>
      <c r="E375" s="20" t="inlineStr"/>
      <c r="F375" s="19" t="inlineStr"/>
      <c r="G375" s="20" t="inlineStr"/>
      <c r="H375" s="19" t="inlineStr"/>
      <c r="I375" s="21" t="inlineStr"/>
      <c r="J375" s="21" t="inlineStr"/>
      <c r="K375" s="21" t="inlineStr"/>
      <c r="L375" s="21" t="inlineStr"/>
      <c r="M375" s="21" t="inlineStr"/>
      <c r="N375" s="21" t="inlineStr"/>
      <c r="O375" s="21" t="inlineStr"/>
      <c r="P375" s="21" t="inlineStr"/>
      <c r="Q375" s="21" t="inlineStr"/>
      <c r="R375" s="21" t="inlineStr"/>
      <c r="S375" s="21" t="inlineStr"/>
      <c r="T375" s="21" t="inlineStr">
        <is>
          <t>no named contact found</t>
        </is>
      </c>
      <c r="U375" s="22" t="n">
        <v>250000</v>
      </c>
      <c r="V375" s="23" t="inlineStr">
        <is>
          <t>B</t>
        </is>
      </c>
      <c r="W375" s="24">
        <f>IFERROR(VLOOKUP(V375,Assumptions!$A$7:$F$11,2,FALSE),0)</f>
        <v/>
      </c>
      <c r="X375" s="25">
        <f>IF(V375="A",MAX(1,IFERROR(VLOOKUP(V375,Assumptions!$A$7:$F$11,3,FALSE),3)+IFERROR(VLOOKUP(V375,Assumptions!$A$7:$F$11,4,FALSE),8)/2-MAX(0,IF(AO375="",0,YEAR(TODAY())-AO375)-IFERROR(VLOOKUP(V375,Assumptions!$A$7:$F$11,5,FALSE),1.5))),IFERROR(VLOOKUP(V375,Assumptions!$A$7:$F$11,5,FALSE),2.5)+IFERROR(VLOOKUP(V375,Assumptions!$A$7:$F$11,3,FALSE),3)+IFERROR(VLOOKUP(V375,Assumptions!$A$7:$F$11,4,FALSE),8)/2)</f>
        <v/>
      </c>
      <c r="Y375" s="22">
        <f>U375*W375/(1+Assumptions!$B$3)^X375</f>
        <v/>
      </c>
      <c r="Z375" s="26">
        <f>IF(U375=0,"",ROUND(Y375/U375*100,1))</f>
        <v/>
      </c>
      <c r="AA375" s="27">
        <f>Y375*Assumptions!$B$4</f>
        <v/>
      </c>
      <c r="AB375" s="26">
        <f>IF(U375=0,"",ROUND(AA375/U375*100,1))</f>
        <v/>
      </c>
      <c r="AC375" s="27">
        <f>Y375-AA375</f>
        <v/>
      </c>
      <c r="AD375" s="26">
        <f>IF(U375=0,"",ROUND((Y375-AA375)/U375*100,1))</f>
        <v/>
      </c>
      <c r="AE375" s="34" t="inlineStr">
        <is>
          <t>PARTIAL — class III reconciled, other classes not</t>
        </is>
      </c>
      <c r="AF375" s="29" t="inlineStr">
        <is>
          <t>https://lrflideres.com.br/wp-content/plugins/download-attachments/includes/download.php?id=6252</t>
        </is>
      </c>
      <c r="AG375" s="28" t="inlineStr">
        <is>
          <t>p2 r54</t>
        </is>
      </c>
      <c r="AH375" s="28" t="inlineStr">
        <is>
          <t>p2: R$ 250.000,00</t>
        </is>
      </c>
      <c r="AI375" s="28" t="inlineStr">
        <is>
          <t>AJ list (art. 7 §2)</t>
        </is>
      </c>
      <c r="AJ375" s="28" t="inlineStr">
        <is>
          <t>2024-11-27</t>
        </is>
      </c>
      <c r="AK375" s="28" t="inlineStr">
        <is>
          <t>NONE FOUND</t>
        </is>
      </c>
      <c r="AL375" s="30" t="inlineStr">
        <is>
          <t>0000721-61.2024.8.17.2620</t>
        </is>
      </c>
      <c r="AM375" s="30" t="inlineStr">
        <is>
          <t>TJPE</t>
        </is>
      </c>
      <c r="AN375" s="30" t="inlineStr">
        <is>
          <t>ACTIVE</t>
        </is>
      </c>
      <c r="AO375" s="30" t="n">
        <v>2024</v>
      </c>
      <c r="AP375" s="30" t="inlineStr">
        <is>
          <t>live case, no plan document yet</t>
        </is>
      </c>
      <c r="AQ375" s="30" t="inlineStr">
        <is>
          <t>08.785.522/0001-58</t>
        </is>
      </c>
      <c r="AR375" s="30" t="inlineStr">
        <is>
          <t>printed on the list (read twice)</t>
        </is>
      </c>
      <c r="AS375" s="30" t="inlineStr"/>
      <c r="AT375" s="30" t="inlineStr"/>
      <c r="AU375" s="30" t="inlineStr"/>
      <c r="AV375" s="30" t="inlineStr"/>
      <c r="AW375" s="31" t="inlineStr"/>
      <c r="AX375" s="30" t="inlineStr">
        <is>
          <t>MID-MARKET</t>
        </is>
      </c>
      <c r="AY375" s="30" t="inlineStr">
        <is>
          <t>16942458</t>
        </is>
      </c>
      <c r="AZ375" s="30" t="n">
        <v>1</v>
      </c>
      <c r="BA375" s="30" t="inlineStr">
        <is>
          <t>LIKELY_FINANCIAL_BY_NAME PARTIAL_DOC_CLASS_III_RECONCILED ROWS:p2r54</t>
        </is>
      </c>
    </row>
    <row r="376">
      <c r="A376" s="16" t="inlineStr">
        <is>
          <t>PRAJA SECURITIZADORA DE CREDITOS S.A.</t>
        </is>
      </c>
      <c r="B376" s="17" t="n">
        <v>249652.14</v>
      </c>
      <c r="C376" s="18" t="inlineStr">
        <is>
          <t>CENTURY CONSTRUÇÕES COMÉRCIO E SERVIÇOS LTDA.</t>
        </is>
      </c>
      <c r="D376" s="19" t="inlineStr">
        <is>
          <t>NEW</t>
        </is>
      </c>
      <c r="E376" s="20" t="inlineStr"/>
      <c r="F376" s="19" t="inlineStr"/>
      <c r="G376" s="20" t="inlineStr"/>
      <c r="H376" s="19" t="inlineStr"/>
      <c r="I376" s="21" t="inlineStr">
        <is>
          <t>RICARDO ARANTES COTRIM</t>
        </is>
      </c>
      <c r="J376" s="21" t="inlineStr">
        <is>
          <t>Diretor (RFB partner)</t>
        </is>
      </c>
      <c r="K376" s="21" t="inlineStr">
        <is>
          <t>(11) 1090-0375</t>
        </is>
      </c>
      <c r="L376" s="21" t="inlineStr"/>
      <c r="M376" s="21" t="inlineStr"/>
      <c r="N376" s="21" t="inlineStr"/>
      <c r="O376" s="21" t="inlineStr"/>
      <c r="P376" s="21" t="inlineStr"/>
      <c r="Q376" s="21" t="inlineStr"/>
      <c r="R376" s="21" t="inlineStr"/>
      <c r="S376" s="21" t="inlineStr"/>
      <c r="T376" s="21" t="inlineStr">
        <is>
          <t>RFB partner (QSA); no Apollo match</t>
        </is>
      </c>
      <c r="U376" s="22" t="n">
        <v>249652.14</v>
      </c>
      <c r="V376" s="23" t="inlineStr">
        <is>
          <t>B</t>
        </is>
      </c>
      <c r="W376" s="24">
        <f>IFERROR(VLOOKUP(V376,Assumptions!$A$7:$F$11,2,FALSE),0)</f>
        <v/>
      </c>
      <c r="X376" s="25">
        <f>IF(V376="A",MAX(1,IFERROR(VLOOKUP(V376,Assumptions!$A$7:$F$11,3,FALSE),3)+IFERROR(VLOOKUP(V376,Assumptions!$A$7:$F$11,4,FALSE),8)/2-MAX(0,IF(AO376="",0,YEAR(TODAY())-AO376)-IFERROR(VLOOKUP(V376,Assumptions!$A$7:$F$11,5,FALSE),1.5))),IFERROR(VLOOKUP(V376,Assumptions!$A$7:$F$11,5,FALSE),2.5)+IFERROR(VLOOKUP(V376,Assumptions!$A$7:$F$11,3,FALSE),3)+IFERROR(VLOOKUP(V376,Assumptions!$A$7:$F$11,4,FALSE),8)/2)</f>
        <v/>
      </c>
      <c r="Y376" s="22">
        <f>U376*W376/(1+Assumptions!$B$3)^X376</f>
        <v/>
      </c>
      <c r="Z376" s="26">
        <f>IF(U376=0,"",ROUND(Y376/U376*100,1))</f>
        <v/>
      </c>
      <c r="AA376" s="27">
        <f>Y376*Assumptions!$B$4</f>
        <v/>
      </c>
      <c r="AB376" s="26">
        <f>IF(U376=0,"",ROUND(AA376/U376*100,1))</f>
        <v/>
      </c>
      <c r="AC376" s="27">
        <f>Y376-AA376</f>
        <v/>
      </c>
      <c r="AD376" s="26">
        <f>IF(U376=0,"",ROUND((Y376-AA376)/U376*100,1))</f>
        <v/>
      </c>
      <c r="AE376" s="33" t="inlineStr">
        <is>
          <t>NO TOTALS — list prints none; check page</t>
        </is>
      </c>
      <c r="AF376" s="29" t="inlineStr">
        <is>
          <t>https://ativosajce.com.br/admin/download.php?file=files/processo_documento/processo_documento16022716122025_1_.pdf&amp;nome=Relação de credores - art. 52, §1º da Lei 11.101/05 - 15/12/2025</t>
        </is>
      </c>
      <c r="AG376" s="28" t="inlineStr">
        <is>
          <t>p4 r11</t>
        </is>
      </c>
      <c r="AH376" s="28" t="inlineStr">
        <is>
          <t>p4: R$ 249.652,14</t>
        </is>
      </c>
      <c r="AI376" s="28" t="inlineStr">
        <is>
          <t>Unclassified list</t>
        </is>
      </c>
      <c r="AJ376" s="28" t="inlineStr"/>
      <c r="AK376" s="28" t="inlineStr">
        <is>
          <t>NONE FOUND</t>
        </is>
      </c>
      <c r="AL376" s="30" t="inlineStr">
        <is>
          <t>4054599-35.2025.8.26.0100</t>
        </is>
      </c>
      <c r="AM376" s="30" t="inlineStr">
        <is>
          <t>TJSP</t>
        </is>
      </c>
      <c r="AN376" s="30" t="inlineStr">
        <is>
          <t>ACTIVE</t>
        </is>
      </c>
      <c r="AO376" s="30" t="n">
        <v>2025</v>
      </c>
      <c r="AP376" s="30" t="inlineStr">
        <is>
          <t>live case, no plan document yet</t>
        </is>
      </c>
      <c r="AQ376" s="30" t="inlineStr">
        <is>
          <t>03.299.563/0001-10</t>
        </is>
      </c>
      <c r="AR376" s="30" t="inlineStr">
        <is>
          <t>printed on the list (read twice)</t>
        </is>
      </c>
      <c r="AS376" s="30" t="inlineStr">
        <is>
          <t>SAO PAULO</t>
        </is>
      </c>
      <c r="AT376" s="30" t="inlineStr">
        <is>
          <t>SP</t>
        </is>
      </c>
      <c r="AU376" s="30" t="inlineStr">
        <is>
          <t>Securitização de créditos</t>
        </is>
      </c>
      <c r="AV376" s="30" t="inlineStr">
        <is>
          <t>DEMAIS</t>
        </is>
      </c>
      <c r="AW376" s="31" t="n">
        <v>1000</v>
      </c>
      <c r="AX376" s="30" t="inlineStr">
        <is>
          <t>MID-MARKET</t>
        </is>
      </c>
      <c r="AY376" s="30" t="inlineStr">
        <is>
          <t>36213950</t>
        </is>
      </c>
      <c r="AZ376" s="30" t="n">
        <v>1</v>
      </c>
      <c r="BA376" s="30" t="inlineStr">
        <is>
          <t>ROWS:p4r11 UNRECONCILED_SOURCE</t>
        </is>
      </c>
    </row>
    <row r="377">
      <c r="A377" s="16" t="inlineStr">
        <is>
          <t>BANCO ITAUCARD S.A.</t>
        </is>
      </c>
      <c r="B377" s="17" t="n">
        <v>249135.42</v>
      </c>
      <c r="C377" s="37" t="inlineStr">
        <is>
          <t>(debtor not identified — see proof)</t>
        </is>
      </c>
      <c r="D377" s="19" t="inlineStr">
        <is>
          <t>NEW</t>
        </is>
      </c>
      <c r="E377" s="20" t="inlineStr"/>
      <c r="F377" s="19" t="inlineStr"/>
      <c r="G377" s="20" t="inlineStr"/>
      <c r="H377" s="19" t="inlineStr"/>
      <c r="I377" s="21" t="inlineStr">
        <is>
          <t>RUBENS FOGLI NETTO</t>
        </is>
      </c>
      <c r="J377" s="21" t="inlineStr">
        <is>
          <t>Presidente (RFB partner)</t>
        </is>
      </c>
      <c r="K377" s="21" t="inlineStr">
        <is>
          <t>(11) 3003-4828</t>
        </is>
      </c>
      <c r="L377" s="21" t="inlineStr"/>
      <c r="M377" s="21" t="inlineStr"/>
      <c r="N377" s="21" t="inlineStr"/>
      <c r="O377" s="21" t="inlineStr"/>
      <c r="P377" s="21" t="inlineStr">
        <is>
          <t>ALBANO MANOEL ALMEIDA</t>
        </is>
      </c>
      <c r="Q377" s="21" t="inlineStr">
        <is>
          <t>Diretor (RFB partner)</t>
        </is>
      </c>
      <c r="R377" s="21" t="inlineStr"/>
      <c r="S377" s="21" t="inlineStr"/>
      <c r="T377" s="21" t="inlineStr">
        <is>
          <t>RFB partner (QSA); no Apollo match</t>
        </is>
      </c>
      <c r="U377" s="22" t="n">
        <v>249135.42</v>
      </c>
      <c r="V377" s="23" t="inlineStr">
        <is>
          <t>B</t>
        </is>
      </c>
      <c r="W377" s="24">
        <f>IFERROR(VLOOKUP(V377,Assumptions!$A$7:$F$11,2,FALSE),0)</f>
        <v/>
      </c>
      <c r="X377" s="25">
        <f>IF(V377="A",MAX(1,IFERROR(VLOOKUP(V377,Assumptions!$A$7:$F$11,3,FALSE),3)+IFERROR(VLOOKUP(V377,Assumptions!$A$7:$F$11,4,FALSE),8)/2-MAX(0,IF(AO377="",0,YEAR(TODAY())-AO377)-IFERROR(VLOOKUP(V377,Assumptions!$A$7:$F$11,5,FALSE),1.5))),IFERROR(VLOOKUP(V377,Assumptions!$A$7:$F$11,5,FALSE),2.5)+IFERROR(VLOOKUP(V377,Assumptions!$A$7:$F$11,3,FALSE),3)+IFERROR(VLOOKUP(V377,Assumptions!$A$7:$F$11,4,FALSE),8)/2)</f>
        <v/>
      </c>
      <c r="Y377" s="22">
        <f>U377*W377/(1+Assumptions!$B$3)^X377</f>
        <v/>
      </c>
      <c r="Z377" s="26">
        <f>IF(U377=0,"",ROUND(Y377/U377*100,1))</f>
        <v/>
      </c>
      <c r="AA377" s="27">
        <f>Y377*Assumptions!$B$4</f>
        <v/>
      </c>
      <c r="AB377" s="26">
        <f>IF(U377=0,"",ROUND(AA377/U377*100,1))</f>
        <v/>
      </c>
      <c r="AC377" s="27">
        <f>Y377-AA377</f>
        <v/>
      </c>
      <c r="AD377" s="26">
        <f>IF(U377=0,"",ROUND((Y377-AA377)/U377*100,1))</f>
        <v/>
      </c>
      <c r="AE377" s="33" t="inlineStr">
        <is>
          <t>NO TOTALS — list prints none; check page</t>
        </is>
      </c>
      <c r="AF377" s="29" t="inlineStr">
        <is>
          <t>https://scalzilliaj.com.br/sgc/download.php?file=files/processo_documento/processo_documento11421222052026_1_.pdf&amp;nome=08. Lista de credores do edital do art. 52, §1º da LREF</t>
        </is>
      </c>
      <c r="AG377" s="28" t="inlineStr">
        <is>
          <t>p4 r9</t>
        </is>
      </c>
      <c r="AH377" s="28" t="inlineStr">
        <is>
          <t>p4: R$ 249.135,42</t>
        </is>
      </c>
      <c r="AI377" s="28" t="inlineStr">
        <is>
          <t>Unclassified list</t>
        </is>
      </c>
      <c r="AJ377" s="28" t="inlineStr"/>
      <c r="AK377" s="28" t="inlineStr">
        <is>
          <t>NONE FOUND</t>
        </is>
      </c>
      <c r="AL377" s="30" t="inlineStr">
        <is>
          <t>5011369-81.2026.8.09.0093</t>
        </is>
      </c>
      <c r="AM377" s="30" t="inlineStr">
        <is>
          <t>TJGO</t>
        </is>
      </c>
      <c r="AN377" s="30" t="inlineStr">
        <is>
          <t>ACTIVE</t>
        </is>
      </c>
      <c r="AO377" s="30" t="n">
        <v>2026</v>
      </c>
      <c r="AP377" s="30" t="inlineStr">
        <is>
          <t>live case, no plan document yet</t>
        </is>
      </c>
      <c r="AQ377" s="30" t="inlineStr"/>
      <c r="AR377" s="30" t="inlineStr">
        <is>
          <t>not identified</t>
        </is>
      </c>
      <c r="AS377" s="30" t="inlineStr">
        <is>
          <t>SAO PAULO</t>
        </is>
      </c>
      <c r="AT377" s="30" t="inlineStr">
        <is>
          <t>SP</t>
        </is>
      </c>
      <c r="AU377" s="30" t="inlineStr">
        <is>
          <t>Bancos múltiplos, sem carteira comercial</t>
        </is>
      </c>
      <c r="AV377" s="30" t="inlineStr">
        <is>
          <t>DEMAIS</t>
        </is>
      </c>
      <c r="AW377" s="31" t="n">
        <v>50000000</v>
      </c>
      <c r="AX377" s="30" t="inlineStr">
        <is>
          <t>MID-MARKET</t>
        </is>
      </c>
      <c r="AY377" s="30" t="inlineStr">
        <is>
          <t>17192451</t>
        </is>
      </c>
      <c r="AZ377" s="30" t="n">
        <v>1</v>
      </c>
      <c r="BA377" s="30" t="inlineStr">
        <is>
          <t>LIKELY_FINANCIAL_BY_NAME ROWS:p4r9 UNRECONCILED_SOURCE</t>
        </is>
      </c>
    </row>
    <row r="378">
      <c r="A378" s="16" t="inlineStr">
        <is>
          <t>3F CAPITAL SECURITIZADORA S/A</t>
        </is>
      </c>
      <c r="B378" s="17" t="n">
        <v>248479.16</v>
      </c>
      <c r="C378" s="18" t="inlineStr">
        <is>
          <t>GRUPO IMPLASVERDE</t>
        </is>
      </c>
      <c r="D378" s="19" t="inlineStr">
        <is>
          <t>NEW</t>
        </is>
      </c>
      <c r="E378" s="20" t="inlineStr"/>
      <c r="F378" s="19" t="inlineStr"/>
      <c r="G378" s="20" t="inlineStr"/>
      <c r="H378" s="19" t="inlineStr"/>
      <c r="I378" s="21" t="inlineStr">
        <is>
          <t>Flavio Quindere</t>
        </is>
      </c>
      <c r="J378" s="21" t="inlineStr">
        <is>
          <t>Diretor Financeiro e de Crédito - 3F Capital Securitizadora S/A</t>
        </is>
      </c>
      <c r="K378" s="21" t="inlineStr"/>
      <c r="L378" s="21" t="inlineStr"/>
      <c r="M378" s="21" t="inlineStr"/>
      <c r="N378" s="21" t="inlineStr">
        <is>
          <t>flavio@3fmulti.com.br</t>
        </is>
      </c>
      <c r="O378" s="21" t="inlineStr">
        <is>
          <t>fernando@3fmulti.com.br</t>
        </is>
      </c>
      <c r="P378" s="21" t="inlineStr">
        <is>
          <t>Fernando Barbosa</t>
        </is>
      </c>
      <c r="Q378" s="21" t="inlineStr">
        <is>
          <t>Diretor Administrativo / Comercial - 3F Capital Securitizadora S/A</t>
        </is>
      </c>
      <c r="R378" s="21" t="inlineStr"/>
      <c r="S378" s="21" t="inlineStr">
        <is>
          <t>fernando@3fmulti.com.br</t>
        </is>
      </c>
      <c r="T378" s="21" t="inlineStr">
        <is>
          <t>email verified by Apollo</t>
        </is>
      </c>
      <c r="U378" s="22" t="n">
        <v>248479.16</v>
      </c>
      <c r="V378" s="23" t="inlineStr">
        <is>
          <t>B</t>
        </is>
      </c>
      <c r="W378" s="24">
        <f>IFERROR(VLOOKUP(V378,Assumptions!$A$7:$F$11,2,FALSE),0)</f>
        <v/>
      </c>
      <c r="X378" s="25">
        <f>IF(V378="A",MAX(1,IFERROR(VLOOKUP(V378,Assumptions!$A$7:$F$11,3,FALSE),3)+IFERROR(VLOOKUP(V378,Assumptions!$A$7:$F$11,4,FALSE),8)/2-MAX(0,IF(AO378="",0,YEAR(TODAY())-AO378)-IFERROR(VLOOKUP(V378,Assumptions!$A$7:$F$11,5,FALSE),1.5))),IFERROR(VLOOKUP(V378,Assumptions!$A$7:$F$11,5,FALSE),2.5)+IFERROR(VLOOKUP(V378,Assumptions!$A$7:$F$11,3,FALSE),3)+IFERROR(VLOOKUP(V378,Assumptions!$A$7:$F$11,4,FALSE),8)/2)</f>
        <v/>
      </c>
      <c r="Y378" s="22">
        <f>U378*W378/(1+Assumptions!$B$3)^X378</f>
        <v/>
      </c>
      <c r="Z378" s="26">
        <f>IF(U378=0,"",ROUND(Y378/U378*100,1))</f>
        <v/>
      </c>
      <c r="AA378" s="27">
        <f>Y378*Assumptions!$B$4</f>
        <v/>
      </c>
      <c r="AB378" s="26">
        <f>IF(U378=0,"",ROUND(AA378/U378*100,1))</f>
        <v/>
      </c>
      <c r="AC378" s="27">
        <f>Y378-AA378</f>
        <v/>
      </c>
      <c r="AD378" s="26">
        <f>IF(U378=0,"",ROUND((Y378-AA378)/U378*100,1))</f>
        <v/>
      </c>
      <c r="AE378" s="28" t="inlineStr">
        <is>
          <t>OK — totals reconciled</t>
        </is>
      </c>
      <c r="AF378" s="29" t="inlineStr">
        <is>
          <t>http://recuperacaojudicial.squarespace.com/s/LISTA-DE-CREDORES-CONSOLIDADA-ATE-04102024.pdf</t>
        </is>
      </c>
      <c r="AG378" s="28" t="inlineStr">
        <is>
          <t>p6 r1</t>
        </is>
      </c>
      <c r="AH378" s="28" t="inlineStr">
        <is>
          <t>p6: R$ 248.479,16</t>
        </is>
      </c>
      <c r="AI378" s="28" t="inlineStr">
        <is>
          <t>AJ list (art. 7 §2)</t>
        </is>
      </c>
      <c r="AJ378" s="28" t="inlineStr">
        <is>
          <t>2024-10-04</t>
        </is>
      </c>
      <c r="AK378" s="28" t="inlineStr">
        <is>
          <t>NONE FOUND</t>
        </is>
      </c>
      <c r="AL378" s="30" t="inlineStr">
        <is>
          <t>0800778-16.2023.8.20.5104</t>
        </is>
      </c>
      <c r="AM378" s="30" t="inlineStr">
        <is>
          <t>TJRN</t>
        </is>
      </c>
      <c r="AN378" s="30" t="inlineStr">
        <is>
          <t>ACTIVE</t>
        </is>
      </c>
      <c r="AO378" s="30" t="n">
        <v>2023</v>
      </c>
      <c r="AP378" s="30" t="inlineStr">
        <is>
          <t>live case, no plan document yet</t>
        </is>
      </c>
      <c r="AQ378" s="30" t="inlineStr"/>
      <c r="AR378" s="30" t="inlineStr">
        <is>
          <t>printed on the list (read twice)</t>
        </is>
      </c>
      <c r="AS378" s="30" t="inlineStr"/>
      <c r="AT378" s="30" t="inlineStr"/>
      <c r="AU378" s="30" t="inlineStr"/>
      <c r="AV378" s="30" t="inlineStr"/>
      <c r="AW378" s="31" t="inlineStr"/>
      <c r="AX378" s="30" t="inlineStr">
        <is>
          <t>MID-MARKET</t>
        </is>
      </c>
      <c r="AY378" s="30" t="inlineStr">
        <is>
          <t>43552951</t>
        </is>
      </c>
      <c r="AZ378" s="30" t="n">
        <v>1</v>
      </c>
      <c r="BA378" s="30" t="inlineStr">
        <is>
          <t>LIKELY_FINANCIAL_BY_NAME ROWS:p6r1 VALUE_COL:Valor_Do_Crédito</t>
        </is>
      </c>
    </row>
    <row r="379">
      <c r="A379" s="16" t="inlineStr">
        <is>
          <t>CAIXA ECONOMICA FEDERAL</t>
        </is>
      </c>
      <c r="B379" s="17" t="n">
        <v>1776656.29</v>
      </c>
      <c r="C379" s="18" t="inlineStr">
        <is>
          <t>EQUIP SEG INTELIGÊNCIA EM SEGURANÇA LTDA. E EQUIP SEG SERVIÇOS ESPECIALIZADOS LTDA.</t>
        </is>
      </c>
      <c r="D379" s="19" t="inlineStr">
        <is>
          <t>NEW</t>
        </is>
      </c>
      <c r="E379" s="20" t="inlineStr"/>
      <c r="F379" s="19" t="inlineStr"/>
      <c r="G379" s="20" t="inlineStr"/>
      <c r="H379" s="19" t="inlineStr"/>
      <c r="I379" s="21" t="inlineStr">
        <is>
          <t>Livia Serikaku</t>
        </is>
      </c>
      <c r="J379" s="21" t="inlineStr">
        <is>
          <t>Gerente de Clientes e Negócios | Recuperação de Crédito</t>
        </is>
      </c>
      <c r="K379" s="21" t="inlineStr">
        <is>
          <t>(00) 4004-0104</t>
        </is>
      </c>
      <c r="L379" s="21" t="inlineStr"/>
      <c r="M379" s="21" t="inlineStr"/>
      <c r="N379" s="21" t="inlineStr"/>
      <c r="O379" s="21" t="inlineStr"/>
      <c r="P379" s="21" t="inlineStr">
        <is>
          <t>Rodolfo Trevizan</t>
        </is>
      </c>
      <c r="Q379" s="21" t="inlineStr">
        <is>
          <t>Investment Banking | Distressed Assets | Project Finance</t>
        </is>
      </c>
      <c r="R379" s="21" t="inlineStr"/>
      <c r="S379" s="21" t="inlineStr"/>
      <c r="T379" s="21" t="inlineStr">
        <is>
          <t>no work email found in Apollo</t>
        </is>
      </c>
      <c r="U379" s="22" t="n">
        <v>1776656.29</v>
      </c>
      <c r="V379" s="39" t="inlineStr">
        <is>
          <t>D</t>
        </is>
      </c>
      <c r="W379" s="24">
        <f>IFERROR(VLOOKUP(V379,Assumptions!$A$7:$F$11,2,FALSE),0)</f>
        <v/>
      </c>
      <c r="X379" s="25">
        <f>IF(V379="A",MAX(1,IFERROR(VLOOKUP(V379,Assumptions!$A$7:$F$11,3,FALSE),3)+IFERROR(VLOOKUP(V379,Assumptions!$A$7:$F$11,4,FALSE),8)/2-MAX(0,IF(AO379="",0,YEAR(TODAY())-AO379)-IFERROR(VLOOKUP(V379,Assumptions!$A$7:$F$11,5,FALSE),1.5))),IFERROR(VLOOKUP(V379,Assumptions!$A$7:$F$11,5,FALSE),2.5)+IFERROR(VLOOKUP(V379,Assumptions!$A$7:$F$11,3,FALSE),3)+IFERROR(VLOOKUP(V379,Assumptions!$A$7:$F$11,4,FALSE),8)/2)</f>
        <v/>
      </c>
      <c r="Y379" s="22">
        <f>U379*W379/(1+Assumptions!$B$3)^X379</f>
        <v/>
      </c>
      <c r="Z379" s="26">
        <f>IF(U379=0,"",ROUND(Y379/U379*100,1))</f>
        <v/>
      </c>
      <c r="AA379" s="27">
        <f>Y379*Assumptions!$B$4</f>
        <v/>
      </c>
      <c r="AB379" s="26">
        <f>IF(U379=0,"",ROUND(AA379/U379*100,1))</f>
        <v/>
      </c>
      <c r="AC379" s="27">
        <f>Y379-AA379</f>
        <v/>
      </c>
      <c r="AD379" s="26">
        <f>IF(U379=0,"",ROUND((Y379-AA379)/U379*100,1))</f>
        <v/>
      </c>
      <c r="AE379" s="33" t="inlineStr">
        <is>
          <t>NO TOTALS — list prints none; check page</t>
        </is>
      </c>
      <c r="AF379" s="29" t="inlineStr">
        <is>
          <t>https://bbsadvogados.com.br/wp-content/uploads/2025/04/Equipseg-Edital-Relacao-de-Credores-da-Administradora-Judicial-art.-7o2o-da-LRF.pdf</t>
        </is>
      </c>
      <c r="AG379" s="28" t="inlineStr">
        <is>
          <t>p38 r11; p38 r12</t>
        </is>
      </c>
      <c r="AH379" s="28" t="inlineStr">
        <is>
          <t>p38: R$ 1.716.417,28; p38: R$ 60.239,01</t>
        </is>
      </c>
      <c r="AI379" s="28" t="inlineStr">
        <is>
          <t>AJ list (art. 7 §2)</t>
        </is>
      </c>
      <c r="AJ379" s="28" t="inlineStr">
        <is>
          <t>2025-04-08</t>
        </is>
      </c>
      <c r="AK379" s="28" t="inlineStr">
        <is>
          <t>NONE FOUND</t>
        </is>
      </c>
      <c r="AL379" s="30" t="inlineStr">
        <is>
          <t>0033736-15.2023.8.16.0185</t>
        </is>
      </c>
      <c r="AM379" s="30" t="inlineStr">
        <is>
          <t>TJPR</t>
        </is>
      </c>
      <c r="AN379" s="30" t="inlineStr"/>
      <c r="AO379" s="30" t="n">
        <v>2023</v>
      </c>
      <c r="AP379" s="30" t="inlineStr">
        <is>
          <t>document is a falência (bankruptcy) list</t>
        </is>
      </c>
      <c r="AQ379" s="30" t="inlineStr"/>
      <c r="AR379" s="30" t="inlineStr">
        <is>
          <t>printed on the list (read twice)</t>
        </is>
      </c>
      <c r="AS379" s="30" t="inlineStr">
        <is>
          <t>BRASILIA</t>
        </is>
      </c>
      <c r="AT379" s="30" t="inlineStr">
        <is>
          <t>DF</t>
        </is>
      </c>
      <c r="AU379" s="30" t="inlineStr">
        <is>
          <t>Caixas econômicas</t>
        </is>
      </c>
      <c r="AV379" s="30" t="inlineStr">
        <is>
          <t>DEMAIS</t>
        </is>
      </c>
      <c r="AW379" s="31" t="n">
        <v>105300000000</v>
      </c>
      <c r="AX379" s="30" t="inlineStr">
        <is>
          <t>LARGE CORP</t>
        </is>
      </c>
      <c r="AY379" s="30" t="inlineStr">
        <is>
          <t>00360305</t>
        </is>
      </c>
      <c r="AZ379" s="30" t="n">
        <v>2</v>
      </c>
      <c r="BA379" s="30" t="inlineStr">
        <is>
          <t>ROWS:p38r11,p38r12 UNRECONCILED_SOURCE</t>
        </is>
      </c>
    </row>
    <row r="380">
      <c r="A380" s="16" t="inlineStr">
        <is>
          <t>FORTE OESTE SECURITIZADORA S.A</t>
        </is>
      </c>
      <c r="B380" s="17" t="n">
        <v>246897.34</v>
      </c>
      <c r="C380" s="18" t="inlineStr">
        <is>
          <t>Alto Uruguai Indústria e Comércio de Óleos Ltda</t>
        </is>
      </c>
      <c r="D380" s="19" t="inlineStr">
        <is>
          <t>NEW</t>
        </is>
      </c>
      <c r="E380" s="20" t="inlineStr"/>
      <c r="F380" s="19" t="inlineStr"/>
      <c r="G380" s="20" t="inlineStr"/>
      <c r="H380" s="19" t="inlineStr"/>
      <c r="I380" s="21" t="inlineStr"/>
      <c r="J380" s="21" t="inlineStr"/>
      <c r="K380" s="21" t="inlineStr"/>
      <c r="L380" s="21" t="inlineStr"/>
      <c r="M380" s="21" t="inlineStr"/>
      <c r="N380" s="21" t="inlineStr"/>
      <c r="O380" s="21" t="inlineStr"/>
      <c r="P380" s="21" t="inlineStr"/>
      <c r="Q380" s="21" t="inlineStr"/>
      <c r="R380" s="21" t="inlineStr"/>
      <c r="S380" s="21" t="inlineStr"/>
      <c r="T380" s="21" t="inlineStr">
        <is>
          <t>no named contact found</t>
        </is>
      </c>
      <c r="U380" s="22" t="n">
        <v>246897.34</v>
      </c>
      <c r="V380" s="23" t="inlineStr">
        <is>
          <t>B</t>
        </is>
      </c>
      <c r="W380" s="24">
        <f>IFERROR(VLOOKUP(V380,Assumptions!$A$7:$F$11,2,FALSE),0)</f>
        <v/>
      </c>
      <c r="X380" s="25">
        <f>IF(V380="A",MAX(1,IFERROR(VLOOKUP(V380,Assumptions!$A$7:$F$11,3,FALSE),3)+IFERROR(VLOOKUP(V380,Assumptions!$A$7:$F$11,4,FALSE),8)/2-MAX(0,IF(AO380="",0,YEAR(TODAY())-AO380)-IFERROR(VLOOKUP(V380,Assumptions!$A$7:$F$11,5,FALSE),1.5))),IFERROR(VLOOKUP(V380,Assumptions!$A$7:$F$11,5,FALSE),2.5)+IFERROR(VLOOKUP(V380,Assumptions!$A$7:$F$11,3,FALSE),3)+IFERROR(VLOOKUP(V380,Assumptions!$A$7:$F$11,4,FALSE),8)/2)</f>
        <v/>
      </c>
      <c r="Y380" s="22">
        <f>U380*W380/(1+Assumptions!$B$3)^X380</f>
        <v/>
      </c>
      <c r="Z380" s="26">
        <f>IF(U380=0,"",ROUND(Y380/U380*100,1))</f>
        <v/>
      </c>
      <c r="AA380" s="27">
        <f>Y380*Assumptions!$B$4</f>
        <v/>
      </c>
      <c r="AB380" s="26">
        <f>IF(U380=0,"",ROUND(AA380/U380*100,1))</f>
        <v/>
      </c>
      <c r="AC380" s="27">
        <f>Y380-AA380</f>
        <v/>
      </c>
      <c r="AD380" s="26">
        <f>IF(U380=0,"",ROUND((Y380-AA380)/U380*100,1))</f>
        <v/>
      </c>
      <c r="AE380" s="28" t="inlineStr">
        <is>
          <t>OK — totals reconciled</t>
        </is>
      </c>
      <c r="AF380" s="29" t="inlineStr">
        <is>
          <t>https://ajruiz.com.br/sites/default/files/public/arquivos-processos/2026-06/alto_uruguai_qgc_junho.2026.pdf</t>
        </is>
      </c>
      <c r="AG380" s="28" t="inlineStr">
        <is>
          <t>p1 r24</t>
        </is>
      </c>
      <c r="AH380" s="28" t="inlineStr">
        <is>
          <t>p1: R$ 246.897,34</t>
        </is>
      </c>
      <c r="AI380" s="28" t="inlineStr">
        <is>
          <t>Unclassified list</t>
        </is>
      </c>
      <c r="AJ380" s="28" t="inlineStr"/>
      <c r="AK380" s="28" t="inlineStr">
        <is>
          <t>NONE FOUND</t>
        </is>
      </c>
      <c r="AL380" s="30" t="inlineStr">
        <is>
          <t>5012743-51.2023.8.24.0019</t>
        </is>
      </c>
      <c r="AM380" s="30" t="inlineStr">
        <is>
          <t>TJSC</t>
        </is>
      </c>
      <c r="AN380" s="30" t="inlineStr">
        <is>
          <t>ACTIVE</t>
        </is>
      </c>
      <c r="AO380" s="30" t="n">
        <v>2023</v>
      </c>
      <c r="AP380" s="30" t="inlineStr">
        <is>
          <t>live case, no plan document yet</t>
        </is>
      </c>
      <c r="AQ380" s="30" t="inlineStr"/>
      <c r="AR380" s="30" t="inlineStr">
        <is>
          <t>printed on the list (read twice)</t>
        </is>
      </c>
      <c r="AS380" s="30" t="inlineStr"/>
      <c r="AT380" s="30" t="inlineStr"/>
      <c r="AU380" s="30" t="inlineStr"/>
      <c r="AV380" s="30" t="inlineStr"/>
      <c r="AW380" s="31" t="inlineStr"/>
      <c r="AX380" s="30" t="inlineStr">
        <is>
          <t>MID-MARKET</t>
        </is>
      </c>
      <c r="AY380" s="30" t="inlineStr">
        <is>
          <t>35099311</t>
        </is>
      </c>
      <c r="AZ380" s="30" t="n">
        <v>1</v>
      </c>
      <c r="BA380" s="30" t="inlineStr">
        <is>
          <t>LIKELY_FINANCIAL_BY_NAME ROWS:p1r24 VALUE_COL:Valor_Do_Crédito</t>
        </is>
      </c>
    </row>
    <row r="381">
      <c r="A381" s="16" t="inlineStr">
        <is>
          <t>COOPERATIVA DE CREDITO CREDIVALE LTDA - SICOOB CREDIVALE</t>
        </is>
      </c>
      <c r="B381" s="17" t="n">
        <v>245000</v>
      </c>
      <c r="C381" s="18" t="inlineStr">
        <is>
          <t>GRUPO RIVER MUSIC</t>
        </is>
      </c>
      <c r="D381" s="19" t="inlineStr">
        <is>
          <t>NEW</t>
        </is>
      </c>
      <c r="E381" s="20" t="inlineStr"/>
      <c r="F381" s="19" t="inlineStr"/>
      <c r="G381" s="20" t="inlineStr"/>
      <c r="H381" s="19" t="inlineStr"/>
      <c r="I381" s="21" t="inlineStr">
        <is>
          <t>Rodolfo Lima</t>
        </is>
      </c>
      <c r="J381" s="21" t="inlineStr">
        <is>
          <t>Gerente de Recuperação de Crédito</t>
        </is>
      </c>
      <c r="K381" s="21" t="inlineStr">
        <is>
          <t>(33) 3529-4800</t>
        </is>
      </c>
      <c r="L381" s="21" t="inlineStr"/>
      <c r="M381" s="21" t="inlineStr"/>
      <c r="N381" s="21" t="inlineStr"/>
      <c r="O381" s="21" t="inlineStr"/>
      <c r="P381" s="21" t="inlineStr">
        <is>
          <t>Paulo Lucas</t>
        </is>
      </c>
      <c r="Q381" s="21" t="inlineStr">
        <is>
          <t>Analista de Recuperação de Crédito</t>
        </is>
      </c>
      <c r="R381" s="21" t="inlineStr"/>
      <c r="S381" s="21" t="inlineStr"/>
      <c r="T381" s="21" t="inlineStr">
        <is>
          <t>DM email unavailable; VERIFY org: Sicoob Credivale is Presidente Prudente SP in Apollo, slice says MG; no work email found in Apollo</t>
        </is>
      </c>
      <c r="U381" s="22" t="n">
        <v>245000</v>
      </c>
      <c r="V381" s="23" t="inlineStr">
        <is>
          <t>B</t>
        </is>
      </c>
      <c r="W381" s="24">
        <f>IFERROR(VLOOKUP(V381,Assumptions!$A$7:$F$11,2,FALSE),0)</f>
        <v/>
      </c>
      <c r="X381" s="25">
        <f>IF(V381="A",MAX(1,IFERROR(VLOOKUP(V381,Assumptions!$A$7:$F$11,3,FALSE),3)+IFERROR(VLOOKUP(V381,Assumptions!$A$7:$F$11,4,FALSE),8)/2-MAX(0,IF(AO381="",0,YEAR(TODAY())-AO381)-IFERROR(VLOOKUP(V381,Assumptions!$A$7:$F$11,5,FALSE),1.5))),IFERROR(VLOOKUP(V381,Assumptions!$A$7:$F$11,5,FALSE),2.5)+IFERROR(VLOOKUP(V381,Assumptions!$A$7:$F$11,3,FALSE),3)+IFERROR(VLOOKUP(V381,Assumptions!$A$7:$F$11,4,FALSE),8)/2)</f>
        <v/>
      </c>
      <c r="Y381" s="22">
        <f>U381*W381/(1+Assumptions!$B$3)^X381</f>
        <v/>
      </c>
      <c r="Z381" s="26">
        <f>IF(U381=0,"",ROUND(Y381/U381*100,1))</f>
        <v/>
      </c>
      <c r="AA381" s="27">
        <f>Y381*Assumptions!$B$4</f>
        <v/>
      </c>
      <c r="AB381" s="26">
        <f>IF(U381=0,"",ROUND(AA381/U381*100,1))</f>
        <v/>
      </c>
      <c r="AC381" s="27">
        <f>Y381-AA381</f>
        <v/>
      </c>
      <c r="AD381" s="26">
        <f>IF(U381=0,"",ROUND((Y381-AA381)/U381*100,1))</f>
        <v/>
      </c>
      <c r="AE381" s="33" t="inlineStr">
        <is>
          <t>NO TOTALS — list prints none; check page</t>
        </is>
      </c>
      <c r="AF381" s="29" t="inlineStr">
        <is>
          <t>https://ativosajce.com.br/admin/download.php?file=files/processo_documento/processo_documento18543908052025_1_.pdf&amp;nome=Relação de Credores - art. 52, §1º da Lei 11.101/05 - 27/01/2025</t>
        </is>
      </c>
      <c r="AG381" s="28" t="inlineStr">
        <is>
          <t>p3 r6</t>
        </is>
      </c>
      <c r="AH381" s="28" t="inlineStr">
        <is>
          <t>p3: R$ 245.000,00</t>
        </is>
      </c>
      <c r="AI381" s="28" t="inlineStr">
        <is>
          <t>Unclassified list</t>
        </is>
      </c>
      <c r="AJ381" s="28" t="inlineStr"/>
      <c r="AK381" s="28" t="inlineStr">
        <is>
          <t>NONE FOUND</t>
        </is>
      </c>
      <c r="AL381" s="30" t="inlineStr">
        <is>
          <t>1001174-80.2024.8.26.0359</t>
        </is>
      </c>
      <c r="AM381" s="30" t="inlineStr">
        <is>
          <t>TJSP</t>
        </is>
      </c>
      <c r="AN381" s="30" t="inlineStr">
        <is>
          <t>ACTIVE</t>
        </is>
      </c>
      <c r="AO381" s="30" t="n">
        <v>2024</v>
      </c>
      <c r="AP381" s="30" t="inlineStr">
        <is>
          <t>live case, no plan document yet</t>
        </is>
      </c>
      <c r="AQ381" s="30" t="inlineStr">
        <is>
          <t>14.469.612/0001-32</t>
        </is>
      </c>
      <c r="AR381" s="30" t="inlineStr">
        <is>
          <t>printed on the list (read twice)</t>
        </is>
      </c>
      <c r="AS381" s="30" t="inlineStr">
        <is>
          <t>TEOFILO OTONI</t>
        </is>
      </c>
      <c r="AT381" s="30" t="inlineStr">
        <is>
          <t>MG</t>
        </is>
      </c>
      <c r="AU381" s="30" t="inlineStr">
        <is>
          <t>Cooperativas de crédito mútuo</t>
        </is>
      </c>
      <c r="AV381" s="30" t="inlineStr">
        <is>
          <t>DEMAIS</t>
        </is>
      </c>
      <c r="AW381" s="31" t="inlineStr"/>
      <c r="AX381" s="30" t="inlineStr">
        <is>
          <t>MID-MARKET</t>
        </is>
      </c>
      <c r="AY381" s="30" t="inlineStr">
        <is>
          <t>25387655</t>
        </is>
      </c>
      <c r="AZ381" s="30" t="n">
        <v>1</v>
      </c>
      <c r="BA381" s="30" t="inlineStr">
        <is>
          <t>ROWS:p3r6 UNRECONCILED_SOURCE VALUE_COL:Valor_Do_Créidto</t>
        </is>
      </c>
    </row>
    <row r="382">
      <c r="A382" s="16" t="inlineStr">
        <is>
          <t>BNDES - DESENVOLVE</t>
        </is>
      </c>
      <c r="B382" s="17" t="n">
        <v>239911.87</v>
      </c>
      <c r="C382" s="18" t="inlineStr">
        <is>
          <t>FLAVOUR MIX IND. E REP. ALIM. E INGR. QUÍMICOS LTDA.</t>
        </is>
      </c>
      <c r="D382" s="19" t="inlineStr">
        <is>
          <t>NEW</t>
        </is>
      </c>
      <c r="E382" s="20" t="inlineStr"/>
      <c r="F382" s="19" t="inlineStr"/>
      <c r="G382" s="20" t="inlineStr"/>
      <c r="H382" s="19" t="inlineStr"/>
      <c r="I382" s="21" t="inlineStr">
        <is>
          <t>Paulo Almeida</t>
        </is>
      </c>
      <c r="J382" s="21" t="inlineStr">
        <is>
          <t>Distressed Debt</t>
        </is>
      </c>
      <c r="K382" s="21" t="inlineStr"/>
      <c r="L382" s="21" t="inlineStr"/>
      <c r="M382" s="21" t="inlineStr"/>
      <c r="N382" s="21" t="inlineStr"/>
      <c r="O382" s="21" t="inlineStr"/>
      <c r="P382" s="21" t="inlineStr"/>
      <c r="Q382" s="21" t="inlineStr"/>
      <c r="R382" s="21" t="inlineStr"/>
      <c r="S382" s="21" t="inlineStr"/>
      <c r="T382" s="21" t="inlineStr">
        <is>
          <t>no work email found in Apollo</t>
        </is>
      </c>
      <c r="U382" s="22" t="n">
        <v>239911.87</v>
      </c>
      <c r="V382" s="23" t="inlineStr">
        <is>
          <t>B</t>
        </is>
      </c>
      <c r="W382" s="24">
        <f>IFERROR(VLOOKUP(V382,Assumptions!$A$7:$F$11,2,FALSE),0)</f>
        <v/>
      </c>
      <c r="X382" s="25">
        <f>IF(V382="A",MAX(1,IFERROR(VLOOKUP(V382,Assumptions!$A$7:$F$11,3,FALSE),3)+IFERROR(VLOOKUP(V382,Assumptions!$A$7:$F$11,4,FALSE),8)/2-MAX(0,IF(AO382="",0,YEAR(TODAY())-AO382)-IFERROR(VLOOKUP(V382,Assumptions!$A$7:$F$11,5,FALSE),1.5))),IFERROR(VLOOKUP(V382,Assumptions!$A$7:$F$11,5,FALSE),2.5)+IFERROR(VLOOKUP(V382,Assumptions!$A$7:$F$11,3,FALSE),3)+IFERROR(VLOOKUP(V382,Assumptions!$A$7:$F$11,4,FALSE),8)/2)</f>
        <v/>
      </c>
      <c r="Y382" s="22">
        <f>U382*W382/(1+Assumptions!$B$3)^X382</f>
        <v/>
      </c>
      <c r="Z382" s="26">
        <f>IF(U382=0,"",ROUND(Y382/U382*100,1))</f>
        <v/>
      </c>
      <c r="AA382" s="27">
        <f>Y382*Assumptions!$B$4</f>
        <v/>
      </c>
      <c r="AB382" s="26">
        <f>IF(U382=0,"",ROUND(AA382/U382*100,1))</f>
        <v/>
      </c>
      <c r="AC382" s="27">
        <f>Y382-AA382</f>
        <v/>
      </c>
      <c r="AD382" s="26">
        <f>IF(U382=0,"",ROUND((Y382-AA382)/U382*100,1))</f>
        <v/>
      </c>
      <c r="AE382" s="33" t="inlineStr">
        <is>
          <t>NO TOTALS — list prints none; check page</t>
        </is>
      </c>
      <c r="AF382" s="29" t="inlineStr">
        <is>
          <t>https://ativosajce.com.br/admin/download.php?file=files/processo_documento/processo_documento13422625032025_1_.pdf&amp;nome=Relação de Credores - Art. 52º § 1º, da Lei nº 11.101/2005 - 25/02/2025</t>
        </is>
      </c>
      <c r="AG382" s="28" t="inlineStr">
        <is>
          <t>p3 r30</t>
        </is>
      </c>
      <c r="AH382" s="28" t="inlineStr">
        <is>
          <t>p3: R$ 239.911,87</t>
        </is>
      </c>
      <c r="AI382" s="28" t="inlineStr">
        <is>
          <t>Unclassified list</t>
        </is>
      </c>
      <c r="AJ382" s="28" t="inlineStr">
        <is>
          <t>2025-02-28</t>
        </is>
      </c>
      <c r="AK382" s="28" t="inlineStr">
        <is>
          <t>NONE FOUND</t>
        </is>
      </c>
      <c r="AL382" s="30" t="inlineStr">
        <is>
          <t>1000119-75.2025.8.26.0354</t>
        </is>
      </c>
      <c r="AM382" s="30" t="inlineStr">
        <is>
          <t>TJSP</t>
        </is>
      </c>
      <c r="AN382" s="30" t="inlineStr">
        <is>
          <t>ACTIVE</t>
        </is>
      </c>
      <c r="AO382" s="30" t="n">
        <v>2025</v>
      </c>
      <c r="AP382" s="30" t="inlineStr">
        <is>
          <t>live case, no plan document yet</t>
        </is>
      </c>
      <c r="AQ382" s="30" t="inlineStr">
        <is>
          <t>09.357.504/0001-38</t>
        </is>
      </c>
      <c r="AR382" s="30" t="inlineStr">
        <is>
          <t>printed on the list (read twice)</t>
        </is>
      </c>
      <c r="AS382" s="30" t="inlineStr"/>
      <c r="AT382" s="30" t="inlineStr"/>
      <c r="AU382" s="30" t="inlineStr"/>
      <c r="AV382" s="30" t="inlineStr"/>
      <c r="AW382" s="31" t="inlineStr"/>
      <c r="AX382" s="30" t="inlineStr">
        <is>
          <t>MID-MARKET</t>
        </is>
      </c>
      <c r="AY382" s="30" t="inlineStr">
        <is>
          <t>33657248</t>
        </is>
      </c>
      <c r="AZ382" s="30" t="n">
        <v>1</v>
      </c>
      <c r="BA382" s="30" t="inlineStr">
        <is>
          <t>LIKELY_FINANCIAL_BY_NAME ROWS:p3r30 UNRECONCILED_SOURCE</t>
        </is>
      </c>
    </row>
    <row r="383">
      <c r="A383" s="16" t="inlineStr">
        <is>
          <t>BARU SOCIEDADE DE CREDITO, FINANCIAMENTO E INVESTIMENTO S/A</t>
        </is>
      </c>
      <c r="B383" s="17" t="n">
        <v>239740.08</v>
      </c>
      <c r="C383" s="18" t="inlineStr">
        <is>
          <t>GRUPO DIVINA</t>
        </is>
      </c>
      <c r="D383" s="19" t="inlineStr">
        <is>
          <t>NEW</t>
        </is>
      </c>
      <c r="E383" s="20" t="inlineStr"/>
      <c r="F383" s="19" t="inlineStr"/>
      <c r="G383" s="20" t="inlineStr"/>
      <c r="H383" s="19" t="inlineStr"/>
      <c r="I383" s="21" t="inlineStr">
        <is>
          <t>Karolina Brandao</t>
        </is>
      </c>
      <c r="J383" s="21" t="inlineStr">
        <is>
          <t>Head de Cobrança</t>
        </is>
      </c>
      <c r="K383" s="21" t="inlineStr">
        <is>
          <t>(51) 9383-7496</t>
        </is>
      </c>
      <c r="L383" s="21" t="inlineStr"/>
      <c r="M383" s="21" t="inlineStr"/>
      <c r="N383" s="21" t="inlineStr">
        <is>
          <t>karolina@barufinanceira.com.br</t>
        </is>
      </c>
      <c r="O383" s="21" t="inlineStr">
        <is>
          <t>everton.mallmann@barucred.com.br</t>
        </is>
      </c>
      <c r="P383" s="21" t="inlineStr">
        <is>
          <t>Everton Mallmann</t>
        </is>
      </c>
      <c r="Q383" s="21" t="inlineStr">
        <is>
          <t>Head de Crédito</t>
        </is>
      </c>
      <c r="R383" s="21" t="inlineStr"/>
      <c r="S383" s="21" t="inlineStr">
        <is>
          <t>everton.mallmann@barucred.com.br</t>
        </is>
      </c>
      <c r="T383" s="21" t="inlineStr">
        <is>
          <t>email verified by Apollo</t>
        </is>
      </c>
      <c r="U383" s="22" t="n">
        <v>239740.08</v>
      </c>
      <c r="V383" s="23" t="inlineStr">
        <is>
          <t>B</t>
        </is>
      </c>
      <c r="W383" s="24">
        <f>IFERROR(VLOOKUP(V383,Assumptions!$A$7:$F$11,2,FALSE),0)</f>
        <v/>
      </c>
      <c r="X383" s="25">
        <f>IF(V383="A",MAX(1,IFERROR(VLOOKUP(V383,Assumptions!$A$7:$F$11,3,FALSE),3)+IFERROR(VLOOKUP(V383,Assumptions!$A$7:$F$11,4,FALSE),8)/2-MAX(0,IF(AO383="",0,YEAR(TODAY())-AO383)-IFERROR(VLOOKUP(V383,Assumptions!$A$7:$F$11,5,FALSE),1.5))),IFERROR(VLOOKUP(V383,Assumptions!$A$7:$F$11,5,FALSE),2.5)+IFERROR(VLOOKUP(V383,Assumptions!$A$7:$F$11,3,FALSE),3)+IFERROR(VLOOKUP(V383,Assumptions!$A$7:$F$11,4,FALSE),8)/2)</f>
        <v/>
      </c>
      <c r="Y383" s="22">
        <f>U383*W383/(1+Assumptions!$B$3)^X383</f>
        <v/>
      </c>
      <c r="Z383" s="26">
        <f>IF(U383=0,"",ROUND(Y383/U383*100,1))</f>
        <v/>
      </c>
      <c r="AA383" s="27">
        <f>Y383*Assumptions!$B$4</f>
        <v/>
      </c>
      <c r="AB383" s="26">
        <f>IF(U383=0,"",ROUND(AA383/U383*100,1))</f>
        <v/>
      </c>
      <c r="AC383" s="27">
        <f>Y383-AA383</f>
        <v/>
      </c>
      <c r="AD383" s="26">
        <f>IF(U383=0,"",ROUND((Y383-AA383)/U383*100,1))</f>
        <v/>
      </c>
      <c r="AE383" s="34" t="inlineStr">
        <is>
          <t>PARTIAL — class III reconciled, other classes not</t>
        </is>
      </c>
      <c r="AF383" s="29" t="inlineStr">
        <is>
          <t>https://lrflideres.com.br/wp-content/plugins/download-attachments/includes/download.php?id=6252</t>
        </is>
      </c>
      <c r="AG383" s="28" t="inlineStr">
        <is>
          <t>p2 r16</t>
        </is>
      </c>
      <c r="AH383" s="28" t="inlineStr">
        <is>
          <t>p2: R$ 239.740,08</t>
        </is>
      </c>
      <c r="AI383" s="28" t="inlineStr">
        <is>
          <t>AJ list (art. 7 §2)</t>
        </is>
      </c>
      <c r="AJ383" s="28" t="inlineStr">
        <is>
          <t>2024-11-27</t>
        </is>
      </c>
      <c r="AK383" s="28" t="inlineStr">
        <is>
          <t>NONE FOUND</t>
        </is>
      </c>
      <c r="AL383" s="30" t="inlineStr">
        <is>
          <t>0000721-61.2024.8.17.2620</t>
        </is>
      </c>
      <c r="AM383" s="30" t="inlineStr">
        <is>
          <t>TJPE</t>
        </is>
      </c>
      <c r="AN383" s="30" t="inlineStr">
        <is>
          <t>ACTIVE</t>
        </is>
      </c>
      <c r="AO383" s="30" t="n">
        <v>2024</v>
      </c>
      <c r="AP383" s="30" t="inlineStr">
        <is>
          <t>live case, no plan document yet</t>
        </is>
      </c>
      <c r="AQ383" s="30" t="inlineStr">
        <is>
          <t>08.785.522/0001-58</t>
        </is>
      </c>
      <c r="AR383" s="30" t="inlineStr">
        <is>
          <t>printed on the list (read twice)</t>
        </is>
      </c>
      <c r="AS383" s="30" t="inlineStr">
        <is>
          <t>PORTO ALEGRE</t>
        </is>
      </c>
      <c r="AT383" s="30" t="inlineStr">
        <is>
          <t>RS</t>
        </is>
      </c>
      <c r="AU383" s="30" t="inlineStr">
        <is>
          <t>Sociedades de crédito, financiamento e investimento - financeiras</t>
        </is>
      </c>
      <c r="AV383" s="30" t="inlineStr">
        <is>
          <t>DEMAIS</t>
        </is>
      </c>
      <c r="AW383" s="31" t="n">
        <v>7772058</v>
      </c>
      <c r="AX383" s="30" t="inlineStr">
        <is>
          <t>MID-MARKET</t>
        </is>
      </c>
      <c r="AY383" s="30" t="inlineStr">
        <is>
          <t>42723848</t>
        </is>
      </c>
      <c r="AZ383" s="30" t="n">
        <v>1</v>
      </c>
      <c r="BA383" s="30" t="inlineStr">
        <is>
          <t>PARTIAL_DOC_CLASS_III_RECONCILED ROWS:p2r16</t>
        </is>
      </c>
    </row>
    <row r="384">
      <c r="A384" s="16" t="inlineStr">
        <is>
          <t>BTG PACTUAL LOGCP FUNDO DE INVESTIMENTO IMOBILIARIO RESPONSABILIDADE LIMITADA</t>
        </is>
      </c>
      <c r="B384" s="17" t="n">
        <v>236115.91</v>
      </c>
      <c r="C384" s="18" t="inlineStr">
        <is>
          <t>Grupo Rech</t>
        </is>
      </c>
      <c r="D384" s="19" t="inlineStr">
        <is>
          <t>NEW</t>
        </is>
      </c>
      <c r="E384" s="20" t="inlineStr"/>
      <c r="F384" s="19" t="inlineStr"/>
      <c r="G384" s="20" t="inlineStr"/>
      <c r="H384" s="19" t="inlineStr"/>
      <c r="I384" s="21" t="inlineStr">
        <is>
          <t>Isabella Juncker</t>
        </is>
      </c>
      <c r="J384" s="21" t="inlineStr">
        <is>
          <t>Director | Special Situations | NPL Consumer | Pricing</t>
        </is>
      </c>
      <c r="K384" s="21" t="inlineStr">
        <is>
          <t>(21) 3262-9600</t>
        </is>
      </c>
      <c r="L384" s="21" t="inlineStr"/>
      <c r="M384" s="21" t="inlineStr"/>
      <c r="N384" s="21" t="inlineStr">
        <is>
          <t>isabella.juncker@btgpactual.com</t>
        </is>
      </c>
      <c r="O384" s="21" t="inlineStr">
        <is>
          <t>marcos.durigan@btgpactual.com</t>
        </is>
      </c>
      <c r="P384" s="21" t="inlineStr">
        <is>
          <t>Marcos Durigan</t>
        </is>
      </c>
      <c r="Q384" s="21" t="inlineStr">
        <is>
          <t>Special Situations Director</t>
        </is>
      </c>
      <c r="R384" s="21" t="inlineStr"/>
      <c r="S384" s="21" t="inlineStr">
        <is>
          <t>marcos.durigan@btgpactual.com</t>
        </is>
      </c>
      <c r="T384" s="21" t="inlineStr">
        <is>
          <t>email is pattern-guessed, not verified</t>
        </is>
      </c>
      <c r="U384" s="22" t="n">
        <v>236115.91</v>
      </c>
      <c r="V384" s="23" t="inlineStr">
        <is>
          <t>B</t>
        </is>
      </c>
      <c r="W384" s="24">
        <f>IFERROR(VLOOKUP(V384,Assumptions!$A$7:$F$11,2,FALSE),0)</f>
        <v/>
      </c>
      <c r="X384" s="25">
        <f>IF(V384="A",MAX(1,IFERROR(VLOOKUP(V384,Assumptions!$A$7:$F$11,3,FALSE),3)+IFERROR(VLOOKUP(V384,Assumptions!$A$7:$F$11,4,FALSE),8)/2-MAX(0,IF(AO384="",0,YEAR(TODAY())-AO384)-IFERROR(VLOOKUP(V384,Assumptions!$A$7:$F$11,5,FALSE),1.5))),IFERROR(VLOOKUP(V384,Assumptions!$A$7:$F$11,5,FALSE),2.5)+IFERROR(VLOOKUP(V384,Assumptions!$A$7:$F$11,3,FALSE),3)+IFERROR(VLOOKUP(V384,Assumptions!$A$7:$F$11,4,FALSE),8)/2)</f>
        <v/>
      </c>
      <c r="Y384" s="22">
        <f>U384*W384/(1+Assumptions!$B$3)^X384</f>
        <v/>
      </c>
      <c r="Z384" s="26">
        <f>IF(U384=0,"",ROUND(Y384/U384*100,1))</f>
        <v/>
      </c>
      <c r="AA384" s="27">
        <f>Y384*Assumptions!$B$4</f>
        <v/>
      </c>
      <c r="AB384" s="26">
        <f>IF(U384=0,"",ROUND(AA384/U384*100,1))</f>
        <v/>
      </c>
      <c r="AC384" s="27">
        <f>Y384-AA384</f>
        <v/>
      </c>
      <c r="AD384" s="26">
        <f>IF(U384=0,"",ROUND((Y384-AA384)/U384*100,1))</f>
        <v/>
      </c>
      <c r="AE384" s="36" t="inlineStr">
        <is>
          <t>CHECK — source is not a statutory creditor list</t>
        </is>
      </c>
      <c r="AF384" s="29" t="inlineStr">
        <is>
          <t>https://credibilita.com.br/wp-content/uploads/2025/09/Relacao-Credores-29.04.2026.pdf</t>
        </is>
      </c>
      <c r="AG384" s="28" t="inlineStr">
        <is>
          <t>p1 r17</t>
        </is>
      </c>
      <c r="AH384" s="28" t="inlineStr">
        <is>
          <t>p1: R$ 236.115,91</t>
        </is>
      </c>
      <c r="AI384" s="28" t="inlineStr">
        <is>
          <t>Quorum list — NOT an art. 7/51 list</t>
        </is>
      </c>
      <c r="AJ384" s="28" t="inlineStr"/>
      <c r="AK384" s="28" t="inlineStr">
        <is>
          <t>NONE FOUND</t>
        </is>
      </c>
      <c r="AL384" s="30" t="inlineStr">
        <is>
          <t>5057720-48.2025.8.24.0023</t>
        </is>
      </c>
      <c r="AM384" s="30" t="inlineStr">
        <is>
          <t>TJSC</t>
        </is>
      </c>
      <c r="AN384" s="30" t="inlineStr"/>
      <c r="AO384" s="30" t="n">
        <v>2025</v>
      </c>
      <c r="AP384" s="30" t="inlineStr">
        <is>
          <t>live case, no plan document yet</t>
        </is>
      </c>
      <c r="AQ384" s="30" t="inlineStr"/>
      <c r="AR384" s="30" t="inlineStr">
        <is>
          <t>portal page title / URL — not printed on the list</t>
        </is>
      </c>
      <c r="AS384" s="30" t="inlineStr">
        <is>
          <t>RIO DE JANEIRO</t>
        </is>
      </c>
      <c r="AT384" s="30" t="inlineStr">
        <is>
          <t>RJ</t>
        </is>
      </c>
      <c r="AU384" s="30" t="inlineStr">
        <is>
          <t>Fundos de investimento imobiliários</t>
        </is>
      </c>
      <c r="AV384" s="30" t="inlineStr">
        <is>
          <t>DEMAIS</t>
        </is>
      </c>
      <c r="AW384" s="31" t="inlineStr"/>
      <c r="AX384" s="30" t="inlineStr">
        <is>
          <t>MID-MARKET</t>
        </is>
      </c>
      <c r="AY384" s="30" t="inlineStr">
        <is>
          <t>50479122</t>
        </is>
      </c>
      <c r="AZ384" s="30" t="n">
        <v>1</v>
      </c>
      <c r="BA384" s="30" t="inlineStr">
        <is>
          <t>ROWS:p1r17 UNRECONCILED_SOURCE VALUE_COL:Valor_Após_Analise CASE_NUMBER_CORRECTED</t>
        </is>
      </c>
    </row>
    <row r="385">
      <c r="A385" s="16" t="inlineStr">
        <is>
          <t>CAIXA ECONOMICA FEDERAL</t>
        </is>
      </c>
      <c r="B385" s="17" t="n">
        <v>236013.46</v>
      </c>
      <c r="C385" s="18" t="inlineStr">
        <is>
          <t>Grupo Gomiero</t>
        </is>
      </c>
      <c r="D385" s="19" t="inlineStr">
        <is>
          <t>NEW</t>
        </is>
      </c>
      <c r="E385" s="20" t="inlineStr"/>
      <c r="F385" s="19" t="inlineStr"/>
      <c r="G385" s="20" t="inlineStr"/>
      <c r="H385" s="19" t="inlineStr"/>
      <c r="I385" s="21" t="inlineStr">
        <is>
          <t>Livia Serikaku</t>
        </is>
      </c>
      <c r="J385" s="21" t="inlineStr">
        <is>
          <t>Gerente de Clientes e Negócios | Recuperação de Crédito</t>
        </is>
      </c>
      <c r="K385" s="21" t="inlineStr">
        <is>
          <t>(00) 4004-0104</t>
        </is>
      </c>
      <c r="L385" s="21" t="inlineStr"/>
      <c r="M385" s="21" t="inlineStr"/>
      <c r="N385" s="21" t="inlineStr"/>
      <c r="O385" s="21" t="inlineStr"/>
      <c r="P385" s="21" t="inlineStr">
        <is>
          <t>Rodolfo Trevizan</t>
        </is>
      </c>
      <c r="Q385" s="21" t="inlineStr">
        <is>
          <t>Investment Banking | Distressed Assets | Project Finance</t>
        </is>
      </c>
      <c r="R385" s="21" t="inlineStr"/>
      <c r="S385" s="21" t="inlineStr"/>
      <c r="T385" s="21" t="inlineStr">
        <is>
          <t>no work email found in Apollo</t>
        </is>
      </c>
      <c r="U385" s="22" t="n">
        <v>236013.46</v>
      </c>
      <c r="V385" s="23" t="inlineStr">
        <is>
          <t>B</t>
        </is>
      </c>
      <c r="W385" s="24">
        <f>IFERROR(VLOOKUP(V385,Assumptions!$A$7:$F$11,2,FALSE),0)</f>
        <v/>
      </c>
      <c r="X385" s="25">
        <f>IF(V385="A",MAX(1,IFERROR(VLOOKUP(V385,Assumptions!$A$7:$F$11,3,FALSE),3)+IFERROR(VLOOKUP(V385,Assumptions!$A$7:$F$11,4,FALSE),8)/2-MAX(0,IF(AO385="",0,YEAR(TODAY())-AO385)-IFERROR(VLOOKUP(V385,Assumptions!$A$7:$F$11,5,FALSE),1.5))),IFERROR(VLOOKUP(V385,Assumptions!$A$7:$F$11,5,FALSE),2.5)+IFERROR(VLOOKUP(V385,Assumptions!$A$7:$F$11,3,FALSE),3)+IFERROR(VLOOKUP(V385,Assumptions!$A$7:$F$11,4,FALSE),8)/2)</f>
        <v/>
      </c>
      <c r="Y385" s="22">
        <f>U385*W385/(1+Assumptions!$B$3)^X385</f>
        <v/>
      </c>
      <c r="Z385" s="26">
        <f>IF(U385=0,"",ROUND(Y385/U385*100,1))</f>
        <v/>
      </c>
      <c r="AA385" s="27">
        <f>Y385*Assumptions!$B$4</f>
        <v/>
      </c>
      <c r="AB385" s="26">
        <f>IF(U385=0,"",ROUND(AA385/U385*100,1))</f>
        <v/>
      </c>
      <c r="AC385" s="27">
        <f>Y385-AA385</f>
        <v/>
      </c>
      <c r="AD385" s="26">
        <f>IF(U385=0,"",ROUND((Y385-AA385)/U385*100,1))</f>
        <v/>
      </c>
      <c r="AE385" s="34" t="inlineStr">
        <is>
          <t>PARTIAL — class III reconciled, other classes not</t>
        </is>
      </c>
      <c r="AF385" s="29" t="inlineStr">
        <is>
          <t>https://marquesadmjudicial.com.br/sgc/download.php?file=files/processo_documento/processo_documento09391327032025_1_.pdf&amp;nome=Relação Nominal de Credores AJ</t>
        </is>
      </c>
      <c r="AG385" s="28" t="inlineStr">
        <is>
          <t>p4 r6</t>
        </is>
      </c>
      <c r="AH385" s="28" t="inlineStr">
        <is>
          <t>p4: R$ 236.013,46</t>
        </is>
      </c>
      <c r="AI385" s="28" t="inlineStr">
        <is>
          <t>AJ list (art. 7 §2)</t>
        </is>
      </c>
      <c r="AJ385" s="28" t="inlineStr">
        <is>
          <t>2025-03-21</t>
        </is>
      </c>
      <c r="AK385" s="28" t="inlineStr">
        <is>
          <t>NONE FOUND</t>
        </is>
      </c>
      <c r="AL385" s="30" t="inlineStr">
        <is>
          <t>0044747-14.2024.8.16.0021</t>
        </is>
      </c>
      <c r="AM385" s="30" t="inlineStr">
        <is>
          <t>TJPR</t>
        </is>
      </c>
      <c r="AN385" s="30" t="inlineStr">
        <is>
          <t>ACTIVE</t>
        </is>
      </c>
      <c r="AO385" s="30" t="n">
        <v>2024</v>
      </c>
      <c r="AP385" s="30" t="inlineStr">
        <is>
          <t>live case, no plan document yet</t>
        </is>
      </c>
      <c r="AQ385" s="30" t="inlineStr">
        <is>
          <t>57.650.709/0001-50</t>
        </is>
      </c>
      <c r="AR385" s="30" t="inlineStr">
        <is>
          <t>printed on the list (read twice)</t>
        </is>
      </c>
      <c r="AS385" s="30" t="inlineStr">
        <is>
          <t>BRASILIA</t>
        </is>
      </c>
      <c r="AT385" s="30" t="inlineStr">
        <is>
          <t>DF</t>
        </is>
      </c>
      <c r="AU385" s="30" t="inlineStr">
        <is>
          <t>Caixas econômicas</t>
        </is>
      </c>
      <c r="AV385" s="30" t="inlineStr">
        <is>
          <t>DEMAIS</t>
        </is>
      </c>
      <c r="AW385" s="31" t="n">
        <v>105300000000</v>
      </c>
      <c r="AX385" s="30" t="inlineStr">
        <is>
          <t>LARGE CORP</t>
        </is>
      </c>
      <c r="AY385" s="30" t="inlineStr">
        <is>
          <t>00360305</t>
        </is>
      </c>
      <c r="AZ385" s="30" t="n">
        <v>1</v>
      </c>
      <c r="BA385" s="30" t="inlineStr">
        <is>
          <t>NAME_MISSING PARTIAL_DOC_CLASS_III_RECONCILED ROWS:p4r6</t>
        </is>
      </c>
    </row>
    <row r="386">
      <c r="A386" s="16" t="inlineStr">
        <is>
          <t>BANCO DAYCOVAL S.A.</t>
        </is>
      </c>
      <c r="B386" s="17" t="n">
        <v>233943.48</v>
      </c>
      <c r="C386" s="18" t="inlineStr">
        <is>
          <t>FLAVOUR MIX IND. E REP. ALIM. E INGR. QUÍMICOS LTDA.</t>
        </is>
      </c>
      <c r="D386" s="19" t="inlineStr">
        <is>
          <t>NEW</t>
        </is>
      </c>
      <c r="E386" s="20" t="inlineStr"/>
      <c r="F386" s="19" t="inlineStr"/>
      <c r="G386" s="20" t="inlineStr"/>
      <c r="H386" s="19" t="inlineStr"/>
      <c r="I386" s="21" t="inlineStr">
        <is>
          <t>Celso Araujo</t>
        </is>
      </c>
      <c r="J386" s="21" t="inlineStr">
        <is>
          <t>Gerente de Recuperação de Crédito</t>
        </is>
      </c>
      <c r="K386" s="21" t="inlineStr">
        <is>
          <t>(11) 3138-0500</t>
        </is>
      </c>
      <c r="L386" s="21" t="inlineStr"/>
      <c r="M386" s="21" t="inlineStr"/>
      <c r="N386" s="21" t="inlineStr">
        <is>
          <t>celso.araujo@bancodaycoval.com.br</t>
        </is>
      </c>
      <c r="O386" s="21" t="inlineStr">
        <is>
          <t>andreia.matiel@daycoval.com.br</t>
        </is>
      </c>
      <c r="P386" s="21" t="inlineStr">
        <is>
          <t>Andreia Matiel</t>
        </is>
      </c>
      <c r="Q386" s="21" t="inlineStr">
        <is>
          <t>Advogada Recuperação de Crédito Empresas</t>
        </is>
      </c>
      <c r="R386" s="21" t="inlineStr"/>
      <c r="S386" s="21" t="inlineStr">
        <is>
          <t>andreia.matiel@daycoval.com.br</t>
        </is>
      </c>
      <c r="T386" s="21" t="inlineStr">
        <is>
          <t>email verified by Apollo</t>
        </is>
      </c>
      <c r="U386" s="22" t="n">
        <v>233943.48</v>
      </c>
      <c r="V386" s="23" t="inlineStr">
        <is>
          <t>B</t>
        </is>
      </c>
      <c r="W386" s="24">
        <f>IFERROR(VLOOKUP(V386,Assumptions!$A$7:$F$11,2,FALSE),0)</f>
        <v/>
      </c>
      <c r="X386" s="25">
        <f>IF(V386="A",MAX(1,IFERROR(VLOOKUP(V386,Assumptions!$A$7:$F$11,3,FALSE),3)+IFERROR(VLOOKUP(V386,Assumptions!$A$7:$F$11,4,FALSE),8)/2-MAX(0,IF(AO386="",0,YEAR(TODAY())-AO386)-IFERROR(VLOOKUP(V386,Assumptions!$A$7:$F$11,5,FALSE),1.5))),IFERROR(VLOOKUP(V386,Assumptions!$A$7:$F$11,5,FALSE),2.5)+IFERROR(VLOOKUP(V386,Assumptions!$A$7:$F$11,3,FALSE),3)+IFERROR(VLOOKUP(V386,Assumptions!$A$7:$F$11,4,FALSE),8)/2)</f>
        <v/>
      </c>
      <c r="Y386" s="22">
        <f>U386*W386/(1+Assumptions!$B$3)^X386</f>
        <v/>
      </c>
      <c r="Z386" s="26">
        <f>IF(U386=0,"",ROUND(Y386/U386*100,1))</f>
        <v/>
      </c>
      <c r="AA386" s="27">
        <f>Y386*Assumptions!$B$4</f>
        <v/>
      </c>
      <c r="AB386" s="26">
        <f>IF(U386=0,"",ROUND(AA386/U386*100,1))</f>
        <v/>
      </c>
      <c r="AC386" s="27">
        <f>Y386-AA386</f>
        <v/>
      </c>
      <c r="AD386" s="26">
        <f>IF(U386=0,"",ROUND((Y386-AA386)/U386*100,1))</f>
        <v/>
      </c>
      <c r="AE386" s="33" t="inlineStr">
        <is>
          <t>NO TOTALS — list prints none; check page</t>
        </is>
      </c>
      <c r="AF386" s="29" t="inlineStr">
        <is>
          <t>https://ativosajce.com.br/admin/download.php?file=files/processo_documento/processo_documento13422625032025_1_.pdf&amp;nome=Relação de Credores - Art. 52º § 1º, da Lei nº 11.101/2005 - 25/02/2025</t>
        </is>
      </c>
      <c r="AG386" s="28" t="inlineStr">
        <is>
          <t>p3 r16</t>
        </is>
      </c>
      <c r="AH386" s="28" t="inlineStr">
        <is>
          <t>p3: R$ 233.943,48</t>
        </is>
      </c>
      <c r="AI386" s="28" t="inlineStr">
        <is>
          <t>Unclassified list</t>
        </is>
      </c>
      <c r="AJ386" s="28" t="inlineStr">
        <is>
          <t>2025-02-28</t>
        </is>
      </c>
      <c r="AK386" s="28" t="inlineStr">
        <is>
          <t>NONE FOUND</t>
        </is>
      </c>
      <c r="AL386" s="30" t="inlineStr">
        <is>
          <t>1000119-75.2025.8.26.0354</t>
        </is>
      </c>
      <c r="AM386" s="30" t="inlineStr">
        <is>
          <t>TJSP</t>
        </is>
      </c>
      <c r="AN386" s="30" t="inlineStr">
        <is>
          <t>ACTIVE</t>
        </is>
      </c>
      <c r="AO386" s="30" t="n">
        <v>2025</v>
      </c>
      <c r="AP386" s="30" t="inlineStr">
        <is>
          <t>live case, no plan document yet</t>
        </is>
      </c>
      <c r="AQ386" s="30" t="inlineStr">
        <is>
          <t>09.357.504/0001-38</t>
        </is>
      </c>
      <c r="AR386" s="30" t="inlineStr">
        <is>
          <t>printed on the list (read twice)</t>
        </is>
      </c>
      <c r="AS386" s="30" t="inlineStr">
        <is>
          <t>SAO PAULO</t>
        </is>
      </c>
      <c r="AT386" s="30" t="inlineStr">
        <is>
          <t>SP</t>
        </is>
      </c>
      <c r="AU386" s="30" t="inlineStr">
        <is>
          <t>Bancos múltiplos, com carteira comercial</t>
        </is>
      </c>
      <c r="AV386" s="30" t="inlineStr">
        <is>
          <t>DEMAIS</t>
        </is>
      </c>
      <c r="AW386" s="31" t="n">
        <v>6907260000</v>
      </c>
      <c r="AX386" s="30" t="inlineStr">
        <is>
          <t>LARGE CORP</t>
        </is>
      </c>
      <c r="AY386" s="30" t="inlineStr">
        <is>
          <t>62232889</t>
        </is>
      </c>
      <c r="AZ386" s="30" t="n">
        <v>1</v>
      </c>
      <c r="BA386" s="30" t="inlineStr">
        <is>
          <t>LIKELY_FINANCIAL_BY_NAME ROWS:p3r16 UNRECONCILED_SOURCE</t>
        </is>
      </c>
    </row>
    <row r="387">
      <c r="A387" s="16" t="inlineStr">
        <is>
          <t>FX CAPITAL E SECURITIZACOES S.A.</t>
        </is>
      </c>
      <c r="B387" s="17" t="n">
        <v>912212.65</v>
      </c>
      <c r="C387" s="18" t="inlineStr">
        <is>
          <t>VECTOR INDÚSTRIA DE PRODUTOS METALÚRGICOS LTDA.</t>
        </is>
      </c>
      <c r="D387" s="19" t="inlineStr">
        <is>
          <t>NEW</t>
        </is>
      </c>
      <c r="E387" s="20" t="inlineStr"/>
      <c r="F387" s="19" t="inlineStr"/>
      <c r="G387" s="20" t="inlineStr"/>
      <c r="H387" s="19" t="inlineStr"/>
      <c r="I387" s="21" t="inlineStr">
        <is>
          <t>Raul Silva</t>
        </is>
      </c>
      <c r="J387" s="21" t="inlineStr">
        <is>
          <t>Director</t>
        </is>
      </c>
      <c r="K387" s="21" t="inlineStr">
        <is>
          <t>(54) 3067-7591</t>
        </is>
      </c>
      <c r="L387" s="21" t="inlineStr"/>
      <c r="M387" s="21" t="inlineStr"/>
      <c r="N387" s="21" t="inlineStr">
        <is>
          <t>raul@fxinvestimentos.com</t>
        </is>
      </c>
      <c r="O387" s="21" t="inlineStr">
        <is>
          <t>elizeu@fxinvestimentos.com</t>
        </is>
      </c>
      <c r="P387" s="21" t="inlineStr">
        <is>
          <t>Elizeu Andrade</t>
        </is>
      </c>
      <c r="Q387" s="21" t="inlineStr">
        <is>
          <t>CEO</t>
        </is>
      </c>
      <c r="R387" s="21" t="inlineStr"/>
      <c r="S387" s="21" t="inlineStr">
        <is>
          <t>elizeu@fxinvestimentos.com</t>
        </is>
      </c>
      <c r="T387" s="21" t="inlineStr">
        <is>
          <t>email verified by Apollo</t>
        </is>
      </c>
      <c r="U387" s="22" t="n">
        <v>912212.65</v>
      </c>
      <c r="V387" s="38" t="inlineStr">
        <is>
          <t>C</t>
        </is>
      </c>
      <c r="W387" s="24">
        <f>IFERROR(VLOOKUP(V387,Assumptions!$A$7:$F$11,2,FALSE),0)</f>
        <v/>
      </c>
      <c r="X387" s="25">
        <f>IF(V387="A",MAX(1,IFERROR(VLOOKUP(V387,Assumptions!$A$7:$F$11,3,FALSE),3)+IFERROR(VLOOKUP(V387,Assumptions!$A$7:$F$11,4,FALSE),8)/2-MAX(0,IF(AO387="",0,YEAR(TODAY())-AO387)-IFERROR(VLOOKUP(V387,Assumptions!$A$7:$F$11,5,FALSE),1.5))),IFERROR(VLOOKUP(V387,Assumptions!$A$7:$F$11,5,FALSE),2.5)+IFERROR(VLOOKUP(V387,Assumptions!$A$7:$F$11,3,FALSE),3)+IFERROR(VLOOKUP(V387,Assumptions!$A$7:$F$11,4,FALSE),8)/2)</f>
        <v/>
      </c>
      <c r="Y387" s="22">
        <f>U387*W387/(1+Assumptions!$B$3)^X387</f>
        <v/>
      </c>
      <c r="Z387" s="26">
        <f>IF(U387=0,"",ROUND(Y387/U387*100,1))</f>
        <v/>
      </c>
      <c r="AA387" s="27">
        <f>Y387*Assumptions!$B$4</f>
        <v/>
      </c>
      <c r="AB387" s="26">
        <f>IF(U387=0,"",ROUND(AA387/U387*100,1))</f>
        <v/>
      </c>
      <c r="AC387" s="27">
        <f>Y387-AA387</f>
        <v/>
      </c>
      <c r="AD387" s="26">
        <f>IF(U387=0,"",ROUND((Y387-AA387)/U387*100,1))</f>
        <v/>
      </c>
      <c r="AE387" s="33" t="inlineStr">
        <is>
          <t>NO TOTALS — list prints none; check page</t>
        </is>
      </c>
      <c r="AF387" s="29" t="inlineStr">
        <is>
          <t>https://scalzilliaj.com.br/sgc/download.php?file=files/processo_documento/processo_documento15513401112022_1_.pdf&amp;nome=15 - Edital do art. 7º, §2º (segunda lista de credores) e do art. 53 da Lei 11.101/2005 (recebimento do plano)</t>
        </is>
      </c>
      <c r="AG387" s="28" t="inlineStr">
        <is>
          <t>p7 r15</t>
        </is>
      </c>
      <c r="AH387" s="28" t="inlineStr">
        <is>
          <t>p7: R$ 912.212,65</t>
        </is>
      </c>
      <c r="AI387" s="28" t="inlineStr">
        <is>
          <t>AJ list (art. 7 §2)</t>
        </is>
      </c>
      <c r="AJ387" s="28" t="inlineStr">
        <is>
          <t>2022-11-01</t>
        </is>
      </c>
      <c r="AK387" s="28" t="inlineStr">
        <is>
          <t>NONE FOUND</t>
        </is>
      </c>
      <c r="AL387" s="30" t="inlineStr">
        <is>
          <t>5014104-85.2021.8.21.0010</t>
        </is>
      </c>
      <c r="AM387" s="30" t="inlineStr">
        <is>
          <t>TJRS</t>
        </is>
      </c>
      <c r="AN387" s="30" t="inlineStr">
        <is>
          <t>ACTIVE</t>
        </is>
      </c>
      <c r="AO387" s="30" t="n">
        <v>2021</v>
      </c>
      <c r="AP387" s="30" t="inlineStr">
        <is>
          <t>5y since filing, no plan document</t>
        </is>
      </c>
      <c r="AQ387" s="30" t="inlineStr">
        <is>
          <t>03.018.339/0001-03</t>
        </is>
      </c>
      <c r="AR387" s="30" t="inlineStr">
        <is>
          <t>printed on the list (read twice)</t>
        </is>
      </c>
      <c r="AS387" s="30" t="inlineStr">
        <is>
          <t>CAXIAS DO SUL</t>
        </is>
      </c>
      <c r="AT387" s="30" t="inlineStr">
        <is>
          <t>RS</t>
        </is>
      </c>
      <c r="AU387" s="30" t="inlineStr">
        <is>
          <t>Securitização de créditos</t>
        </is>
      </c>
      <c r="AV387" s="30" t="inlineStr">
        <is>
          <t>DEMAIS</t>
        </is>
      </c>
      <c r="AW387" s="31" t="n">
        <v>79700</v>
      </c>
      <c r="AX387" s="30" t="inlineStr">
        <is>
          <t>MID-MARKET</t>
        </is>
      </c>
      <c r="AY387" s="30" t="inlineStr">
        <is>
          <t>40072614</t>
        </is>
      </c>
      <c r="AZ387" s="30" t="n">
        <v>1</v>
      </c>
      <c r="BA387" s="30" t="inlineStr">
        <is>
          <t>ROWS:p7r15 UNRECONCILED_SOURCE</t>
        </is>
      </c>
    </row>
    <row r="388">
      <c r="A388" s="16" t="inlineStr">
        <is>
          <t>BANCO BRADESCO S.A.</t>
        </is>
      </c>
      <c r="B388" s="17" t="n">
        <v>232159.83</v>
      </c>
      <c r="C388" s="18" t="inlineStr">
        <is>
          <t>GRUPO D&amp;D</t>
        </is>
      </c>
      <c r="D388" s="19" t="inlineStr">
        <is>
          <t>NEW</t>
        </is>
      </c>
      <c r="E388" s="20" t="inlineStr"/>
      <c r="F388" s="19" t="inlineStr"/>
      <c r="G388" s="20" t="inlineStr"/>
      <c r="H388" s="19" t="inlineStr"/>
      <c r="I388" s="21" t="inlineStr">
        <is>
          <t>Marcela Martins</t>
        </is>
      </c>
      <c r="J388" s="21" t="inlineStr">
        <is>
          <t>Superintendente de Recuperação de Crédito - Canais e Operações</t>
        </is>
      </c>
      <c r="K388" s="21" t="inlineStr">
        <is>
          <t>(11) 3684-5122</t>
        </is>
      </c>
      <c r="L388" s="21" t="inlineStr"/>
      <c r="M388" s="21" t="inlineStr"/>
      <c r="N388" s="21" t="inlineStr"/>
      <c r="O388" s="21" t="inlineStr">
        <is>
          <t>sl@bradesco.com.br</t>
        </is>
      </c>
      <c r="P388" s="21" t="inlineStr">
        <is>
          <t>Luis S</t>
        </is>
      </c>
      <c r="Q388" s="21" t="inlineStr">
        <is>
          <t>DRC - Departamento de Recuperação de Crédito - Gerente de Reestruturação de Crédito</t>
        </is>
      </c>
      <c r="R388" s="21" t="inlineStr"/>
      <c r="S388" s="21" t="inlineStr">
        <is>
          <t>sl@bradesco.com.br</t>
        </is>
      </c>
      <c r="T388" s="21" t="inlineStr">
        <is>
          <t>no work email found in Apollo</t>
        </is>
      </c>
      <c r="U388" s="22" t="n">
        <v>232159.83</v>
      </c>
      <c r="V388" s="23" t="inlineStr">
        <is>
          <t>B</t>
        </is>
      </c>
      <c r="W388" s="24">
        <f>IFERROR(VLOOKUP(V388,Assumptions!$A$7:$F$11,2,FALSE),0)</f>
        <v/>
      </c>
      <c r="X388" s="25">
        <f>IF(V388="A",MAX(1,IFERROR(VLOOKUP(V388,Assumptions!$A$7:$F$11,3,FALSE),3)+IFERROR(VLOOKUP(V388,Assumptions!$A$7:$F$11,4,FALSE),8)/2-MAX(0,IF(AO388="",0,YEAR(TODAY())-AO388)-IFERROR(VLOOKUP(V388,Assumptions!$A$7:$F$11,5,FALSE),1.5))),IFERROR(VLOOKUP(V388,Assumptions!$A$7:$F$11,5,FALSE),2.5)+IFERROR(VLOOKUP(V388,Assumptions!$A$7:$F$11,3,FALSE),3)+IFERROR(VLOOKUP(V388,Assumptions!$A$7:$F$11,4,FALSE),8)/2)</f>
        <v/>
      </c>
      <c r="Y388" s="22">
        <f>U388*W388/(1+Assumptions!$B$3)^X388</f>
        <v/>
      </c>
      <c r="Z388" s="26">
        <f>IF(U388=0,"",ROUND(Y388/U388*100,1))</f>
        <v/>
      </c>
      <c r="AA388" s="27">
        <f>Y388*Assumptions!$B$4</f>
        <v/>
      </c>
      <c r="AB388" s="26">
        <f>IF(U388=0,"",ROUND(AA388/U388*100,1))</f>
        <v/>
      </c>
      <c r="AC388" s="27">
        <f>Y388-AA388</f>
        <v/>
      </c>
      <c r="AD388" s="26">
        <f>IF(U388=0,"",ROUND((Y388-AA388)/U388*100,1))</f>
        <v/>
      </c>
      <c r="AE388" s="34" t="inlineStr">
        <is>
          <t>PARTIAL — class III reconciled, other classes not</t>
        </is>
      </c>
      <c r="AF388" s="29" t="inlineStr">
        <is>
          <t>https://marquesadmjudicial.com.br/sgc/download.php?file=files/processo_documento/processo_documento20014127022025_1_.pdf&amp;nome=Relação Nominal de Credores</t>
        </is>
      </c>
      <c r="AG388" s="28" t="inlineStr">
        <is>
          <t>p4 r6</t>
        </is>
      </c>
      <c r="AH388" s="28" t="inlineStr">
        <is>
          <t>p4: R$ 232.159,83</t>
        </is>
      </c>
      <c r="AI388" s="28" t="inlineStr">
        <is>
          <t>AJ list (art. 7 §2)</t>
        </is>
      </c>
      <c r="AJ388" s="28" t="inlineStr">
        <is>
          <t>2024-11-08</t>
        </is>
      </c>
      <c r="AK388" s="28" t="inlineStr">
        <is>
          <t>NONE FOUND</t>
        </is>
      </c>
      <c r="AL388" s="30" t="inlineStr">
        <is>
          <t>0001943-40.2024.8.16.0115</t>
        </is>
      </c>
      <c r="AM388" s="30" t="inlineStr">
        <is>
          <t>TJPR</t>
        </is>
      </c>
      <c r="AN388" s="30" t="inlineStr">
        <is>
          <t>ACTIVE</t>
        </is>
      </c>
      <c r="AO388" s="30" t="n">
        <v>2024</v>
      </c>
      <c r="AP388" s="30" t="inlineStr">
        <is>
          <t>live case, no plan document yet</t>
        </is>
      </c>
      <c r="AQ388" s="30" t="inlineStr"/>
      <c r="AR388" s="30" t="inlineStr">
        <is>
          <t>printed on the list (read twice)</t>
        </is>
      </c>
      <c r="AS388" s="30" t="inlineStr">
        <is>
          <t>OSASCO</t>
        </is>
      </c>
      <c r="AT388" s="30" t="inlineStr">
        <is>
          <t>SP</t>
        </is>
      </c>
      <c r="AU388" s="30" t="inlineStr">
        <is>
          <t>Bancos múltiplos, com carteira comercial</t>
        </is>
      </c>
      <c r="AV388" s="30" t="inlineStr">
        <is>
          <t>DEMAIS</t>
        </is>
      </c>
      <c r="AW388" s="31" t="n">
        <v>93770000000</v>
      </c>
      <c r="AX388" s="30" t="inlineStr">
        <is>
          <t>LARGE CORP</t>
        </is>
      </c>
      <c r="AY388" s="30" t="inlineStr">
        <is>
          <t>60746948</t>
        </is>
      </c>
      <c r="AZ388" s="30" t="n">
        <v>1</v>
      </c>
      <c r="BA388" s="30" t="inlineStr">
        <is>
          <t>LIKELY_FINANCIAL_BY_NAME PARTIAL_DOC_CLASS_III_RECONCILED ROWS:p4r6</t>
        </is>
      </c>
    </row>
    <row r="389">
      <c r="A389" s="16" t="inlineStr">
        <is>
          <t>ITAU UNIBANCO S.A.</t>
        </is>
      </c>
      <c r="B389" s="17" t="n">
        <v>1639850.58</v>
      </c>
      <c r="C389" s="18" t="inlineStr">
        <is>
          <t>EQUIP SEG INTELIGÊNCIA EM SEGURANÇA LTDA. E EQUIP SEG SERVIÇOS ESPECIALIZADOS LTDA.</t>
        </is>
      </c>
      <c r="D389" s="19" t="inlineStr">
        <is>
          <t>NEW</t>
        </is>
      </c>
      <c r="E389" s="20" t="inlineStr"/>
      <c r="F389" s="19" t="inlineStr"/>
      <c r="G389" s="20" t="inlineStr"/>
      <c r="H389" s="19" t="inlineStr"/>
      <c r="I389" s="21" t="inlineStr">
        <is>
          <t>Murilo Gigliucci</t>
        </is>
      </c>
      <c r="J389" s="21" t="inlineStr">
        <is>
          <t>Superintendente de Reestruturação de Crédito</t>
        </is>
      </c>
      <c r="K389" s="21" t="inlineStr">
        <is>
          <t>(11) 3003-4828</t>
        </is>
      </c>
      <c r="L389" s="21" t="inlineStr"/>
      <c r="M389" s="21" t="inlineStr"/>
      <c r="N389" s="21" t="inlineStr">
        <is>
          <t>murilo.gigliucci@itau-unibanco.com.br</t>
        </is>
      </c>
      <c r="O389" s="21" t="inlineStr">
        <is>
          <t>pedro.ornellas-geronimo@itau-unibanco.com.br</t>
        </is>
      </c>
      <c r="P389" s="21" t="inlineStr">
        <is>
          <t>Pedro Ornellas</t>
        </is>
      </c>
      <c r="Q389" s="21" t="inlineStr">
        <is>
          <t>Superintendente de Recuperação de Crédito</t>
        </is>
      </c>
      <c r="R389" s="21" t="inlineStr"/>
      <c r="S389" s="21" t="inlineStr">
        <is>
          <t>pedro.ornellas-geronimo@itau-unibanco.com.br</t>
        </is>
      </c>
      <c r="T389" s="21" t="inlineStr">
        <is>
          <t>email verified by Apollo</t>
        </is>
      </c>
      <c r="U389" s="22" t="n">
        <v>1639850.58</v>
      </c>
      <c r="V389" s="39" t="inlineStr">
        <is>
          <t>D</t>
        </is>
      </c>
      <c r="W389" s="24">
        <f>IFERROR(VLOOKUP(V389,Assumptions!$A$7:$F$11,2,FALSE),0)</f>
        <v/>
      </c>
      <c r="X389" s="25">
        <f>IF(V389="A",MAX(1,IFERROR(VLOOKUP(V389,Assumptions!$A$7:$F$11,3,FALSE),3)+IFERROR(VLOOKUP(V389,Assumptions!$A$7:$F$11,4,FALSE),8)/2-MAX(0,IF(AO389="",0,YEAR(TODAY())-AO389)-IFERROR(VLOOKUP(V389,Assumptions!$A$7:$F$11,5,FALSE),1.5))),IFERROR(VLOOKUP(V389,Assumptions!$A$7:$F$11,5,FALSE),2.5)+IFERROR(VLOOKUP(V389,Assumptions!$A$7:$F$11,3,FALSE),3)+IFERROR(VLOOKUP(V389,Assumptions!$A$7:$F$11,4,FALSE),8)/2)</f>
        <v/>
      </c>
      <c r="Y389" s="22">
        <f>U389*W389/(1+Assumptions!$B$3)^X389</f>
        <v/>
      </c>
      <c r="Z389" s="26">
        <f>IF(U389=0,"",ROUND(Y389/U389*100,1))</f>
        <v/>
      </c>
      <c r="AA389" s="27">
        <f>Y389*Assumptions!$B$4</f>
        <v/>
      </c>
      <c r="AB389" s="26">
        <f>IF(U389=0,"",ROUND(AA389/U389*100,1))</f>
        <v/>
      </c>
      <c r="AC389" s="27">
        <f>Y389-AA389</f>
        <v/>
      </c>
      <c r="AD389" s="26">
        <f>IF(U389=0,"",ROUND((Y389-AA389)/U389*100,1))</f>
        <v/>
      </c>
      <c r="AE389" s="33" t="inlineStr">
        <is>
          <t>NO TOTALS — list prints none; check page</t>
        </is>
      </c>
      <c r="AF389" s="29" t="inlineStr">
        <is>
          <t>https://bbsadvogados.com.br/wp-content/uploads/2025/04/Equipseg-Edital-Relacao-de-Credores-da-Administradora-Judicial-art.-7o2o-da-LRF.pdf</t>
        </is>
      </c>
      <c r="AG389" s="28" t="inlineStr">
        <is>
          <t>p38 r6</t>
        </is>
      </c>
      <c r="AH389" s="28" t="inlineStr">
        <is>
          <t>p38: R$ 1.639.850,58</t>
        </is>
      </c>
      <c r="AI389" s="28" t="inlineStr">
        <is>
          <t>AJ list (art. 7 §2)</t>
        </is>
      </c>
      <c r="AJ389" s="28" t="inlineStr">
        <is>
          <t>2025-04-08</t>
        </is>
      </c>
      <c r="AK389" s="28" t="inlineStr">
        <is>
          <t>NONE FOUND</t>
        </is>
      </c>
      <c r="AL389" s="30" t="inlineStr">
        <is>
          <t>0033736-15.2023.8.16.0185</t>
        </is>
      </c>
      <c r="AM389" s="30" t="inlineStr">
        <is>
          <t>TJPR</t>
        </is>
      </c>
      <c r="AN389" s="30" t="inlineStr"/>
      <c r="AO389" s="30" t="n">
        <v>2023</v>
      </c>
      <c r="AP389" s="30" t="inlineStr">
        <is>
          <t>document is a falência (bankruptcy) list</t>
        </is>
      </c>
      <c r="AQ389" s="30" t="inlineStr"/>
      <c r="AR389" s="30" t="inlineStr">
        <is>
          <t>printed on the list (read twice)</t>
        </is>
      </c>
      <c r="AS389" s="30" t="inlineStr">
        <is>
          <t>SAO PAULO</t>
        </is>
      </c>
      <c r="AT389" s="30" t="inlineStr">
        <is>
          <t>SP</t>
        </is>
      </c>
      <c r="AU389" s="30" t="inlineStr">
        <is>
          <t>Bancos comerciais</t>
        </is>
      </c>
      <c r="AV389" s="30" t="inlineStr">
        <is>
          <t>DEMAIS</t>
        </is>
      </c>
      <c r="AW389" s="31" t="n">
        <v>76200000000</v>
      </c>
      <c r="AX389" s="30" t="inlineStr">
        <is>
          <t>LARGE CORP</t>
        </is>
      </c>
      <c r="AY389" s="30" t="inlineStr">
        <is>
          <t>60701190</t>
        </is>
      </c>
      <c r="AZ389" s="30" t="n">
        <v>1</v>
      </c>
      <c r="BA389" s="30" t="inlineStr">
        <is>
          <t>LIKELY_FINANCIAL_BY_NAME ROWS:p38r6 UNRECONCILED_SOURCE</t>
        </is>
      </c>
    </row>
    <row r="390">
      <c r="A390" s="16" t="inlineStr">
        <is>
          <t>BANCO DAYCOVAL S.A.</t>
        </is>
      </c>
      <c r="B390" s="17" t="n">
        <v>229172.85</v>
      </c>
      <c r="C390" s="18" t="inlineStr">
        <is>
          <t>GRUPO IMPLASVERDE</t>
        </is>
      </c>
      <c r="D390" s="19" t="inlineStr">
        <is>
          <t>NEW</t>
        </is>
      </c>
      <c r="E390" s="20" t="inlineStr"/>
      <c r="F390" s="19" t="inlineStr"/>
      <c r="G390" s="20" t="inlineStr"/>
      <c r="H390" s="19" t="inlineStr"/>
      <c r="I390" s="21" t="inlineStr">
        <is>
          <t>Celso Araujo</t>
        </is>
      </c>
      <c r="J390" s="21" t="inlineStr">
        <is>
          <t>Gerente de Recuperação de Crédito</t>
        </is>
      </c>
      <c r="K390" s="21" t="inlineStr">
        <is>
          <t>(11) 3138-0500</t>
        </is>
      </c>
      <c r="L390" s="21" t="inlineStr"/>
      <c r="M390" s="21" t="inlineStr"/>
      <c r="N390" s="21" t="inlineStr">
        <is>
          <t>celso.araujo@bancodaycoval.com.br</t>
        </is>
      </c>
      <c r="O390" s="21" t="inlineStr">
        <is>
          <t>andreia.matiel@daycoval.com.br</t>
        </is>
      </c>
      <c r="P390" s="21" t="inlineStr">
        <is>
          <t>Andreia Matiel</t>
        </is>
      </c>
      <c r="Q390" s="21" t="inlineStr">
        <is>
          <t>Advogada Recuperação de Crédito Empresas</t>
        </is>
      </c>
      <c r="R390" s="21" t="inlineStr"/>
      <c r="S390" s="21" t="inlineStr">
        <is>
          <t>andreia.matiel@daycoval.com.br</t>
        </is>
      </c>
      <c r="T390" s="21" t="inlineStr">
        <is>
          <t>email verified by Apollo</t>
        </is>
      </c>
      <c r="U390" s="22" t="n">
        <v>229172.85</v>
      </c>
      <c r="V390" s="23" t="inlineStr">
        <is>
          <t>B</t>
        </is>
      </c>
      <c r="W390" s="24">
        <f>IFERROR(VLOOKUP(V390,Assumptions!$A$7:$F$11,2,FALSE),0)</f>
        <v/>
      </c>
      <c r="X390" s="25">
        <f>IF(V390="A",MAX(1,IFERROR(VLOOKUP(V390,Assumptions!$A$7:$F$11,3,FALSE),3)+IFERROR(VLOOKUP(V390,Assumptions!$A$7:$F$11,4,FALSE),8)/2-MAX(0,IF(AO390="",0,YEAR(TODAY())-AO390)-IFERROR(VLOOKUP(V390,Assumptions!$A$7:$F$11,5,FALSE),1.5))),IFERROR(VLOOKUP(V390,Assumptions!$A$7:$F$11,5,FALSE),2.5)+IFERROR(VLOOKUP(V390,Assumptions!$A$7:$F$11,3,FALSE),3)+IFERROR(VLOOKUP(V390,Assumptions!$A$7:$F$11,4,FALSE),8)/2)</f>
        <v/>
      </c>
      <c r="Y390" s="22">
        <f>U390*W390/(1+Assumptions!$B$3)^X390</f>
        <v/>
      </c>
      <c r="Z390" s="26">
        <f>IF(U390=0,"",ROUND(Y390/U390*100,1))</f>
        <v/>
      </c>
      <c r="AA390" s="27">
        <f>Y390*Assumptions!$B$4</f>
        <v/>
      </c>
      <c r="AB390" s="26">
        <f>IF(U390=0,"",ROUND(AA390/U390*100,1))</f>
        <v/>
      </c>
      <c r="AC390" s="27">
        <f>Y390-AA390</f>
        <v/>
      </c>
      <c r="AD390" s="26">
        <f>IF(U390=0,"",ROUND((Y390-AA390)/U390*100,1))</f>
        <v/>
      </c>
      <c r="AE390" s="28" t="inlineStr">
        <is>
          <t>OK — totals reconciled</t>
        </is>
      </c>
      <c r="AF390" s="29" t="inlineStr">
        <is>
          <t>http://recuperacaojudicial.squarespace.com/s/LISTA-DE-CREDORES-CONSOLIDADA-ATE-04102024.pdf</t>
        </is>
      </c>
      <c r="AG390" s="28" t="inlineStr">
        <is>
          <t>p6 r3</t>
        </is>
      </c>
      <c r="AH390" s="28" t="inlineStr">
        <is>
          <t>p6: R$ 229.172,85</t>
        </is>
      </c>
      <c r="AI390" s="28" t="inlineStr">
        <is>
          <t>AJ list (art. 7 §2)</t>
        </is>
      </c>
      <c r="AJ390" s="28" t="inlineStr">
        <is>
          <t>2024-10-04</t>
        </is>
      </c>
      <c r="AK390" s="28" t="inlineStr">
        <is>
          <t>NONE FOUND</t>
        </is>
      </c>
      <c r="AL390" s="30" t="inlineStr">
        <is>
          <t>0800778-16.2023.8.20.5104</t>
        </is>
      </c>
      <c r="AM390" s="30" t="inlineStr">
        <is>
          <t>TJRN</t>
        </is>
      </c>
      <c r="AN390" s="30" t="inlineStr">
        <is>
          <t>ACTIVE</t>
        </is>
      </c>
      <c r="AO390" s="30" t="n">
        <v>2023</v>
      </c>
      <c r="AP390" s="30" t="inlineStr">
        <is>
          <t>live case, no plan document yet</t>
        </is>
      </c>
      <c r="AQ390" s="30" t="inlineStr"/>
      <c r="AR390" s="30" t="inlineStr">
        <is>
          <t>printed on the list (read twice)</t>
        </is>
      </c>
      <c r="AS390" s="30" t="inlineStr">
        <is>
          <t>SAO PAULO</t>
        </is>
      </c>
      <c r="AT390" s="30" t="inlineStr">
        <is>
          <t>SP</t>
        </is>
      </c>
      <c r="AU390" s="30" t="inlineStr">
        <is>
          <t>Bancos múltiplos, com carteira comercial</t>
        </is>
      </c>
      <c r="AV390" s="30" t="inlineStr">
        <is>
          <t>DEMAIS</t>
        </is>
      </c>
      <c r="AW390" s="31" t="n">
        <v>6907260000</v>
      </c>
      <c r="AX390" s="30" t="inlineStr">
        <is>
          <t>LARGE CORP</t>
        </is>
      </c>
      <c r="AY390" s="30" t="inlineStr">
        <is>
          <t>62232889</t>
        </is>
      </c>
      <c r="AZ390" s="30" t="n">
        <v>1</v>
      </c>
      <c r="BA390" s="30" t="inlineStr">
        <is>
          <t>LIKELY_FINANCIAL_BY_NAME ROWS:p6r3 VALUE_COL:Valor_Do_Crédito</t>
        </is>
      </c>
    </row>
    <row r="391">
      <c r="A391" s="16" t="inlineStr">
        <is>
          <t>CAIXA ECONOMICA FEDERAL</t>
        </is>
      </c>
      <c r="B391" s="17" t="n">
        <v>227255.82</v>
      </c>
      <c r="C391" s="18" t="inlineStr">
        <is>
          <t>GRUPO CEAM</t>
        </is>
      </c>
      <c r="D391" s="19" t="inlineStr">
        <is>
          <t>NEW</t>
        </is>
      </c>
      <c r="E391" s="20" t="inlineStr"/>
      <c r="F391" s="19" t="inlineStr"/>
      <c r="G391" s="20" t="inlineStr"/>
      <c r="H391" s="19" t="inlineStr"/>
      <c r="I391" s="21" t="inlineStr">
        <is>
          <t>Livia Serikaku</t>
        </is>
      </c>
      <c r="J391" s="21" t="inlineStr">
        <is>
          <t>Gerente de Clientes e Negócios | Recuperação de Crédito</t>
        </is>
      </c>
      <c r="K391" s="21" t="inlineStr">
        <is>
          <t>(00) 4004-0104</t>
        </is>
      </c>
      <c r="L391" s="21" t="inlineStr"/>
      <c r="M391" s="21" t="inlineStr"/>
      <c r="N391" s="21" t="inlineStr"/>
      <c r="O391" s="21" t="inlineStr"/>
      <c r="P391" s="21" t="inlineStr">
        <is>
          <t>Rodolfo Trevizan</t>
        </is>
      </c>
      <c r="Q391" s="21" t="inlineStr">
        <is>
          <t>Investment Banking | Distressed Assets | Project Finance</t>
        </is>
      </c>
      <c r="R391" s="21" t="inlineStr"/>
      <c r="S391" s="21" t="inlineStr"/>
      <c r="T391" s="21" t="inlineStr">
        <is>
          <t>no work email found in Apollo</t>
        </is>
      </c>
      <c r="U391" s="22" t="n">
        <v>227255.82</v>
      </c>
      <c r="V391" s="23" t="inlineStr">
        <is>
          <t>B</t>
        </is>
      </c>
      <c r="W391" s="24">
        <f>IFERROR(VLOOKUP(V391,Assumptions!$A$7:$F$11,2,FALSE),0)</f>
        <v/>
      </c>
      <c r="X391" s="25">
        <f>IF(V391="A",MAX(1,IFERROR(VLOOKUP(V391,Assumptions!$A$7:$F$11,3,FALSE),3)+IFERROR(VLOOKUP(V391,Assumptions!$A$7:$F$11,4,FALSE),8)/2-MAX(0,IF(AO391="",0,YEAR(TODAY())-AO391)-IFERROR(VLOOKUP(V391,Assumptions!$A$7:$F$11,5,FALSE),1.5))),IFERROR(VLOOKUP(V391,Assumptions!$A$7:$F$11,5,FALSE),2.5)+IFERROR(VLOOKUP(V391,Assumptions!$A$7:$F$11,3,FALSE),3)+IFERROR(VLOOKUP(V391,Assumptions!$A$7:$F$11,4,FALSE),8)/2)</f>
        <v/>
      </c>
      <c r="Y391" s="22">
        <f>U391*W391/(1+Assumptions!$B$3)^X391</f>
        <v/>
      </c>
      <c r="Z391" s="26">
        <f>IF(U391=0,"",ROUND(Y391/U391*100,1))</f>
        <v/>
      </c>
      <c r="AA391" s="27">
        <f>Y391*Assumptions!$B$4</f>
        <v/>
      </c>
      <c r="AB391" s="26">
        <f>IF(U391=0,"",ROUND(AA391/U391*100,1))</f>
        <v/>
      </c>
      <c r="AC391" s="27">
        <f>Y391-AA391</f>
        <v/>
      </c>
      <c r="AD391" s="26">
        <f>IF(U391=0,"",ROUND((Y391-AA391)/U391*100,1))</f>
        <v/>
      </c>
      <c r="AE391" s="28" t="inlineStr">
        <is>
          <t>OK — totals reconciled</t>
        </is>
      </c>
      <c r="AF391" s="29" t="inlineStr">
        <is>
          <t>https://recuperasolucoes.com/wp-content/plugins/download-attachments/includes/download.php?id=1492</t>
        </is>
      </c>
      <c r="AG391" s="28" t="inlineStr">
        <is>
          <t>p5 r55</t>
        </is>
      </c>
      <c r="AH391" s="28" t="inlineStr">
        <is>
          <t>p5: R$ 227.255,82</t>
        </is>
      </c>
      <c r="AI391" s="28" t="inlineStr">
        <is>
          <t>AJ list (art. 7 §2)</t>
        </is>
      </c>
      <c r="AJ391" s="28" t="inlineStr">
        <is>
          <t>2025-09-12</t>
        </is>
      </c>
      <c r="AK391" s="28" t="inlineStr">
        <is>
          <t>NONE FOUND</t>
        </is>
      </c>
      <c r="AL391" s="30" t="inlineStr">
        <is>
          <t>0133628-14.2024.8.17.2001</t>
        </is>
      </c>
      <c r="AM391" s="30" t="inlineStr">
        <is>
          <t>TJPE</t>
        </is>
      </c>
      <c r="AN391" s="30" t="inlineStr">
        <is>
          <t>ACTIVE</t>
        </is>
      </c>
      <c r="AO391" s="30" t="n">
        <v>2024</v>
      </c>
      <c r="AP391" s="30" t="inlineStr">
        <is>
          <t>live case, no plan document yet</t>
        </is>
      </c>
      <c r="AQ391" s="30" t="inlineStr">
        <is>
          <t>32.525.567/0001-78</t>
        </is>
      </c>
      <c r="AR391" s="30" t="inlineStr">
        <is>
          <t>printed on the list (read twice)</t>
        </is>
      </c>
      <c r="AS391" s="30" t="inlineStr">
        <is>
          <t>BRASILIA</t>
        </is>
      </c>
      <c r="AT391" s="30" t="inlineStr">
        <is>
          <t>DF</t>
        </is>
      </c>
      <c r="AU391" s="30" t="inlineStr">
        <is>
          <t>Caixas econômicas</t>
        </is>
      </c>
      <c r="AV391" s="30" t="inlineStr">
        <is>
          <t>DEMAIS</t>
        </is>
      </c>
      <c r="AW391" s="31" t="n">
        <v>105300000000</v>
      </c>
      <c r="AX391" s="30" t="inlineStr">
        <is>
          <t>LARGE CORP</t>
        </is>
      </c>
      <c r="AY391" s="30" t="inlineStr">
        <is>
          <t>00360305</t>
        </is>
      </c>
      <c r="AZ391" s="30" t="n">
        <v>1</v>
      </c>
      <c r="BA391" s="30" t="inlineStr">
        <is>
          <t>LIKELY_FINANCIAL_BY_NAME ROWS:p5r55</t>
        </is>
      </c>
    </row>
    <row r="392">
      <c r="A392" s="16" t="inlineStr">
        <is>
          <t>BANCO DO BRASIL SA</t>
        </is>
      </c>
      <c r="B392" s="17" t="n">
        <v>879178</v>
      </c>
      <c r="C392" s="18" t="inlineStr">
        <is>
          <t>Roque Materiais para Construção</t>
        </is>
      </c>
      <c r="D392" s="19" t="inlineStr">
        <is>
          <t>NEW</t>
        </is>
      </c>
      <c r="E392" s="20" t="inlineStr"/>
      <c r="F392" s="19" t="inlineStr"/>
      <c r="G392" s="20" t="inlineStr"/>
      <c r="H392" s="19" t="inlineStr"/>
      <c r="I392" s="21" t="inlineStr">
        <is>
          <t>Thiago Cavichioli</t>
        </is>
      </c>
      <c r="J392" s="21" t="inlineStr">
        <is>
          <t>Gerente de Cobrança e Recuperação de Crédito</t>
        </is>
      </c>
      <c r="K392" s="21" t="inlineStr">
        <is>
          <t>(61) 3493-9002</t>
        </is>
      </c>
      <c r="L392" s="21" t="inlineStr"/>
      <c r="M392" s="21" t="inlineStr"/>
      <c r="N392" s="21" t="inlineStr">
        <is>
          <t>thiago.cavichioli@bb.com.br</t>
        </is>
      </c>
      <c r="O392" s="21" t="inlineStr">
        <is>
          <t>suelenmondador@bb.com.br</t>
        </is>
      </c>
      <c r="P392" s="21" t="inlineStr">
        <is>
          <t>Suelen Mondador</t>
        </is>
      </c>
      <c r="Q392" s="21" t="inlineStr">
        <is>
          <t>Gerente Especialista em Recuperação de Crédito</t>
        </is>
      </c>
      <c r="R392" s="21" t="inlineStr"/>
      <c r="S392" s="21" t="inlineStr">
        <is>
          <t>suelenmondador@bb.com.br</t>
        </is>
      </c>
      <c r="T392" s="21" t="inlineStr">
        <is>
          <t>email verified by Apollo</t>
        </is>
      </c>
      <c r="U392" s="22" t="n">
        <v>879178</v>
      </c>
      <c r="V392" s="38" t="inlineStr">
        <is>
          <t>C</t>
        </is>
      </c>
      <c r="W392" s="24">
        <f>IFERROR(VLOOKUP(V392,Assumptions!$A$7:$F$11,2,FALSE),0)</f>
        <v/>
      </c>
      <c r="X392" s="25">
        <f>IF(V392="A",MAX(1,IFERROR(VLOOKUP(V392,Assumptions!$A$7:$F$11,3,FALSE),3)+IFERROR(VLOOKUP(V392,Assumptions!$A$7:$F$11,4,FALSE),8)/2-MAX(0,IF(AO392="",0,YEAR(TODAY())-AO392)-IFERROR(VLOOKUP(V392,Assumptions!$A$7:$F$11,5,FALSE),1.5))),IFERROR(VLOOKUP(V392,Assumptions!$A$7:$F$11,5,FALSE),2.5)+IFERROR(VLOOKUP(V392,Assumptions!$A$7:$F$11,3,FALSE),3)+IFERROR(VLOOKUP(V392,Assumptions!$A$7:$F$11,4,FALSE),8)/2)</f>
        <v/>
      </c>
      <c r="Y392" s="22">
        <f>U392*W392/(1+Assumptions!$B$3)^X392</f>
        <v/>
      </c>
      <c r="Z392" s="26">
        <f>IF(U392=0,"",ROUND(Y392/U392*100,1))</f>
        <v/>
      </c>
      <c r="AA392" s="27">
        <f>Y392*Assumptions!$B$4</f>
        <v/>
      </c>
      <c r="AB392" s="26">
        <f>IF(U392=0,"",ROUND(AA392/U392*100,1))</f>
        <v/>
      </c>
      <c r="AC392" s="27">
        <f>Y392-AA392</f>
        <v/>
      </c>
      <c r="AD392" s="26">
        <f>IF(U392=0,"",ROUND((Y392-AA392)/U392*100,1))</f>
        <v/>
      </c>
      <c r="AE392" s="28" t="inlineStr">
        <is>
          <t>OK — totals reconciled</t>
        </is>
      </c>
      <c r="AF392" s="29" t="inlineStr">
        <is>
          <t>https://realbrasil.com.br/wp-content/uploads/2018/06/2_LISTA-DE-CREDORES-DA-RECUPERANDA_ROQUE.pdf</t>
        </is>
      </c>
      <c r="AG392" s="28" t="inlineStr">
        <is>
          <t>p2 r4</t>
        </is>
      </c>
      <c r="AH392" s="28" t="inlineStr">
        <is>
          <t>p2: R$ 879.178,00</t>
        </is>
      </c>
      <c r="AI392" s="28" t="inlineStr">
        <is>
          <t>Unclassified list</t>
        </is>
      </c>
      <c r="AJ392" s="28" t="inlineStr"/>
      <c r="AK392" s="28" t="inlineStr">
        <is>
          <t>NONE FOUND</t>
        </is>
      </c>
      <c r="AL392" s="30" t="inlineStr">
        <is>
          <t>0802426-35.2019.8.10.0000</t>
        </is>
      </c>
      <c r="AM392" s="30" t="inlineStr">
        <is>
          <t>TJMA</t>
        </is>
      </c>
      <c r="AN392" s="30" t="inlineStr"/>
      <c r="AO392" s="30" t="n">
        <v>2019</v>
      </c>
      <c r="AP392" s="30" t="inlineStr">
        <is>
          <t>7y since filing, no plan document</t>
        </is>
      </c>
      <c r="AQ392" s="30" t="inlineStr"/>
      <c r="AR392" s="30" t="inlineStr">
        <is>
          <t>portal page title / URL — not printed on the list</t>
        </is>
      </c>
      <c r="AS392" s="30" t="inlineStr">
        <is>
          <t>BRASILIA</t>
        </is>
      </c>
      <c r="AT392" s="30" t="inlineStr">
        <is>
          <t>DF</t>
        </is>
      </c>
      <c r="AU392" s="30" t="inlineStr">
        <is>
          <t>Bancos múltiplos, com carteira comercial</t>
        </is>
      </c>
      <c r="AV392" s="30" t="inlineStr">
        <is>
          <t>DEMAIS</t>
        </is>
      </c>
      <c r="AW392" s="31" t="n">
        <v>120000000000</v>
      </c>
      <c r="AX392" s="30" t="inlineStr">
        <is>
          <t>LARGE CORP</t>
        </is>
      </c>
      <c r="AY392" s="30" t="inlineStr">
        <is>
          <t>00000000</t>
        </is>
      </c>
      <c r="AZ392" s="30" t="n">
        <v>1</v>
      </c>
      <c r="BA392" s="30" t="inlineStr">
        <is>
          <t>ROWS:p2r4 VALUE_COL:Saldo_Total</t>
        </is>
      </c>
    </row>
    <row r="393">
      <c r="A393" s="16" t="inlineStr">
        <is>
          <t>OXSS SECURITIZADORA FUNDOS DE INVESTIMENTOS EM DIREITOS CREDITORIOS</t>
        </is>
      </c>
      <c r="B393" s="17" t="n">
        <v>222133.2</v>
      </c>
      <c r="C393" s="18" t="inlineStr">
        <is>
          <t>GRUPO DIVINA</t>
        </is>
      </c>
      <c r="D393" s="19" t="inlineStr">
        <is>
          <t>NEW</t>
        </is>
      </c>
      <c r="E393" s="20" t="inlineStr"/>
      <c r="F393" s="19" t="inlineStr"/>
      <c r="G393" s="20" t="inlineStr"/>
      <c r="H393" s="19" t="inlineStr"/>
      <c r="I393" s="21" t="inlineStr"/>
      <c r="J393" s="21" t="inlineStr"/>
      <c r="K393" s="21" t="inlineStr"/>
      <c r="L393" s="21" t="inlineStr"/>
      <c r="M393" s="21" t="inlineStr"/>
      <c r="N393" s="21" t="inlineStr"/>
      <c r="O393" s="21" t="inlineStr"/>
      <c r="P393" s="21" t="inlineStr"/>
      <c r="Q393" s="21" t="inlineStr"/>
      <c r="R393" s="21" t="inlineStr"/>
      <c r="S393" s="21" t="inlineStr"/>
      <c r="T393" s="21" t="inlineStr">
        <is>
          <t>no named contact found</t>
        </is>
      </c>
      <c r="U393" s="22" t="n">
        <v>222133.2</v>
      </c>
      <c r="V393" s="23" t="inlineStr">
        <is>
          <t>B</t>
        </is>
      </c>
      <c r="W393" s="24">
        <f>IFERROR(VLOOKUP(V393,Assumptions!$A$7:$F$11,2,FALSE),0)</f>
        <v/>
      </c>
      <c r="X393" s="25">
        <f>IF(V393="A",MAX(1,IFERROR(VLOOKUP(V393,Assumptions!$A$7:$F$11,3,FALSE),3)+IFERROR(VLOOKUP(V393,Assumptions!$A$7:$F$11,4,FALSE),8)/2-MAX(0,IF(AO393="",0,YEAR(TODAY())-AO393)-IFERROR(VLOOKUP(V393,Assumptions!$A$7:$F$11,5,FALSE),1.5))),IFERROR(VLOOKUP(V393,Assumptions!$A$7:$F$11,5,FALSE),2.5)+IFERROR(VLOOKUP(V393,Assumptions!$A$7:$F$11,3,FALSE),3)+IFERROR(VLOOKUP(V393,Assumptions!$A$7:$F$11,4,FALSE),8)/2)</f>
        <v/>
      </c>
      <c r="Y393" s="22">
        <f>U393*W393/(1+Assumptions!$B$3)^X393</f>
        <v/>
      </c>
      <c r="Z393" s="26">
        <f>IF(U393=0,"",ROUND(Y393/U393*100,1))</f>
        <v/>
      </c>
      <c r="AA393" s="27">
        <f>Y393*Assumptions!$B$4</f>
        <v/>
      </c>
      <c r="AB393" s="26">
        <f>IF(U393=0,"",ROUND(AA393/U393*100,1))</f>
        <v/>
      </c>
      <c r="AC393" s="27">
        <f>Y393-AA393</f>
        <v/>
      </c>
      <c r="AD393" s="26">
        <f>IF(U393=0,"",ROUND((Y393-AA393)/U393*100,1))</f>
        <v/>
      </c>
      <c r="AE393" s="34" t="inlineStr">
        <is>
          <t>PARTIAL — class III reconciled, other classes not</t>
        </is>
      </c>
      <c r="AF393" s="29" t="inlineStr">
        <is>
          <t>https://lrflideres.com.br/wp-content/plugins/download-attachments/includes/download.php?id=6252</t>
        </is>
      </c>
      <c r="AG393" s="28" t="inlineStr">
        <is>
          <t>p2 r65</t>
        </is>
      </c>
      <c r="AH393" s="28" t="inlineStr">
        <is>
          <t>p2: R$ 222.133,20</t>
        </is>
      </c>
      <c r="AI393" s="28" t="inlineStr">
        <is>
          <t>AJ list (art. 7 §2)</t>
        </is>
      </c>
      <c r="AJ393" s="28" t="inlineStr">
        <is>
          <t>2024-11-27</t>
        </is>
      </c>
      <c r="AK393" s="28" t="inlineStr">
        <is>
          <t>NONE FOUND</t>
        </is>
      </c>
      <c r="AL393" s="30" t="inlineStr">
        <is>
          <t>0000721-61.2024.8.17.2620</t>
        </is>
      </c>
      <c r="AM393" s="30" t="inlineStr">
        <is>
          <t>TJPE</t>
        </is>
      </c>
      <c r="AN393" s="30" t="inlineStr">
        <is>
          <t>ACTIVE</t>
        </is>
      </c>
      <c r="AO393" s="30" t="n">
        <v>2024</v>
      </c>
      <c r="AP393" s="30" t="inlineStr">
        <is>
          <t>live case, no plan document yet</t>
        </is>
      </c>
      <c r="AQ393" s="30" t="inlineStr">
        <is>
          <t>08.785.522/0001-58</t>
        </is>
      </c>
      <c r="AR393" s="30" t="inlineStr">
        <is>
          <t>printed on the list (read twice)</t>
        </is>
      </c>
      <c r="AS393" s="30" t="inlineStr"/>
      <c r="AT393" s="30" t="inlineStr"/>
      <c r="AU393" s="30" t="inlineStr"/>
      <c r="AV393" s="30" t="inlineStr"/>
      <c r="AW393" s="31" t="inlineStr"/>
      <c r="AX393" s="30" t="inlineStr">
        <is>
          <t>MID-MARKET</t>
        </is>
      </c>
      <c r="AY393" s="30" t="inlineStr">
        <is>
          <t>24504464</t>
        </is>
      </c>
      <c r="AZ393" s="30" t="n">
        <v>1</v>
      </c>
      <c r="BA393" s="30" t="inlineStr">
        <is>
          <t>LIKELY_FINANCIAL_BY_NAME PARTIAL_DOC_CLASS_III_RECONCILED ROWS:p2r65</t>
        </is>
      </c>
    </row>
    <row r="394">
      <c r="A394" s="16" t="inlineStr">
        <is>
          <t>TIME CONSULTORIA E FOMENTO MERCANTIL LTDA</t>
        </is>
      </c>
      <c r="B394" s="17" t="n">
        <v>864333.3</v>
      </c>
      <c r="C394" s="18" t="inlineStr">
        <is>
          <t>GRUPO ARNON DE MELLO</t>
        </is>
      </c>
      <c r="D394" s="19" t="inlineStr">
        <is>
          <t>NEW</t>
        </is>
      </c>
      <c r="E394" s="20" t="inlineStr"/>
      <c r="F394" s="19" t="inlineStr"/>
      <c r="G394" s="20" t="inlineStr"/>
      <c r="H394" s="19" t="inlineStr"/>
      <c r="I394" s="21" t="inlineStr"/>
      <c r="J394" s="21" t="inlineStr"/>
      <c r="K394" s="21" t="inlineStr"/>
      <c r="L394" s="21" t="inlineStr"/>
      <c r="M394" s="21" t="inlineStr"/>
      <c r="N394" s="21" t="inlineStr"/>
      <c r="O394" s="21" t="inlineStr"/>
      <c r="P394" s="21" t="inlineStr"/>
      <c r="Q394" s="21" t="inlineStr"/>
      <c r="R394" s="21" t="inlineStr"/>
      <c r="S394" s="21" t="inlineStr"/>
      <c r="T394" s="21" t="inlineStr">
        <is>
          <t>no named contact found</t>
        </is>
      </c>
      <c r="U394" s="22" t="n">
        <v>864333.3</v>
      </c>
      <c r="V394" s="38" t="inlineStr">
        <is>
          <t>C</t>
        </is>
      </c>
      <c r="W394" s="24">
        <f>IFERROR(VLOOKUP(V394,Assumptions!$A$7:$F$11,2,FALSE),0)</f>
        <v/>
      </c>
      <c r="X394" s="25">
        <f>IF(V394="A",MAX(1,IFERROR(VLOOKUP(V394,Assumptions!$A$7:$F$11,3,FALSE),3)+IFERROR(VLOOKUP(V394,Assumptions!$A$7:$F$11,4,FALSE),8)/2-MAX(0,IF(AO394="",0,YEAR(TODAY())-AO394)-IFERROR(VLOOKUP(V394,Assumptions!$A$7:$F$11,5,FALSE),1.5))),IFERROR(VLOOKUP(V394,Assumptions!$A$7:$F$11,5,FALSE),2.5)+IFERROR(VLOOKUP(V394,Assumptions!$A$7:$F$11,3,FALSE),3)+IFERROR(VLOOKUP(V394,Assumptions!$A$7:$F$11,4,FALSE),8)/2)</f>
        <v/>
      </c>
      <c r="Y394" s="22">
        <f>U394*W394/(1+Assumptions!$B$3)^X394</f>
        <v/>
      </c>
      <c r="Z394" s="26">
        <f>IF(U394=0,"",ROUND(Y394/U394*100,1))</f>
        <v/>
      </c>
      <c r="AA394" s="27">
        <f>Y394*Assumptions!$B$4</f>
        <v/>
      </c>
      <c r="AB394" s="26">
        <f>IF(U394=0,"",ROUND(AA394/U394*100,1))</f>
        <v/>
      </c>
      <c r="AC394" s="27">
        <f>Y394-AA394</f>
        <v/>
      </c>
      <c r="AD394" s="26">
        <f>IF(U394=0,"",ROUND((Y394-AA394)/U394*100,1))</f>
        <v/>
      </c>
      <c r="AE394" s="33" t="inlineStr">
        <is>
          <t>NO TOTALS — list prints none; check page</t>
        </is>
      </c>
      <c r="AF394" s="29" t="inlineStr">
        <is>
          <t>https://recuperacaojudicial.squarespace.com/s/RJ-Grupo-Arnon-de-Melo-Lista-de-Credores-Consolidada-abril-2022.pdf</t>
        </is>
      </c>
      <c r="AG394" s="28" t="inlineStr">
        <is>
          <t>p9 r39</t>
        </is>
      </c>
      <c r="AH394" s="28" t="inlineStr">
        <is>
          <t>p9: R$ 864.333,30</t>
        </is>
      </c>
      <c r="AI394" s="28" t="inlineStr">
        <is>
          <t>AJ list (art. 7 §2)</t>
        </is>
      </c>
      <c r="AJ394" s="28" t="inlineStr"/>
      <c r="AK394" s="28" t="inlineStr">
        <is>
          <t>NONE FOUND</t>
        </is>
      </c>
      <c r="AL394" s="30" t="inlineStr">
        <is>
          <t>0700256-03.2019.8.02.0066</t>
        </is>
      </c>
      <c r="AM394" s="30" t="inlineStr">
        <is>
          <t>TJAL</t>
        </is>
      </c>
      <c r="AN394" s="30" t="inlineStr"/>
      <c r="AO394" s="30" t="n">
        <v>2019</v>
      </c>
      <c r="AP394" s="30" t="inlineStr">
        <is>
          <t>7y since filing, no plan document</t>
        </is>
      </c>
      <c r="AQ394" s="30" t="inlineStr">
        <is>
          <t>12.503.801/0001-59</t>
        </is>
      </c>
      <c r="AR394" s="30" t="inlineStr">
        <is>
          <t>printed on the list (read twice)</t>
        </is>
      </c>
      <c r="AS394" s="30" t="inlineStr"/>
      <c r="AT394" s="30" t="inlineStr"/>
      <c r="AU394" s="30" t="inlineStr"/>
      <c r="AV394" s="30" t="inlineStr"/>
      <c r="AW394" s="31" t="inlineStr"/>
      <c r="AX394" s="30" t="inlineStr">
        <is>
          <t>MID-MARKET</t>
        </is>
      </c>
      <c r="AY394" s="30" t="inlineStr">
        <is>
          <t>03084842</t>
        </is>
      </c>
      <c r="AZ394" s="30" t="n">
        <v>1</v>
      </c>
      <c r="BA394" s="30" t="inlineStr">
        <is>
          <t>LIKELY_FINANCIAL_BY_NAME ROWS:p9r39 UNRECONCILED_SOURCE</t>
        </is>
      </c>
    </row>
    <row r="395">
      <c r="A395" s="16" t="inlineStr">
        <is>
          <t>CENTRUM – FUNDO DE INVESTIMENTO EM DIREITOS CREDITÓRIOS MULTISSETORIAL NÃO-PADRONIZADOS</t>
        </is>
      </c>
      <c r="B395" s="17" t="n">
        <v>216559.56</v>
      </c>
      <c r="C395" s="18" t="inlineStr">
        <is>
          <t>GRUPO LUMETRON</t>
        </is>
      </c>
      <c r="D395" s="19" t="inlineStr">
        <is>
          <t>NEW</t>
        </is>
      </c>
      <c r="E395" s="20" t="inlineStr"/>
      <c r="F395" s="19" t="inlineStr"/>
      <c r="G395" s="20" t="inlineStr"/>
      <c r="H395" s="19" t="inlineStr"/>
      <c r="I395" s="21" t="inlineStr"/>
      <c r="J395" s="21" t="inlineStr"/>
      <c r="K395" s="21" t="inlineStr"/>
      <c r="L395" s="21" t="inlineStr"/>
      <c r="M395" s="21" t="inlineStr"/>
      <c r="N395" s="21" t="inlineStr"/>
      <c r="O395" s="21" t="inlineStr"/>
      <c r="P395" s="21" t="inlineStr"/>
      <c r="Q395" s="21" t="inlineStr"/>
      <c r="R395" s="21" t="inlineStr"/>
      <c r="S395" s="21" t="inlineStr"/>
      <c r="T395" s="21" t="inlineStr">
        <is>
          <t>no named contact found</t>
        </is>
      </c>
      <c r="U395" s="22" t="n">
        <v>216559.56</v>
      </c>
      <c r="V395" s="23" t="inlineStr">
        <is>
          <t>B</t>
        </is>
      </c>
      <c r="W395" s="24">
        <f>IFERROR(VLOOKUP(V395,Assumptions!$A$7:$F$11,2,FALSE),0)</f>
        <v/>
      </c>
      <c r="X395" s="25">
        <f>IF(V395="A",MAX(1,IFERROR(VLOOKUP(V395,Assumptions!$A$7:$F$11,3,FALSE),3)+IFERROR(VLOOKUP(V395,Assumptions!$A$7:$F$11,4,FALSE),8)/2-MAX(0,IF(AO395="",0,YEAR(TODAY())-AO395)-IFERROR(VLOOKUP(V395,Assumptions!$A$7:$F$11,5,FALSE),1.5))),IFERROR(VLOOKUP(V395,Assumptions!$A$7:$F$11,5,FALSE),2.5)+IFERROR(VLOOKUP(V395,Assumptions!$A$7:$F$11,3,FALSE),3)+IFERROR(VLOOKUP(V395,Assumptions!$A$7:$F$11,4,FALSE),8)/2)</f>
        <v/>
      </c>
      <c r="Y395" s="22">
        <f>U395*W395/(1+Assumptions!$B$3)^X395</f>
        <v/>
      </c>
      <c r="Z395" s="26">
        <f>IF(U395=0,"",ROUND(Y395/U395*100,1))</f>
        <v/>
      </c>
      <c r="AA395" s="27">
        <f>Y395*Assumptions!$B$4</f>
        <v/>
      </c>
      <c r="AB395" s="26">
        <f>IF(U395=0,"",ROUND(AA395/U395*100,1))</f>
        <v/>
      </c>
      <c r="AC395" s="27">
        <f>Y395-AA395</f>
        <v/>
      </c>
      <c r="AD395" s="26">
        <f>IF(U395=0,"",ROUND((Y395-AA395)/U395*100,1))</f>
        <v/>
      </c>
      <c r="AE395" s="28" t="inlineStr">
        <is>
          <t>OK — totals reconciled</t>
        </is>
      </c>
      <c r="AF395" s="29" t="inlineStr">
        <is>
          <t>https://diligence.adm.br/wp-content/plugins/download-attachments/includes/download.php?id=6284</t>
        </is>
      </c>
      <c r="AG395" s="28" t="inlineStr">
        <is>
          <t>p5 r7</t>
        </is>
      </c>
      <c r="AH395" s="28" t="inlineStr">
        <is>
          <t>p5: R$ 216.559,56</t>
        </is>
      </c>
      <c r="AI395" s="28" t="inlineStr">
        <is>
          <t>AJ list (art. 7 §2)</t>
        </is>
      </c>
      <c r="AJ395" s="28" t="inlineStr">
        <is>
          <t>2026-07-22</t>
        </is>
      </c>
      <c r="AK395" s="28" t="inlineStr">
        <is>
          <t>NONE FOUND</t>
        </is>
      </c>
      <c r="AL395" s="30" t="inlineStr">
        <is>
          <t>0077403-37.2025.8.17.2001</t>
        </is>
      </c>
      <c r="AM395" s="30" t="inlineStr">
        <is>
          <t>TJPE</t>
        </is>
      </c>
      <c r="AN395" s="30" t="inlineStr">
        <is>
          <t>ACTIVE</t>
        </is>
      </c>
      <c r="AO395" s="30" t="n">
        <v>2025</v>
      </c>
      <c r="AP395" s="30" t="inlineStr">
        <is>
          <t>live case, no plan document yet</t>
        </is>
      </c>
      <c r="AQ395" s="30" t="inlineStr"/>
      <c r="AR395" s="30" t="inlineStr">
        <is>
          <t>printed on the list (read twice)</t>
        </is>
      </c>
      <c r="AS395" s="30" t="inlineStr"/>
      <c r="AT395" s="30" t="inlineStr"/>
      <c r="AU395" s="30" t="inlineStr"/>
      <c r="AV395" s="30" t="inlineStr"/>
      <c r="AW395" s="31" t="inlineStr"/>
      <c r="AX395" s="30" t="inlineStr">
        <is>
          <t>MID-MARKET</t>
        </is>
      </c>
      <c r="AY395" s="30" t="inlineStr">
        <is>
          <t>17213074</t>
        </is>
      </c>
      <c r="AZ395" s="30" t="n">
        <v>1</v>
      </c>
      <c r="BA395" s="30" t="inlineStr">
        <is>
          <t>LIKELY_FINANCIAL_BY_NAME ROWS:p5r7</t>
        </is>
      </c>
    </row>
    <row r="396">
      <c r="A396" s="16" t="inlineStr">
        <is>
          <t>RIOPAR PARTICIPACOES S.A.</t>
        </is>
      </c>
      <c r="B396" s="17" t="n">
        <v>215452.06</v>
      </c>
      <c r="C396" s="18" t="inlineStr">
        <is>
          <t>REAL DISTRIBUIDORA ÚNICA RIO COMÉRCIO DE REFRIGERAÇÃO LTDA.</t>
        </is>
      </c>
      <c r="D396" s="19" t="inlineStr">
        <is>
          <t>NEW</t>
        </is>
      </c>
      <c r="E396" s="20" t="inlineStr"/>
      <c r="F396" s="19" t="inlineStr"/>
      <c r="G396" s="20" t="inlineStr"/>
      <c r="H396" s="19" t="inlineStr"/>
      <c r="I396" s="21" t="inlineStr">
        <is>
          <t>Daniele Massoto</t>
        </is>
      </c>
      <c r="J396" s="21" t="inlineStr">
        <is>
          <t>Legal Manager</t>
        </is>
      </c>
      <c r="K396" s="21" t="inlineStr">
        <is>
          <t>(21) 3013-1415</t>
        </is>
      </c>
      <c r="L396" s="21" t="inlineStr"/>
      <c r="M396" s="21" t="inlineStr"/>
      <c r="N396" s="21" t="inlineStr"/>
      <c r="O396" s="21" t="inlineStr"/>
      <c r="P396" s="21" t="inlineStr">
        <is>
          <t>CASSIANO RICARDO GONSALVES RUSYCKI</t>
        </is>
      </c>
      <c r="Q396" s="21" t="inlineStr">
        <is>
          <t>Diretor (RFB partner)</t>
        </is>
      </c>
      <c r="R396" s="21" t="inlineStr"/>
      <c r="S396" s="21" t="inlineStr"/>
      <c r="T396" s="21" t="inlineStr">
        <is>
          <t>no work email found in Apollo</t>
        </is>
      </c>
      <c r="U396" s="22" t="n">
        <v>215452.06</v>
      </c>
      <c r="V396" s="23" t="inlineStr">
        <is>
          <t>B</t>
        </is>
      </c>
      <c r="W396" s="24">
        <f>IFERROR(VLOOKUP(V396,Assumptions!$A$7:$F$11,2,FALSE),0)</f>
        <v/>
      </c>
      <c r="X396" s="25">
        <f>IF(V396="A",MAX(1,IFERROR(VLOOKUP(V396,Assumptions!$A$7:$F$11,3,FALSE),3)+IFERROR(VLOOKUP(V396,Assumptions!$A$7:$F$11,4,FALSE),8)/2-MAX(0,IF(AO396="",0,YEAR(TODAY())-AO396)-IFERROR(VLOOKUP(V396,Assumptions!$A$7:$F$11,5,FALSE),1.5))),IFERROR(VLOOKUP(V396,Assumptions!$A$7:$F$11,5,FALSE),2.5)+IFERROR(VLOOKUP(V396,Assumptions!$A$7:$F$11,3,FALSE),3)+IFERROR(VLOOKUP(V396,Assumptions!$A$7:$F$11,4,FALSE),8)/2)</f>
        <v/>
      </c>
      <c r="Y396" s="22">
        <f>U396*W396/(1+Assumptions!$B$3)^X396</f>
        <v/>
      </c>
      <c r="Z396" s="26">
        <f>IF(U396=0,"",ROUND(Y396/U396*100,1))</f>
        <v/>
      </c>
      <c r="AA396" s="27">
        <f>Y396*Assumptions!$B$4</f>
        <v/>
      </c>
      <c r="AB396" s="26">
        <f>IF(U396=0,"",ROUND(AA396/U396*100,1))</f>
        <v/>
      </c>
      <c r="AC396" s="27">
        <f>Y396-AA396</f>
        <v/>
      </c>
      <c r="AD396" s="26">
        <f>IF(U396=0,"",ROUND((Y396-AA396)/U396*100,1))</f>
        <v/>
      </c>
      <c r="AE396" s="28" t="inlineStr">
        <is>
          <t>OK — totals reconciled</t>
        </is>
      </c>
      <c r="AF396" s="29" t="inlineStr">
        <is>
          <t>https://inova-aj.com.br/wp-content/uploads/2026/08/1a-Relacao-de-Credores-Real.pdf</t>
        </is>
      </c>
      <c r="AG396" s="28" t="inlineStr">
        <is>
          <t>p1 r48</t>
        </is>
      </c>
      <c r="AH396" s="28" t="inlineStr">
        <is>
          <t>p1: R$ 215.452,06</t>
        </is>
      </c>
      <c r="AI396" s="28" t="inlineStr">
        <is>
          <t>AJ list (art. 7 §2)</t>
        </is>
      </c>
      <c r="AJ396" s="28" t="inlineStr">
        <is>
          <t>2023-06-05</t>
        </is>
      </c>
      <c r="AK396" s="28" t="inlineStr">
        <is>
          <t>NONE FOUND</t>
        </is>
      </c>
      <c r="AL396" s="30" t="inlineStr">
        <is>
          <t>0873061-47.2023.8.19.0001</t>
        </is>
      </c>
      <c r="AM396" s="30" t="inlineStr">
        <is>
          <t>TJRJ</t>
        </is>
      </c>
      <c r="AN396" s="30" t="inlineStr"/>
      <c r="AO396" s="30" t="n">
        <v>2023</v>
      </c>
      <c r="AP396" s="30" t="inlineStr">
        <is>
          <t>live case, no plan document yet</t>
        </is>
      </c>
      <c r="AQ396" s="30" t="inlineStr"/>
      <c r="AR396" s="30" t="inlineStr">
        <is>
          <t>printed on the list (read twice)</t>
        </is>
      </c>
      <c r="AS396" s="30" t="inlineStr">
        <is>
          <t>RIO DE JANEIRO</t>
        </is>
      </c>
      <c r="AT396" s="30" t="inlineStr">
        <is>
          <t>RJ</t>
        </is>
      </c>
      <c r="AU396" s="30" t="inlineStr">
        <is>
          <t>Outras sociedades de participação, exceto holdings</t>
        </is>
      </c>
      <c r="AV396" s="30" t="inlineStr">
        <is>
          <t>DEMAIS</t>
        </is>
      </c>
      <c r="AW396" s="31" t="n">
        <v>317671.9</v>
      </c>
      <c r="AX396" s="30" t="inlineStr">
        <is>
          <t>MID-MARKET</t>
        </is>
      </c>
      <c r="AY396" s="30" t="inlineStr">
        <is>
          <t>16727386</t>
        </is>
      </c>
      <c r="AZ396" s="30" t="n">
        <v>1</v>
      </c>
      <c r="BA396" s="30" t="inlineStr">
        <is>
          <t>ALT_VALUE:R$156.656,93 ROWS:p1r48</t>
        </is>
      </c>
    </row>
    <row r="397">
      <c r="A397" s="16" t="inlineStr">
        <is>
          <t>ITAU UNIBANCO S.A.</t>
        </is>
      </c>
      <c r="B397" s="17" t="n">
        <v>209200</v>
      </c>
      <c r="C397" s="18" t="inlineStr">
        <is>
          <t>INDÚSTRIA DE PRODUTOS METALÚRGICOS DO NORDESTE LTDA (“METALLOUÇA”) – EM RECUPERAÇÃO JUDICIAL</t>
        </is>
      </c>
      <c r="D397" s="19" t="inlineStr">
        <is>
          <t>NEW</t>
        </is>
      </c>
      <c r="E397" s="20" t="inlineStr"/>
      <c r="F397" s="19" t="inlineStr"/>
      <c r="G397" s="20" t="inlineStr"/>
      <c r="H397" s="19" t="inlineStr"/>
      <c r="I397" s="21" t="inlineStr">
        <is>
          <t>Murilo Gigliucci</t>
        </is>
      </c>
      <c r="J397" s="21" t="inlineStr">
        <is>
          <t>Superintendente de Reestruturação de Crédito</t>
        </is>
      </c>
      <c r="K397" s="21" t="inlineStr">
        <is>
          <t>(11) 3003-4828</t>
        </is>
      </c>
      <c r="L397" s="21" t="inlineStr"/>
      <c r="M397" s="21" t="inlineStr"/>
      <c r="N397" s="21" t="inlineStr">
        <is>
          <t>murilo.gigliucci@itau-unibanco.com.br</t>
        </is>
      </c>
      <c r="O397" s="21" t="inlineStr">
        <is>
          <t>pedro.ornellas-geronimo@itau-unibanco.com.br</t>
        </is>
      </c>
      <c r="P397" s="21" t="inlineStr">
        <is>
          <t>Pedro Ornellas</t>
        </is>
      </c>
      <c r="Q397" s="21" t="inlineStr">
        <is>
          <t>Superintendente de Recuperação de Crédito</t>
        </is>
      </c>
      <c r="R397" s="21" t="inlineStr"/>
      <c r="S397" s="21" t="inlineStr">
        <is>
          <t>pedro.ornellas-geronimo@itau-unibanco.com.br</t>
        </is>
      </c>
      <c r="T397" s="21" t="inlineStr">
        <is>
          <t>email verified by Apollo</t>
        </is>
      </c>
      <c r="U397" s="22" t="n">
        <v>209200</v>
      </c>
      <c r="V397" s="23" t="inlineStr">
        <is>
          <t>B</t>
        </is>
      </c>
      <c r="W397" s="24">
        <f>IFERROR(VLOOKUP(V397,Assumptions!$A$7:$F$11,2,FALSE),0)</f>
        <v/>
      </c>
      <c r="X397" s="25">
        <f>IF(V397="A",MAX(1,IFERROR(VLOOKUP(V397,Assumptions!$A$7:$F$11,3,FALSE),3)+IFERROR(VLOOKUP(V397,Assumptions!$A$7:$F$11,4,FALSE),8)/2-MAX(0,IF(AO397="",0,YEAR(TODAY())-AO397)-IFERROR(VLOOKUP(V397,Assumptions!$A$7:$F$11,5,FALSE),1.5))),IFERROR(VLOOKUP(V397,Assumptions!$A$7:$F$11,5,FALSE),2.5)+IFERROR(VLOOKUP(V397,Assumptions!$A$7:$F$11,3,FALSE),3)+IFERROR(VLOOKUP(V397,Assumptions!$A$7:$F$11,4,FALSE),8)/2)</f>
        <v/>
      </c>
      <c r="Y397" s="22">
        <f>U397*W397/(1+Assumptions!$B$3)^X397</f>
        <v/>
      </c>
      <c r="Z397" s="26">
        <f>IF(U397=0,"",ROUND(Y397/U397*100,1))</f>
        <v/>
      </c>
      <c r="AA397" s="27">
        <f>Y397*Assumptions!$B$4</f>
        <v/>
      </c>
      <c r="AB397" s="26">
        <f>IF(U397=0,"",ROUND(AA397/U397*100,1))</f>
        <v/>
      </c>
      <c r="AC397" s="27">
        <f>Y397-AA397</f>
        <v/>
      </c>
      <c r="AD397" s="26">
        <f>IF(U397=0,"",ROUND((Y397-AA397)/U397*100,1))</f>
        <v/>
      </c>
      <c r="AE397" s="28" t="inlineStr">
        <is>
          <t>OK — totals reconciled</t>
        </is>
      </c>
      <c r="AF397" s="29" t="inlineStr">
        <is>
          <t>https://lrflideres.com.br/wp-content/uploads/2023/01/4.-EDITAL-2a-LISTA-DE-CREDORES-1.pdf</t>
        </is>
      </c>
      <c r="AG397" s="28" t="inlineStr">
        <is>
          <t>p2 r59</t>
        </is>
      </c>
      <c r="AH397" s="28" t="inlineStr">
        <is>
          <t>p2: R$ 209.200,00</t>
        </is>
      </c>
      <c r="AI397" s="28" t="inlineStr">
        <is>
          <t>AJ list (art. 7 §2)</t>
        </is>
      </c>
      <c r="AJ397" s="28" t="inlineStr">
        <is>
          <t>2023-11-24</t>
        </is>
      </c>
      <c r="AK397" s="28" t="inlineStr">
        <is>
          <t>NONE FOUND</t>
        </is>
      </c>
      <c r="AL397" s="30" t="inlineStr">
        <is>
          <t>0824037-95.2022.8.15.0001</t>
        </is>
      </c>
      <c r="AM397" s="30" t="inlineStr">
        <is>
          <t>TJPB</t>
        </is>
      </c>
      <c r="AN397" s="30" t="inlineStr">
        <is>
          <t>ACTIVE</t>
        </is>
      </c>
      <c r="AO397" s="30" t="n">
        <v>2022</v>
      </c>
      <c r="AP397" s="30" t="inlineStr">
        <is>
          <t>live case, no plan document yet</t>
        </is>
      </c>
      <c r="AQ397" s="30" t="inlineStr"/>
      <c r="AR397" s="30" t="inlineStr">
        <is>
          <t>printed on the list (read twice)</t>
        </is>
      </c>
      <c r="AS397" s="30" t="inlineStr">
        <is>
          <t>SAO PAULO</t>
        </is>
      </c>
      <c r="AT397" s="30" t="inlineStr">
        <is>
          <t>SP</t>
        </is>
      </c>
      <c r="AU397" s="30" t="inlineStr">
        <is>
          <t>Bancos comerciais</t>
        </is>
      </c>
      <c r="AV397" s="30" t="inlineStr">
        <is>
          <t>DEMAIS</t>
        </is>
      </c>
      <c r="AW397" s="31" t="n">
        <v>76200000000</v>
      </c>
      <c r="AX397" s="30" t="inlineStr">
        <is>
          <t>LARGE CORP</t>
        </is>
      </c>
      <c r="AY397" s="30" t="inlineStr">
        <is>
          <t>60701190</t>
        </is>
      </c>
      <c r="AZ397" s="30" t="n">
        <v>1</v>
      </c>
      <c r="BA397" s="30" t="inlineStr">
        <is>
          <t>LIKELY_FINANCIAL_BY_NAME ROWS:p2r59</t>
        </is>
      </c>
    </row>
    <row r="398">
      <c r="A398" s="16" t="inlineStr">
        <is>
          <t>BFC FUNDO DE INVESTIMENTO EM DIREITOS CREDITORIOS</t>
        </is>
      </c>
      <c r="B398" s="17" t="n">
        <v>203934.56</v>
      </c>
      <c r="C398" s="18" t="inlineStr">
        <is>
          <t>GRUPO DIVINA</t>
        </is>
      </c>
      <c r="D398" s="19" t="inlineStr">
        <is>
          <t>NEW</t>
        </is>
      </c>
      <c r="E398" s="20" t="inlineStr"/>
      <c r="F398" s="19" t="inlineStr"/>
      <c r="G398" s="20" t="inlineStr"/>
      <c r="H398" s="19" t="inlineStr"/>
      <c r="I398" s="21" t="inlineStr"/>
      <c r="J398" s="21" t="inlineStr"/>
      <c r="K398" s="21" t="inlineStr">
        <is>
          <t>(11) 2827-3500</t>
        </is>
      </c>
      <c r="L398" s="21" t="inlineStr"/>
      <c r="M398" s="21" t="inlineStr"/>
      <c r="N398" s="21" t="inlineStr"/>
      <c r="O398" s="21" t="inlineStr"/>
      <c r="P398" s="21" t="inlineStr"/>
      <c r="Q398" s="21" t="inlineStr"/>
      <c r="R398" s="21" t="inlineStr"/>
      <c r="S398" s="21" t="inlineStr"/>
      <c r="T398" s="21" t="inlineStr">
        <is>
          <t>no named contact found</t>
        </is>
      </c>
      <c r="U398" s="22" t="n">
        <v>203934.56</v>
      </c>
      <c r="V398" s="23" t="inlineStr">
        <is>
          <t>B</t>
        </is>
      </c>
      <c r="W398" s="24">
        <f>IFERROR(VLOOKUP(V398,Assumptions!$A$7:$F$11,2,FALSE),0)</f>
        <v/>
      </c>
      <c r="X398" s="25">
        <f>IF(V398="A",MAX(1,IFERROR(VLOOKUP(V398,Assumptions!$A$7:$F$11,3,FALSE),3)+IFERROR(VLOOKUP(V398,Assumptions!$A$7:$F$11,4,FALSE),8)/2-MAX(0,IF(AO398="",0,YEAR(TODAY())-AO398)-IFERROR(VLOOKUP(V398,Assumptions!$A$7:$F$11,5,FALSE),1.5))),IFERROR(VLOOKUP(V398,Assumptions!$A$7:$F$11,5,FALSE),2.5)+IFERROR(VLOOKUP(V398,Assumptions!$A$7:$F$11,3,FALSE),3)+IFERROR(VLOOKUP(V398,Assumptions!$A$7:$F$11,4,FALSE),8)/2)</f>
        <v/>
      </c>
      <c r="Y398" s="22">
        <f>U398*W398/(1+Assumptions!$B$3)^X398</f>
        <v/>
      </c>
      <c r="Z398" s="26">
        <f>IF(U398=0,"",ROUND(Y398/U398*100,1))</f>
        <v/>
      </c>
      <c r="AA398" s="27">
        <f>Y398*Assumptions!$B$4</f>
        <v/>
      </c>
      <c r="AB398" s="26">
        <f>IF(U398=0,"",ROUND(AA398/U398*100,1))</f>
        <v/>
      </c>
      <c r="AC398" s="27">
        <f>Y398-AA398</f>
        <v/>
      </c>
      <c r="AD398" s="26">
        <f>IF(U398=0,"",ROUND((Y398-AA398)/U398*100,1))</f>
        <v/>
      </c>
      <c r="AE398" s="34" t="inlineStr">
        <is>
          <t>PARTIAL — class III reconciled, other classes not</t>
        </is>
      </c>
      <c r="AF398" s="29" t="inlineStr">
        <is>
          <t>https://lrflideres.com.br/wp-content/plugins/download-attachments/includes/download.php?id=6252</t>
        </is>
      </c>
      <c r="AG398" s="28" t="inlineStr">
        <is>
          <t>p2 r19</t>
        </is>
      </c>
      <c r="AH398" s="28" t="inlineStr">
        <is>
          <t>p2: R$ 203.934,56</t>
        </is>
      </c>
      <c r="AI398" s="28" t="inlineStr">
        <is>
          <t>AJ list (art. 7 §2)</t>
        </is>
      </c>
      <c r="AJ398" s="28" t="inlineStr">
        <is>
          <t>2024-11-27</t>
        </is>
      </c>
      <c r="AK398" s="28" t="inlineStr">
        <is>
          <t>NONE FOUND</t>
        </is>
      </c>
      <c r="AL398" s="30" t="inlineStr">
        <is>
          <t>0000721-61.2024.8.17.2620</t>
        </is>
      </c>
      <c r="AM398" s="30" t="inlineStr">
        <is>
          <t>TJPE</t>
        </is>
      </c>
      <c r="AN398" s="30" t="inlineStr">
        <is>
          <t>ACTIVE</t>
        </is>
      </c>
      <c r="AO398" s="30" t="n">
        <v>2024</v>
      </c>
      <c r="AP398" s="30" t="inlineStr">
        <is>
          <t>live case, no plan document yet</t>
        </is>
      </c>
      <c r="AQ398" s="30" t="inlineStr">
        <is>
          <t>08.785.522/0001-58</t>
        </is>
      </c>
      <c r="AR398" s="30" t="inlineStr">
        <is>
          <t>printed on the list (read twice)</t>
        </is>
      </c>
      <c r="AS398" s="30" t="inlineStr">
        <is>
          <t>SAO PAULO</t>
        </is>
      </c>
      <c r="AT398" s="30" t="inlineStr">
        <is>
          <t>SP</t>
        </is>
      </c>
      <c r="AU398" s="30" t="inlineStr">
        <is>
          <t>Fundos de investimento, exceto previdenciários e imobiliários</t>
        </is>
      </c>
      <c r="AV398" s="30" t="inlineStr">
        <is>
          <t>DEMAIS</t>
        </is>
      </c>
      <c r="AW398" s="31" t="inlineStr"/>
      <c r="AX398" s="30" t="inlineStr">
        <is>
          <t>MID-MARKET</t>
        </is>
      </c>
      <c r="AY398" s="30" t="inlineStr">
        <is>
          <t>11507489</t>
        </is>
      </c>
      <c r="AZ398" s="30" t="n">
        <v>1</v>
      </c>
      <c r="BA398" s="30" t="inlineStr">
        <is>
          <t>LIKELY_FINANCIAL_BY_NAME PARTIAL_DOC_CLASS_III_RECONCILED ROWS:p2r19</t>
        </is>
      </c>
    </row>
    <row r="399">
      <c r="A399" s="16" t="inlineStr">
        <is>
          <t>ITAU UNIBANCO S.A.</t>
        </is>
      </c>
      <c r="B399" s="17" t="n">
        <v>203711.34</v>
      </c>
      <c r="C399" s="18" t="inlineStr">
        <is>
          <t>GRUPO IMPLASVERDE</t>
        </is>
      </c>
      <c r="D399" s="19" t="inlineStr">
        <is>
          <t>NEW</t>
        </is>
      </c>
      <c r="E399" s="20" t="inlineStr"/>
      <c r="F399" s="19" t="inlineStr"/>
      <c r="G399" s="20" t="inlineStr"/>
      <c r="H399" s="19" t="inlineStr"/>
      <c r="I399" s="21" t="inlineStr">
        <is>
          <t>Murilo Gigliucci</t>
        </is>
      </c>
      <c r="J399" s="21" t="inlineStr">
        <is>
          <t>Superintendente de Reestruturação de Crédito</t>
        </is>
      </c>
      <c r="K399" s="21" t="inlineStr">
        <is>
          <t>(11) 3003-4828</t>
        </is>
      </c>
      <c r="L399" s="21" t="inlineStr"/>
      <c r="M399" s="21" t="inlineStr"/>
      <c r="N399" s="21" t="inlineStr">
        <is>
          <t>murilo.gigliucci@itau-unibanco.com.br</t>
        </is>
      </c>
      <c r="O399" s="21" t="inlineStr">
        <is>
          <t>pedro.ornellas-geronimo@itau-unibanco.com.br</t>
        </is>
      </c>
      <c r="P399" s="21" t="inlineStr">
        <is>
          <t>Pedro Ornellas</t>
        </is>
      </c>
      <c r="Q399" s="21" t="inlineStr">
        <is>
          <t>Superintendente de Recuperação de Crédito</t>
        </is>
      </c>
      <c r="R399" s="21" t="inlineStr"/>
      <c r="S399" s="21" t="inlineStr">
        <is>
          <t>pedro.ornellas-geronimo@itau-unibanco.com.br</t>
        </is>
      </c>
      <c r="T399" s="21" t="inlineStr">
        <is>
          <t>email verified by Apollo</t>
        </is>
      </c>
      <c r="U399" s="22" t="n">
        <v>203711.34</v>
      </c>
      <c r="V399" s="23" t="inlineStr">
        <is>
          <t>B</t>
        </is>
      </c>
      <c r="W399" s="24">
        <f>IFERROR(VLOOKUP(V399,Assumptions!$A$7:$F$11,2,FALSE),0)</f>
        <v/>
      </c>
      <c r="X399" s="25">
        <f>IF(V399="A",MAX(1,IFERROR(VLOOKUP(V399,Assumptions!$A$7:$F$11,3,FALSE),3)+IFERROR(VLOOKUP(V399,Assumptions!$A$7:$F$11,4,FALSE),8)/2-MAX(0,IF(AO399="",0,YEAR(TODAY())-AO399)-IFERROR(VLOOKUP(V399,Assumptions!$A$7:$F$11,5,FALSE),1.5))),IFERROR(VLOOKUP(V399,Assumptions!$A$7:$F$11,5,FALSE),2.5)+IFERROR(VLOOKUP(V399,Assumptions!$A$7:$F$11,3,FALSE),3)+IFERROR(VLOOKUP(V399,Assumptions!$A$7:$F$11,4,FALSE),8)/2)</f>
        <v/>
      </c>
      <c r="Y399" s="22">
        <f>U399*W399/(1+Assumptions!$B$3)^X399</f>
        <v/>
      </c>
      <c r="Z399" s="26">
        <f>IF(U399=0,"",ROUND(Y399/U399*100,1))</f>
        <v/>
      </c>
      <c r="AA399" s="27">
        <f>Y399*Assumptions!$B$4</f>
        <v/>
      </c>
      <c r="AB399" s="26">
        <f>IF(U399=0,"",ROUND(AA399/U399*100,1))</f>
        <v/>
      </c>
      <c r="AC399" s="27">
        <f>Y399-AA399</f>
        <v/>
      </c>
      <c r="AD399" s="26">
        <f>IF(U399=0,"",ROUND((Y399-AA399)/U399*100,1))</f>
        <v/>
      </c>
      <c r="AE399" s="28" t="inlineStr">
        <is>
          <t>OK — totals reconciled</t>
        </is>
      </c>
      <c r="AF399" s="29" t="inlineStr">
        <is>
          <t>http://recuperacaojudicial.squarespace.com/s/LISTA-DE-CREDORES-CONSOLIDADA-ATE-04102024.pdf</t>
        </is>
      </c>
      <c r="AG399" s="28" t="inlineStr">
        <is>
          <t>p6 r13</t>
        </is>
      </c>
      <c r="AH399" s="28" t="inlineStr">
        <is>
          <t>p6: R$ 203.711,34</t>
        </is>
      </c>
      <c r="AI399" s="28" t="inlineStr">
        <is>
          <t>AJ list (art. 7 §2)</t>
        </is>
      </c>
      <c r="AJ399" s="28" t="inlineStr">
        <is>
          <t>2024-10-04</t>
        </is>
      </c>
      <c r="AK399" s="28" t="inlineStr">
        <is>
          <t>NONE FOUND</t>
        </is>
      </c>
      <c r="AL399" s="30" t="inlineStr">
        <is>
          <t>0800778-16.2023.8.20.5104</t>
        </is>
      </c>
      <c r="AM399" s="30" t="inlineStr">
        <is>
          <t>TJRN</t>
        </is>
      </c>
      <c r="AN399" s="30" t="inlineStr">
        <is>
          <t>ACTIVE</t>
        </is>
      </c>
      <c r="AO399" s="30" t="n">
        <v>2023</v>
      </c>
      <c r="AP399" s="30" t="inlineStr">
        <is>
          <t>live case, no plan document yet</t>
        </is>
      </c>
      <c r="AQ399" s="30" t="inlineStr"/>
      <c r="AR399" s="30" t="inlineStr">
        <is>
          <t>printed on the list (read twice)</t>
        </is>
      </c>
      <c r="AS399" s="30" t="inlineStr">
        <is>
          <t>SAO PAULO</t>
        </is>
      </c>
      <c r="AT399" s="30" t="inlineStr">
        <is>
          <t>SP</t>
        </is>
      </c>
      <c r="AU399" s="30" t="inlineStr">
        <is>
          <t>Bancos comerciais</t>
        </is>
      </c>
      <c r="AV399" s="30" t="inlineStr">
        <is>
          <t>DEMAIS</t>
        </is>
      </c>
      <c r="AW399" s="31" t="n">
        <v>76200000000</v>
      </c>
      <c r="AX399" s="30" t="inlineStr">
        <is>
          <t>LARGE CORP</t>
        </is>
      </c>
      <c r="AY399" s="30" t="inlineStr">
        <is>
          <t>60701190</t>
        </is>
      </c>
      <c r="AZ399" s="30" t="n">
        <v>1</v>
      </c>
      <c r="BA399" s="30" t="inlineStr">
        <is>
          <t>LIKELY_FINANCIAL_BY_NAME ROWS:p6r13 VALUE_COL:Valor_Do_Crédito</t>
        </is>
      </c>
    </row>
    <row r="400">
      <c r="A400" s="16" t="inlineStr">
        <is>
          <t>TRABALHO LTDA. BANCO COOPERATIVO SICREDI S.A.</t>
        </is>
      </c>
      <c r="B400" s="17" t="n">
        <v>1449579.2</v>
      </c>
      <c r="C400" s="18" t="inlineStr">
        <is>
          <t>EQUIP SEG INTELIGÊNCIA EM SEGURANÇA LTDA. E EQUIP SEG SERVIÇOS ESPECIALIZADOS LTDA.</t>
        </is>
      </c>
      <c r="D400" s="19" t="inlineStr">
        <is>
          <t>NEW</t>
        </is>
      </c>
      <c r="E400" s="20" t="inlineStr"/>
      <c r="F400" s="19" t="inlineStr"/>
      <c r="G400" s="20" t="inlineStr"/>
      <c r="H400" s="19" t="inlineStr"/>
      <c r="I400" s="21" t="inlineStr">
        <is>
          <t>Rafael Vignotto</t>
        </is>
      </c>
      <c r="J400" s="21" t="inlineStr">
        <is>
          <t>GPM - Recuperação de Crédito</t>
        </is>
      </c>
      <c r="K400" s="21" t="inlineStr"/>
      <c r="L400" s="21" t="inlineStr"/>
      <c r="M400" s="21" t="inlineStr"/>
      <c r="N400" s="21" t="inlineStr">
        <is>
          <t>rafael_vignotto@sicredi.com.br</t>
        </is>
      </c>
      <c r="O400" s="21" t="inlineStr">
        <is>
          <t>daniele_schallenberger@sicredi.com.br</t>
        </is>
      </c>
      <c r="P400" s="21" t="inlineStr">
        <is>
          <t>Daniele Schallenberger</t>
        </is>
      </c>
      <c r="Q400" s="21" t="inlineStr">
        <is>
          <t>Assessora Recuperação de Crédito</t>
        </is>
      </c>
      <c r="R400" s="21" t="inlineStr"/>
      <c r="S400" s="21" t="inlineStr">
        <is>
          <t>daniele_schallenberger@sicredi.com.br</t>
        </is>
      </c>
      <c r="T400" s="21" t="inlineStr">
        <is>
          <t>email verified by Apollo</t>
        </is>
      </c>
      <c r="U400" s="22" t="n">
        <v>1449579.2</v>
      </c>
      <c r="V400" s="39" t="inlineStr">
        <is>
          <t>D</t>
        </is>
      </c>
      <c r="W400" s="24">
        <f>IFERROR(VLOOKUP(V400,Assumptions!$A$7:$F$11,2,FALSE),0)</f>
        <v/>
      </c>
      <c r="X400" s="25">
        <f>IF(V400="A",MAX(1,IFERROR(VLOOKUP(V400,Assumptions!$A$7:$F$11,3,FALSE),3)+IFERROR(VLOOKUP(V400,Assumptions!$A$7:$F$11,4,FALSE),8)/2-MAX(0,IF(AO400="",0,YEAR(TODAY())-AO400)-IFERROR(VLOOKUP(V400,Assumptions!$A$7:$F$11,5,FALSE),1.5))),IFERROR(VLOOKUP(V400,Assumptions!$A$7:$F$11,5,FALSE),2.5)+IFERROR(VLOOKUP(V400,Assumptions!$A$7:$F$11,3,FALSE),3)+IFERROR(VLOOKUP(V400,Assumptions!$A$7:$F$11,4,FALSE),8)/2)</f>
        <v/>
      </c>
      <c r="Y400" s="22">
        <f>U400*W400/(1+Assumptions!$B$3)^X400</f>
        <v/>
      </c>
      <c r="Z400" s="26">
        <f>IF(U400=0,"",ROUND(Y400/U400*100,1))</f>
        <v/>
      </c>
      <c r="AA400" s="27">
        <f>Y400*Assumptions!$B$4</f>
        <v/>
      </c>
      <c r="AB400" s="26">
        <f>IF(U400=0,"",ROUND(AA400/U400*100,1))</f>
        <v/>
      </c>
      <c r="AC400" s="27">
        <f>Y400-AA400</f>
        <v/>
      </c>
      <c r="AD400" s="26">
        <f>IF(U400=0,"",ROUND((Y400-AA400)/U400*100,1))</f>
        <v/>
      </c>
      <c r="AE400" s="33" t="inlineStr">
        <is>
          <t>NO TOTALS — list prints none; check page</t>
        </is>
      </c>
      <c r="AF400" s="29" t="inlineStr">
        <is>
          <t>https://bbsadvogados.com.br/wp-content/uploads/2025/04/Equipseg-Edital-Relacao-de-Credores-da-Administradora-Judicial-art.-7o2o-da-LRF.pdf</t>
        </is>
      </c>
      <c r="AG400" s="28" t="inlineStr">
        <is>
          <t>p38 r4</t>
        </is>
      </c>
      <c r="AH400" s="28" t="inlineStr">
        <is>
          <t>p38: R$ 1.449.579,20</t>
        </is>
      </c>
      <c r="AI400" s="28" t="inlineStr">
        <is>
          <t>AJ list (art. 7 §2)</t>
        </is>
      </c>
      <c r="AJ400" s="28" t="inlineStr">
        <is>
          <t>2025-04-08</t>
        </is>
      </c>
      <c r="AK400" s="28" t="inlineStr">
        <is>
          <t>NONE FOUND</t>
        </is>
      </c>
      <c r="AL400" s="30" t="inlineStr">
        <is>
          <t>0033736-15.2023.8.16.0185</t>
        </is>
      </c>
      <c r="AM400" s="30" t="inlineStr">
        <is>
          <t>TJPR</t>
        </is>
      </c>
      <c r="AN400" s="30" t="inlineStr"/>
      <c r="AO400" s="30" t="n">
        <v>2023</v>
      </c>
      <c r="AP400" s="30" t="inlineStr">
        <is>
          <t>document is a falência (bankruptcy) list</t>
        </is>
      </c>
      <c r="AQ400" s="30" t="inlineStr"/>
      <c r="AR400" s="30" t="inlineStr">
        <is>
          <t>printed on the list (read twice)</t>
        </is>
      </c>
      <c r="AS400" s="30" t="inlineStr"/>
      <c r="AT400" s="30" t="inlineStr"/>
      <c r="AU400" s="30" t="inlineStr"/>
      <c r="AV400" s="30" t="inlineStr"/>
      <c r="AW400" s="31" t="inlineStr"/>
      <c r="AX400" s="30" t="inlineStr">
        <is>
          <t>MID-MARKET</t>
        </is>
      </c>
      <c r="AY400" s="30" t="inlineStr">
        <is>
          <t>01181521</t>
        </is>
      </c>
      <c r="AZ400" s="30" t="n">
        <v>1</v>
      </c>
      <c r="BA400" s="30" t="inlineStr">
        <is>
          <t>LIKELY_FINANCIAL_BY_NAME ROWS:p38r4 UNRECONCILED_SOURCE</t>
        </is>
      </c>
    </row>
    <row r="401">
      <c r="A401" s="16" t="inlineStr">
        <is>
          <t>MATRIZ FUNDO DE INVESTIMENTO EM DIREITOS CREDITORIOS</t>
        </is>
      </c>
      <c r="B401" s="17" t="n">
        <v>201560.62</v>
      </c>
      <c r="C401" s="18" t="inlineStr">
        <is>
          <t>Alto Uruguai Indústria e Comércio de Óleos Ltda</t>
        </is>
      </c>
      <c r="D401" s="19" t="inlineStr">
        <is>
          <t>NEW</t>
        </is>
      </c>
      <c r="E401" s="20" t="inlineStr"/>
      <c r="F401" s="19" t="inlineStr"/>
      <c r="G401" s="20" t="inlineStr"/>
      <c r="H401" s="19" t="inlineStr"/>
      <c r="I401" s="21" t="inlineStr">
        <is>
          <t>Matheus Metzner</t>
        </is>
      </c>
      <c r="J401" s="21" t="inlineStr">
        <is>
          <t>Credit Analyst</t>
        </is>
      </c>
      <c r="K401" s="21" t="inlineStr"/>
      <c r="L401" s="21" t="inlineStr"/>
      <c r="M401" s="21" t="inlineStr"/>
      <c r="N401" s="21" t="inlineStr"/>
      <c r="O401" s="21" t="inlineStr"/>
      <c r="P401" s="21" t="inlineStr"/>
      <c r="Q401" s="21" t="inlineStr"/>
      <c r="R401" s="21" t="inlineStr"/>
      <c r="S401" s="21" t="inlineStr"/>
      <c r="T401" s="21" t="inlineStr">
        <is>
          <t>DM email unavailable; VERIFY org: Matriz FIDC (headline says Gestor de Obras / CEO JG Business); no work email found in Apollo</t>
        </is>
      </c>
      <c r="U401" s="22" t="n">
        <v>201560.62</v>
      </c>
      <c r="V401" s="23" t="inlineStr">
        <is>
          <t>B</t>
        </is>
      </c>
      <c r="W401" s="24">
        <f>IFERROR(VLOOKUP(V401,Assumptions!$A$7:$F$11,2,FALSE),0)</f>
        <v/>
      </c>
      <c r="X401" s="25">
        <f>IF(V401="A",MAX(1,IFERROR(VLOOKUP(V401,Assumptions!$A$7:$F$11,3,FALSE),3)+IFERROR(VLOOKUP(V401,Assumptions!$A$7:$F$11,4,FALSE),8)/2-MAX(0,IF(AO401="",0,YEAR(TODAY())-AO401)-IFERROR(VLOOKUP(V401,Assumptions!$A$7:$F$11,5,FALSE),1.5))),IFERROR(VLOOKUP(V401,Assumptions!$A$7:$F$11,5,FALSE),2.5)+IFERROR(VLOOKUP(V401,Assumptions!$A$7:$F$11,3,FALSE),3)+IFERROR(VLOOKUP(V401,Assumptions!$A$7:$F$11,4,FALSE),8)/2)</f>
        <v/>
      </c>
      <c r="Y401" s="22">
        <f>U401*W401/(1+Assumptions!$B$3)^X401</f>
        <v/>
      </c>
      <c r="Z401" s="26">
        <f>IF(U401=0,"",ROUND(Y401/U401*100,1))</f>
        <v/>
      </c>
      <c r="AA401" s="27">
        <f>Y401*Assumptions!$B$4</f>
        <v/>
      </c>
      <c r="AB401" s="26">
        <f>IF(U401=0,"",ROUND(AA401/U401*100,1))</f>
        <v/>
      </c>
      <c r="AC401" s="27">
        <f>Y401-AA401</f>
        <v/>
      </c>
      <c r="AD401" s="26">
        <f>IF(U401=0,"",ROUND((Y401-AA401)/U401*100,1))</f>
        <v/>
      </c>
      <c r="AE401" s="28" t="inlineStr">
        <is>
          <t>OK — totals reconciled</t>
        </is>
      </c>
      <c r="AF401" s="29" t="inlineStr">
        <is>
          <t>https://ajruiz.com.br/sites/default/files/public/arquivos-processos/2026-06/alto_uruguai_qgc_junho.2026.pdf</t>
        </is>
      </c>
      <c r="AG401" s="28" t="inlineStr">
        <is>
          <t>p1 r27</t>
        </is>
      </c>
      <c r="AH401" s="28" t="inlineStr">
        <is>
          <t>p1: R$ 201.560,62</t>
        </is>
      </c>
      <c r="AI401" s="28" t="inlineStr">
        <is>
          <t>Unclassified list</t>
        </is>
      </c>
      <c r="AJ401" s="28" t="inlineStr"/>
      <c r="AK401" s="28" t="inlineStr">
        <is>
          <t>NONE FOUND</t>
        </is>
      </c>
      <c r="AL401" s="30" t="inlineStr">
        <is>
          <t>5012743-51.2023.8.24.0019</t>
        </is>
      </c>
      <c r="AM401" s="30" t="inlineStr">
        <is>
          <t>TJSC</t>
        </is>
      </c>
      <c r="AN401" s="30" t="inlineStr">
        <is>
          <t>ACTIVE</t>
        </is>
      </c>
      <c r="AO401" s="30" t="n">
        <v>2023</v>
      </c>
      <c r="AP401" s="30" t="inlineStr">
        <is>
          <t>live case, no plan document yet</t>
        </is>
      </c>
      <c r="AQ401" s="30" t="inlineStr"/>
      <c r="AR401" s="30" t="inlineStr">
        <is>
          <t>printed on the list (read twice)</t>
        </is>
      </c>
      <c r="AS401" s="30" t="inlineStr"/>
      <c r="AT401" s="30" t="inlineStr"/>
      <c r="AU401" s="30" t="inlineStr"/>
      <c r="AV401" s="30" t="inlineStr"/>
      <c r="AW401" s="31" t="inlineStr"/>
      <c r="AX401" s="30" t="inlineStr">
        <is>
          <t>MID-MARKET</t>
        </is>
      </c>
      <c r="AY401" s="30" t="inlineStr">
        <is>
          <t>32202903</t>
        </is>
      </c>
      <c r="AZ401" s="30" t="n">
        <v>1</v>
      </c>
      <c r="BA401" s="30" t="inlineStr">
        <is>
          <t>LIKELY_FINANCIAL_BY_NAME ROWS:p1r27 VALUE_COL:Valor_Do_Crédito</t>
        </is>
      </c>
    </row>
    <row r="402">
      <c r="A402" s="16" t="inlineStr">
        <is>
          <t>CAIXA ECONOMICA FEDERAL</t>
        </is>
      </c>
      <c r="B402" s="17" t="n">
        <v>1361785.37</v>
      </c>
      <c r="C402" s="18" t="inlineStr">
        <is>
          <t>MUNDO BIZARRO IMPORTACAO E EXPORTACAO LTDA</t>
        </is>
      </c>
      <c r="D402" s="19" t="inlineStr">
        <is>
          <t>NEW</t>
        </is>
      </c>
      <c r="E402" s="20" t="inlineStr"/>
      <c r="F402" s="19" t="inlineStr"/>
      <c r="G402" s="20" t="inlineStr"/>
      <c r="H402" s="19" t="inlineStr"/>
      <c r="I402" s="21" t="inlineStr">
        <is>
          <t>Livia Serikaku</t>
        </is>
      </c>
      <c r="J402" s="21" t="inlineStr">
        <is>
          <t>Gerente de Clientes e Negócios | Recuperação de Crédito</t>
        </is>
      </c>
      <c r="K402" s="21" t="inlineStr">
        <is>
          <t>(00) 4004-0104</t>
        </is>
      </c>
      <c r="L402" s="21" t="inlineStr"/>
      <c r="M402" s="21" t="inlineStr"/>
      <c r="N402" s="21" t="inlineStr"/>
      <c r="O402" s="21" t="inlineStr"/>
      <c r="P402" s="21" t="inlineStr">
        <is>
          <t>Rodolfo Trevizan</t>
        </is>
      </c>
      <c r="Q402" s="21" t="inlineStr">
        <is>
          <t>Investment Banking | Distressed Assets | Project Finance</t>
        </is>
      </c>
      <c r="R402" s="21" t="inlineStr"/>
      <c r="S402" s="21" t="inlineStr"/>
      <c r="T402" s="21" t="inlineStr">
        <is>
          <t>no work email found in Apollo</t>
        </is>
      </c>
      <c r="U402" s="22" t="n">
        <v>1361785.37</v>
      </c>
      <c r="V402" s="39" t="inlineStr">
        <is>
          <t>D</t>
        </is>
      </c>
      <c r="W402" s="24">
        <f>IFERROR(VLOOKUP(V402,Assumptions!$A$7:$F$11,2,FALSE),0)</f>
        <v/>
      </c>
      <c r="X402" s="25">
        <f>IF(V402="A",MAX(1,IFERROR(VLOOKUP(V402,Assumptions!$A$7:$F$11,3,FALSE),3)+IFERROR(VLOOKUP(V402,Assumptions!$A$7:$F$11,4,FALSE),8)/2-MAX(0,IF(AO402="",0,YEAR(TODAY())-AO402)-IFERROR(VLOOKUP(V402,Assumptions!$A$7:$F$11,5,FALSE),1.5))),IFERROR(VLOOKUP(V402,Assumptions!$A$7:$F$11,5,FALSE),2.5)+IFERROR(VLOOKUP(V402,Assumptions!$A$7:$F$11,3,FALSE),3)+IFERROR(VLOOKUP(V402,Assumptions!$A$7:$F$11,4,FALSE),8)/2)</f>
        <v/>
      </c>
      <c r="Y402" s="22">
        <f>U402*W402/(1+Assumptions!$B$3)^X402</f>
        <v/>
      </c>
      <c r="Z402" s="26">
        <f>IF(U402=0,"",ROUND(Y402/U402*100,1))</f>
        <v/>
      </c>
      <c r="AA402" s="27">
        <f>Y402*Assumptions!$B$4</f>
        <v/>
      </c>
      <c r="AB402" s="26">
        <f>IF(U402=0,"",ROUND(AA402/U402*100,1))</f>
        <v/>
      </c>
      <c r="AC402" s="27">
        <f>Y402-AA402</f>
        <v/>
      </c>
      <c r="AD402" s="26">
        <f>IF(U402=0,"",ROUND((Y402-AA402)/U402*100,1))</f>
        <v/>
      </c>
      <c r="AE402" s="33" t="inlineStr">
        <is>
          <t>NO TOTALS — list prints none; check page</t>
        </is>
      </c>
      <c r="AF402" s="29" t="inlineStr">
        <is>
          <t>https://administradorajudicialgs.com.br/wp-content/uploads/2024/10/relacao-de-credores-e-verificacao-de-credito-2025.pdf</t>
        </is>
      </c>
      <c r="AG402" s="28" t="inlineStr">
        <is>
          <t>p16 r4; p17 r3</t>
        </is>
      </c>
      <c r="AH402" s="28" t="inlineStr">
        <is>
          <t>p16: R$ 1.361.785,37; p17: R$ 1.361.785,37</t>
        </is>
      </c>
      <c r="AI402" s="28" t="inlineStr">
        <is>
          <t>AJ list (art. 7 §2)</t>
        </is>
      </c>
      <c r="AJ402" s="28" t="inlineStr">
        <is>
          <t>2025-04-24</t>
        </is>
      </c>
      <c r="AK402" s="28" t="inlineStr">
        <is>
          <t>NONE FOUND</t>
        </is>
      </c>
      <c r="AL402" s="30" t="inlineStr">
        <is>
          <t>5100227-29.2022.8.24.0023</t>
        </is>
      </c>
      <c r="AM402" s="30" t="inlineStr">
        <is>
          <t>TJSC</t>
        </is>
      </c>
      <c r="AN402" s="30" t="inlineStr"/>
      <c r="AO402" s="30" t="n">
        <v>2022</v>
      </c>
      <c r="AP402" s="30" t="inlineStr">
        <is>
          <t>document is a falência (bankruptcy) list</t>
        </is>
      </c>
      <c r="AQ402" s="30" t="inlineStr">
        <is>
          <t>05.316.275/0001-52</t>
        </is>
      </c>
      <c r="AR402" s="30" t="inlineStr">
        <is>
          <t>printed on the list (read twice)</t>
        </is>
      </c>
      <c r="AS402" s="30" t="inlineStr">
        <is>
          <t>BRASILIA</t>
        </is>
      </c>
      <c r="AT402" s="30" t="inlineStr">
        <is>
          <t>DF</t>
        </is>
      </c>
      <c r="AU402" s="30" t="inlineStr">
        <is>
          <t>Caixas econômicas</t>
        </is>
      </c>
      <c r="AV402" s="30" t="inlineStr">
        <is>
          <t>DEMAIS</t>
        </is>
      </c>
      <c r="AW402" s="31" t="n">
        <v>105300000000</v>
      </c>
      <c r="AX402" s="30" t="inlineStr">
        <is>
          <t>LARGE CORP</t>
        </is>
      </c>
      <c r="AY402" s="30" t="inlineStr">
        <is>
          <t>00360305</t>
        </is>
      </c>
      <c r="AZ402" s="30" t="n">
        <v>1</v>
      </c>
      <c r="BA402" s="30" t="inlineStr">
        <is>
          <t>ROWS:p16r4 UNRECONCILED_SOURCE</t>
        </is>
      </c>
    </row>
    <row r="403">
      <c r="A403" s="16" t="inlineStr">
        <is>
          <t>ZET CAPITAL TECNOLOGIA DE ATIVOS E FOMENTO LTDA</t>
        </is>
      </c>
      <c r="B403" s="17" t="n">
        <v>732433.67</v>
      </c>
      <c r="C403" s="18" t="inlineStr">
        <is>
          <t>VECTOR INDÚSTRIA DE PRODUTOS METALÚRGICOS LTDA.</t>
        </is>
      </c>
      <c r="D403" s="19" t="inlineStr">
        <is>
          <t>NEW</t>
        </is>
      </c>
      <c r="E403" s="20" t="inlineStr"/>
      <c r="F403" s="19" t="inlineStr"/>
      <c r="G403" s="20" t="inlineStr"/>
      <c r="H403" s="19" t="inlineStr"/>
      <c r="I403" s="21" t="inlineStr">
        <is>
          <t>PEDRO BEIERSDORF LORENZET</t>
        </is>
      </c>
      <c r="J403" s="21" t="inlineStr">
        <is>
          <t>Sócio-Administrador (RFB partner)</t>
        </is>
      </c>
      <c r="K403" s="21" t="inlineStr">
        <is>
          <t>(53) 9170-0404</t>
        </is>
      </c>
      <c r="L403" s="21" t="inlineStr"/>
      <c r="M403" s="21" t="inlineStr"/>
      <c r="N403" s="21" t="inlineStr"/>
      <c r="O403" s="21" t="inlineStr"/>
      <c r="P403" s="21" t="inlineStr"/>
      <c r="Q403" s="21" t="inlineStr"/>
      <c r="R403" s="21" t="inlineStr"/>
      <c r="S403" s="21" t="inlineStr"/>
      <c r="T403" s="21" t="inlineStr">
        <is>
          <t>RFB partner (QSA); no Apollo match</t>
        </is>
      </c>
      <c r="U403" s="22" t="n">
        <v>732433.67</v>
      </c>
      <c r="V403" s="38" t="inlineStr">
        <is>
          <t>C</t>
        </is>
      </c>
      <c r="W403" s="24">
        <f>IFERROR(VLOOKUP(V403,Assumptions!$A$7:$F$11,2,FALSE),0)</f>
        <v/>
      </c>
      <c r="X403" s="25">
        <f>IF(V403="A",MAX(1,IFERROR(VLOOKUP(V403,Assumptions!$A$7:$F$11,3,FALSE),3)+IFERROR(VLOOKUP(V403,Assumptions!$A$7:$F$11,4,FALSE),8)/2-MAX(0,IF(AO403="",0,YEAR(TODAY())-AO403)-IFERROR(VLOOKUP(V403,Assumptions!$A$7:$F$11,5,FALSE),1.5))),IFERROR(VLOOKUP(V403,Assumptions!$A$7:$F$11,5,FALSE),2.5)+IFERROR(VLOOKUP(V403,Assumptions!$A$7:$F$11,3,FALSE),3)+IFERROR(VLOOKUP(V403,Assumptions!$A$7:$F$11,4,FALSE),8)/2)</f>
        <v/>
      </c>
      <c r="Y403" s="22">
        <f>U403*W403/(1+Assumptions!$B$3)^X403</f>
        <v/>
      </c>
      <c r="Z403" s="26">
        <f>IF(U403=0,"",ROUND(Y403/U403*100,1))</f>
        <v/>
      </c>
      <c r="AA403" s="27">
        <f>Y403*Assumptions!$B$4</f>
        <v/>
      </c>
      <c r="AB403" s="26">
        <f>IF(U403=0,"",ROUND(AA403/U403*100,1))</f>
        <v/>
      </c>
      <c r="AC403" s="27">
        <f>Y403-AA403</f>
        <v/>
      </c>
      <c r="AD403" s="26">
        <f>IF(U403=0,"",ROUND((Y403-AA403)/U403*100,1))</f>
        <v/>
      </c>
      <c r="AE403" s="33" t="inlineStr">
        <is>
          <t>NO TOTALS — list prints none; check page</t>
        </is>
      </c>
      <c r="AF403" s="29" t="inlineStr">
        <is>
          <t>https://scalzilliaj.com.br/sgc/download.php?file=files/processo_documento/processo_documento15513401112022_1_.pdf&amp;nome=15 - Edital do art. 7º, §2º (segunda lista de credores) e do art. 53 da Lei 11.101/2005 (recebimento do plano)</t>
        </is>
      </c>
      <c r="AG403" s="28" t="inlineStr">
        <is>
          <t>p10 r38</t>
        </is>
      </c>
      <c r="AH403" s="28" t="inlineStr">
        <is>
          <t>p10: R$ 732.433,67</t>
        </is>
      </c>
      <c r="AI403" s="28" t="inlineStr">
        <is>
          <t>AJ list (art. 7 §2)</t>
        </is>
      </c>
      <c r="AJ403" s="28" t="inlineStr">
        <is>
          <t>2022-11-01</t>
        </is>
      </c>
      <c r="AK403" s="28" t="inlineStr">
        <is>
          <t>NONE FOUND</t>
        </is>
      </c>
      <c r="AL403" s="30" t="inlineStr">
        <is>
          <t>5014104-85.2021.8.21.0010</t>
        </is>
      </c>
      <c r="AM403" s="30" t="inlineStr">
        <is>
          <t>TJRS</t>
        </is>
      </c>
      <c r="AN403" s="30" t="inlineStr">
        <is>
          <t>ACTIVE</t>
        </is>
      </c>
      <c r="AO403" s="30" t="n">
        <v>2021</v>
      </c>
      <c r="AP403" s="30" t="inlineStr">
        <is>
          <t>5y since filing, no plan document</t>
        </is>
      </c>
      <c r="AQ403" s="30" t="inlineStr">
        <is>
          <t>03.018.339/0001-03</t>
        </is>
      </c>
      <c r="AR403" s="30" t="inlineStr">
        <is>
          <t>printed on the list (read twice)</t>
        </is>
      </c>
      <c r="AS403" s="30" t="inlineStr">
        <is>
          <t>PELOTAS</t>
        </is>
      </c>
      <c r="AT403" s="30" t="inlineStr">
        <is>
          <t>RS</t>
        </is>
      </c>
      <c r="AU403" s="30" t="inlineStr">
        <is>
          <t>Sociedades de fomento mercantil - factoring</t>
        </is>
      </c>
      <c r="AV403" s="30" t="inlineStr">
        <is>
          <t>DEMAIS</t>
        </is>
      </c>
      <c r="AW403" s="31" t="n">
        <v>200000</v>
      </c>
      <c r="AX403" s="30" t="inlineStr">
        <is>
          <t>MID-MARKET</t>
        </is>
      </c>
      <c r="AY403" s="30" t="inlineStr">
        <is>
          <t>32522072</t>
        </is>
      </c>
      <c r="AZ403" s="30" t="n">
        <v>1</v>
      </c>
      <c r="BA403" s="30" t="inlineStr">
        <is>
          <t>ROWS:p10r38 UNRECONCILED_SOURCE</t>
        </is>
      </c>
    </row>
    <row r="404">
      <c r="A404" s="16" t="inlineStr">
        <is>
          <t>BANCO SAFRA S A</t>
        </is>
      </c>
      <c r="B404" s="17" t="n">
        <v>1340263.4</v>
      </c>
      <c r="C404" s="18" t="inlineStr">
        <is>
          <t>EQUIP SEG INTELIGÊNCIA EM SEGURANÇA LTDA. E EQUIP SEG SERVIÇOS ESPECIALIZADOS LTDA.</t>
        </is>
      </c>
      <c r="D404" s="19" t="inlineStr">
        <is>
          <t>NEW</t>
        </is>
      </c>
      <c r="E404" s="20" t="inlineStr"/>
      <c r="F404" s="19" t="inlineStr"/>
      <c r="G404" s="20" t="inlineStr"/>
      <c r="H404" s="19" t="inlineStr"/>
      <c r="I404" s="21" t="inlineStr">
        <is>
          <t>Vanessa Biotti</t>
        </is>
      </c>
      <c r="J404" s="21" t="inlineStr">
        <is>
          <t>Gerente de Recuperação de Crédito</t>
        </is>
      </c>
      <c r="K404" s="21" t="inlineStr">
        <is>
          <t>(11) 3175-7575</t>
        </is>
      </c>
      <c r="L404" s="21" t="inlineStr"/>
      <c r="M404" s="21" t="inlineStr"/>
      <c r="N404" s="21" t="inlineStr">
        <is>
          <t>vanessa.biotti@safra.com.br</t>
        </is>
      </c>
      <c r="O404" s="21" t="inlineStr">
        <is>
          <t>rodrigo.anjos@safra.com.br</t>
        </is>
      </c>
      <c r="P404" s="21" t="inlineStr">
        <is>
          <t>Rodrigo Anjos</t>
        </is>
      </c>
      <c r="Q404" s="21" t="inlineStr">
        <is>
          <t>Advogado Sênior - Jurídico Contencioso - Recuperação de Crédito - NPL</t>
        </is>
      </c>
      <c r="R404" s="21" t="inlineStr"/>
      <c r="S404" s="21" t="inlineStr">
        <is>
          <t>rodrigo.anjos@safra.com.br</t>
        </is>
      </c>
      <c r="T404" s="21" t="inlineStr">
        <is>
          <t>email verified by Apollo</t>
        </is>
      </c>
      <c r="U404" s="22" t="n">
        <v>1340263.4</v>
      </c>
      <c r="V404" s="39" t="inlineStr">
        <is>
          <t>D</t>
        </is>
      </c>
      <c r="W404" s="24">
        <f>IFERROR(VLOOKUP(V404,Assumptions!$A$7:$F$11,2,FALSE),0)</f>
        <v/>
      </c>
      <c r="X404" s="25">
        <f>IF(V404="A",MAX(1,IFERROR(VLOOKUP(V404,Assumptions!$A$7:$F$11,3,FALSE),3)+IFERROR(VLOOKUP(V404,Assumptions!$A$7:$F$11,4,FALSE),8)/2-MAX(0,IF(AO404="",0,YEAR(TODAY())-AO404)-IFERROR(VLOOKUP(V404,Assumptions!$A$7:$F$11,5,FALSE),1.5))),IFERROR(VLOOKUP(V404,Assumptions!$A$7:$F$11,5,FALSE),2.5)+IFERROR(VLOOKUP(V404,Assumptions!$A$7:$F$11,3,FALSE),3)+IFERROR(VLOOKUP(V404,Assumptions!$A$7:$F$11,4,FALSE),8)/2)</f>
        <v/>
      </c>
      <c r="Y404" s="22">
        <f>U404*W404/(1+Assumptions!$B$3)^X404</f>
        <v/>
      </c>
      <c r="Z404" s="26">
        <f>IF(U404=0,"",ROUND(Y404/U404*100,1))</f>
        <v/>
      </c>
      <c r="AA404" s="27">
        <f>Y404*Assumptions!$B$4</f>
        <v/>
      </c>
      <c r="AB404" s="26">
        <f>IF(U404=0,"",ROUND(AA404/U404*100,1))</f>
        <v/>
      </c>
      <c r="AC404" s="27">
        <f>Y404-AA404</f>
        <v/>
      </c>
      <c r="AD404" s="26">
        <f>IF(U404=0,"",ROUND((Y404-AA404)/U404*100,1))</f>
        <v/>
      </c>
      <c r="AE404" s="33" t="inlineStr">
        <is>
          <t>NO TOTALS — list prints none; check page</t>
        </is>
      </c>
      <c r="AF404" s="29" t="inlineStr">
        <is>
          <t>https://bbsadvogados.com.br/wp-content/uploads/2025/04/Equipseg-Edital-Relacao-de-Credores-da-Administradora-Judicial-art.-7o2o-da-LRF.pdf</t>
        </is>
      </c>
      <c r="AG404" s="28" t="inlineStr">
        <is>
          <t>p38 r7</t>
        </is>
      </c>
      <c r="AH404" s="28" t="inlineStr">
        <is>
          <t>p38: R$ 1.340.263,40</t>
        </is>
      </c>
      <c r="AI404" s="28" t="inlineStr">
        <is>
          <t>AJ list (art. 7 §2)</t>
        </is>
      </c>
      <c r="AJ404" s="28" t="inlineStr">
        <is>
          <t>2025-04-08</t>
        </is>
      </c>
      <c r="AK404" s="28" t="inlineStr">
        <is>
          <t>NONE FOUND</t>
        </is>
      </c>
      <c r="AL404" s="30" t="inlineStr">
        <is>
          <t>0033736-15.2023.8.16.0185</t>
        </is>
      </c>
      <c r="AM404" s="30" t="inlineStr">
        <is>
          <t>TJPR</t>
        </is>
      </c>
      <c r="AN404" s="30" t="inlineStr"/>
      <c r="AO404" s="30" t="n">
        <v>2023</v>
      </c>
      <c r="AP404" s="30" t="inlineStr">
        <is>
          <t>document is a falência (bankruptcy) list</t>
        </is>
      </c>
      <c r="AQ404" s="30" t="inlineStr"/>
      <c r="AR404" s="30" t="inlineStr">
        <is>
          <t>printed on the list (read twice)</t>
        </is>
      </c>
      <c r="AS404" s="30" t="inlineStr">
        <is>
          <t>SAO PAULO</t>
        </is>
      </c>
      <c r="AT404" s="30" t="inlineStr">
        <is>
          <t>SP</t>
        </is>
      </c>
      <c r="AU404" s="30" t="inlineStr">
        <is>
          <t>Bancos múltiplos, com carteira comercial</t>
        </is>
      </c>
      <c r="AV404" s="30" t="inlineStr">
        <is>
          <t>DEMAIS</t>
        </is>
      </c>
      <c r="AW404" s="31" t="n">
        <v>13924903000</v>
      </c>
      <c r="AX404" s="30" t="inlineStr">
        <is>
          <t>LARGE CORP</t>
        </is>
      </c>
      <c r="AY404" s="30" t="inlineStr">
        <is>
          <t>58160789</t>
        </is>
      </c>
      <c r="AZ404" s="30" t="n">
        <v>1</v>
      </c>
      <c r="BA404" s="30" t="inlineStr">
        <is>
          <t>LIKELY_FINANCIAL_BY_NAME ROWS:p38r7 UNRECONCILED_SOURCE</t>
        </is>
      </c>
    </row>
    <row r="405">
      <c r="A405" s="16" t="inlineStr">
        <is>
          <t>BANCO BRADESCO S.A.</t>
        </is>
      </c>
      <c r="B405" s="17" t="n">
        <v>1263147.26</v>
      </c>
      <c r="C405" s="18" t="inlineStr">
        <is>
          <t>MUNDO BIZARRO IMPORTACAO E EXPORTACAO LTDA</t>
        </is>
      </c>
      <c r="D405" s="19" t="inlineStr">
        <is>
          <t>NEW</t>
        </is>
      </c>
      <c r="E405" s="20" t="inlineStr"/>
      <c r="F405" s="19" t="inlineStr"/>
      <c r="G405" s="20" t="inlineStr"/>
      <c r="H405" s="19" t="inlineStr"/>
      <c r="I405" s="21" t="inlineStr">
        <is>
          <t>Marcela Martins</t>
        </is>
      </c>
      <c r="J405" s="21" t="inlineStr">
        <is>
          <t>Superintendente de Recuperação de Crédito - Canais e Operações</t>
        </is>
      </c>
      <c r="K405" s="21" t="inlineStr">
        <is>
          <t>(11) 3684-5122</t>
        </is>
      </c>
      <c r="L405" s="21" t="inlineStr"/>
      <c r="M405" s="21" t="inlineStr"/>
      <c r="N405" s="21" t="inlineStr"/>
      <c r="O405" s="21" t="inlineStr">
        <is>
          <t>sl@bradesco.com.br</t>
        </is>
      </c>
      <c r="P405" s="21" t="inlineStr">
        <is>
          <t>Luis S</t>
        </is>
      </c>
      <c r="Q405" s="21" t="inlineStr">
        <is>
          <t>DRC - Departamento de Recuperação de Crédito - Gerente de Reestruturação de Crédito</t>
        </is>
      </c>
      <c r="R405" s="21" t="inlineStr"/>
      <c r="S405" s="21" t="inlineStr">
        <is>
          <t>sl@bradesco.com.br</t>
        </is>
      </c>
      <c r="T405" s="21" t="inlineStr">
        <is>
          <t>no work email found in Apollo</t>
        </is>
      </c>
      <c r="U405" s="22" t="n">
        <v>1263147.26</v>
      </c>
      <c r="V405" s="39" t="inlineStr">
        <is>
          <t>D</t>
        </is>
      </c>
      <c r="W405" s="24">
        <f>IFERROR(VLOOKUP(V405,Assumptions!$A$7:$F$11,2,FALSE),0)</f>
        <v/>
      </c>
      <c r="X405" s="25">
        <f>IF(V405="A",MAX(1,IFERROR(VLOOKUP(V405,Assumptions!$A$7:$F$11,3,FALSE),3)+IFERROR(VLOOKUP(V405,Assumptions!$A$7:$F$11,4,FALSE),8)/2-MAX(0,IF(AO405="",0,YEAR(TODAY())-AO405)-IFERROR(VLOOKUP(V405,Assumptions!$A$7:$F$11,5,FALSE),1.5))),IFERROR(VLOOKUP(V405,Assumptions!$A$7:$F$11,5,FALSE),2.5)+IFERROR(VLOOKUP(V405,Assumptions!$A$7:$F$11,3,FALSE),3)+IFERROR(VLOOKUP(V405,Assumptions!$A$7:$F$11,4,FALSE),8)/2)</f>
        <v/>
      </c>
      <c r="Y405" s="22">
        <f>U405*W405/(1+Assumptions!$B$3)^X405</f>
        <v/>
      </c>
      <c r="Z405" s="26">
        <f>IF(U405=0,"",ROUND(Y405/U405*100,1))</f>
        <v/>
      </c>
      <c r="AA405" s="27">
        <f>Y405*Assumptions!$B$4</f>
        <v/>
      </c>
      <c r="AB405" s="26">
        <f>IF(U405=0,"",ROUND(AA405/U405*100,1))</f>
        <v/>
      </c>
      <c r="AC405" s="27">
        <f>Y405-AA405</f>
        <v/>
      </c>
      <c r="AD405" s="26">
        <f>IF(U405=0,"",ROUND((Y405-AA405)/U405*100,1))</f>
        <v/>
      </c>
      <c r="AE405" s="33" t="inlineStr">
        <is>
          <t>NO TOTALS — list prints none; check page</t>
        </is>
      </c>
      <c r="AF405" s="29" t="inlineStr">
        <is>
          <t>https://administradorajudicialgs.com.br/wp-content/uploads/2024/10/relacao-de-credores-e-verificacao-de-credito-2025.pdf</t>
        </is>
      </c>
      <c r="AG405" s="28" t="inlineStr">
        <is>
          <t>p16 r1; p17 r1</t>
        </is>
      </c>
      <c r="AH405" s="28" t="inlineStr">
        <is>
          <t>p16: R$ 1.263.147,26; p17: R$ None</t>
        </is>
      </c>
      <c r="AI405" s="28" t="inlineStr">
        <is>
          <t>AJ list (art. 7 §2)</t>
        </is>
      </c>
      <c r="AJ405" s="28" t="inlineStr">
        <is>
          <t>2025-04-24</t>
        </is>
      </c>
      <c r="AK405" s="28" t="inlineStr">
        <is>
          <t>NONE FOUND</t>
        </is>
      </c>
      <c r="AL405" s="30" t="inlineStr">
        <is>
          <t>5100227-29.2022.8.24.0023</t>
        </is>
      </c>
      <c r="AM405" s="30" t="inlineStr">
        <is>
          <t>TJSC</t>
        </is>
      </c>
      <c r="AN405" s="30" t="inlineStr"/>
      <c r="AO405" s="30" t="n">
        <v>2022</v>
      </c>
      <c r="AP405" s="30" t="inlineStr">
        <is>
          <t>document is a falência (bankruptcy) list</t>
        </is>
      </c>
      <c r="AQ405" s="30" t="inlineStr">
        <is>
          <t>05.316.275/0001-52</t>
        </is>
      </c>
      <c r="AR405" s="30" t="inlineStr">
        <is>
          <t>printed on the list (read twice)</t>
        </is>
      </c>
      <c r="AS405" s="30" t="inlineStr">
        <is>
          <t>OSASCO</t>
        </is>
      </c>
      <c r="AT405" s="30" t="inlineStr">
        <is>
          <t>SP</t>
        </is>
      </c>
      <c r="AU405" s="30" t="inlineStr">
        <is>
          <t>Bancos múltiplos, com carteira comercial</t>
        </is>
      </c>
      <c r="AV405" s="30" t="inlineStr">
        <is>
          <t>DEMAIS</t>
        </is>
      </c>
      <c r="AW405" s="31" t="n">
        <v>93770000000</v>
      </c>
      <c r="AX405" s="30" t="inlineStr">
        <is>
          <t>LARGE CORP</t>
        </is>
      </c>
      <c r="AY405" s="30" t="inlineStr">
        <is>
          <t>60746948</t>
        </is>
      </c>
      <c r="AZ405" s="30" t="n">
        <v>1</v>
      </c>
      <c r="BA405" s="30" t="inlineStr">
        <is>
          <t>ROWS:p16r1 UNRECONCILED_SOURCE</t>
        </is>
      </c>
    </row>
    <row r="406">
      <c r="A406" s="16" t="inlineStr">
        <is>
          <t>DSX SECURITIZADORA S/A (</t>
        </is>
      </c>
      <c r="B406" s="17" t="n">
        <v>678577.46</v>
      </c>
      <c r="C406" s="18" t="inlineStr">
        <is>
          <t>VECTOR INDÚSTRIA DE PRODUTOS METALÚRGICOS LTDA.</t>
        </is>
      </c>
      <c r="D406" s="19" t="inlineStr">
        <is>
          <t>NEW</t>
        </is>
      </c>
      <c r="E406" s="20" t="inlineStr"/>
      <c r="F406" s="19" t="inlineStr"/>
      <c r="G406" s="20" t="inlineStr"/>
      <c r="H406" s="19" t="inlineStr"/>
      <c r="I406" s="21" t="inlineStr">
        <is>
          <t>Giovani Martins</t>
        </is>
      </c>
      <c r="J406" s="21" t="inlineStr">
        <is>
          <t>Gestor Financeiro e Controladoria</t>
        </is>
      </c>
      <c r="K406" s="21" t="inlineStr"/>
      <c r="L406" s="21" t="inlineStr"/>
      <c r="M406" s="21" t="inlineStr"/>
      <c r="N406" s="21" t="inlineStr">
        <is>
          <t>giovani@dsxfidc.com.br</t>
        </is>
      </c>
      <c r="O406" s="21" t="inlineStr"/>
      <c r="P406" s="21" t="inlineStr"/>
      <c r="Q406" s="21" t="inlineStr"/>
      <c r="R406" s="21" t="inlineStr"/>
      <c r="S406" s="21" t="inlineStr"/>
      <c r="T406" s="21" t="inlineStr">
        <is>
          <t>email is pattern-guessed, not verified</t>
        </is>
      </c>
      <c r="U406" s="22" t="n">
        <v>678577.46</v>
      </c>
      <c r="V406" s="38" t="inlineStr">
        <is>
          <t>C</t>
        </is>
      </c>
      <c r="W406" s="24">
        <f>IFERROR(VLOOKUP(V406,Assumptions!$A$7:$F$11,2,FALSE),0)</f>
        <v/>
      </c>
      <c r="X406" s="25">
        <f>IF(V406="A",MAX(1,IFERROR(VLOOKUP(V406,Assumptions!$A$7:$F$11,3,FALSE),3)+IFERROR(VLOOKUP(V406,Assumptions!$A$7:$F$11,4,FALSE),8)/2-MAX(0,IF(AO406="",0,YEAR(TODAY())-AO406)-IFERROR(VLOOKUP(V406,Assumptions!$A$7:$F$11,5,FALSE),1.5))),IFERROR(VLOOKUP(V406,Assumptions!$A$7:$F$11,5,FALSE),2.5)+IFERROR(VLOOKUP(V406,Assumptions!$A$7:$F$11,3,FALSE),3)+IFERROR(VLOOKUP(V406,Assumptions!$A$7:$F$11,4,FALSE),8)/2)</f>
        <v/>
      </c>
      <c r="Y406" s="22">
        <f>U406*W406/(1+Assumptions!$B$3)^X406</f>
        <v/>
      </c>
      <c r="Z406" s="26">
        <f>IF(U406=0,"",ROUND(Y406/U406*100,1))</f>
        <v/>
      </c>
      <c r="AA406" s="27">
        <f>Y406*Assumptions!$B$4</f>
        <v/>
      </c>
      <c r="AB406" s="26">
        <f>IF(U406=0,"",ROUND(AA406/U406*100,1))</f>
        <v/>
      </c>
      <c r="AC406" s="27">
        <f>Y406-AA406</f>
        <v/>
      </c>
      <c r="AD406" s="26">
        <f>IF(U406=0,"",ROUND((Y406-AA406)/U406*100,1))</f>
        <v/>
      </c>
      <c r="AE406" s="33" t="inlineStr">
        <is>
          <t>NO TOTALS — list prints none; check page</t>
        </is>
      </c>
      <c r="AF406" s="29" t="inlineStr">
        <is>
          <t>https://scalzilliaj.com.br/sgc/download.php?file=files/processo_documento/processo_documento15513401112022_1_.pdf&amp;nome=15 - Edital do art. 7º, §2º (segunda lista de credores) e do art. 53 da Lei 11.101/2005 (recebimento do plano)</t>
        </is>
      </c>
      <c r="AG406" s="28" t="inlineStr">
        <is>
          <t>p6 r37</t>
        </is>
      </c>
      <c r="AH406" s="28" t="inlineStr">
        <is>
          <t>p6: R$ 678.577,46</t>
        </is>
      </c>
      <c r="AI406" s="28" t="inlineStr">
        <is>
          <t>AJ list (art. 7 §2)</t>
        </is>
      </c>
      <c r="AJ406" s="28" t="inlineStr">
        <is>
          <t>2022-11-01</t>
        </is>
      </c>
      <c r="AK406" s="28" t="inlineStr">
        <is>
          <t>NONE FOUND</t>
        </is>
      </c>
      <c r="AL406" s="30" t="inlineStr">
        <is>
          <t>5014104-85.2021.8.21.0010</t>
        </is>
      </c>
      <c r="AM406" s="30" t="inlineStr">
        <is>
          <t>TJRS</t>
        </is>
      </c>
      <c r="AN406" s="30" t="inlineStr">
        <is>
          <t>ACTIVE</t>
        </is>
      </c>
      <c r="AO406" s="30" t="n">
        <v>2021</v>
      </c>
      <c r="AP406" s="30" t="inlineStr">
        <is>
          <t>5y since filing, no plan document</t>
        </is>
      </c>
      <c r="AQ406" s="30" t="inlineStr">
        <is>
          <t>03.018.339/0001-03</t>
        </is>
      </c>
      <c r="AR406" s="30" t="inlineStr">
        <is>
          <t>printed on the list (read twice)</t>
        </is>
      </c>
      <c r="AS406" s="30" t="inlineStr"/>
      <c r="AT406" s="30" t="inlineStr"/>
      <c r="AU406" s="30" t="inlineStr"/>
      <c r="AV406" s="30" t="inlineStr"/>
      <c r="AW406" s="31" t="inlineStr"/>
      <c r="AX406" s="30" t="inlineStr">
        <is>
          <t>MID-MARKET</t>
        </is>
      </c>
      <c r="AY406" s="30" t="inlineStr">
        <is>
          <t>23125558</t>
        </is>
      </c>
      <c r="AZ406" s="30" t="n">
        <v>1</v>
      </c>
      <c r="BA406" s="30" t="inlineStr">
        <is>
          <t>LIKELY_FINANCIAL_BY_NAME ROWS:p6r37 UNRECONCILED_SOURCE</t>
        </is>
      </c>
    </row>
    <row r="407">
      <c r="A407" s="16" t="inlineStr">
        <is>
          <t>CAIXA ECONOMICA FEDERAL</t>
        </is>
      </c>
      <c r="B407" s="17" t="n">
        <v>612992.66</v>
      </c>
      <c r="C407" s="18" t="inlineStr">
        <is>
          <t>DICARLO Móveis e Acessórios para Casa e Lojas Ltda</t>
        </is>
      </c>
      <c r="D407" s="19" t="inlineStr">
        <is>
          <t>NEW</t>
        </is>
      </c>
      <c r="E407" s="20" t="inlineStr"/>
      <c r="F407" s="19" t="inlineStr"/>
      <c r="G407" s="20" t="inlineStr"/>
      <c r="H407" s="19" t="inlineStr"/>
      <c r="I407" s="21" t="inlineStr">
        <is>
          <t>Livia Serikaku</t>
        </is>
      </c>
      <c r="J407" s="21" t="inlineStr">
        <is>
          <t>Gerente de Clientes e Negócios | Recuperação de Crédito</t>
        </is>
      </c>
      <c r="K407" s="21" t="inlineStr">
        <is>
          <t>(00) 4004-0104</t>
        </is>
      </c>
      <c r="L407" s="21" t="inlineStr"/>
      <c r="M407" s="21" t="inlineStr"/>
      <c r="N407" s="21" t="inlineStr"/>
      <c r="O407" s="21" t="inlineStr"/>
      <c r="P407" s="21" t="inlineStr">
        <is>
          <t>Rodolfo Trevizan</t>
        </is>
      </c>
      <c r="Q407" s="21" t="inlineStr">
        <is>
          <t>Investment Banking | Distressed Assets | Project Finance</t>
        </is>
      </c>
      <c r="R407" s="21" t="inlineStr"/>
      <c r="S407" s="21" t="inlineStr"/>
      <c r="T407" s="21" t="inlineStr">
        <is>
          <t>no work email found in Apollo</t>
        </is>
      </c>
      <c r="U407" s="22" t="n">
        <v>612992.66</v>
      </c>
      <c r="V407" s="38" t="inlineStr">
        <is>
          <t>C</t>
        </is>
      </c>
      <c r="W407" s="24">
        <f>IFERROR(VLOOKUP(V407,Assumptions!$A$7:$F$11,2,FALSE),0)</f>
        <v/>
      </c>
      <c r="X407" s="25">
        <f>IF(V407="A",MAX(1,IFERROR(VLOOKUP(V407,Assumptions!$A$7:$F$11,3,FALSE),3)+IFERROR(VLOOKUP(V407,Assumptions!$A$7:$F$11,4,FALSE),8)/2-MAX(0,IF(AO407="",0,YEAR(TODAY())-AO407)-IFERROR(VLOOKUP(V407,Assumptions!$A$7:$F$11,5,FALSE),1.5))),IFERROR(VLOOKUP(V407,Assumptions!$A$7:$F$11,5,FALSE),2.5)+IFERROR(VLOOKUP(V407,Assumptions!$A$7:$F$11,3,FALSE),3)+IFERROR(VLOOKUP(V407,Assumptions!$A$7:$F$11,4,FALSE),8)/2)</f>
        <v/>
      </c>
      <c r="Y407" s="22">
        <f>U407*W407/(1+Assumptions!$B$3)^X407</f>
        <v/>
      </c>
      <c r="Z407" s="26">
        <f>IF(U407=0,"",ROUND(Y407/U407*100,1))</f>
        <v/>
      </c>
      <c r="AA407" s="27">
        <f>Y407*Assumptions!$B$4</f>
        <v/>
      </c>
      <c r="AB407" s="26">
        <f>IF(U407=0,"",ROUND(AA407/U407*100,1))</f>
        <v/>
      </c>
      <c r="AC407" s="27">
        <f>Y407-AA407</f>
        <v/>
      </c>
      <c r="AD407" s="26">
        <f>IF(U407=0,"",ROUND((Y407-AA407)/U407*100,1))</f>
        <v/>
      </c>
      <c r="AE407" s="33" t="inlineStr">
        <is>
          <t>NO TOTALS — list prints none; check page</t>
        </is>
      </c>
      <c r="AF407" s="29" t="inlineStr">
        <is>
          <t>https://administradorajudicialgs.com.br/wp-content/uploads/2023/08/edital-quadro-geral-de-credores.pdf</t>
        </is>
      </c>
      <c r="AG407" s="28" t="inlineStr">
        <is>
          <t>p2 r19</t>
        </is>
      </c>
      <c r="AH407" s="28" t="inlineStr">
        <is>
          <t>p2: R$ 612.992,66</t>
        </is>
      </c>
      <c r="AI407" s="28" t="inlineStr">
        <is>
          <t>QGC (art. 18)</t>
        </is>
      </c>
      <c r="AJ407" s="28" t="inlineStr">
        <is>
          <t>2024-07-05</t>
        </is>
      </c>
      <c r="AK407" s="28" t="inlineStr">
        <is>
          <t>NONE FOUND</t>
        </is>
      </c>
      <c r="AL407" s="30" t="inlineStr">
        <is>
          <t>0301015-33.2016.8.24.0031</t>
        </is>
      </c>
      <c r="AM407" s="30" t="inlineStr">
        <is>
          <t>TJSC</t>
        </is>
      </c>
      <c r="AN407" s="30" t="inlineStr"/>
      <c r="AO407" s="30" t="n">
        <v>2016</v>
      </c>
      <c r="AP407" s="30" t="inlineStr">
        <is>
          <t>10y since filing, no plan document</t>
        </is>
      </c>
      <c r="AQ407" s="30" t="inlineStr">
        <is>
          <t>01.314.776/0001-49</t>
        </is>
      </c>
      <c r="AR407" s="30" t="inlineStr">
        <is>
          <t>printed on the list (read twice)</t>
        </is>
      </c>
      <c r="AS407" s="30" t="inlineStr">
        <is>
          <t>BRASILIA</t>
        </is>
      </c>
      <c r="AT407" s="30" t="inlineStr">
        <is>
          <t>DF</t>
        </is>
      </c>
      <c r="AU407" s="30" t="inlineStr">
        <is>
          <t>Caixas econômicas</t>
        </is>
      </c>
      <c r="AV407" s="30" t="inlineStr">
        <is>
          <t>DEMAIS</t>
        </is>
      </c>
      <c r="AW407" s="31" t="n">
        <v>105300000000</v>
      </c>
      <c r="AX407" s="30" t="inlineStr">
        <is>
          <t>LARGE CORP</t>
        </is>
      </c>
      <c r="AY407" s="30" t="inlineStr">
        <is>
          <t>00360305</t>
        </is>
      </c>
      <c r="AZ407" s="30" t="n">
        <v>1</v>
      </c>
      <c r="BA407" s="30" t="inlineStr">
        <is>
          <t>LIKELY_FINANCIAL_BY_NAME ROWS:p2r19 UNRECONCILED_SOURCE</t>
        </is>
      </c>
    </row>
    <row r="408">
      <c r="A408" s="16" t="inlineStr">
        <is>
          <t>ITAU UNIBANCO S.A.</t>
        </is>
      </c>
      <c r="B408" s="17" t="n">
        <v>585201.4</v>
      </c>
      <c r="C408" s="18" t="inlineStr">
        <is>
          <t>CONFECÇÕES ANDRIMALHAS LTDA</t>
        </is>
      </c>
      <c r="D408" s="19" t="inlineStr">
        <is>
          <t>NEW</t>
        </is>
      </c>
      <c r="E408" s="20" t="inlineStr"/>
      <c r="F408" s="19" t="inlineStr"/>
      <c r="G408" s="20" t="inlineStr"/>
      <c r="H408" s="19" t="inlineStr"/>
      <c r="I408" s="21" t="inlineStr">
        <is>
          <t>Murilo Gigliucci</t>
        </is>
      </c>
      <c r="J408" s="21" t="inlineStr">
        <is>
          <t>Superintendente de Reestruturação de Crédito</t>
        </is>
      </c>
      <c r="K408" s="21" t="inlineStr">
        <is>
          <t>(11) 3003-4828</t>
        </is>
      </c>
      <c r="L408" s="21" t="inlineStr"/>
      <c r="M408" s="21" t="inlineStr"/>
      <c r="N408" s="21" t="inlineStr">
        <is>
          <t>murilo.gigliucci@itau-unibanco.com.br</t>
        </is>
      </c>
      <c r="O408" s="21" t="inlineStr">
        <is>
          <t>pedro.ornellas-geronimo@itau-unibanco.com.br</t>
        </is>
      </c>
      <c r="P408" s="21" t="inlineStr">
        <is>
          <t>Pedro Ornellas</t>
        </is>
      </c>
      <c r="Q408" s="21" t="inlineStr">
        <is>
          <t>Superintendente de Recuperação de Crédito</t>
        </is>
      </c>
      <c r="R408" s="21" t="inlineStr"/>
      <c r="S408" s="21" t="inlineStr">
        <is>
          <t>pedro.ornellas-geronimo@itau-unibanco.com.br</t>
        </is>
      </c>
      <c r="T408" s="21" t="inlineStr">
        <is>
          <t>email verified by Apollo</t>
        </is>
      </c>
      <c r="U408" s="22" t="n">
        <v>585201.4</v>
      </c>
      <c r="V408" s="38" t="inlineStr">
        <is>
          <t>C</t>
        </is>
      </c>
      <c r="W408" s="24">
        <f>IFERROR(VLOOKUP(V408,Assumptions!$A$7:$F$11,2,FALSE),0)</f>
        <v/>
      </c>
      <c r="X408" s="25">
        <f>IF(V408="A",MAX(1,IFERROR(VLOOKUP(V408,Assumptions!$A$7:$F$11,3,FALSE),3)+IFERROR(VLOOKUP(V408,Assumptions!$A$7:$F$11,4,FALSE),8)/2-MAX(0,IF(AO408="",0,YEAR(TODAY())-AO408)-IFERROR(VLOOKUP(V408,Assumptions!$A$7:$F$11,5,FALSE),1.5))),IFERROR(VLOOKUP(V408,Assumptions!$A$7:$F$11,5,FALSE),2.5)+IFERROR(VLOOKUP(V408,Assumptions!$A$7:$F$11,3,FALSE),3)+IFERROR(VLOOKUP(V408,Assumptions!$A$7:$F$11,4,FALSE),8)/2)</f>
        <v/>
      </c>
      <c r="Y408" s="22">
        <f>U408*W408/(1+Assumptions!$B$3)^X408</f>
        <v/>
      </c>
      <c r="Z408" s="26">
        <f>IF(U408=0,"",ROUND(Y408/U408*100,1))</f>
        <v/>
      </c>
      <c r="AA408" s="27">
        <f>Y408*Assumptions!$B$4</f>
        <v/>
      </c>
      <c r="AB408" s="26">
        <f>IF(U408=0,"",ROUND(AA408/U408*100,1))</f>
        <v/>
      </c>
      <c r="AC408" s="27">
        <f>Y408-AA408</f>
        <v/>
      </c>
      <c r="AD408" s="26">
        <f>IF(U408=0,"",ROUND((Y408-AA408)/U408*100,1))</f>
        <v/>
      </c>
      <c r="AE408" s="34" t="inlineStr">
        <is>
          <t>PARTIAL — class III reconciled, other classes not</t>
        </is>
      </c>
      <c r="AF408" s="29" t="inlineStr">
        <is>
          <t>https://administradorajudicialgs.com.br/wp-content/uploads/2023/08/doc-06-relacao-credores-do-administrador-judicial-10-02-2015.pdf</t>
        </is>
      </c>
      <c r="AG408" s="28" t="inlineStr">
        <is>
          <t>p1 r36</t>
        </is>
      </c>
      <c r="AH408" s="28" t="inlineStr">
        <is>
          <t>p1: R$ 585.201,40</t>
        </is>
      </c>
      <c r="AI408" s="28" t="inlineStr">
        <is>
          <t>AJ list (art. 7 §2)</t>
        </is>
      </c>
      <c r="AJ408" s="28" t="inlineStr"/>
      <c r="AK408" s="28" t="inlineStr">
        <is>
          <t>NONE FOUND</t>
        </is>
      </c>
      <c r="AL408" s="30" t="inlineStr">
        <is>
          <t>0302174-63.2015.8.24.0025</t>
        </is>
      </c>
      <c r="AM408" s="30" t="inlineStr">
        <is>
          <t>TJSC</t>
        </is>
      </c>
      <c r="AN408" s="30" t="inlineStr"/>
      <c r="AO408" s="30" t="n">
        <v>2015</v>
      </c>
      <c r="AP408" s="30" t="inlineStr">
        <is>
          <t>11y since filing, no plan document</t>
        </is>
      </c>
      <c r="AQ408" s="30" t="inlineStr"/>
      <c r="AR408" s="30" t="inlineStr">
        <is>
          <t>printed on the list (read twice)</t>
        </is>
      </c>
      <c r="AS408" s="30" t="inlineStr">
        <is>
          <t>SAO PAULO</t>
        </is>
      </c>
      <c r="AT408" s="30" t="inlineStr">
        <is>
          <t>SP</t>
        </is>
      </c>
      <c r="AU408" s="30" t="inlineStr">
        <is>
          <t>Bancos comerciais</t>
        </is>
      </c>
      <c r="AV408" s="30" t="inlineStr">
        <is>
          <t>DEMAIS</t>
        </is>
      </c>
      <c r="AW408" s="31" t="n">
        <v>76200000000</v>
      </c>
      <c r="AX408" s="30" t="inlineStr">
        <is>
          <t>LARGE CORP</t>
        </is>
      </c>
      <c r="AY408" s="30" t="inlineStr">
        <is>
          <t>60701190</t>
        </is>
      </c>
      <c r="AZ408" s="30" t="n">
        <v>1</v>
      </c>
      <c r="BA408" s="30" t="inlineStr">
        <is>
          <t>LIKELY_FINANCIAL_BY_NAME PARTIAL_DOC_CLASS_III_RECONCILED ROWS:p1r36 VALUE_COL:Valores</t>
        </is>
      </c>
    </row>
    <row r="409">
      <c r="A409" s="16" t="inlineStr">
        <is>
          <t>BANCO VOTORANTIM S.A.</t>
        </is>
      </c>
      <c r="B409" s="17" t="n">
        <v>582719.9</v>
      </c>
      <c r="C409" s="18" t="inlineStr">
        <is>
          <t>BLUTRAFOS BLUMENAU TRANSFORMADORES LTDA</t>
        </is>
      </c>
      <c r="D409" s="19" t="inlineStr">
        <is>
          <t>NEW</t>
        </is>
      </c>
      <c r="E409" s="20" t="inlineStr"/>
      <c r="F409" s="19" t="inlineStr"/>
      <c r="G409" s="20" t="inlineStr"/>
      <c r="H409" s="19" t="inlineStr"/>
      <c r="I409" s="21" t="inlineStr">
        <is>
          <t>Red Silva</t>
        </is>
      </c>
      <c r="J409" s="21" t="inlineStr">
        <is>
          <t>Special Assets - Banker Senior</t>
        </is>
      </c>
      <c r="K409" s="21" t="inlineStr">
        <is>
          <t>(11) 5171-2672</t>
        </is>
      </c>
      <c r="L409" s="21" t="inlineStr">
        <is>
          <t>(11) 5171-2488</t>
        </is>
      </c>
      <c r="M409" s="21" t="inlineStr"/>
      <c r="N409" s="21" t="inlineStr">
        <is>
          <t>red.silva@bv.com.br</t>
        </is>
      </c>
      <c r="O409" s="21" t="inlineStr">
        <is>
          <t>caroline.oishi@bv.com.br</t>
        </is>
      </c>
      <c r="P409" s="21" t="inlineStr">
        <is>
          <t>Caroline Oishi</t>
        </is>
      </c>
      <c r="Q409" s="21" t="inlineStr">
        <is>
          <t>Gerente Executivo de Recuperação de Crédito</t>
        </is>
      </c>
      <c r="R409" s="21" t="inlineStr"/>
      <c r="S409" s="21" t="inlineStr">
        <is>
          <t>caroline.oishi@bv.com.br</t>
        </is>
      </c>
      <c r="T409" s="21" t="inlineStr">
        <is>
          <t>email verified by Apollo</t>
        </is>
      </c>
      <c r="U409" s="22" t="n">
        <v>582719.9</v>
      </c>
      <c r="V409" s="38" t="inlineStr">
        <is>
          <t>C</t>
        </is>
      </c>
      <c r="W409" s="24">
        <f>IFERROR(VLOOKUP(V409,Assumptions!$A$7:$F$11,2,FALSE),0)</f>
        <v/>
      </c>
      <c r="X409" s="25">
        <f>IF(V409="A",MAX(1,IFERROR(VLOOKUP(V409,Assumptions!$A$7:$F$11,3,FALSE),3)+IFERROR(VLOOKUP(V409,Assumptions!$A$7:$F$11,4,FALSE),8)/2-MAX(0,IF(AO409="",0,YEAR(TODAY())-AO409)-IFERROR(VLOOKUP(V409,Assumptions!$A$7:$F$11,5,FALSE),1.5))),IFERROR(VLOOKUP(V409,Assumptions!$A$7:$F$11,5,FALSE),2.5)+IFERROR(VLOOKUP(V409,Assumptions!$A$7:$F$11,3,FALSE),3)+IFERROR(VLOOKUP(V409,Assumptions!$A$7:$F$11,4,FALSE),8)/2)</f>
        <v/>
      </c>
      <c r="Y409" s="22">
        <f>U409*W409/(1+Assumptions!$B$3)^X409</f>
        <v/>
      </c>
      <c r="Z409" s="26">
        <f>IF(U409=0,"",ROUND(Y409/U409*100,1))</f>
        <v/>
      </c>
      <c r="AA409" s="27">
        <f>Y409*Assumptions!$B$4</f>
        <v/>
      </c>
      <c r="AB409" s="26">
        <f>IF(U409=0,"",ROUND(AA409/U409*100,1))</f>
        <v/>
      </c>
      <c r="AC409" s="27">
        <f>Y409-AA409</f>
        <v/>
      </c>
      <c r="AD409" s="26">
        <f>IF(U409=0,"",ROUND((Y409-AA409)/U409*100,1))</f>
        <v/>
      </c>
      <c r="AE409" s="28" t="inlineStr">
        <is>
          <t>OK — totals reconciled</t>
        </is>
      </c>
      <c r="AF409" s="29" t="inlineStr">
        <is>
          <t>https://administradorajudicialgs.com.br/wp-content/uploads/2023/08/advogados-sgrott-doc-22-relacao-de-credores-do-administrador-judicial-classe-iii-05-02-14.pdf</t>
        </is>
      </c>
      <c r="AG409" s="28" t="inlineStr">
        <is>
          <t>p1 r36</t>
        </is>
      </c>
      <c r="AH409" s="28" t="inlineStr">
        <is>
          <t>p1: R$ 582.719,90</t>
        </is>
      </c>
      <c r="AI409" s="28" t="inlineStr">
        <is>
          <t>Unclassified list</t>
        </is>
      </c>
      <c r="AJ409" s="28" t="inlineStr"/>
      <c r="AK409" s="28" t="inlineStr">
        <is>
          <t>NONE FOUND</t>
        </is>
      </c>
      <c r="AL409" s="30" t="inlineStr">
        <is>
          <t>0022845-08.2013.8.24.0008</t>
        </is>
      </c>
      <c r="AM409" s="30" t="inlineStr">
        <is>
          <t>TJSC</t>
        </is>
      </c>
      <c r="AN409" s="30" t="inlineStr"/>
      <c r="AO409" s="30" t="n">
        <v>2013</v>
      </c>
      <c r="AP409" s="30" t="inlineStr">
        <is>
          <t>13y since filing, no plan document</t>
        </is>
      </c>
      <c r="AQ409" s="30" t="inlineStr"/>
      <c r="AR409" s="30" t="inlineStr">
        <is>
          <t>portal page title / URL — not printed on the list</t>
        </is>
      </c>
      <c r="AS409" s="30" t="inlineStr">
        <is>
          <t>SAO PAULO</t>
        </is>
      </c>
      <c r="AT409" s="30" t="inlineStr">
        <is>
          <t>SP</t>
        </is>
      </c>
      <c r="AU409" s="30" t="inlineStr">
        <is>
          <t>Bancos múltiplos, com carteira comercial</t>
        </is>
      </c>
      <c r="AV409" s="30" t="inlineStr">
        <is>
          <t>DEMAIS</t>
        </is>
      </c>
      <c r="AW409" s="31" t="n">
        <v>8480372000</v>
      </c>
      <c r="AX409" s="30" t="inlineStr">
        <is>
          <t>LARGE CORP</t>
        </is>
      </c>
      <c r="AY409" s="30" t="inlineStr">
        <is>
          <t>59588111</t>
        </is>
      </c>
      <c r="AZ409" s="30" t="n">
        <v>1</v>
      </c>
      <c r="BA409" s="30" t="inlineStr">
        <is>
          <t>LIKELY_FINANCIAL_BY_NAME ROWS:p1r36</t>
        </is>
      </c>
    </row>
    <row r="410">
      <c r="A410" s="16" t="inlineStr">
        <is>
          <t>BANCO BRADESCO S.A.</t>
        </is>
      </c>
      <c r="B410" s="17" t="n">
        <v>571229.34</v>
      </c>
      <c r="C410" s="18" t="inlineStr">
        <is>
          <t>CONFECÇÕES ANDRIMALHAS LTDA</t>
        </is>
      </c>
      <c r="D410" s="19" t="inlineStr">
        <is>
          <t>NEW</t>
        </is>
      </c>
      <c r="E410" s="20" t="inlineStr"/>
      <c r="F410" s="19" t="inlineStr"/>
      <c r="G410" s="20" t="inlineStr"/>
      <c r="H410" s="19" t="inlineStr"/>
      <c r="I410" s="21" t="inlineStr">
        <is>
          <t>Marcela Martins</t>
        </is>
      </c>
      <c r="J410" s="21" t="inlineStr">
        <is>
          <t>Superintendente de Recuperação de Crédito - Canais e Operações</t>
        </is>
      </c>
      <c r="K410" s="21" t="inlineStr">
        <is>
          <t>(11) 3684-5122</t>
        </is>
      </c>
      <c r="L410" s="21" t="inlineStr"/>
      <c r="M410" s="21" t="inlineStr"/>
      <c r="N410" s="21" t="inlineStr"/>
      <c r="O410" s="21" t="inlineStr">
        <is>
          <t>sl@bradesco.com.br</t>
        </is>
      </c>
      <c r="P410" s="21" t="inlineStr">
        <is>
          <t>Luis S</t>
        </is>
      </c>
      <c r="Q410" s="21" t="inlineStr">
        <is>
          <t>DRC - Departamento de Recuperação de Crédito - Gerente de Reestruturação de Crédito</t>
        </is>
      </c>
      <c r="R410" s="21" t="inlineStr"/>
      <c r="S410" s="21" t="inlineStr">
        <is>
          <t>sl@bradesco.com.br</t>
        </is>
      </c>
      <c r="T410" s="21" t="inlineStr">
        <is>
          <t>no work email found in Apollo</t>
        </is>
      </c>
      <c r="U410" s="22" t="n">
        <v>571229.34</v>
      </c>
      <c r="V410" s="38" t="inlineStr">
        <is>
          <t>C</t>
        </is>
      </c>
      <c r="W410" s="24">
        <f>IFERROR(VLOOKUP(V410,Assumptions!$A$7:$F$11,2,FALSE),0)</f>
        <v/>
      </c>
      <c r="X410" s="25">
        <f>IF(V410="A",MAX(1,IFERROR(VLOOKUP(V410,Assumptions!$A$7:$F$11,3,FALSE),3)+IFERROR(VLOOKUP(V410,Assumptions!$A$7:$F$11,4,FALSE),8)/2-MAX(0,IF(AO410="",0,YEAR(TODAY())-AO410)-IFERROR(VLOOKUP(V410,Assumptions!$A$7:$F$11,5,FALSE),1.5))),IFERROR(VLOOKUP(V410,Assumptions!$A$7:$F$11,5,FALSE),2.5)+IFERROR(VLOOKUP(V410,Assumptions!$A$7:$F$11,3,FALSE),3)+IFERROR(VLOOKUP(V410,Assumptions!$A$7:$F$11,4,FALSE),8)/2)</f>
        <v/>
      </c>
      <c r="Y410" s="22">
        <f>U410*W410/(1+Assumptions!$B$3)^X410</f>
        <v/>
      </c>
      <c r="Z410" s="26">
        <f>IF(U410=0,"",ROUND(Y410/U410*100,1))</f>
        <v/>
      </c>
      <c r="AA410" s="27">
        <f>Y410*Assumptions!$B$4</f>
        <v/>
      </c>
      <c r="AB410" s="26">
        <f>IF(U410=0,"",ROUND(AA410/U410*100,1))</f>
        <v/>
      </c>
      <c r="AC410" s="27">
        <f>Y410-AA410</f>
        <v/>
      </c>
      <c r="AD410" s="26">
        <f>IF(U410=0,"",ROUND((Y410-AA410)/U410*100,1))</f>
        <v/>
      </c>
      <c r="AE410" s="34" t="inlineStr">
        <is>
          <t>PARTIAL — class III reconciled, other classes not</t>
        </is>
      </c>
      <c r="AF410" s="29" t="inlineStr">
        <is>
          <t>https://administradorajudicialgs.com.br/wp-content/uploads/2023/08/doc-06-relacao-credores-do-administrador-judicial-10-02-2015.pdf</t>
        </is>
      </c>
      <c r="AG410" s="28" t="inlineStr">
        <is>
          <t>p1 r35</t>
        </is>
      </c>
      <c r="AH410" s="28" t="inlineStr">
        <is>
          <t>p1: R$ 571.229,34</t>
        </is>
      </c>
      <c r="AI410" s="28" t="inlineStr">
        <is>
          <t>AJ list (art. 7 §2)</t>
        </is>
      </c>
      <c r="AJ410" s="28" t="inlineStr"/>
      <c r="AK410" s="28" t="inlineStr">
        <is>
          <t>NONE FOUND</t>
        </is>
      </c>
      <c r="AL410" s="30" t="inlineStr">
        <is>
          <t>0302174-63.2015.8.24.0025</t>
        </is>
      </c>
      <c r="AM410" s="30" t="inlineStr">
        <is>
          <t>TJSC</t>
        </is>
      </c>
      <c r="AN410" s="30" t="inlineStr"/>
      <c r="AO410" s="30" t="n">
        <v>2015</v>
      </c>
      <c r="AP410" s="30" t="inlineStr">
        <is>
          <t>11y since filing, no plan document</t>
        </is>
      </c>
      <c r="AQ410" s="30" t="inlineStr"/>
      <c r="AR410" s="30" t="inlineStr">
        <is>
          <t>printed on the list (read twice)</t>
        </is>
      </c>
      <c r="AS410" s="30" t="inlineStr">
        <is>
          <t>OSASCO</t>
        </is>
      </c>
      <c r="AT410" s="30" t="inlineStr">
        <is>
          <t>SP</t>
        </is>
      </c>
      <c r="AU410" s="30" t="inlineStr">
        <is>
          <t>Bancos múltiplos, com carteira comercial</t>
        </is>
      </c>
      <c r="AV410" s="30" t="inlineStr">
        <is>
          <t>DEMAIS</t>
        </is>
      </c>
      <c r="AW410" s="31" t="n">
        <v>93770000000</v>
      </c>
      <c r="AX410" s="30" t="inlineStr">
        <is>
          <t>LARGE CORP</t>
        </is>
      </c>
      <c r="AY410" s="30" t="inlineStr">
        <is>
          <t>60746948</t>
        </is>
      </c>
      <c r="AZ410" s="30" t="n">
        <v>1</v>
      </c>
      <c r="BA410" s="30" t="inlineStr">
        <is>
          <t>LIKELY_FINANCIAL_BY_NAME PARTIAL_DOC_CLASS_III_RECONCILED ROWS:p1r35 VALUE_COL:Valores</t>
        </is>
      </c>
    </row>
    <row r="411">
      <c r="A411" s="16" t="inlineStr">
        <is>
          <t>KIRTON BANK S.A. - BANCO MULTIPLO</t>
        </is>
      </c>
      <c r="B411" s="17" t="n">
        <v>568877.29</v>
      </c>
      <c r="C411" s="18" t="inlineStr">
        <is>
          <t>DICARLO Móveis e Acessórios para Casa e Lojas Ltda</t>
        </is>
      </c>
      <c r="D411" s="19" t="inlineStr">
        <is>
          <t>NEW</t>
        </is>
      </c>
      <c r="E411" s="20" t="inlineStr"/>
      <c r="F411" s="19" t="inlineStr"/>
      <c r="G411" s="20" t="inlineStr"/>
      <c r="H411" s="19" t="inlineStr"/>
      <c r="I411" s="21" t="inlineStr">
        <is>
          <t>CLAYTON NEVES XAVIER</t>
        </is>
      </c>
      <c r="J411" s="21" t="inlineStr">
        <is>
          <t>Administrador (RFB partner)</t>
        </is>
      </c>
      <c r="K411" s="21" t="inlineStr">
        <is>
          <t>(11) 3684-3884</t>
        </is>
      </c>
      <c r="L411" s="21" t="inlineStr"/>
      <c r="M411" s="21" t="inlineStr"/>
      <c r="N411" s="21" t="inlineStr"/>
      <c r="O411" s="21" t="inlineStr"/>
      <c r="P411" s="21" t="inlineStr">
        <is>
          <t>CRISTIANO ADJUTO E CAMPOS</t>
        </is>
      </c>
      <c r="Q411" s="21" t="inlineStr">
        <is>
          <t>Administrador (RFB partner)</t>
        </is>
      </c>
      <c r="R411" s="21" t="inlineStr"/>
      <c r="S411" s="21" t="inlineStr"/>
      <c r="T411" s="21" t="inlineStr">
        <is>
          <t>RFB partner (QSA); no Apollo match</t>
        </is>
      </c>
      <c r="U411" s="22" t="n">
        <v>568877.29</v>
      </c>
      <c r="V411" s="38" t="inlineStr">
        <is>
          <t>C</t>
        </is>
      </c>
      <c r="W411" s="24">
        <f>IFERROR(VLOOKUP(V411,Assumptions!$A$7:$F$11,2,FALSE),0)</f>
        <v/>
      </c>
      <c r="X411" s="25">
        <f>IF(V411="A",MAX(1,IFERROR(VLOOKUP(V411,Assumptions!$A$7:$F$11,3,FALSE),3)+IFERROR(VLOOKUP(V411,Assumptions!$A$7:$F$11,4,FALSE),8)/2-MAX(0,IF(AO411="",0,YEAR(TODAY())-AO411)-IFERROR(VLOOKUP(V411,Assumptions!$A$7:$F$11,5,FALSE),1.5))),IFERROR(VLOOKUP(V411,Assumptions!$A$7:$F$11,5,FALSE),2.5)+IFERROR(VLOOKUP(V411,Assumptions!$A$7:$F$11,3,FALSE),3)+IFERROR(VLOOKUP(V411,Assumptions!$A$7:$F$11,4,FALSE),8)/2)</f>
        <v/>
      </c>
      <c r="Y411" s="22">
        <f>U411*W411/(1+Assumptions!$B$3)^X411</f>
        <v/>
      </c>
      <c r="Z411" s="26">
        <f>IF(U411=0,"",ROUND(Y411/U411*100,1))</f>
        <v/>
      </c>
      <c r="AA411" s="27">
        <f>Y411*Assumptions!$B$4</f>
        <v/>
      </c>
      <c r="AB411" s="26">
        <f>IF(U411=0,"",ROUND(AA411/U411*100,1))</f>
        <v/>
      </c>
      <c r="AC411" s="27">
        <f>Y411-AA411</f>
        <v/>
      </c>
      <c r="AD411" s="26">
        <f>IF(U411=0,"",ROUND((Y411-AA411)/U411*100,1))</f>
        <v/>
      </c>
      <c r="AE411" s="33" t="inlineStr">
        <is>
          <t>NO TOTALS — list prints none; check page</t>
        </is>
      </c>
      <c r="AF411" s="29" t="inlineStr">
        <is>
          <t>https://administradorajudicialgs.com.br/wp-content/uploads/2023/08/edital-quadro-geral-de-credores.pdf</t>
        </is>
      </c>
      <c r="AG411" s="28" t="inlineStr">
        <is>
          <t>p2 r77</t>
        </is>
      </c>
      <c r="AH411" s="28" t="inlineStr">
        <is>
          <t>p2: R$ 568.877,29</t>
        </is>
      </c>
      <c r="AI411" s="28" t="inlineStr">
        <is>
          <t>QGC (art. 18)</t>
        </is>
      </c>
      <c r="AJ411" s="28" t="inlineStr">
        <is>
          <t>2024-07-05</t>
        </is>
      </c>
      <c r="AK411" s="28" t="inlineStr">
        <is>
          <t>NONE FOUND</t>
        </is>
      </c>
      <c r="AL411" s="30" t="inlineStr">
        <is>
          <t>0301015-33.2016.8.24.0031</t>
        </is>
      </c>
      <c r="AM411" s="30" t="inlineStr">
        <is>
          <t>TJSC</t>
        </is>
      </c>
      <c r="AN411" s="30" t="inlineStr"/>
      <c r="AO411" s="30" t="n">
        <v>2016</v>
      </c>
      <c r="AP411" s="30" t="inlineStr">
        <is>
          <t>10y since filing, no plan document</t>
        </is>
      </c>
      <c r="AQ411" s="30" t="inlineStr">
        <is>
          <t>01.314.776/0001-49</t>
        </is>
      </c>
      <c r="AR411" s="30" t="inlineStr">
        <is>
          <t>printed on the list (read twice)</t>
        </is>
      </c>
      <c r="AS411" s="30" t="inlineStr">
        <is>
          <t>OSASCO</t>
        </is>
      </c>
      <c r="AT411" s="30" t="inlineStr">
        <is>
          <t>SP</t>
        </is>
      </c>
      <c r="AU411" s="30" t="inlineStr">
        <is>
          <t>Bancos múltiplos, com carteira comercial</t>
        </is>
      </c>
      <c r="AV411" s="30" t="inlineStr">
        <is>
          <t>DEMAIS</t>
        </is>
      </c>
      <c r="AW411" s="31" t="n">
        <v>8778882000</v>
      </c>
      <c r="AX411" s="30" t="inlineStr">
        <is>
          <t>LARGE CORP</t>
        </is>
      </c>
      <c r="AY411" s="30" t="inlineStr">
        <is>
          <t>01701201</t>
        </is>
      </c>
      <c r="AZ411" s="30" t="n">
        <v>1</v>
      </c>
      <c r="BA411" s="30" t="inlineStr">
        <is>
          <t>ROWS:p2r77 UNRECONCILED_SOURCE</t>
        </is>
      </c>
    </row>
    <row r="412">
      <c r="A412" s="16" t="inlineStr">
        <is>
          <t>MILANO SECURITIZADORA S.A. (</t>
        </is>
      </c>
      <c r="B412" s="17" t="n">
        <v>558919.72</v>
      </c>
      <c r="C412" s="18" t="inlineStr">
        <is>
          <t>VECTOR INDÚSTRIA DE PRODUTOS METALÚRGICOS LTDA.</t>
        </is>
      </c>
      <c r="D412" s="19" t="inlineStr">
        <is>
          <t>NEW</t>
        </is>
      </c>
      <c r="E412" s="20" t="inlineStr"/>
      <c r="F412" s="19" t="inlineStr"/>
      <c r="G412" s="20" t="inlineStr"/>
      <c r="H412" s="19" t="inlineStr"/>
      <c r="I412" s="21" t="inlineStr">
        <is>
          <t>Fabiana Peixoto</t>
        </is>
      </c>
      <c r="J412" s="21" t="inlineStr">
        <is>
          <t>Senior Sales Manager</t>
        </is>
      </c>
      <c r="K412" s="21" t="inlineStr"/>
      <c r="L412" s="21" t="inlineStr"/>
      <c r="M412" s="21" t="inlineStr"/>
      <c r="N412" s="21" t="inlineStr"/>
      <c r="O412" s="21" t="inlineStr"/>
      <c r="P412" s="21" t="inlineStr"/>
      <c r="Q412" s="21" t="inlineStr"/>
      <c r="R412" s="21" t="inlineStr"/>
      <c r="S412" s="21" t="inlineStr"/>
      <c r="T412" s="21" t="inlineStr">
        <is>
          <t>no work email found in Apollo</t>
        </is>
      </c>
      <c r="U412" s="22" t="n">
        <v>558919.72</v>
      </c>
      <c r="V412" s="38" t="inlineStr">
        <is>
          <t>C</t>
        </is>
      </c>
      <c r="W412" s="24">
        <f>IFERROR(VLOOKUP(V412,Assumptions!$A$7:$F$11,2,FALSE),0)</f>
        <v/>
      </c>
      <c r="X412" s="25">
        <f>IF(V412="A",MAX(1,IFERROR(VLOOKUP(V412,Assumptions!$A$7:$F$11,3,FALSE),3)+IFERROR(VLOOKUP(V412,Assumptions!$A$7:$F$11,4,FALSE),8)/2-MAX(0,IF(AO412="",0,YEAR(TODAY())-AO412)-IFERROR(VLOOKUP(V412,Assumptions!$A$7:$F$11,5,FALSE),1.5))),IFERROR(VLOOKUP(V412,Assumptions!$A$7:$F$11,5,FALSE),2.5)+IFERROR(VLOOKUP(V412,Assumptions!$A$7:$F$11,3,FALSE),3)+IFERROR(VLOOKUP(V412,Assumptions!$A$7:$F$11,4,FALSE),8)/2)</f>
        <v/>
      </c>
      <c r="Y412" s="22">
        <f>U412*W412/(1+Assumptions!$B$3)^X412</f>
        <v/>
      </c>
      <c r="Z412" s="26">
        <f>IF(U412=0,"",ROUND(Y412/U412*100,1))</f>
        <v/>
      </c>
      <c r="AA412" s="27">
        <f>Y412*Assumptions!$B$4</f>
        <v/>
      </c>
      <c r="AB412" s="26">
        <f>IF(U412=0,"",ROUND(AA412/U412*100,1))</f>
        <v/>
      </c>
      <c r="AC412" s="27">
        <f>Y412-AA412</f>
        <v/>
      </c>
      <c r="AD412" s="26">
        <f>IF(U412=0,"",ROUND((Y412-AA412)/U412*100,1))</f>
        <v/>
      </c>
      <c r="AE412" s="33" t="inlineStr">
        <is>
          <t>NO TOTALS — list prints none; check page</t>
        </is>
      </c>
      <c r="AF412" s="29" t="inlineStr">
        <is>
          <t>https://scalzilliaj.com.br/sgc/download.php?file=files/processo_documento/processo_documento15513401112022_1_.pdf&amp;nome=15 - Edital do art. 7º, §2º (segunda lista de credores) e do art. 53 da Lei 11.101/2005 (recebimento do plano)</t>
        </is>
      </c>
      <c r="AG412" s="28" t="inlineStr">
        <is>
          <t>p8 r23</t>
        </is>
      </c>
      <c r="AH412" s="28" t="inlineStr">
        <is>
          <t>p8: R$ 558.919,72</t>
        </is>
      </c>
      <c r="AI412" s="28" t="inlineStr">
        <is>
          <t>AJ list (art. 7 §2)</t>
        </is>
      </c>
      <c r="AJ412" s="28" t="inlineStr">
        <is>
          <t>2022-11-01</t>
        </is>
      </c>
      <c r="AK412" s="28" t="inlineStr">
        <is>
          <t>NONE FOUND</t>
        </is>
      </c>
      <c r="AL412" s="30" t="inlineStr">
        <is>
          <t>5014104-85.2021.8.21.0010</t>
        </is>
      </c>
      <c r="AM412" s="30" t="inlineStr">
        <is>
          <t>TJRS</t>
        </is>
      </c>
      <c r="AN412" s="30" t="inlineStr">
        <is>
          <t>ACTIVE</t>
        </is>
      </c>
      <c r="AO412" s="30" t="n">
        <v>2021</v>
      </c>
      <c r="AP412" s="30" t="inlineStr">
        <is>
          <t>5y since filing, no plan document</t>
        </is>
      </c>
      <c r="AQ412" s="30" t="inlineStr">
        <is>
          <t>03.018.339/0001-03</t>
        </is>
      </c>
      <c r="AR412" s="30" t="inlineStr">
        <is>
          <t>printed on the list (read twice)</t>
        </is>
      </c>
      <c r="AS412" s="30" t="inlineStr"/>
      <c r="AT412" s="30" t="inlineStr"/>
      <c r="AU412" s="30" t="inlineStr"/>
      <c r="AV412" s="30" t="inlineStr"/>
      <c r="AW412" s="31" t="inlineStr"/>
      <c r="AX412" s="30" t="inlineStr">
        <is>
          <t>MID-MARKET</t>
        </is>
      </c>
      <c r="AY412" s="30" t="inlineStr">
        <is>
          <t>27749786</t>
        </is>
      </c>
      <c r="AZ412" s="30" t="n">
        <v>1</v>
      </c>
      <c r="BA412" s="30" t="inlineStr">
        <is>
          <t>LIKELY_FINANCIAL_BY_NAME ROWS:p8r23 UNRECONCILED_SOURCE</t>
        </is>
      </c>
    </row>
    <row r="413">
      <c r="A413" s="16" t="inlineStr">
        <is>
          <t>DAX MERCANTIL SECURITIZADORA S/A</t>
        </is>
      </c>
      <c r="B413" s="17" t="n">
        <v>550679.88</v>
      </c>
      <c r="C413" s="18" t="inlineStr">
        <is>
          <t>BLUTRAFOS BLUMENAU TRANSFORMADORES LTDA</t>
        </is>
      </c>
      <c r="D413" s="19" t="inlineStr">
        <is>
          <t>NEW</t>
        </is>
      </c>
      <c r="E413" s="20" t="inlineStr"/>
      <c r="F413" s="19" t="inlineStr"/>
      <c r="G413" s="20" t="inlineStr"/>
      <c r="H413" s="19" t="inlineStr"/>
      <c r="I413" s="21" t="inlineStr">
        <is>
          <t>CARLOS GEOVANE CIRICO</t>
        </is>
      </c>
      <c r="J413" s="21" t="inlineStr">
        <is>
          <t>Diretor (RFB partner)</t>
        </is>
      </c>
      <c r="K413" s="21" t="inlineStr">
        <is>
          <t>(47) 8423-6458</t>
        </is>
      </c>
      <c r="L413" s="21" t="inlineStr"/>
      <c r="M413" s="21" t="inlineStr"/>
      <c r="N413" s="21" t="inlineStr"/>
      <c r="O413" s="21" t="inlineStr"/>
      <c r="P413" s="21" t="inlineStr"/>
      <c r="Q413" s="21" t="inlineStr"/>
      <c r="R413" s="21" t="inlineStr"/>
      <c r="S413" s="21" t="inlineStr"/>
      <c r="T413" s="21" t="inlineStr">
        <is>
          <t>RFB partner (QSA); no Apollo match</t>
        </is>
      </c>
      <c r="U413" s="22" t="n">
        <v>550679.88</v>
      </c>
      <c r="V413" s="38" t="inlineStr">
        <is>
          <t>C</t>
        </is>
      </c>
      <c r="W413" s="24">
        <f>IFERROR(VLOOKUP(V413,Assumptions!$A$7:$F$11,2,FALSE),0)</f>
        <v/>
      </c>
      <c r="X413" s="25">
        <f>IF(V413="A",MAX(1,IFERROR(VLOOKUP(V413,Assumptions!$A$7:$F$11,3,FALSE),3)+IFERROR(VLOOKUP(V413,Assumptions!$A$7:$F$11,4,FALSE),8)/2-MAX(0,IF(AO413="",0,YEAR(TODAY())-AO413)-IFERROR(VLOOKUP(V413,Assumptions!$A$7:$F$11,5,FALSE),1.5))),IFERROR(VLOOKUP(V413,Assumptions!$A$7:$F$11,5,FALSE),2.5)+IFERROR(VLOOKUP(V413,Assumptions!$A$7:$F$11,3,FALSE),3)+IFERROR(VLOOKUP(V413,Assumptions!$A$7:$F$11,4,FALSE),8)/2)</f>
        <v/>
      </c>
      <c r="Y413" s="22">
        <f>U413*W413/(1+Assumptions!$B$3)^X413</f>
        <v/>
      </c>
      <c r="Z413" s="26">
        <f>IF(U413=0,"",ROUND(Y413/U413*100,1))</f>
        <v/>
      </c>
      <c r="AA413" s="27">
        <f>Y413*Assumptions!$B$4</f>
        <v/>
      </c>
      <c r="AB413" s="26">
        <f>IF(U413=0,"",ROUND(AA413/U413*100,1))</f>
        <v/>
      </c>
      <c r="AC413" s="27">
        <f>Y413-AA413</f>
        <v/>
      </c>
      <c r="AD413" s="26">
        <f>IF(U413=0,"",ROUND((Y413-AA413)/U413*100,1))</f>
        <v/>
      </c>
      <c r="AE413" s="28" t="inlineStr">
        <is>
          <t>OK — totals reconciled</t>
        </is>
      </c>
      <c r="AF413" s="29" t="inlineStr">
        <is>
          <t>https://administradorajudicialgs.com.br/wp-content/uploads/2023/08/advogados-sgrott-doc-22-relacao-de-credores-do-administrador-judicial-classe-iii-05-02-14.pdf</t>
        </is>
      </c>
      <c r="AG413" s="28" t="inlineStr">
        <is>
          <t>p5 r56</t>
        </is>
      </c>
      <c r="AH413" s="28" t="inlineStr">
        <is>
          <t>p5: R$ 550.679,88</t>
        </is>
      </c>
      <c r="AI413" s="28" t="inlineStr">
        <is>
          <t>Unclassified list</t>
        </is>
      </c>
      <c r="AJ413" s="28" t="inlineStr"/>
      <c r="AK413" s="28" t="inlineStr">
        <is>
          <t>NONE FOUND</t>
        </is>
      </c>
      <c r="AL413" s="30" t="inlineStr">
        <is>
          <t>0022845-08.2013.8.24.0008</t>
        </is>
      </c>
      <c r="AM413" s="30" t="inlineStr">
        <is>
          <t>TJSC</t>
        </is>
      </c>
      <c r="AN413" s="30" t="inlineStr"/>
      <c r="AO413" s="30" t="n">
        <v>2013</v>
      </c>
      <c r="AP413" s="30" t="inlineStr">
        <is>
          <t>13y since filing, no plan document</t>
        </is>
      </c>
      <c r="AQ413" s="30" t="inlineStr"/>
      <c r="AR413" s="30" t="inlineStr">
        <is>
          <t>portal page title / URL — not printed on the list</t>
        </is>
      </c>
      <c r="AS413" s="30" t="inlineStr">
        <is>
          <t>JARAGUA DO SUL</t>
        </is>
      </c>
      <c r="AT413" s="30" t="inlineStr">
        <is>
          <t>SC</t>
        </is>
      </c>
      <c r="AU413" s="30" t="inlineStr">
        <is>
          <t>Securitização de créditos</t>
        </is>
      </c>
      <c r="AV413" s="30" t="inlineStr">
        <is>
          <t>DEMAIS</t>
        </is>
      </c>
      <c r="AW413" s="31" t="n">
        <v>6000000</v>
      </c>
      <c r="AX413" s="30" t="inlineStr">
        <is>
          <t>MID-MARKET</t>
        </is>
      </c>
      <c r="AY413" s="30" t="inlineStr">
        <is>
          <t>08928243</t>
        </is>
      </c>
      <c r="AZ413" s="30" t="n">
        <v>1</v>
      </c>
      <c r="BA413" s="30" t="inlineStr">
        <is>
          <t>ROWS:p5r56</t>
        </is>
      </c>
    </row>
    <row r="414">
      <c r="A414" s="16" t="inlineStr">
        <is>
          <t>CONSORCIO BLUMENAU NORTE SHOPPING</t>
        </is>
      </c>
      <c r="B414" s="17" t="n">
        <v>542733.59</v>
      </c>
      <c r="C414" s="18" t="inlineStr">
        <is>
          <t>BLUTRAFOS BLUMENAU TRANSFORMADORES LTDA</t>
        </is>
      </c>
      <c r="D414" s="19" t="inlineStr">
        <is>
          <t>NEW</t>
        </is>
      </c>
      <c r="E414" s="20" t="inlineStr"/>
      <c r="F414" s="19" t="inlineStr"/>
      <c r="G414" s="20" t="inlineStr"/>
      <c r="H414" s="19" t="inlineStr"/>
      <c r="I414" s="21" t="inlineStr">
        <is>
          <t>Giuliano Bragaglia</t>
        </is>
      </c>
      <c r="J414" s="21" t="inlineStr">
        <is>
          <t>Superintendente Norte Shopping Blumenau</t>
        </is>
      </c>
      <c r="K414" s="21" t="inlineStr"/>
      <c r="L414" s="21" t="inlineStr"/>
      <c r="M414" s="21" t="inlineStr"/>
      <c r="N414" s="21" t="inlineStr"/>
      <c r="O414" s="21" t="inlineStr"/>
      <c r="P414" s="21" t="inlineStr"/>
      <c r="Q414" s="21" t="inlineStr"/>
      <c r="R414" s="21" t="inlineStr"/>
      <c r="S414" s="21" t="inlineStr"/>
      <c r="T414" s="21" t="inlineStr">
        <is>
          <t>DM VERIFY org: Almeida Junior; no work email found in Apollo</t>
        </is>
      </c>
      <c r="U414" s="22" t="n">
        <v>542733.59</v>
      </c>
      <c r="V414" s="38" t="inlineStr">
        <is>
          <t>C</t>
        </is>
      </c>
      <c r="W414" s="24">
        <f>IFERROR(VLOOKUP(V414,Assumptions!$A$7:$F$11,2,FALSE),0)</f>
        <v/>
      </c>
      <c r="X414" s="25">
        <f>IF(V414="A",MAX(1,IFERROR(VLOOKUP(V414,Assumptions!$A$7:$F$11,3,FALSE),3)+IFERROR(VLOOKUP(V414,Assumptions!$A$7:$F$11,4,FALSE),8)/2-MAX(0,IF(AO414="",0,YEAR(TODAY())-AO414)-IFERROR(VLOOKUP(V414,Assumptions!$A$7:$F$11,5,FALSE),1.5))),IFERROR(VLOOKUP(V414,Assumptions!$A$7:$F$11,5,FALSE),2.5)+IFERROR(VLOOKUP(V414,Assumptions!$A$7:$F$11,3,FALSE),3)+IFERROR(VLOOKUP(V414,Assumptions!$A$7:$F$11,4,FALSE),8)/2)</f>
        <v/>
      </c>
      <c r="Y414" s="22">
        <f>U414*W414/(1+Assumptions!$B$3)^X414</f>
        <v/>
      </c>
      <c r="Z414" s="26">
        <f>IF(U414=0,"",ROUND(Y414/U414*100,1))</f>
        <v/>
      </c>
      <c r="AA414" s="27">
        <f>Y414*Assumptions!$B$4</f>
        <v/>
      </c>
      <c r="AB414" s="26">
        <f>IF(U414=0,"",ROUND(AA414/U414*100,1))</f>
        <v/>
      </c>
      <c r="AC414" s="27">
        <f>Y414-AA414</f>
        <v/>
      </c>
      <c r="AD414" s="26">
        <f>IF(U414=0,"",ROUND((Y414-AA414)/U414*100,1))</f>
        <v/>
      </c>
      <c r="AE414" s="28" t="inlineStr">
        <is>
          <t>OK — totals reconciled</t>
        </is>
      </c>
      <c r="AF414" s="29" t="inlineStr">
        <is>
          <t>https://administradorajudicialgs.com.br/wp-content/uploads/2023/08/advogados-sgrott-doc-22-relacao-de-credores-do-administrador-judicial-classe-iii-05-02-14.pdf</t>
        </is>
      </c>
      <c r="AG414" s="28" t="inlineStr">
        <is>
          <t>p2 r13</t>
        </is>
      </c>
      <c r="AH414" s="28" t="inlineStr">
        <is>
          <t>p2: R$ 542.733,59</t>
        </is>
      </c>
      <c r="AI414" s="28" t="inlineStr">
        <is>
          <t>Unclassified list</t>
        </is>
      </c>
      <c r="AJ414" s="28" t="inlineStr"/>
      <c r="AK414" s="28" t="inlineStr">
        <is>
          <t>NONE FOUND</t>
        </is>
      </c>
      <c r="AL414" s="30" t="inlineStr">
        <is>
          <t>0022845-08.2013.8.24.0008</t>
        </is>
      </c>
      <c r="AM414" s="30" t="inlineStr">
        <is>
          <t>TJSC</t>
        </is>
      </c>
      <c r="AN414" s="30" t="inlineStr"/>
      <c r="AO414" s="30" t="n">
        <v>2013</v>
      </c>
      <c r="AP414" s="30" t="inlineStr">
        <is>
          <t>13y since filing, no plan document</t>
        </is>
      </c>
      <c r="AQ414" s="30" t="inlineStr"/>
      <c r="AR414" s="30" t="inlineStr">
        <is>
          <t>portal page title / URL — not printed on the list</t>
        </is>
      </c>
      <c r="AS414" s="30" t="inlineStr"/>
      <c r="AT414" s="30" t="inlineStr"/>
      <c r="AU414" s="30" t="inlineStr"/>
      <c r="AV414" s="30" t="inlineStr"/>
      <c r="AW414" s="31" t="inlineStr"/>
      <c r="AX414" s="30" t="inlineStr">
        <is>
          <t>MID-MARKET</t>
        </is>
      </c>
      <c r="AY414" s="30" t="inlineStr">
        <is>
          <t>14064928</t>
        </is>
      </c>
      <c r="AZ414" s="30" t="n">
        <v>1</v>
      </c>
      <c r="BA414" s="30" t="inlineStr">
        <is>
          <t>LIKELY_FINANCIAL_BY_NAME ROWS:p2r13</t>
        </is>
      </c>
    </row>
    <row r="415">
      <c r="A415" s="16" t="inlineStr">
        <is>
          <t>CREDIT BRASIL FUNDO DE INVESTIMENTO EM DIREITOS CREDITORIOS MULTISSETORIAL MASTER - EM LIQUIDACAO</t>
        </is>
      </c>
      <c r="B415" s="17" t="n">
        <v>526332.66</v>
      </c>
      <c r="C415" s="18" t="inlineStr">
        <is>
          <t>BLUTRAFOS BLUMENAU TRANSFORMADORES LTDA</t>
        </is>
      </c>
      <c r="D415" s="19" t="inlineStr">
        <is>
          <t>NEW</t>
        </is>
      </c>
      <c r="E415" s="20" t="inlineStr"/>
      <c r="F415" s="19" t="inlineStr"/>
      <c r="G415" s="20" t="inlineStr"/>
      <c r="H415" s="19" t="inlineStr"/>
      <c r="I415" s="21" t="inlineStr">
        <is>
          <t>Marcelo Brasil</t>
        </is>
      </c>
      <c r="J415" s="21" t="inlineStr">
        <is>
          <t>Chief Operating Officer</t>
        </is>
      </c>
      <c r="K415" s="21" t="inlineStr">
        <is>
          <t>(41) 3074-0909</t>
        </is>
      </c>
      <c r="L415" s="21" t="inlineStr"/>
      <c r="M415" s="21" t="inlineStr"/>
      <c r="N415" s="21" t="inlineStr">
        <is>
          <t>marcelo@ksfidc.com.br</t>
        </is>
      </c>
      <c r="O415" s="21" t="inlineStr"/>
      <c r="P415" s="21" t="inlineStr"/>
      <c r="Q415" s="21" t="inlineStr"/>
      <c r="R415" s="21" t="inlineStr"/>
      <c r="S415" s="21" t="inlineStr"/>
      <c r="T415" s="21" t="inlineStr">
        <is>
          <t>email verified by Apollo</t>
        </is>
      </c>
      <c r="U415" s="22" t="n">
        <v>526332.66</v>
      </c>
      <c r="V415" s="38" t="inlineStr">
        <is>
          <t>C</t>
        </is>
      </c>
      <c r="W415" s="24">
        <f>IFERROR(VLOOKUP(V415,Assumptions!$A$7:$F$11,2,FALSE),0)</f>
        <v/>
      </c>
      <c r="X415" s="25">
        <f>IF(V415="A",MAX(1,IFERROR(VLOOKUP(V415,Assumptions!$A$7:$F$11,3,FALSE),3)+IFERROR(VLOOKUP(V415,Assumptions!$A$7:$F$11,4,FALSE),8)/2-MAX(0,IF(AO415="",0,YEAR(TODAY())-AO415)-IFERROR(VLOOKUP(V415,Assumptions!$A$7:$F$11,5,FALSE),1.5))),IFERROR(VLOOKUP(V415,Assumptions!$A$7:$F$11,5,FALSE),2.5)+IFERROR(VLOOKUP(V415,Assumptions!$A$7:$F$11,3,FALSE),3)+IFERROR(VLOOKUP(V415,Assumptions!$A$7:$F$11,4,FALSE),8)/2)</f>
        <v/>
      </c>
      <c r="Y415" s="22">
        <f>U415*W415/(1+Assumptions!$B$3)^X415</f>
        <v/>
      </c>
      <c r="Z415" s="26">
        <f>IF(U415=0,"",ROUND(Y415/U415*100,1))</f>
        <v/>
      </c>
      <c r="AA415" s="27">
        <f>Y415*Assumptions!$B$4</f>
        <v/>
      </c>
      <c r="AB415" s="26">
        <f>IF(U415=0,"",ROUND(AA415/U415*100,1))</f>
        <v/>
      </c>
      <c r="AC415" s="27">
        <f>Y415-AA415</f>
        <v/>
      </c>
      <c r="AD415" s="26">
        <f>IF(U415=0,"",ROUND((Y415-AA415)/U415*100,1))</f>
        <v/>
      </c>
      <c r="AE415" s="28" t="inlineStr">
        <is>
          <t>OK — totals reconciled</t>
        </is>
      </c>
      <c r="AF415" s="29" t="inlineStr">
        <is>
          <t>https://administradorajudicialgs.com.br/wp-content/uploads/2023/08/advogados-sgrott-doc-22-relacao-de-credores-do-administrador-judicial-classe-iii-05-02-14.pdf</t>
        </is>
      </c>
      <c r="AG415" s="28" t="inlineStr">
        <is>
          <t>p2 r20</t>
        </is>
      </c>
      <c r="AH415" s="28" t="inlineStr">
        <is>
          <t>p2: R$ 526.332,66</t>
        </is>
      </c>
      <c r="AI415" s="28" t="inlineStr">
        <is>
          <t>Unclassified list</t>
        </is>
      </c>
      <c r="AJ415" s="28" t="inlineStr"/>
      <c r="AK415" s="28" t="inlineStr">
        <is>
          <t>NONE FOUND</t>
        </is>
      </c>
      <c r="AL415" s="30" t="inlineStr">
        <is>
          <t>0022845-08.2013.8.24.0008</t>
        </is>
      </c>
      <c r="AM415" s="30" t="inlineStr">
        <is>
          <t>TJSC</t>
        </is>
      </c>
      <c r="AN415" s="30" t="inlineStr"/>
      <c r="AO415" s="30" t="n">
        <v>2013</v>
      </c>
      <c r="AP415" s="30" t="inlineStr">
        <is>
          <t>13y since filing, no plan document</t>
        </is>
      </c>
      <c r="AQ415" s="30" t="inlineStr"/>
      <c r="AR415" s="30" t="inlineStr">
        <is>
          <t>portal page title / URL — not printed on the list</t>
        </is>
      </c>
      <c r="AS415" s="30" t="inlineStr">
        <is>
          <t>SAO PAULO</t>
        </is>
      </c>
      <c r="AT415" s="30" t="inlineStr">
        <is>
          <t>SP</t>
        </is>
      </c>
      <c r="AU415" s="30" t="inlineStr">
        <is>
          <t>Fundos de investimento, exceto previdenciários e imobiliários</t>
        </is>
      </c>
      <c r="AV415" s="30" t="inlineStr">
        <is>
          <t>DEMAIS</t>
        </is>
      </c>
      <c r="AW415" s="31" t="inlineStr"/>
      <c r="AX415" s="30" t="inlineStr">
        <is>
          <t>MID-MARKET</t>
        </is>
      </c>
      <c r="AY415" s="30" t="inlineStr">
        <is>
          <t>12144737</t>
        </is>
      </c>
      <c r="AZ415" s="30" t="n">
        <v>1</v>
      </c>
      <c r="BA415" s="30" t="inlineStr">
        <is>
          <t>ROWS:p2r20</t>
        </is>
      </c>
    </row>
    <row r="416">
      <c r="A416" s="16" t="inlineStr">
        <is>
          <t>PHD FUNDO DE INVESTIMENTO EM DIREITOS CREDITÓRIOS (</t>
        </is>
      </c>
      <c r="B416" s="17" t="n">
        <v>521700.43</v>
      </c>
      <c r="C416" s="18" t="inlineStr">
        <is>
          <t>VECTOR INDÚSTRIA DE PRODUTOS METALÚRGICOS LTDA.</t>
        </is>
      </c>
      <c r="D416" s="19" t="inlineStr">
        <is>
          <t>NEW</t>
        </is>
      </c>
      <c r="E416" s="20" t="inlineStr"/>
      <c r="F416" s="19" t="inlineStr"/>
      <c r="G416" s="20" t="inlineStr"/>
      <c r="H416" s="19" t="inlineStr"/>
      <c r="I416" s="21" t="inlineStr"/>
      <c r="J416" s="21" t="inlineStr"/>
      <c r="K416" s="21" t="inlineStr"/>
      <c r="L416" s="21" t="inlineStr"/>
      <c r="M416" s="21" t="inlineStr"/>
      <c r="N416" s="21" t="inlineStr"/>
      <c r="O416" s="21" t="inlineStr"/>
      <c r="P416" s="21" t="inlineStr"/>
      <c r="Q416" s="21" t="inlineStr"/>
      <c r="R416" s="21" t="inlineStr"/>
      <c r="S416" s="21" t="inlineStr"/>
      <c r="T416" s="21" t="inlineStr">
        <is>
          <t>no named contact found</t>
        </is>
      </c>
      <c r="U416" s="22" t="n">
        <v>521700.43</v>
      </c>
      <c r="V416" s="38" t="inlineStr">
        <is>
          <t>C</t>
        </is>
      </c>
      <c r="W416" s="24">
        <f>IFERROR(VLOOKUP(V416,Assumptions!$A$7:$F$11,2,FALSE),0)</f>
        <v/>
      </c>
      <c r="X416" s="25">
        <f>IF(V416="A",MAX(1,IFERROR(VLOOKUP(V416,Assumptions!$A$7:$F$11,3,FALSE),3)+IFERROR(VLOOKUP(V416,Assumptions!$A$7:$F$11,4,FALSE),8)/2-MAX(0,IF(AO416="",0,YEAR(TODAY())-AO416)-IFERROR(VLOOKUP(V416,Assumptions!$A$7:$F$11,5,FALSE),1.5))),IFERROR(VLOOKUP(V416,Assumptions!$A$7:$F$11,5,FALSE),2.5)+IFERROR(VLOOKUP(V416,Assumptions!$A$7:$F$11,3,FALSE),3)+IFERROR(VLOOKUP(V416,Assumptions!$A$7:$F$11,4,FALSE),8)/2)</f>
        <v/>
      </c>
      <c r="Y416" s="22">
        <f>U416*W416/(1+Assumptions!$B$3)^X416</f>
        <v/>
      </c>
      <c r="Z416" s="26">
        <f>IF(U416=0,"",ROUND(Y416/U416*100,1))</f>
        <v/>
      </c>
      <c r="AA416" s="27">
        <f>Y416*Assumptions!$B$4</f>
        <v/>
      </c>
      <c r="AB416" s="26">
        <f>IF(U416=0,"",ROUND(AA416/U416*100,1))</f>
        <v/>
      </c>
      <c r="AC416" s="27">
        <f>Y416-AA416</f>
        <v/>
      </c>
      <c r="AD416" s="26">
        <f>IF(U416=0,"",ROUND((Y416-AA416)/U416*100,1))</f>
        <v/>
      </c>
      <c r="AE416" s="33" t="inlineStr">
        <is>
          <t>NO TOTALS — list prints none; check page</t>
        </is>
      </c>
      <c r="AF416" s="29" t="inlineStr">
        <is>
          <t>https://scalzilliaj.com.br/sgc/download.php?file=files/processo_documento/processo_documento15513401112022_1_.pdf&amp;nome=15 - Edital do art. 7º, §2º (segunda lista de credores) e do art. 53 da Lei 11.101/2005 (recebimento do plano)</t>
        </is>
      </c>
      <c r="AG416" s="28" t="inlineStr">
        <is>
          <t>p9 r4</t>
        </is>
      </c>
      <c r="AH416" s="28" t="inlineStr">
        <is>
          <t>p9: R$ 521.700,43</t>
        </is>
      </c>
      <c r="AI416" s="28" t="inlineStr">
        <is>
          <t>AJ list (art. 7 §2)</t>
        </is>
      </c>
      <c r="AJ416" s="28" t="inlineStr">
        <is>
          <t>2022-11-01</t>
        </is>
      </c>
      <c r="AK416" s="28" t="inlineStr">
        <is>
          <t>NONE FOUND</t>
        </is>
      </c>
      <c r="AL416" s="30" t="inlineStr">
        <is>
          <t>5014104-85.2021.8.21.0010</t>
        </is>
      </c>
      <c r="AM416" s="30" t="inlineStr">
        <is>
          <t>TJRS</t>
        </is>
      </c>
      <c r="AN416" s="30" t="inlineStr">
        <is>
          <t>ACTIVE</t>
        </is>
      </c>
      <c r="AO416" s="30" t="n">
        <v>2021</v>
      </c>
      <c r="AP416" s="30" t="inlineStr">
        <is>
          <t>5y since filing, no plan document</t>
        </is>
      </c>
      <c r="AQ416" s="30" t="inlineStr">
        <is>
          <t>03.018.339/0001-03</t>
        </is>
      </c>
      <c r="AR416" s="30" t="inlineStr">
        <is>
          <t>printed on the list (read twice)</t>
        </is>
      </c>
      <c r="AS416" s="30" t="inlineStr"/>
      <c r="AT416" s="30" t="inlineStr"/>
      <c r="AU416" s="30" t="inlineStr"/>
      <c r="AV416" s="30" t="inlineStr"/>
      <c r="AW416" s="31" t="inlineStr"/>
      <c r="AX416" s="30" t="inlineStr">
        <is>
          <t>MID-MARKET</t>
        </is>
      </c>
      <c r="AY416" s="30" t="inlineStr">
        <is>
          <t>39769038</t>
        </is>
      </c>
      <c r="AZ416" s="30" t="n">
        <v>1</v>
      </c>
      <c r="BA416" s="30" t="inlineStr">
        <is>
          <t>LIKELY_FINANCIAL_BY_NAME ROWS:p9r4 UNRECONCILED_SOURCE</t>
        </is>
      </c>
    </row>
    <row r="417">
      <c r="A417" s="16" t="inlineStr">
        <is>
          <t>ITAU UNIBANCO S.A.</t>
        </is>
      </c>
      <c r="B417" s="17" t="n">
        <v>503296.89</v>
      </c>
      <c r="C417" s="18" t="inlineStr">
        <is>
          <t>Roque Materiais para Construção</t>
        </is>
      </c>
      <c r="D417" s="19" t="inlineStr">
        <is>
          <t>NEW</t>
        </is>
      </c>
      <c r="E417" s="20" t="inlineStr"/>
      <c r="F417" s="19" t="inlineStr"/>
      <c r="G417" s="20" t="inlineStr"/>
      <c r="H417" s="19" t="inlineStr"/>
      <c r="I417" s="21" t="inlineStr">
        <is>
          <t>Murilo Gigliucci</t>
        </is>
      </c>
      <c r="J417" s="21" t="inlineStr">
        <is>
          <t>Superintendente de Reestruturação de Crédito</t>
        </is>
      </c>
      <c r="K417" s="21" t="inlineStr">
        <is>
          <t>(11) 3003-4828</t>
        </is>
      </c>
      <c r="L417" s="21" t="inlineStr"/>
      <c r="M417" s="21" t="inlineStr"/>
      <c r="N417" s="21" t="inlineStr">
        <is>
          <t>murilo.gigliucci@itau-unibanco.com.br</t>
        </is>
      </c>
      <c r="O417" s="21" t="inlineStr">
        <is>
          <t>pedro.ornellas-geronimo@itau-unibanco.com.br</t>
        </is>
      </c>
      <c r="P417" s="21" t="inlineStr">
        <is>
          <t>Pedro Ornellas</t>
        </is>
      </c>
      <c r="Q417" s="21" t="inlineStr">
        <is>
          <t>Superintendente de Recuperação de Crédito</t>
        </is>
      </c>
      <c r="R417" s="21" t="inlineStr"/>
      <c r="S417" s="21" t="inlineStr">
        <is>
          <t>pedro.ornellas-geronimo@itau-unibanco.com.br</t>
        </is>
      </c>
      <c r="T417" s="21" t="inlineStr">
        <is>
          <t>email verified by Apollo</t>
        </is>
      </c>
      <c r="U417" s="22" t="n">
        <v>503296.89</v>
      </c>
      <c r="V417" s="38" t="inlineStr">
        <is>
          <t>C</t>
        </is>
      </c>
      <c r="W417" s="24">
        <f>IFERROR(VLOOKUP(V417,Assumptions!$A$7:$F$11,2,FALSE),0)</f>
        <v/>
      </c>
      <c r="X417" s="25">
        <f>IF(V417="A",MAX(1,IFERROR(VLOOKUP(V417,Assumptions!$A$7:$F$11,3,FALSE),3)+IFERROR(VLOOKUP(V417,Assumptions!$A$7:$F$11,4,FALSE),8)/2-MAX(0,IF(AO417="",0,YEAR(TODAY())-AO417)-IFERROR(VLOOKUP(V417,Assumptions!$A$7:$F$11,5,FALSE),1.5))),IFERROR(VLOOKUP(V417,Assumptions!$A$7:$F$11,5,FALSE),2.5)+IFERROR(VLOOKUP(V417,Assumptions!$A$7:$F$11,3,FALSE),3)+IFERROR(VLOOKUP(V417,Assumptions!$A$7:$F$11,4,FALSE),8)/2)</f>
        <v/>
      </c>
      <c r="Y417" s="22">
        <f>U417*W417/(1+Assumptions!$B$3)^X417</f>
        <v/>
      </c>
      <c r="Z417" s="26">
        <f>IF(U417=0,"",ROUND(Y417/U417*100,1))</f>
        <v/>
      </c>
      <c r="AA417" s="27">
        <f>Y417*Assumptions!$B$4</f>
        <v/>
      </c>
      <c r="AB417" s="26">
        <f>IF(U417=0,"",ROUND(AA417/U417*100,1))</f>
        <v/>
      </c>
      <c r="AC417" s="27">
        <f>Y417-AA417</f>
        <v/>
      </c>
      <c r="AD417" s="26">
        <f>IF(U417=0,"",ROUND((Y417-AA417)/U417*100,1))</f>
        <v/>
      </c>
      <c r="AE417" s="28" t="inlineStr">
        <is>
          <t>OK — totals reconciled</t>
        </is>
      </c>
      <c r="AF417" s="29" t="inlineStr">
        <is>
          <t>https://realbrasil.com.br/wp-content/uploads/2018/06/2_LISTA-DE-CREDORES-DA-RECUPERANDA_ROQUE.pdf</t>
        </is>
      </c>
      <c r="AG417" s="28" t="inlineStr">
        <is>
          <t>p2 r7</t>
        </is>
      </c>
      <c r="AH417" s="28" t="inlineStr">
        <is>
          <t>p2: R$ 503.296,89</t>
        </is>
      </c>
      <c r="AI417" s="28" t="inlineStr">
        <is>
          <t>Unclassified list</t>
        </is>
      </c>
      <c r="AJ417" s="28" t="inlineStr"/>
      <c r="AK417" s="28" t="inlineStr">
        <is>
          <t>NONE FOUND</t>
        </is>
      </c>
      <c r="AL417" s="30" t="inlineStr">
        <is>
          <t>0802426-35.2019.8.10.0000</t>
        </is>
      </c>
      <c r="AM417" s="30" t="inlineStr">
        <is>
          <t>TJMA</t>
        </is>
      </c>
      <c r="AN417" s="30" t="inlineStr"/>
      <c r="AO417" s="30" t="n">
        <v>2019</v>
      </c>
      <c r="AP417" s="30" t="inlineStr">
        <is>
          <t>7y since filing, no plan document</t>
        </is>
      </c>
      <c r="AQ417" s="30" t="inlineStr"/>
      <c r="AR417" s="30" t="inlineStr">
        <is>
          <t>portal page title / URL — not printed on the list</t>
        </is>
      </c>
      <c r="AS417" s="30" t="inlineStr">
        <is>
          <t>SAO PAULO</t>
        </is>
      </c>
      <c r="AT417" s="30" t="inlineStr">
        <is>
          <t>SP</t>
        </is>
      </c>
      <c r="AU417" s="30" t="inlineStr">
        <is>
          <t>Bancos comerciais</t>
        </is>
      </c>
      <c r="AV417" s="30" t="inlineStr">
        <is>
          <t>DEMAIS</t>
        </is>
      </c>
      <c r="AW417" s="31" t="n">
        <v>76200000000</v>
      </c>
      <c r="AX417" s="30" t="inlineStr">
        <is>
          <t>LARGE CORP</t>
        </is>
      </c>
      <c r="AY417" s="30" t="inlineStr">
        <is>
          <t>60701190</t>
        </is>
      </c>
      <c r="AZ417" s="30" t="n">
        <v>1</v>
      </c>
      <c r="BA417" s="30" t="inlineStr">
        <is>
          <t>ROWS:p2r7 VALUE_COL:Saldo_Total</t>
        </is>
      </c>
    </row>
    <row r="418">
      <c r="A418" s="16" t="inlineStr">
        <is>
          <t>CAIXA ECONOMICA FEDERAL</t>
        </is>
      </c>
      <c r="B418" s="17" t="n">
        <v>499697.6</v>
      </c>
      <c r="C418" s="18" t="inlineStr">
        <is>
          <t>AUTO POSTO FREITAS &amp; MAIA LTDA</t>
        </is>
      </c>
      <c r="D418" s="19" t="inlineStr">
        <is>
          <t>NEW</t>
        </is>
      </c>
      <c r="E418" s="20" t="inlineStr"/>
      <c r="F418" s="19" t="inlineStr"/>
      <c r="G418" s="20" t="inlineStr"/>
      <c r="H418" s="19" t="inlineStr"/>
      <c r="I418" s="21" t="inlineStr">
        <is>
          <t>Livia Serikaku</t>
        </is>
      </c>
      <c r="J418" s="21" t="inlineStr">
        <is>
          <t>Gerente de Clientes e Negócios | Recuperação de Crédito</t>
        </is>
      </c>
      <c r="K418" s="21" t="inlineStr">
        <is>
          <t>(00) 4004-0104</t>
        </is>
      </c>
      <c r="L418" s="21" t="inlineStr"/>
      <c r="M418" s="21" t="inlineStr"/>
      <c r="N418" s="21" t="inlineStr"/>
      <c r="O418" s="21" t="inlineStr"/>
      <c r="P418" s="21" t="inlineStr">
        <is>
          <t>Rodolfo Trevizan</t>
        </is>
      </c>
      <c r="Q418" s="21" t="inlineStr">
        <is>
          <t>Investment Banking | Distressed Assets | Project Finance</t>
        </is>
      </c>
      <c r="R418" s="21" t="inlineStr"/>
      <c r="S418" s="21" t="inlineStr"/>
      <c r="T418" s="21" t="inlineStr">
        <is>
          <t>no work email found in Apollo</t>
        </is>
      </c>
      <c r="U418" s="22" t="n">
        <v>499697.6</v>
      </c>
      <c r="V418" s="38" t="inlineStr">
        <is>
          <t>C</t>
        </is>
      </c>
      <c r="W418" s="24">
        <f>IFERROR(VLOOKUP(V418,Assumptions!$A$7:$F$11,2,FALSE),0)</f>
        <v/>
      </c>
      <c r="X418" s="25">
        <f>IF(V418="A",MAX(1,IFERROR(VLOOKUP(V418,Assumptions!$A$7:$F$11,3,FALSE),3)+IFERROR(VLOOKUP(V418,Assumptions!$A$7:$F$11,4,FALSE),8)/2-MAX(0,IF(AO418="",0,YEAR(TODAY())-AO418)-IFERROR(VLOOKUP(V418,Assumptions!$A$7:$F$11,5,FALSE),1.5))),IFERROR(VLOOKUP(V418,Assumptions!$A$7:$F$11,5,FALSE),2.5)+IFERROR(VLOOKUP(V418,Assumptions!$A$7:$F$11,3,FALSE),3)+IFERROR(VLOOKUP(V418,Assumptions!$A$7:$F$11,4,FALSE),8)/2)</f>
        <v/>
      </c>
      <c r="Y418" s="22">
        <f>U418*W418/(1+Assumptions!$B$3)^X418</f>
        <v/>
      </c>
      <c r="Z418" s="26">
        <f>IF(U418=0,"",ROUND(Y418/U418*100,1))</f>
        <v/>
      </c>
      <c r="AA418" s="27">
        <f>Y418*Assumptions!$B$4</f>
        <v/>
      </c>
      <c r="AB418" s="26">
        <f>IF(U418=0,"",ROUND(AA418/U418*100,1))</f>
        <v/>
      </c>
      <c r="AC418" s="27">
        <f>Y418-AA418</f>
        <v/>
      </c>
      <c r="AD418" s="26">
        <f>IF(U418=0,"",ROUND((Y418-AA418)/U418*100,1))</f>
        <v/>
      </c>
      <c r="AE418" s="28" t="inlineStr">
        <is>
          <t>OK — totals reconciled</t>
        </is>
      </c>
      <c r="AF418" s="29" t="inlineStr">
        <is>
          <t>https://recuperacaojudicial.squarespace.com/s/LISTA-DE-CREDORES-CONSOLIDADA-EM-11072025_6419.pdf</t>
        </is>
      </c>
      <c r="AG418" s="28" t="inlineStr">
        <is>
          <t>p4 r4</t>
        </is>
      </c>
      <c r="AH418" s="28" t="inlineStr">
        <is>
          <t>p4: R$ 499.697,60</t>
        </is>
      </c>
      <c r="AI418" s="28" t="inlineStr">
        <is>
          <t>AJ list (art. 7 §2)</t>
        </is>
      </c>
      <c r="AJ418" s="28" t="inlineStr">
        <is>
          <t>2025-07-15</t>
        </is>
      </c>
      <c r="AK418" s="28" t="inlineStr">
        <is>
          <t>NONE FOUND</t>
        </is>
      </c>
      <c r="AL418" s="30" t="inlineStr">
        <is>
          <t>0700087-51.2020.8.02.0043</t>
        </is>
      </c>
      <c r="AM418" s="30" t="inlineStr">
        <is>
          <t>TJAL</t>
        </is>
      </c>
      <c r="AN418" s="30" t="inlineStr">
        <is>
          <t>ACTIVE</t>
        </is>
      </c>
      <c r="AO418" s="30" t="n">
        <v>2020</v>
      </c>
      <c r="AP418" s="30" t="inlineStr">
        <is>
          <t>6y since filing, no plan document</t>
        </is>
      </c>
      <c r="AQ418" s="30" t="inlineStr">
        <is>
          <t>12.436.978/0001-80</t>
        </is>
      </c>
      <c r="AR418" s="30" t="inlineStr">
        <is>
          <t>printed on the list (read twice)</t>
        </is>
      </c>
      <c r="AS418" s="30" t="inlineStr">
        <is>
          <t>BRASILIA</t>
        </is>
      </c>
      <c r="AT418" s="30" t="inlineStr">
        <is>
          <t>DF</t>
        </is>
      </c>
      <c r="AU418" s="30" t="inlineStr">
        <is>
          <t>Caixas econômicas</t>
        </is>
      </c>
      <c r="AV418" s="30" t="inlineStr">
        <is>
          <t>DEMAIS</t>
        </is>
      </c>
      <c r="AW418" s="31" t="n">
        <v>105300000000</v>
      </c>
      <c r="AX418" s="30" t="inlineStr">
        <is>
          <t>LARGE CORP</t>
        </is>
      </c>
      <c r="AY418" s="30" t="inlineStr">
        <is>
          <t>00360305</t>
        </is>
      </c>
      <c r="AZ418" s="30" t="n">
        <v>1</v>
      </c>
      <c r="BA418" s="30" t="inlineStr">
        <is>
          <t>LIKELY_FINANCIAL_BY_NAME ROWS:p4r4 VALUE_COL:Valor_Do_Crédito</t>
        </is>
      </c>
    </row>
    <row r="419">
      <c r="A419" s="16" t="inlineStr">
        <is>
          <t>BANCO DO BRASIL SA</t>
        </is>
      </c>
      <c r="B419" s="17" t="n">
        <v>444115.16</v>
      </c>
      <c r="C419" s="18" t="inlineStr">
        <is>
          <t>Grupo Mastter</t>
        </is>
      </c>
      <c r="D419" s="19" t="inlineStr">
        <is>
          <t>NEW</t>
        </is>
      </c>
      <c r="E419" s="20" t="inlineStr"/>
      <c r="F419" s="19" t="inlineStr"/>
      <c r="G419" s="20" t="inlineStr"/>
      <c r="H419" s="19" t="inlineStr"/>
      <c r="I419" s="21" t="inlineStr">
        <is>
          <t>Thiago Cavichioli</t>
        </is>
      </c>
      <c r="J419" s="21" t="inlineStr">
        <is>
          <t>Gerente de Cobrança e Recuperação de Crédito</t>
        </is>
      </c>
      <c r="K419" s="21" t="inlineStr">
        <is>
          <t>(61) 3493-9002</t>
        </is>
      </c>
      <c r="L419" s="21" t="inlineStr"/>
      <c r="M419" s="21" t="inlineStr"/>
      <c r="N419" s="21" t="inlineStr">
        <is>
          <t>thiago.cavichioli@bb.com.br</t>
        </is>
      </c>
      <c r="O419" s="21" t="inlineStr">
        <is>
          <t>suelenmondador@bb.com.br</t>
        </is>
      </c>
      <c r="P419" s="21" t="inlineStr">
        <is>
          <t>Suelen Mondador</t>
        </is>
      </c>
      <c r="Q419" s="21" t="inlineStr">
        <is>
          <t>Gerente Especialista em Recuperação de Crédito</t>
        </is>
      </c>
      <c r="R419" s="21" t="inlineStr"/>
      <c r="S419" s="21" t="inlineStr">
        <is>
          <t>suelenmondador@bb.com.br</t>
        </is>
      </c>
      <c r="T419" s="21" t="inlineStr">
        <is>
          <t>email verified by Apollo</t>
        </is>
      </c>
      <c r="U419" s="22" t="n">
        <v>444115.16</v>
      </c>
      <c r="V419" s="38" t="inlineStr">
        <is>
          <t>C</t>
        </is>
      </c>
      <c r="W419" s="24">
        <f>IFERROR(VLOOKUP(V419,Assumptions!$A$7:$F$11,2,FALSE),0)</f>
        <v/>
      </c>
      <c r="X419" s="25">
        <f>IF(V419="A",MAX(1,IFERROR(VLOOKUP(V419,Assumptions!$A$7:$F$11,3,FALSE),3)+IFERROR(VLOOKUP(V419,Assumptions!$A$7:$F$11,4,FALSE),8)/2-MAX(0,IF(AO419="",0,YEAR(TODAY())-AO419)-IFERROR(VLOOKUP(V419,Assumptions!$A$7:$F$11,5,FALSE),1.5))),IFERROR(VLOOKUP(V419,Assumptions!$A$7:$F$11,5,FALSE),2.5)+IFERROR(VLOOKUP(V419,Assumptions!$A$7:$F$11,3,FALSE),3)+IFERROR(VLOOKUP(V419,Assumptions!$A$7:$F$11,4,FALSE),8)/2)</f>
        <v/>
      </c>
      <c r="Y419" s="22">
        <f>U419*W419/(1+Assumptions!$B$3)^X419</f>
        <v/>
      </c>
      <c r="Z419" s="26">
        <f>IF(U419=0,"",ROUND(Y419/U419*100,1))</f>
        <v/>
      </c>
      <c r="AA419" s="27">
        <f>Y419*Assumptions!$B$4</f>
        <v/>
      </c>
      <c r="AB419" s="26">
        <f>IF(U419=0,"",ROUND(AA419/U419*100,1))</f>
        <v/>
      </c>
      <c r="AC419" s="27">
        <f>Y419-AA419</f>
        <v/>
      </c>
      <c r="AD419" s="26">
        <f>IF(U419=0,"",ROUND((Y419-AA419)/U419*100,1))</f>
        <v/>
      </c>
      <c r="AE419" s="33" t="inlineStr">
        <is>
          <t>NO TOTALS — list prints none; check page</t>
        </is>
      </c>
      <c r="AF419" s="29" t="inlineStr">
        <is>
          <t>https://realbrasil.com.br/wp-content/uploads/2017/05/Relação-de-Credores_-Mastter-1.pdf</t>
        </is>
      </c>
      <c r="AG419" s="28" t="inlineStr">
        <is>
          <t>p2 r6; p2 r7; p2 r8; p2 r9</t>
        </is>
      </c>
      <c r="AH419" s="28" t="inlineStr">
        <is>
          <t>p2: R$ 408.395,49; p2: R$ 5.000,00; p2: R$ 3.628,76; p2: R$ 27.090,91</t>
        </is>
      </c>
      <c r="AI419" s="28" t="inlineStr">
        <is>
          <t>Debtor list (art. 51)</t>
        </is>
      </c>
      <c r="AJ419" s="28" t="inlineStr">
        <is>
          <t>2016-02-10</t>
        </is>
      </c>
      <c r="AK419" s="28" t="inlineStr">
        <is>
          <t>NONE FOUND</t>
        </is>
      </c>
      <c r="AL419" s="30" t="inlineStr">
        <is>
          <t>0801893-91.2016.8.12.0011</t>
        </is>
      </c>
      <c r="AM419" s="30" t="inlineStr">
        <is>
          <t>TJMS</t>
        </is>
      </c>
      <c r="AN419" s="30" t="inlineStr"/>
      <c r="AO419" s="30" t="n">
        <v>2016</v>
      </c>
      <c r="AP419" s="30" t="inlineStr">
        <is>
          <t>10y since filing, no plan document</t>
        </is>
      </c>
      <c r="AQ419" s="30" t="inlineStr"/>
      <c r="AR419" s="30" t="inlineStr">
        <is>
          <t>printed on the list (read twice)</t>
        </is>
      </c>
      <c r="AS419" s="30" t="inlineStr">
        <is>
          <t>BRASILIA</t>
        </is>
      </c>
      <c r="AT419" s="30" t="inlineStr">
        <is>
          <t>DF</t>
        </is>
      </c>
      <c r="AU419" s="30" t="inlineStr">
        <is>
          <t>Bancos múltiplos, com carteira comercial</t>
        </is>
      </c>
      <c r="AV419" s="30" t="inlineStr">
        <is>
          <t>DEMAIS</t>
        </is>
      </c>
      <c r="AW419" s="31" t="n">
        <v>120000000000</v>
      </c>
      <c r="AX419" s="30" t="inlineStr">
        <is>
          <t>LARGE CORP</t>
        </is>
      </c>
      <c r="AY419" s="30" t="inlineStr">
        <is>
          <t>00000000</t>
        </is>
      </c>
      <c r="AZ419" s="30" t="n">
        <v>4</v>
      </c>
      <c r="BA419" s="30" t="inlineStr">
        <is>
          <t>ALT_VALUE:R$27.090,91 ALT_VALUE:R$3.628,76 ALT_VALUE:R$408.395,49 ALT_VALUE:R$5.000,00 ROWS:p2r6,p2r7,p2r8,p2r9 UNRECONCILED_SOURCE VALUE_COL:Valor_Da_Parcela</t>
        </is>
      </c>
    </row>
    <row r="420">
      <c r="A420" s="16" t="inlineStr">
        <is>
          <t>ARTEMUS FUNDO DE INVESTIMENTO EM DIREITOS CREDITORIOS MULTISSETORIAL (</t>
        </is>
      </c>
      <c r="B420" s="17" t="n">
        <v>440967.31</v>
      </c>
      <c r="C420" s="18" t="inlineStr">
        <is>
          <t>VECTOR INDÚSTRIA DE PRODUTOS METALÚRGICOS LTDA.</t>
        </is>
      </c>
      <c r="D420" s="19" t="inlineStr">
        <is>
          <t>NEW</t>
        </is>
      </c>
      <c r="E420" s="20" t="inlineStr"/>
      <c r="F420" s="19" t="inlineStr"/>
      <c r="G420" s="20" t="inlineStr"/>
      <c r="H420" s="19" t="inlineStr"/>
      <c r="I420" s="21" t="inlineStr"/>
      <c r="J420" s="21" t="inlineStr"/>
      <c r="K420" s="21" t="inlineStr"/>
      <c r="L420" s="21" t="inlineStr"/>
      <c r="M420" s="21" t="inlineStr"/>
      <c r="N420" s="21" t="inlineStr"/>
      <c r="O420" s="21" t="inlineStr"/>
      <c r="P420" s="21" t="inlineStr"/>
      <c r="Q420" s="21" t="inlineStr"/>
      <c r="R420" s="21" t="inlineStr"/>
      <c r="S420" s="21" t="inlineStr"/>
      <c r="T420" s="21" t="inlineStr">
        <is>
          <t>no named contact found</t>
        </is>
      </c>
      <c r="U420" s="22" t="n">
        <v>440967.31</v>
      </c>
      <c r="V420" s="38" t="inlineStr">
        <is>
          <t>C</t>
        </is>
      </c>
      <c r="W420" s="24">
        <f>IFERROR(VLOOKUP(V420,Assumptions!$A$7:$F$11,2,FALSE),0)</f>
        <v/>
      </c>
      <c r="X420" s="25">
        <f>IF(V420="A",MAX(1,IFERROR(VLOOKUP(V420,Assumptions!$A$7:$F$11,3,FALSE),3)+IFERROR(VLOOKUP(V420,Assumptions!$A$7:$F$11,4,FALSE),8)/2-MAX(0,IF(AO420="",0,YEAR(TODAY())-AO420)-IFERROR(VLOOKUP(V420,Assumptions!$A$7:$F$11,5,FALSE),1.5))),IFERROR(VLOOKUP(V420,Assumptions!$A$7:$F$11,5,FALSE),2.5)+IFERROR(VLOOKUP(V420,Assumptions!$A$7:$F$11,3,FALSE),3)+IFERROR(VLOOKUP(V420,Assumptions!$A$7:$F$11,4,FALSE),8)/2)</f>
        <v/>
      </c>
      <c r="Y420" s="22">
        <f>U420*W420/(1+Assumptions!$B$3)^X420</f>
        <v/>
      </c>
      <c r="Z420" s="26">
        <f>IF(U420=0,"",ROUND(Y420/U420*100,1))</f>
        <v/>
      </c>
      <c r="AA420" s="27">
        <f>Y420*Assumptions!$B$4</f>
        <v/>
      </c>
      <c r="AB420" s="26">
        <f>IF(U420=0,"",ROUND(AA420/U420*100,1))</f>
        <v/>
      </c>
      <c r="AC420" s="27">
        <f>Y420-AA420</f>
        <v/>
      </c>
      <c r="AD420" s="26">
        <f>IF(U420=0,"",ROUND((Y420-AA420)/U420*100,1))</f>
        <v/>
      </c>
      <c r="AE420" s="33" t="inlineStr">
        <is>
          <t>NO TOTALS — list prints none; check page</t>
        </is>
      </c>
      <c r="AF420" s="29" t="inlineStr">
        <is>
          <t>https://scalzilliaj.com.br/sgc/download.php?file=files/processo_documento/processo_documento15513401112022_1_.pdf&amp;nome=15 - Edital do art. 7º, §2º (segunda lista de credores) e do art. 53 da Lei 11.101/2005 (recebimento do plano)</t>
        </is>
      </c>
      <c r="AG420" s="28" t="inlineStr">
        <is>
          <t>p5 r33</t>
        </is>
      </c>
      <c r="AH420" s="28" t="inlineStr">
        <is>
          <t>p5: R$ 440.967,31</t>
        </is>
      </c>
      <c r="AI420" s="28" t="inlineStr">
        <is>
          <t>AJ list (art. 7 §2)</t>
        </is>
      </c>
      <c r="AJ420" s="28" t="inlineStr">
        <is>
          <t>2022-11-01</t>
        </is>
      </c>
      <c r="AK420" s="28" t="inlineStr">
        <is>
          <t>NONE FOUND</t>
        </is>
      </c>
      <c r="AL420" s="30" t="inlineStr">
        <is>
          <t>5014104-85.2021.8.21.0010</t>
        </is>
      </c>
      <c r="AM420" s="30" t="inlineStr">
        <is>
          <t>TJRS</t>
        </is>
      </c>
      <c r="AN420" s="30" t="inlineStr">
        <is>
          <t>ACTIVE</t>
        </is>
      </c>
      <c r="AO420" s="30" t="n">
        <v>2021</v>
      </c>
      <c r="AP420" s="30" t="inlineStr">
        <is>
          <t>5y since filing, no plan document</t>
        </is>
      </c>
      <c r="AQ420" s="30" t="inlineStr">
        <is>
          <t>03.018.339/0001-03</t>
        </is>
      </c>
      <c r="AR420" s="30" t="inlineStr">
        <is>
          <t>printed on the list (read twice)</t>
        </is>
      </c>
      <c r="AS420" s="30" t="inlineStr"/>
      <c r="AT420" s="30" t="inlineStr"/>
      <c r="AU420" s="30" t="inlineStr"/>
      <c r="AV420" s="30" t="inlineStr"/>
      <c r="AW420" s="31" t="inlineStr"/>
      <c r="AX420" s="30" t="inlineStr">
        <is>
          <t>MID-MARKET</t>
        </is>
      </c>
      <c r="AY420" s="30" t="inlineStr">
        <is>
          <t>24506071</t>
        </is>
      </c>
      <c r="AZ420" s="30" t="n">
        <v>1</v>
      </c>
      <c r="BA420" s="30" t="inlineStr">
        <is>
          <t>LIKELY_FINANCIAL_BY_NAME ROWS:p5r33 UNRECONCILED_SOURCE</t>
        </is>
      </c>
    </row>
    <row r="421">
      <c r="A421" s="16" t="inlineStr">
        <is>
          <t>ITAU UNIBANCO S.A.</t>
        </is>
      </c>
      <c r="B421" s="17" t="n">
        <v>799334.67</v>
      </c>
      <c r="C421" s="18" t="inlineStr">
        <is>
          <t>COPA FRUIT IMPORTAÇÃO E EXPORTAÇÃO S.A</t>
        </is>
      </c>
      <c r="D421" s="19" t="inlineStr">
        <is>
          <t>NEW</t>
        </is>
      </c>
      <c r="E421" s="20" t="inlineStr"/>
      <c r="F421" s="19" t="inlineStr"/>
      <c r="G421" s="20" t="inlineStr"/>
      <c r="H421" s="19" t="inlineStr"/>
      <c r="I421" s="21" t="inlineStr">
        <is>
          <t>Murilo Gigliucci</t>
        </is>
      </c>
      <c r="J421" s="21" t="inlineStr">
        <is>
          <t>Superintendente de Reestruturação de Crédito</t>
        </is>
      </c>
      <c r="K421" s="21" t="inlineStr">
        <is>
          <t>(11) 3003-4828</t>
        </is>
      </c>
      <c r="L421" s="21" t="inlineStr"/>
      <c r="M421" s="21" t="inlineStr"/>
      <c r="N421" s="21" t="inlineStr">
        <is>
          <t>murilo.gigliucci@itau-unibanco.com.br</t>
        </is>
      </c>
      <c r="O421" s="21" t="inlineStr">
        <is>
          <t>pedro.ornellas-geronimo@itau-unibanco.com.br</t>
        </is>
      </c>
      <c r="P421" s="21" t="inlineStr">
        <is>
          <t>Pedro Ornellas</t>
        </is>
      </c>
      <c r="Q421" s="21" t="inlineStr">
        <is>
          <t>Superintendente de Recuperação de Crédito</t>
        </is>
      </c>
      <c r="R421" s="21" t="inlineStr"/>
      <c r="S421" s="21" t="inlineStr">
        <is>
          <t>pedro.ornellas-geronimo@itau-unibanco.com.br</t>
        </is>
      </c>
      <c r="T421" s="21" t="inlineStr">
        <is>
          <t>email verified by Apollo</t>
        </is>
      </c>
      <c r="U421" s="22" t="n">
        <v>799334.67</v>
      </c>
      <c r="V421" s="39" t="inlineStr">
        <is>
          <t>D</t>
        </is>
      </c>
      <c r="W421" s="24">
        <f>IFERROR(VLOOKUP(V421,Assumptions!$A$7:$F$11,2,FALSE),0)</f>
        <v/>
      </c>
      <c r="X421" s="25">
        <f>IF(V421="A",MAX(1,IFERROR(VLOOKUP(V421,Assumptions!$A$7:$F$11,3,FALSE),3)+IFERROR(VLOOKUP(V421,Assumptions!$A$7:$F$11,4,FALSE),8)/2-MAX(0,IF(AO421="",0,YEAR(TODAY())-AO421)-IFERROR(VLOOKUP(V421,Assumptions!$A$7:$F$11,5,FALSE),1.5))),IFERROR(VLOOKUP(V421,Assumptions!$A$7:$F$11,5,FALSE),2.5)+IFERROR(VLOOKUP(V421,Assumptions!$A$7:$F$11,3,FALSE),3)+IFERROR(VLOOKUP(V421,Assumptions!$A$7:$F$11,4,FALSE),8)/2)</f>
        <v/>
      </c>
      <c r="Y421" s="22">
        <f>U421*W421/(1+Assumptions!$B$3)^X421</f>
        <v/>
      </c>
      <c r="Z421" s="26">
        <f>IF(U421=0,"",ROUND(Y421/U421*100,1))</f>
        <v/>
      </c>
      <c r="AA421" s="27">
        <f>Y421*Assumptions!$B$4</f>
        <v/>
      </c>
      <c r="AB421" s="26">
        <f>IF(U421=0,"",ROUND(AA421/U421*100,1))</f>
        <v/>
      </c>
      <c r="AC421" s="27">
        <f>Y421-AA421</f>
        <v/>
      </c>
      <c r="AD421" s="26">
        <f>IF(U421=0,"",ROUND((Y421-AA421)/U421*100,1))</f>
        <v/>
      </c>
      <c r="AE421" s="33" t="inlineStr">
        <is>
          <t>NO TOTALS — list prints none; check page</t>
        </is>
      </c>
      <c r="AF421" s="29" t="inlineStr">
        <is>
          <t>https://diligence.adm.br/wp-content/plugins/download-attachments/includes/download.php?id=4579</t>
        </is>
      </c>
      <c r="AG421" s="28" t="inlineStr">
        <is>
          <t>p8 r8</t>
        </is>
      </c>
      <c r="AH421" s="28" t="inlineStr">
        <is>
          <t>p8: R$ 799.334,67</t>
        </is>
      </c>
      <c r="AI421" s="28" t="inlineStr">
        <is>
          <t>AJ list (art. 7 §2)</t>
        </is>
      </c>
      <c r="AJ421" s="28" t="inlineStr">
        <is>
          <t>2024-06-11</t>
        </is>
      </c>
      <c r="AK421" s="28" t="inlineStr">
        <is>
          <t>NONE FOUND</t>
        </is>
      </c>
      <c r="AL421" s="30" t="inlineStr">
        <is>
          <t>0032731-52.2010.8.17.0001</t>
        </is>
      </c>
      <c r="AM421" s="30" t="inlineStr">
        <is>
          <t>TJPE</t>
        </is>
      </c>
      <c r="AN421" s="30" t="inlineStr"/>
      <c r="AO421" s="30" t="n">
        <v>2010</v>
      </c>
      <c r="AP421" s="30" t="inlineStr">
        <is>
          <t>document is a falência (bankruptcy) list</t>
        </is>
      </c>
      <c r="AQ421" s="30" t="inlineStr">
        <is>
          <t>01.356.809/0001-13</t>
        </is>
      </c>
      <c r="AR421" s="30" t="inlineStr">
        <is>
          <t>printed on the list (read twice)</t>
        </is>
      </c>
      <c r="AS421" s="30" t="inlineStr">
        <is>
          <t>SAO PAULO</t>
        </is>
      </c>
      <c r="AT421" s="30" t="inlineStr">
        <is>
          <t>SP</t>
        </is>
      </c>
      <c r="AU421" s="30" t="inlineStr">
        <is>
          <t>Bancos comerciais</t>
        </is>
      </c>
      <c r="AV421" s="30" t="inlineStr">
        <is>
          <t>DEMAIS</t>
        </is>
      </c>
      <c r="AW421" s="31" t="n">
        <v>76200000000</v>
      </c>
      <c r="AX421" s="30" t="inlineStr">
        <is>
          <t>LARGE CORP</t>
        </is>
      </c>
      <c r="AY421" s="30" t="inlineStr">
        <is>
          <t>60701190</t>
        </is>
      </c>
      <c r="AZ421" s="30" t="n">
        <v>1</v>
      </c>
      <c r="BA421" s="30" t="inlineStr">
        <is>
          <t>LIKELY_FINANCIAL_BY_NAME ROWS:p8r8 UNRECONCILED_SOURCE VALUE_COL:Crédito_1ª_Lista</t>
        </is>
      </c>
    </row>
    <row r="422">
      <c r="A422" s="16" t="inlineStr">
        <is>
          <t>BANCO VOTORANTIM S.A.</t>
        </is>
      </c>
      <c r="B422" s="17" t="n">
        <v>415020.29</v>
      </c>
      <c r="C422" s="18" t="inlineStr">
        <is>
          <t>FORMAPLAN FORMAS PLANEJADAS INDÚSTRIA E COMÉRCIO LTDA</t>
        </is>
      </c>
      <c r="D422" s="19" t="inlineStr">
        <is>
          <t>NEW</t>
        </is>
      </c>
      <c r="E422" s="20" t="inlineStr"/>
      <c r="F422" s="19" t="inlineStr"/>
      <c r="G422" s="20" t="inlineStr"/>
      <c r="H422" s="19" t="inlineStr"/>
      <c r="I422" s="21" t="inlineStr">
        <is>
          <t>Red Silva</t>
        </is>
      </c>
      <c r="J422" s="21" t="inlineStr">
        <is>
          <t>Special Assets - Banker Senior</t>
        </is>
      </c>
      <c r="K422" s="21" t="inlineStr">
        <is>
          <t>(11) 5171-2672</t>
        </is>
      </c>
      <c r="L422" s="21" t="inlineStr">
        <is>
          <t>(11) 5171-2488</t>
        </is>
      </c>
      <c r="M422" s="21" t="inlineStr"/>
      <c r="N422" s="21" t="inlineStr">
        <is>
          <t>red.silva@bv.com.br</t>
        </is>
      </c>
      <c r="O422" s="21" t="inlineStr">
        <is>
          <t>caroline.oishi@bv.com.br</t>
        </is>
      </c>
      <c r="P422" s="21" t="inlineStr">
        <is>
          <t>Caroline Oishi</t>
        </is>
      </c>
      <c r="Q422" s="21" t="inlineStr">
        <is>
          <t>Gerente Executivo de Recuperação de Crédito</t>
        </is>
      </c>
      <c r="R422" s="21" t="inlineStr"/>
      <c r="S422" s="21" t="inlineStr">
        <is>
          <t>caroline.oishi@bv.com.br</t>
        </is>
      </c>
      <c r="T422" s="21" t="inlineStr">
        <is>
          <t>email verified by Apollo</t>
        </is>
      </c>
      <c r="U422" s="22" t="n">
        <v>415020.29</v>
      </c>
      <c r="V422" s="38" t="inlineStr">
        <is>
          <t>C</t>
        </is>
      </c>
      <c r="W422" s="24">
        <f>IFERROR(VLOOKUP(V422,Assumptions!$A$7:$F$11,2,FALSE),0)</f>
        <v/>
      </c>
      <c r="X422" s="25">
        <f>IF(V422="A",MAX(1,IFERROR(VLOOKUP(V422,Assumptions!$A$7:$F$11,3,FALSE),3)+IFERROR(VLOOKUP(V422,Assumptions!$A$7:$F$11,4,FALSE),8)/2-MAX(0,IF(AO422="",0,YEAR(TODAY())-AO422)-IFERROR(VLOOKUP(V422,Assumptions!$A$7:$F$11,5,FALSE),1.5))),IFERROR(VLOOKUP(V422,Assumptions!$A$7:$F$11,5,FALSE),2.5)+IFERROR(VLOOKUP(V422,Assumptions!$A$7:$F$11,3,FALSE),3)+IFERROR(VLOOKUP(V422,Assumptions!$A$7:$F$11,4,FALSE),8)/2)</f>
        <v/>
      </c>
      <c r="Y422" s="22">
        <f>U422*W422/(1+Assumptions!$B$3)^X422</f>
        <v/>
      </c>
      <c r="Z422" s="26">
        <f>IF(U422=0,"",ROUND(Y422/U422*100,1))</f>
        <v/>
      </c>
      <c r="AA422" s="27">
        <f>Y422*Assumptions!$B$4</f>
        <v/>
      </c>
      <c r="AB422" s="26">
        <f>IF(U422=0,"",ROUND(AA422/U422*100,1))</f>
        <v/>
      </c>
      <c r="AC422" s="27">
        <f>Y422-AA422</f>
        <v/>
      </c>
      <c r="AD422" s="26">
        <f>IF(U422=0,"",ROUND((Y422-AA422)/U422*100,1))</f>
        <v/>
      </c>
      <c r="AE422" s="34" t="inlineStr">
        <is>
          <t>PARTIAL — class III reconciled, other classes not</t>
        </is>
      </c>
      <c r="AF422" s="29" t="inlineStr">
        <is>
          <t>https://marquesadmjudicial.com.br/sgc/download.php?file=files/processo_documento/processo_documento15232121112024_1_.pdf&amp;nome=Relação de Credores</t>
        </is>
      </c>
      <c r="AG422" s="28" t="inlineStr">
        <is>
          <t>p13 r10</t>
        </is>
      </c>
      <c r="AH422" s="28" t="inlineStr">
        <is>
          <t>p13: R$ 415.020,29</t>
        </is>
      </c>
      <c r="AI422" s="28" t="inlineStr">
        <is>
          <t>AJ list (art. 7 §2)</t>
        </is>
      </c>
      <c r="AJ422" s="28" t="inlineStr">
        <is>
          <t>2021-01-22</t>
        </is>
      </c>
      <c r="AK422" s="28" t="inlineStr">
        <is>
          <t>NONE FOUND</t>
        </is>
      </c>
      <c r="AL422" s="30" t="inlineStr">
        <is>
          <t>0000410-68.2021.8.16.0174</t>
        </is>
      </c>
      <c r="AM422" s="30" t="inlineStr">
        <is>
          <t>TJPR</t>
        </is>
      </c>
      <c r="AN422" s="30" t="inlineStr">
        <is>
          <t>ACTIVE</t>
        </is>
      </c>
      <c r="AO422" s="30" t="n">
        <v>2021</v>
      </c>
      <c r="AP422" s="30" t="inlineStr">
        <is>
          <t>5y since filing, no plan document</t>
        </is>
      </c>
      <c r="AQ422" s="30" t="inlineStr">
        <is>
          <t>00.262.371/0001-41</t>
        </is>
      </c>
      <c r="AR422" s="30" t="inlineStr">
        <is>
          <t>printed on the list (read twice)</t>
        </is>
      </c>
      <c r="AS422" s="30" t="inlineStr">
        <is>
          <t>SAO PAULO</t>
        </is>
      </c>
      <c r="AT422" s="30" t="inlineStr">
        <is>
          <t>SP</t>
        </is>
      </c>
      <c r="AU422" s="30" t="inlineStr">
        <is>
          <t>Bancos múltiplos, com carteira comercial</t>
        </is>
      </c>
      <c r="AV422" s="30" t="inlineStr">
        <is>
          <t>DEMAIS</t>
        </is>
      </c>
      <c r="AW422" s="31" t="n">
        <v>8480372000</v>
      </c>
      <c r="AX422" s="30" t="inlineStr">
        <is>
          <t>LARGE CORP</t>
        </is>
      </c>
      <c r="AY422" s="30" t="inlineStr">
        <is>
          <t>59588111</t>
        </is>
      </c>
      <c r="AZ422" s="30" t="n">
        <v>1</v>
      </c>
      <c r="BA422" s="30" t="inlineStr">
        <is>
          <t>LIKELY_FINANCIAL_BY_NAME PARTIAL_DOC_CLASS_III_RECONCILED ROWS:p13r10</t>
        </is>
      </c>
    </row>
    <row r="423">
      <c r="A423" s="16" t="inlineStr">
        <is>
          <t>BANCO DO NORDESTE DO BRASIL SA</t>
        </is>
      </c>
      <c r="B423" s="17" t="n">
        <v>408096.44</v>
      </c>
      <c r="C423" s="18" t="inlineStr">
        <is>
          <t>AUTO POSTO FREITAS &amp; MAIA LTDA</t>
        </is>
      </c>
      <c r="D423" s="19" t="inlineStr">
        <is>
          <t>NEW</t>
        </is>
      </c>
      <c r="E423" s="20" t="inlineStr"/>
      <c r="F423" s="19" t="inlineStr"/>
      <c r="G423" s="20" t="inlineStr"/>
      <c r="H423" s="19" t="inlineStr"/>
      <c r="I423" s="21" t="inlineStr">
        <is>
          <t>Layslan Medeiros</t>
        </is>
      </c>
      <c r="J423" s="21" t="inlineStr">
        <is>
          <t>Gerente Executivo Operacional e de Recuperação de Crédito</t>
        </is>
      </c>
      <c r="K423" s="21" t="inlineStr">
        <is>
          <t>(85) 3299-3000</t>
        </is>
      </c>
      <c r="L423" s="21" t="inlineStr"/>
      <c r="M423" s="21" t="inlineStr"/>
      <c r="N423" s="21" t="inlineStr"/>
      <c r="O423" s="21" t="inlineStr">
        <is>
          <t>alexsander@bnb.gov.br</t>
        </is>
      </c>
      <c r="P423" s="21" t="inlineStr">
        <is>
          <t>Alexsander Farias</t>
        </is>
      </c>
      <c r="Q423" s="21" t="inlineStr">
        <is>
          <t>Gerente de Recuperação de Crédito</t>
        </is>
      </c>
      <c r="R423" s="21" t="inlineStr"/>
      <c r="S423" s="21" t="inlineStr">
        <is>
          <t>alexsander@bnb.gov.br</t>
        </is>
      </c>
      <c r="T423" s="21" t="inlineStr">
        <is>
          <t>no work email found in Apollo</t>
        </is>
      </c>
      <c r="U423" s="22" t="n">
        <v>408096.44</v>
      </c>
      <c r="V423" s="38" t="inlineStr">
        <is>
          <t>C</t>
        </is>
      </c>
      <c r="W423" s="24">
        <f>IFERROR(VLOOKUP(V423,Assumptions!$A$7:$F$11,2,FALSE),0)</f>
        <v/>
      </c>
      <c r="X423" s="25">
        <f>IF(V423="A",MAX(1,IFERROR(VLOOKUP(V423,Assumptions!$A$7:$F$11,3,FALSE),3)+IFERROR(VLOOKUP(V423,Assumptions!$A$7:$F$11,4,FALSE),8)/2-MAX(0,IF(AO423="",0,YEAR(TODAY())-AO423)-IFERROR(VLOOKUP(V423,Assumptions!$A$7:$F$11,5,FALSE),1.5))),IFERROR(VLOOKUP(V423,Assumptions!$A$7:$F$11,5,FALSE),2.5)+IFERROR(VLOOKUP(V423,Assumptions!$A$7:$F$11,3,FALSE),3)+IFERROR(VLOOKUP(V423,Assumptions!$A$7:$F$11,4,FALSE),8)/2)</f>
        <v/>
      </c>
      <c r="Y423" s="22">
        <f>U423*W423/(1+Assumptions!$B$3)^X423</f>
        <v/>
      </c>
      <c r="Z423" s="26">
        <f>IF(U423=0,"",ROUND(Y423/U423*100,1))</f>
        <v/>
      </c>
      <c r="AA423" s="27">
        <f>Y423*Assumptions!$B$4</f>
        <v/>
      </c>
      <c r="AB423" s="26">
        <f>IF(U423=0,"",ROUND(AA423/U423*100,1))</f>
        <v/>
      </c>
      <c r="AC423" s="27">
        <f>Y423-AA423</f>
        <v/>
      </c>
      <c r="AD423" s="26">
        <f>IF(U423=0,"",ROUND((Y423-AA423)/U423*100,1))</f>
        <v/>
      </c>
      <c r="AE423" s="28" t="inlineStr">
        <is>
          <t>OK — totals reconciled</t>
        </is>
      </c>
      <c r="AF423" s="29" t="inlineStr">
        <is>
          <t>https://recuperacaojudicial.squarespace.com/s/LISTA-DE-CREDORES-CONSOLIDADA-EM-11072025_6419.pdf</t>
        </is>
      </c>
      <c r="AG423" s="28" t="inlineStr">
        <is>
          <t>p4 r3</t>
        </is>
      </c>
      <c r="AH423" s="28" t="inlineStr">
        <is>
          <t>p4: R$ 408.096,44</t>
        </is>
      </c>
      <c r="AI423" s="28" t="inlineStr">
        <is>
          <t>AJ list (art. 7 §2)</t>
        </is>
      </c>
      <c r="AJ423" s="28" t="inlineStr">
        <is>
          <t>2025-07-15</t>
        </is>
      </c>
      <c r="AK423" s="28" t="inlineStr">
        <is>
          <t>NONE FOUND</t>
        </is>
      </c>
      <c r="AL423" s="30" t="inlineStr">
        <is>
          <t>0700087-51.2020.8.02.0043</t>
        </is>
      </c>
      <c r="AM423" s="30" t="inlineStr">
        <is>
          <t>TJAL</t>
        </is>
      </c>
      <c r="AN423" s="30" t="inlineStr">
        <is>
          <t>ACTIVE</t>
        </is>
      </c>
      <c r="AO423" s="30" t="n">
        <v>2020</v>
      </c>
      <c r="AP423" s="30" t="inlineStr">
        <is>
          <t>6y since filing, no plan document</t>
        </is>
      </c>
      <c r="AQ423" s="30" t="inlineStr">
        <is>
          <t>12.436.978/0001-80</t>
        </is>
      </c>
      <c r="AR423" s="30" t="inlineStr">
        <is>
          <t>printed on the list (read twice)</t>
        </is>
      </c>
      <c r="AS423" s="30" t="inlineStr">
        <is>
          <t>FORTALEZA</t>
        </is>
      </c>
      <c r="AT423" s="30" t="inlineStr">
        <is>
          <t>CE</t>
        </is>
      </c>
      <c r="AU423" s="30" t="inlineStr">
        <is>
          <t>Bancos múltiplos, com carteira comercial</t>
        </is>
      </c>
      <c r="AV423" s="30" t="inlineStr">
        <is>
          <t>DEMAIS</t>
        </is>
      </c>
      <c r="AW423" s="31" t="n">
        <v>15139032000</v>
      </c>
      <c r="AX423" s="30" t="inlineStr">
        <is>
          <t>LARGE CORP</t>
        </is>
      </c>
      <c r="AY423" s="30" t="inlineStr">
        <is>
          <t>07237373</t>
        </is>
      </c>
      <c r="AZ423" s="30" t="n">
        <v>1</v>
      </c>
      <c r="BA423" s="30" t="inlineStr">
        <is>
          <t>LIKELY_FINANCIAL_BY_NAME ROWS:p4r3 VALUE_COL:Valor_Do_Crédito</t>
        </is>
      </c>
    </row>
    <row r="424">
      <c r="A424" s="16" t="inlineStr">
        <is>
          <t>BANCO SANTANDER (BRASIL) S.A.</t>
        </is>
      </c>
      <c r="B424" s="17" t="n">
        <v>710368.89</v>
      </c>
      <c r="C424" s="18" t="inlineStr">
        <is>
          <t>MUNDO BIZARRO IMPORTACAO E EXPORTACAO LTDA</t>
        </is>
      </c>
      <c r="D424" s="19" t="inlineStr">
        <is>
          <t>NEW</t>
        </is>
      </c>
      <c r="E424" s="20" t="inlineStr"/>
      <c r="F424" s="19" t="inlineStr"/>
      <c r="G424" s="20" t="inlineStr"/>
      <c r="H424" s="19" t="inlineStr"/>
      <c r="I424" s="21" t="inlineStr">
        <is>
          <t>Igor Puertas</t>
        </is>
      </c>
      <c r="J424" s="21" t="inlineStr">
        <is>
          <t>Distressed Assets | NPL</t>
        </is>
      </c>
      <c r="K424" s="21" t="inlineStr">
        <is>
          <t>(11) 4004-3535</t>
        </is>
      </c>
      <c r="L424" s="21" t="inlineStr"/>
      <c r="M424" s="21" t="inlineStr"/>
      <c r="N424" s="21" t="inlineStr">
        <is>
          <t>igor.puertas@santander.com.br</t>
        </is>
      </c>
      <c r="O424" s="21" t="inlineStr">
        <is>
          <t>antonio.pequeno.junior@santander.com.br</t>
        </is>
      </c>
      <c r="P424" s="21" t="inlineStr">
        <is>
          <t>Antonio Junior</t>
        </is>
      </c>
      <c r="Q424" s="21" t="inlineStr">
        <is>
          <t>Superintendente Recuperação de Crédito</t>
        </is>
      </c>
      <c r="R424" s="21" t="inlineStr"/>
      <c r="S424" s="21" t="inlineStr">
        <is>
          <t>antonio.pequeno.junior@santander.com.br</t>
        </is>
      </c>
      <c r="T424" s="21" t="inlineStr">
        <is>
          <t>email verified by Apollo</t>
        </is>
      </c>
      <c r="U424" s="22" t="n">
        <v>710368.89</v>
      </c>
      <c r="V424" s="39" t="inlineStr">
        <is>
          <t>D</t>
        </is>
      </c>
      <c r="W424" s="24">
        <f>IFERROR(VLOOKUP(V424,Assumptions!$A$7:$F$11,2,FALSE),0)</f>
        <v/>
      </c>
      <c r="X424" s="25">
        <f>IF(V424="A",MAX(1,IFERROR(VLOOKUP(V424,Assumptions!$A$7:$F$11,3,FALSE),3)+IFERROR(VLOOKUP(V424,Assumptions!$A$7:$F$11,4,FALSE),8)/2-MAX(0,IF(AO424="",0,YEAR(TODAY())-AO424)-IFERROR(VLOOKUP(V424,Assumptions!$A$7:$F$11,5,FALSE),1.5))),IFERROR(VLOOKUP(V424,Assumptions!$A$7:$F$11,5,FALSE),2.5)+IFERROR(VLOOKUP(V424,Assumptions!$A$7:$F$11,3,FALSE),3)+IFERROR(VLOOKUP(V424,Assumptions!$A$7:$F$11,4,FALSE),8)/2)</f>
        <v/>
      </c>
      <c r="Y424" s="22">
        <f>U424*W424/(1+Assumptions!$B$3)^X424</f>
        <v/>
      </c>
      <c r="Z424" s="26">
        <f>IF(U424=0,"",ROUND(Y424/U424*100,1))</f>
        <v/>
      </c>
      <c r="AA424" s="27">
        <f>Y424*Assumptions!$B$4</f>
        <v/>
      </c>
      <c r="AB424" s="26">
        <f>IF(U424=0,"",ROUND(AA424/U424*100,1))</f>
        <v/>
      </c>
      <c r="AC424" s="27">
        <f>Y424-AA424</f>
        <v/>
      </c>
      <c r="AD424" s="26">
        <f>IF(U424=0,"",ROUND((Y424-AA424)/U424*100,1))</f>
        <v/>
      </c>
      <c r="AE424" s="33" t="inlineStr">
        <is>
          <t>NO TOTALS — list prints none; check page</t>
        </is>
      </c>
      <c r="AF424" s="29" t="inlineStr">
        <is>
          <t>https://administradorajudicialgs.com.br/wp-content/uploads/2024/10/relacao-de-credores-e-verificacao-de-credito-2025.pdf</t>
        </is>
      </c>
      <c r="AG424" s="28" t="inlineStr">
        <is>
          <t>p16 r3; p17 r2</t>
        </is>
      </c>
      <c r="AH424" s="28" t="inlineStr">
        <is>
          <t>p16: R$ 710.368,89; p17: R$ 710.368,89</t>
        </is>
      </c>
      <c r="AI424" s="28" t="inlineStr">
        <is>
          <t>AJ list (art. 7 §2)</t>
        </is>
      </c>
      <c r="AJ424" s="28" t="inlineStr">
        <is>
          <t>2025-04-24</t>
        </is>
      </c>
      <c r="AK424" s="28" t="inlineStr">
        <is>
          <t>NONE FOUND</t>
        </is>
      </c>
      <c r="AL424" s="30" t="inlineStr">
        <is>
          <t>5100227-29.2022.8.24.0023</t>
        </is>
      </c>
      <c r="AM424" s="30" t="inlineStr">
        <is>
          <t>TJSC</t>
        </is>
      </c>
      <c r="AN424" s="30" t="inlineStr"/>
      <c r="AO424" s="30" t="n">
        <v>2022</v>
      </c>
      <c r="AP424" s="30" t="inlineStr">
        <is>
          <t>document is a falência (bankruptcy) list</t>
        </is>
      </c>
      <c r="AQ424" s="30" t="inlineStr">
        <is>
          <t>05.316.275/0001-52</t>
        </is>
      </c>
      <c r="AR424" s="30" t="inlineStr">
        <is>
          <t>printed on the list (read twice)</t>
        </is>
      </c>
      <c r="AS424" s="30" t="inlineStr">
        <is>
          <t>SAO PAULO</t>
        </is>
      </c>
      <c r="AT424" s="30" t="inlineStr">
        <is>
          <t>SP</t>
        </is>
      </c>
      <c r="AU424" s="30" t="inlineStr">
        <is>
          <t>Bancos múltiplos, com carteira comercial</t>
        </is>
      </c>
      <c r="AV424" s="30" t="inlineStr">
        <is>
          <t>DEMAIS</t>
        </is>
      </c>
      <c r="AW424" s="31" t="n">
        <v>65000000000</v>
      </c>
      <c r="AX424" s="30" t="inlineStr">
        <is>
          <t>LARGE CORP</t>
        </is>
      </c>
      <c r="AY424" s="30" t="inlineStr">
        <is>
          <t>90400888</t>
        </is>
      </c>
      <c r="AZ424" s="30" t="n">
        <v>1</v>
      </c>
      <c r="BA424" s="30" t="inlineStr">
        <is>
          <t>ROWS:p16r3 UNRECONCILED_SOURCE</t>
        </is>
      </c>
    </row>
    <row r="425">
      <c r="A425" s="16" t="inlineStr">
        <is>
          <t>PLATINUM FUNDO DE INVESTIMENTO EM DIREITOS CREDITORIOS MULTISSETORIAL (</t>
        </is>
      </c>
      <c r="B425" s="17" t="n">
        <v>364774.81</v>
      </c>
      <c r="C425" s="18" t="inlineStr">
        <is>
          <t>VECTOR INDÚSTRIA DE PRODUTOS METALÚRGICOS LTDA.</t>
        </is>
      </c>
      <c r="D425" s="19" t="inlineStr">
        <is>
          <t>NEW</t>
        </is>
      </c>
      <c r="E425" s="20" t="inlineStr"/>
      <c r="F425" s="19" t="inlineStr"/>
      <c r="G425" s="20" t="inlineStr"/>
      <c r="H425" s="19" t="inlineStr"/>
      <c r="I425" s="21" t="inlineStr"/>
      <c r="J425" s="21" t="inlineStr"/>
      <c r="K425" s="21" t="inlineStr"/>
      <c r="L425" s="21" t="inlineStr"/>
      <c r="M425" s="21" t="inlineStr"/>
      <c r="N425" s="21" t="inlineStr"/>
      <c r="O425" s="21" t="inlineStr"/>
      <c r="P425" s="21" t="inlineStr"/>
      <c r="Q425" s="21" t="inlineStr"/>
      <c r="R425" s="21" t="inlineStr"/>
      <c r="S425" s="21" t="inlineStr"/>
      <c r="T425" s="21" t="inlineStr">
        <is>
          <t>no named contact found</t>
        </is>
      </c>
      <c r="U425" s="22" t="n">
        <v>364774.81</v>
      </c>
      <c r="V425" s="38" t="inlineStr">
        <is>
          <t>C</t>
        </is>
      </c>
      <c r="W425" s="24">
        <f>IFERROR(VLOOKUP(V425,Assumptions!$A$7:$F$11,2,FALSE),0)</f>
        <v/>
      </c>
      <c r="X425" s="25">
        <f>IF(V425="A",MAX(1,IFERROR(VLOOKUP(V425,Assumptions!$A$7:$F$11,3,FALSE),3)+IFERROR(VLOOKUP(V425,Assumptions!$A$7:$F$11,4,FALSE),8)/2-MAX(0,IF(AO425="",0,YEAR(TODAY())-AO425)-IFERROR(VLOOKUP(V425,Assumptions!$A$7:$F$11,5,FALSE),1.5))),IFERROR(VLOOKUP(V425,Assumptions!$A$7:$F$11,5,FALSE),2.5)+IFERROR(VLOOKUP(V425,Assumptions!$A$7:$F$11,3,FALSE),3)+IFERROR(VLOOKUP(V425,Assumptions!$A$7:$F$11,4,FALSE),8)/2)</f>
        <v/>
      </c>
      <c r="Y425" s="22">
        <f>U425*W425/(1+Assumptions!$B$3)^X425</f>
        <v/>
      </c>
      <c r="Z425" s="26">
        <f>IF(U425=0,"",ROUND(Y425/U425*100,1))</f>
        <v/>
      </c>
      <c r="AA425" s="27">
        <f>Y425*Assumptions!$B$4</f>
        <v/>
      </c>
      <c r="AB425" s="26">
        <f>IF(U425=0,"",ROUND(AA425/U425*100,1))</f>
        <v/>
      </c>
      <c r="AC425" s="27">
        <f>Y425-AA425</f>
        <v/>
      </c>
      <c r="AD425" s="26">
        <f>IF(U425=0,"",ROUND((Y425-AA425)/U425*100,1))</f>
        <v/>
      </c>
      <c r="AE425" s="33" t="inlineStr">
        <is>
          <t>NO TOTALS — list prints none; check page</t>
        </is>
      </c>
      <c r="AF425" s="29" t="inlineStr">
        <is>
          <t>https://scalzilliaj.com.br/sgc/download.php?file=files/processo_documento/processo_documento15513401112022_1_.pdf&amp;nome=15 - Edital do art. 7º, §2º (segunda lista de credores) e do art. 53 da Lei 11.101/2005 (recebimento do plano)</t>
        </is>
      </c>
      <c r="AG425" s="28" t="inlineStr">
        <is>
          <t>p9 r7</t>
        </is>
      </c>
      <c r="AH425" s="28" t="inlineStr">
        <is>
          <t>p9: R$ 364.774,81</t>
        </is>
      </c>
      <c r="AI425" s="28" t="inlineStr">
        <is>
          <t>AJ list (art. 7 §2)</t>
        </is>
      </c>
      <c r="AJ425" s="28" t="inlineStr">
        <is>
          <t>2022-11-01</t>
        </is>
      </c>
      <c r="AK425" s="28" t="inlineStr">
        <is>
          <t>NONE FOUND</t>
        </is>
      </c>
      <c r="AL425" s="30" t="inlineStr">
        <is>
          <t>5014104-85.2021.8.21.0010</t>
        </is>
      </c>
      <c r="AM425" s="30" t="inlineStr">
        <is>
          <t>TJRS</t>
        </is>
      </c>
      <c r="AN425" s="30" t="inlineStr">
        <is>
          <t>ACTIVE</t>
        </is>
      </c>
      <c r="AO425" s="30" t="n">
        <v>2021</v>
      </c>
      <c r="AP425" s="30" t="inlineStr">
        <is>
          <t>5y since filing, no plan document</t>
        </is>
      </c>
      <c r="AQ425" s="30" t="inlineStr">
        <is>
          <t>03.018.339/0001-03</t>
        </is>
      </c>
      <c r="AR425" s="30" t="inlineStr">
        <is>
          <t>printed on the list (read twice)</t>
        </is>
      </c>
      <c r="AS425" s="30" t="inlineStr"/>
      <c r="AT425" s="30" t="inlineStr"/>
      <c r="AU425" s="30" t="inlineStr"/>
      <c r="AV425" s="30" t="inlineStr"/>
      <c r="AW425" s="31" t="inlineStr"/>
      <c r="AX425" s="30" t="inlineStr">
        <is>
          <t>MID-MARKET</t>
        </is>
      </c>
      <c r="AY425" s="30" t="inlineStr">
        <is>
          <t>10774307</t>
        </is>
      </c>
      <c r="AZ425" s="30" t="n">
        <v>1</v>
      </c>
      <c r="BA425" s="30" t="inlineStr">
        <is>
          <t>LIKELY_FINANCIAL_BY_NAME ROWS:p9r7 UNRECONCILED_SOURCE</t>
        </is>
      </c>
    </row>
    <row r="426">
      <c r="A426" s="16" t="inlineStr">
        <is>
          <t>BANCO SOFISA S.A.</t>
        </is>
      </c>
      <c r="B426" s="17" t="n">
        <v>665953</v>
      </c>
      <c r="C426" s="18" t="inlineStr">
        <is>
          <t>Mannes</t>
        </is>
      </c>
      <c r="D426" s="19" t="inlineStr">
        <is>
          <t>NEW</t>
        </is>
      </c>
      <c r="E426" s="20" t="inlineStr"/>
      <c r="F426" s="19" t="inlineStr"/>
      <c r="G426" s="20" t="inlineStr"/>
      <c r="H426" s="19" t="inlineStr"/>
      <c r="I426" s="21" t="inlineStr">
        <is>
          <t>Tiago Hendo</t>
        </is>
      </c>
      <c r="J426" s="21" t="inlineStr">
        <is>
          <t>Gerente de Reestruturação de Crédito</t>
        </is>
      </c>
      <c r="K426" s="21" t="inlineStr">
        <is>
          <t>(11) 3176-5500</t>
        </is>
      </c>
      <c r="L426" s="21" t="inlineStr"/>
      <c r="M426" s="21" t="inlineStr"/>
      <c r="N426" s="21" t="inlineStr"/>
      <c r="O426" s="21" t="inlineStr">
        <is>
          <t>rnurnberg@sofisa.com.br</t>
        </is>
      </c>
      <c r="P426" s="21" t="inlineStr">
        <is>
          <t>Rafael Nurnberg</t>
        </is>
      </c>
      <c r="Q426" s="21" t="inlineStr">
        <is>
          <t>Superintendente Executivo de Crédito e Cobrança Varejo (PF e PJ)</t>
        </is>
      </c>
      <c r="R426" s="21" t="inlineStr"/>
      <c r="S426" s="21" t="inlineStr">
        <is>
          <t>rnurnberg@sofisa.com.br</t>
        </is>
      </c>
      <c r="T426" s="21" t="inlineStr">
        <is>
          <t>no work email found in Apollo</t>
        </is>
      </c>
      <c r="U426" s="22" t="n">
        <v>665953</v>
      </c>
      <c r="V426" s="39" t="inlineStr">
        <is>
          <t>D</t>
        </is>
      </c>
      <c r="W426" s="24">
        <f>IFERROR(VLOOKUP(V426,Assumptions!$A$7:$F$11,2,FALSE),0)</f>
        <v/>
      </c>
      <c r="X426" s="25">
        <f>IF(V426="A",MAX(1,IFERROR(VLOOKUP(V426,Assumptions!$A$7:$F$11,3,FALSE),3)+IFERROR(VLOOKUP(V426,Assumptions!$A$7:$F$11,4,FALSE),8)/2-MAX(0,IF(AO426="",0,YEAR(TODAY())-AO426)-IFERROR(VLOOKUP(V426,Assumptions!$A$7:$F$11,5,FALSE),1.5))),IFERROR(VLOOKUP(V426,Assumptions!$A$7:$F$11,5,FALSE),2.5)+IFERROR(VLOOKUP(V426,Assumptions!$A$7:$F$11,3,FALSE),3)+IFERROR(VLOOKUP(V426,Assumptions!$A$7:$F$11,4,FALSE),8)/2)</f>
        <v/>
      </c>
      <c r="Y426" s="22">
        <f>U426*W426/(1+Assumptions!$B$3)^X426</f>
        <v/>
      </c>
      <c r="Z426" s="26">
        <f>IF(U426=0,"",ROUND(Y426/U426*100,1))</f>
        <v/>
      </c>
      <c r="AA426" s="27">
        <f>Y426*Assumptions!$B$4</f>
        <v/>
      </c>
      <c r="AB426" s="26">
        <f>IF(U426=0,"",ROUND(AA426/U426*100,1))</f>
        <v/>
      </c>
      <c r="AC426" s="27">
        <f>Y426-AA426</f>
        <v/>
      </c>
      <c r="AD426" s="26">
        <f>IF(U426=0,"",ROUND((Y426-AA426)/U426*100,1))</f>
        <v/>
      </c>
      <c r="AE426" s="36" t="inlineStr">
        <is>
          <t>CHECK — source is not a statutory creditor list</t>
        </is>
      </c>
      <c r="AF426" s="29" t="inlineStr">
        <is>
          <t>https://administradorajudicialgs.com.br/wp-content/uploads/2024/12/relacao-de-credores-da-falida.pdf</t>
        </is>
      </c>
      <c r="AG426" s="28" t="inlineStr">
        <is>
          <t>p13 r10</t>
        </is>
      </c>
      <c r="AH426" s="28" t="inlineStr">
        <is>
          <t>p13: R$ 665.953,00</t>
        </is>
      </c>
      <c r="AI426" s="28" t="inlineStr">
        <is>
          <t>Other filing — NOT an art. 7/51 list</t>
        </is>
      </c>
      <c r="AJ426" s="28" t="inlineStr">
        <is>
          <t>2025-03-25</t>
        </is>
      </c>
      <c r="AK426" s="28" t="inlineStr">
        <is>
          <t>NONE FOUND</t>
        </is>
      </c>
      <c r="AL426" s="30" t="inlineStr">
        <is>
          <t>0005010-50.2013.8.24.0026</t>
        </is>
      </c>
      <c r="AM426" s="30" t="inlineStr">
        <is>
          <t>TJSC</t>
        </is>
      </c>
      <c r="AN426" s="30" t="inlineStr"/>
      <c r="AO426" s="30" t="n">
        <v>2013</v>
      </c>
      <c r="AP426" s="30" t="inlineStr">
        <is>
          <t>document is a falência (bankruptcy) list</t>
        </is>
      </c>
      <c r="AQ426" s="30" t="inlineStr"/>
      <c r="AR426" s="30" t="inlineStr">
        <is>
          <t>printed on the list (read twice)</t>
        </is>
      </c>
      <c r="AS426" s="30" t="inlineStr">
        <is>
          <t>SAO PAULO</t>
        </is>
      </c>
      <c r="AT426" s="30" t="inlineStr">
        <is>
          <t>SP</t>
        </is>
      </c>
      <c r="AU426" s="30" t="inlineStr">
        <is>
          <t>Bancos múltiplos, com carteira comercial</t>
        </is>
      </c>
      <c r="AV426" s="30" t="inlineStr">
        <is>
          <t>DEMAIS</t>
        </is>
      </c>
      <c r="AW426" s="31" t="n">
        <v>1021700100</v>
      </c>
      <c r="AX426" s="30" t="inlineStr">
        <is>
          <t>LARGE CORP</t>
        </is>
      </c>
      <c r="AY426" s="30" t="inlineStr">
        <is>
          <t>60889128</t>
        </is>
      </c>
      <c r="AZ426" s="30" t="n">
        <v>1</v>
      </c>
      <c r="BA426" s="30" t="inlineStr">
        <is>
          <t>LIKELY_FINANCIAL_BY_NAME ROWS:p13r10 UNRECONCILED_SOURCE CASE_NUMBER_CORRECTED</t>
        </is>
      </c>
    </row>
    <row r="427">
      <c r="A427" s="16" t="inlineStr">
        <is>
          <t>ACL FACTORING FOMENTO MERCANTIL LTDA</t>
        </is>
      </c>
      <c r="B427" s="17" t="n">
        <v>354247.16</v>
      </c>
      <c r="C427" s="18" t="inlineStr">
        <is>
          <t>GRUPO ARNON DE MELLO</t>
        </is>
      </c>
      <c r="D427" s="19" t="inlineStr">
        <is>
          <t>NEW</t>
        </is>
      </c>
      <c r="E427" s="20" t="inlineStr"/>
      <c r="F427" s="19" t="inlineStr"/>
      <c r="G427" s="20" t="inlineStr"/>
      <c r="H427" s="19" t="inlineStr"/>
      <c r="I427" s="21" t="inlineStr"/>
      <c r="J427" s="21" t="inlineStr"/>
      <c r="K427" s="21" t="inlineStr"/>
      <c r="L427" s="21" t="inlineStr"/>
      <c r="M427" s="21" t="inlineStr"/>
      <c r="N427" s="21" t="inlineStr"/>
      <c r="O427" s="21" t="inlineStr"/>
      <c r="P427" s="21" t="inlineStr"/>
      <c r="Q427" s="21" t="inlineStr"/>
      <c r="R427" s="21" t="inlineStr"/>
      <c r="S427" s="21" t="inlineStr"/>
      <c r="T427" s="21" t="inlineStr">
        <is>
          <t>no named contact found</t>
        </is>
      </c>
      <c r="U427" s="22" t="n">
        <v>354247.16</v>
      </c>
      <c r="V427" s="38" t="inlineStr">
        <is>
          <t>C</t>
        </is>
      </c>
      <c r="W427" s="24">
        <f>IFERROR(VLOOKUP(V427,Assumptions!$A$7:$F$11,2,FALSE),0)</f>
        <v/>
      </c>
      <c r="X427" s="25">
        <f>IF(V427="A",MAX(1,IFERROR(VLOOKUP(V427,Assumptions!$A$7:$F$11,3,FALSE),3)+IFERROR(VLOOKUP(V427,Assumptions!$A$7:$F$11,4,FALSE),8)/2-MAX(0,IF(AO427="",0,YEAR(TODAY())-AO427)-IFERROR(VLOOKUP(V427,Assumptions!$A$7:$F$11,5,FALSE),1.5))),IFERROR(VLOOKUP(V427,Assumptions!$A$7:$F$11,5,FALSE),2.5)+IFERROR(VLOOKUP(V427,Assumptions!$A$7:$F$11,3,FALSE),3)+IFERROR(VLOOKUP(V427,Assumptions!$A$7:$F$11,4,FALSE),8)/2)</f>
        <v/>
      </c>
      <c r="Y427" s="22">
        <f>U427*W427/(1+Assumptions!$B$3)^X427</f>
        <v/>
      </c>
      <c r="Z427" s="26">
        <f>IF(U427=0,"",ROUND(Y427/U427*100,1))</f>
        <v/>
      </c>
      <c r="AA427" s="27">
        <f>Y427*Assumptions!$B$4</f>
        <v/>
      </c>
      <c r="AB427" s="26">
        <f>IF(U427=0,"",ROUND(AA427/U427*100,1))</f>
        <v/>
      </c>
      <c r="AC427" s="27">
        <f>Y427-AA427</f>
        <v/>
      </c>
      <c r="AD427" s="26">
        <f>IF(U427=0,"",ROUND((Y427-AA427)/U427*100,1))</f>
        <v/>
      </c>
      <c r="AE427" s="33" t="inlineStr">
        <is>
          <t>NO TOTALS — list prints none; check page</t>
        </is>
      </c>
      <c r="AF427" s="29" t="inlineStr">
        <is>
          <t>https://recuperacaojudicial.squarespace.com/s/RJ-Grupo-Arnon-de-Melo-Lista-de-Credores-Consolidada-abril-2022.pdf</t>
        </is>
      </c>
      <c r="AG427" s="28" t="inlineStr">
        <is>
          <t>p7 r2</t>
        </is>
      </c>
      <c r="AH427" s="28" t="inlineStr">
        <is>
          <t>p7: R$ 354.247,16</t>
        </is>
      </c>
      <c r="AI427" s="28" t="inlineStr">
        <is>
          <t>AJ list (art. 7 §2)</t>
        </is>
      </c>
      <c r="AJ427" s="28" t="inlineStr"/>
      <c r="AK427" s="28" t="inlineStr">
        <is>
          <t>NONE FOUND</t>
        </is>
      </c>
      <c r="AL427" s="30" t="inlineStr">
        <is>
          <t>0700256-03.2019.8.02.0066</t>
        </is>
      </c>
      <c r="AM427" s="30" t="inlineStr">
        <is>
          <t>TJAL</t>
        </is>
      </c>
      <c r="AN427" s="30" t="inlineStr"/>
      <c r="AO427" s="30" t="n">
        <v>2019</v>
      </c>
      <c r="AP427" s="30" t="inlineStr">
        <is>
          <t>7y since filing, no plan document</t>
        </is>
      </c>
      <c r="AQ427" s="30" t="inlineStr">
        <is>
          <t>12.503.801/0001-59</t>
        </is>
      </c>
      <c r="AR427" s="30" t="inlineStr">
        <is>
          <t>printed on the list (read twice)</t>
        </is>
      </c>
      <c r="AS427" s="30" t="inlineStr"/>
      <c r="AT427" s="30" t="inlineStr"/>
      <c r="AU427" s="30" t="inlineStr"/>
      <c r="AV427" s="30" t="inlineStr"/>
      <c r="AW427" s="31" t="inlineStr"/>
      <c r="AX427" s="30" t="inlineStr">
        <is>
          <t>MID-MARKET</t>
        </is>
      </c>
      <c r="AY427" s="30" t="inlineStr">
        <is>
          <t>70018759</t>
        </is>
      </c>
      <c r="AZ427" s="30" t="n">
        <v>1</v>
      </c>
      <c r="BA427" s="30" t="inlineStr">
        <is>
          <t>LIKELY_FINANCIAL_BY_NAME ROWS:p7r2 UNRECONCILED_SOURCE</t>
        </is>
      </c>
    </row>
    <row r="428">
      <c r="A428" s="16" t="inlineStr">
        <is>
          <t>SOCIEDADE EMBUENSE ADMINISTRACAO E PARTICIPACAO LTDA</t>
        </is>
      </c>
      <c r="B428" s="17" t="n">
        <v>350000</v>
      </c>
      <c r="C428" s="18" t="inlineStr">
        <is>
          <t>TRANSLOCOMOTIVA TRANSPORTES RODOVIÁRIOS E DISTRIBUIÇÃO DE CARGAS LTDA.</t>
        </is>
      </c>
      <c r="D428" s="19" t="inlineStr">
        <is>
          <t>NEW</t>
        </is>
      </c>
      <c r="E428" s="20" t="inlineStr"/>
      <c r="F428" s="19" t="inlineStr"/>
      <c r="G428" s="20" t="inlineStr"/>
      <c r="H428" s="19" t="inlineStr"/>
      <c r="I428" s="21" t="inlineStr">
        <is>
          <t>VITOR BAZI</t>
        </is>
      </c>
      <c r="J428" s="21" t="inlineStr">
        <is>
          <t>Sócio-Administrador (RFB partner)</t>
        </is>
      </c>
      <c r="K428" s="21" t="inlineStr">
        <is>
          <t>(11) 4667-1843</t>
        </is>
      </c>
      <c r="L428" s="21" t="inlineStr"/>
      <c r="M428" s="21" t="inlineStr"/>
      <c r="N428" s="21" t="inlineStr"/>
      <c r="O428" s="21" t="inlineStr"/>
      <c r="P428" s="21" t="inlineStr">
        <is>
          <t>MARIA TAVARES BAZI</t>
        </is>
      </c>
      <c r="Q428" s="21" t="inlineStr">
        <is>
          <t>Administrador (RFB partner)</t>
        </is>
      </c>
      <c r="R428" s="21" t="inlineStr"/>
      <c r="S428" s="21" t="inlineStr"/>
      <c r="T428" s="21" t="inlineStr">
        <is>
          <t>RFB partner (QSA); no Apollo match</t>
        </is>
      </c>
      <c r="U428" s="22" t="n">
        <v>350000</v>
      </c>
      <c r="V428" s="38" t="inlineStr">
        <is>
          <t>C</t>
        </is>
      </c>
      <c r="W428" s="24">
        <f>IFERROR(VLOOKUP(V428,Assumptions!$A$7:$F$11,2,FALSE),0)</f>
        <v/>
      </c>
      <c r="X428" s="25">
        <f>IF(V428="A",MAX(1,IFERROR(VLOOKUP(V428,Assumptions!$A$7:$F$11,3,FALSE),3)+IFERROR(VLOOKUP(V428,Assumptions!$A$7:$F$11,4,FALSE),8)/2-MAX(0,IF(AO428="",0,YEAR(TODAY())-AO428)-IFERROR(VLOOKUP(V428,Assumptions!$A$7:$F$11,5,FALSE),1.5))),IFERROR(VLOOKUP(V428,Assumptions!$A$7:$F$11,5,FALSE),2.5)+IFERROR(VLOOKUP(V428,Assumptions!$A$7:$F$11,3,FALSE),3)+IFERROR(VLOOKUP(V428,Assumptions!$A$7:$F$11,4,FALSE),8)/2)</f>
        <v/>
      </c>
      <c r="Y428" s="22">
        <f>U428*W428/(1+Assumptions!$B$3)^X428</f>
        <v/>
      </c>
      <c r="Z428" s="26">
        <f>IF(U428=0,"",ROUND(Y428/U428*100,1))</f>
        <v/>
      </c>
      <c r="AA428" s="27">
        <f>Y428*Assumptions!$B$4</f>
        <v/>
      </c>
      <c r="AB428" s="26">
        <f>IF(U428=0,"",ROUND(AA428/U428*100,1))</f>
        <v/>
      </c>
      <c r="AC428" s="27">
        <f>Y428-AA428</f>
        <v/>
      </c>
      <c r="AD428" s="26">
        <f>IF(U428=0,"",ROUND((Y428-AA428)/U428*100,1))</f>
        <v/>
      </c>
      <c r="AE428" s="33" t="inlineStr">
        <is>
          <t>NO TOTALS — list prints none; check page</t>
        </is>
      </c>
      <c r="AF428" s="29" t="inlineStr">
        <is>
          <t>https://ativosajce.com.br/admin/download.php?file=files/processo_documento/processo_documento18430011062025_1_.pdf&amp;nome=Relação de Credores - Art. 52º § 1º, da Lei nº 11.101/2005 - 13/08/2020</t>
        </is>
      </c>
      <c r="AG428" s="28" t="inlineStr">
        <is>
          <t>p3 r17</t>
        </is>
      </c>
      <c r="AH428" s="28" t="inlineStr">
        <is>
          <t>p3: R$ 350.000,00</t>
        </is>
      </c>
      <c r="AI428" s="28" t="inlineStr">
        <is>
          <t>AJ list (art. 7 §2)</t>
        </is>
      </c>
      <c r="AJ428" s="28" t="inlineStr">
        <is>
          <t>2020-07-19</t>
        </is>
      </c>
      <c r="AK428" s="28" t="inlineStr">
        <is>
          <t>NONE FOUND</t>
        </is>
      </c>
      <c r="AL428" s="30" t="inlineStr">
        <is>
          <t>1000117-72.2020.8.26.0260</t>
        </is>
      </c>
      <c r="AM428" s="30" t="inlineStr">
        <is>
          <t>TJSP</t>
        </is>
      </c>
      <c r="AN428" s="30" t="inlineStr">
        <is>
          <t>ACTIVE</t>
        </is>
      </c>
      <c r="AO428" s="30" t="n">
        <v>2020</v>
      </c>
      <c r="AP428" s="30" t="inlineStr">
        <is>
          <t>6y since filing, no plan document</t>
        </is>
      </c>
      <c r="AQ428" s="30" t="inlineStr"/>
      <c r="AR428" s="30" t="inlineStr">
        <is>
          <t>printed on the list (read twice)</t>
        </is>
      </c>
      <c r="AS428" s="30" t="inlineStr">
        <is>
          <t>EMBU DAS ARTES</t>
        </is>
      </c>
      <c r="AT428" s="30" t="inlineStr">
        <is>
          <t>SP</t>
        </is>
      </c>
      <c r="AU428" s="30" t="inlineStr">
        <is>
          <t>Holdings de instituições não-financeiras</t>
        </is>
      </c>
      <c r="AV428" s="30" t="inlineStr">
        <is>
          <t>DEMAIS</t>
        </is>
      </c>
      <c r="AW428" s="31" t="n">
        <v>2893000</v>
      </c>
      <c r="AX428" s="30" t="inlineStr">
        <is>
          <t>MID-MARKET</t>
        </is>
      </c>
      <c r="AY428" s="30" t="inlineStr">
        <is>
          <t>49655558</t>
        </is>
      </c>
      <c r="AZ428" s="30" t="n">
        <v>1</v>
      </c>
      <c r="BA428" s="30" t="inlineStr">
        <is>
          <t>ROWS:p3r17 UNRECONCILED_SOURCE</t>
        </is>
      </c>
    </row>
    <row r="429">
      <c r="A429" s="16" t="inlineStr">
        <is>
          <t>BANCO TOPÁZIO S/A</t>
        </is>
      </c>
      <c r="B429" s="17" t="n">
        <v>629629.22</v>
      </c>
      <c r="C429" s="18" t="inlineStr">
        <is>
          <t>Mannes</t>
        </is>
      </c>
      <c r="D429" s="19" t="inlineStr">
        <is>
          <t>NEW</t>
        </is>
      </c>
      <c r="E429" s="20" t="inlineStr"/>
      <c r="F429" s="19" t="inlineStr"/>
      <c r="G429" s="20" t="inlineStr"/>
      <c r="H429" s="19" t="inlineStr"/>
      <c r="I429" s="21" t="inlineStr">
        <is>
          <t>Rogerio Nascimento</t>
        </is>
      </c>
      <c r="J429" s="21" t="inlineStr">
        <is>
          <t>Gerente de Credito e Cobrança</t>
        </is>
      </c>
      <c r="K429" s="21" t="inlineStr"/>
      <c r="L429" s="21" t="inlineStr"/>
      <c r="M429" s="21" t="inlineStr"/>
      <c r="N429" s="21" t="inlineStr">
        <is>
          <t>rogerio.nascimento@bancotopazio.com.br</t>
        </is>
      </c>
      <c r="O429" s="21" t="inlineStr"/>
      <c r="P429" s="21" t="inlineStr">
        <is>
          <t>Gustavo Farias</t>
        </is>
      </c>
      <c r="Q429" s="21" t="inlineStr">
        <is>
          <t>Analista de Recuperação de Crédito</t>
        </is>
      </c>
      <c r="R429" s="21" t="inlineStr"/>
      <c r="S429" s="21" t="inlineStr"/>
      <c r="T429" s="21" t="inlineStr">
        <is>
          <t>email verified by Apollo</t>
        </is>
      </c>
      <c r="U429" s="22" t="n">
        <v>629629.22</v>
      </c>
      <c r="V429" s="39" t="inlineStr">
        <is>
          <t>D</t>
        </is>
      </c>
      <c r="W429" s="24">
        <f>IFERROR(VLOOKUP(V429,Assumptions!$A$7:$F$11,2,FALSE),0)</f>
        <v/>
      </c>
      <c r="X429" s="25">
        <f>IF(V429="A",MAX(1,IFERROR(VLOOKUP(V429,Assumptions!$A$7:$F$11,3,FALSE),3)+IFERROR(VLOOKUP(V429,Assumptions!$A$7:$F$11,4,FALSE),8)/2-MAX(0,IF(AO429="",0,YEAR(TODAY())-AO429)-IFERROR(VLOOKUP(V429,Assumptions!$A$7:$F$11,5,FALSE),1.5))),IFERROR(VLOOKUP(V429,Assumptions!$A$7:$F$11,5,FALSE),2.5)+IFERROR(VLOOKUP(V429,Assumptions!$A$7:$F$11,3,FALSE),3)+IFERROR(VLOOKUP(V429,Assumptions!$A$7:$F$11,4,FALSE),8)/2)</f>
        <v/>
      </c>
      <c r="Y429" s="22">
        <f>U429*W429/(1+Assumptions!$B$3)^X429</f>
        <v/>
      </c>
      <c r="Z429" s="26">
        <f>IF(U429=0,"",ROUND(Y429/U429*100,1))</f>
        <v/>
      </c>
      <c r="AA429" s="27">
        <f>Y429*Assumptions!$B$4</f>
        <v/>
      </c>
      <c r="AB429" s="26">
        <f>IF(U429=0,"",ROUND(AA429/U429*100,1))</f>
        <v/>
      </c>
      <c r="AC429" s="27">
        <f>Y429-AA429</f>
        <v/>
      </c>
      <c r="AD429" s="26">
        <f>IF(U429=0,"",ROUND((Y429-AA429)/U429*100,1))</f>
        <v/>
      </c>
      <c r="AE429" s="36" t="inlineStr">
        <is>
          <t>CHECK — source is not a statutory creditor list</t>
        </is>
      </c>
      <c r="AF429" s="29" t="inlineStr">
        <is>
          <t>https://administradorajudicialgs.com.br/wp-content/uploads/2024/12/relacao-de-credores-da-falida.pdf</t>
        </is>
      </c>
      <c r="AG429" s="28" t="inlineStr">
        <is>
          <t>p13 r11</t>
        </is>
      </c>
      <c r="AH429" s="28" t="inlineStr">
        <is>
          <t>p13: R$ 629.629,22</t>
        </is>
      </c>
      <c r="AI429" s="28" t="inlineStr">
        <is>
          <t>Other filing — NOT an art. 7/51 list</t>
        </is>
      </c>
      <c r="AJ429" s="28" t="inlineStr">
        <is>
          <t>2025-03-25</t>
        </is>
      </c>
      <c r="AK429" s="28" t="inlineStr">
        <is>
          <t>NONE FOUND</t>
        </is>
      </c>
      <c r="AL429" s="30" t="inlineStr">
        <is>
          <t>0005010-50.2013.8.24.0026</t>
        </is>
      </c>
      <c r="AM429" s="30" t="inlineStr">
        <is>
          <t>TJSC</t>
        </is>
      </c>
      <c r="AN429" s="30" t="inlineStr"/>
      <c r="AO429" s="30" t="n">
        <v>2013</v>
      </c>
      <c r="AP429" s="30" t="inlineStr">
        <is>
          <t>document is a falência (bankruptcy) list</t>
        </is>
      </c>
      <c r="AQ429" s="30" t="inlineStr"/>
      <c r="AR429" s="30" t="inlineStr">
        <is>
          <t>printed on the list (read twice)</t>
        </is>
      </c>
      <c r="AS429" s="30" t="inlineStr"/>
      <c r="AT429" s="30" t="inlineStr"/>
      <c r="AU429" s="30" t="inlineStr"/>
      <c r="AV429" s="30" t="inlineStr"/>
      <c r="AW429" s="31" t="inlineStr"/>
      <c r="AX429" s="30" t="inlineStr">
        <is>
          <t>MID-MARKET</t>
        </is>
      </c>
      <c r="AY429" s="30" t="inlineStr">
        <is>
          <t>07679404</t>
        </is>
      </c>
      <c r="AZ429" s="30" t="n">
        <v>1</v>
      </c>
      <c r="BA429" s="30" t="inlineStr">
        <is>
          <t>LIKELY_FINANCIAL_BY_NAME ROWS:p13r11 UNRECONCILED_SOURCE CASE_NUMBER_CORRECTED</t>
        </is>
      </c>
    </row>
    <row r="430">
      <c r="A430" s="16" t="inlineStr">
        <is>
          <t>COOPERATIVA DE CRÉDITO RURAL DO ALTO PAJEU LTDA.</t>
        </is>
      </c>
      <c r="B430" s="17" t="n">
        <v>334273.09</v>
      </c>
      <c r="C430" s="18" t="inlineStr">
        <is>
          <t>AGROPECUÁRIA SERROTE REDONDO</t>
        </is>
      </c>
      <c r="D430" s="19" t="inlineStr">
        <is>
          <t>NEW</t>
        </is>
      </c>
      <c r="E430" s="20" t="inlineStr"/>
      <c r="F430" s="19" t="inlineStr"/>
      <c r="G430" s="20" t="inlineStr"/>
      <c r="H430" s="19" t="inlineStr"/>
      <c r="I430" s="21" t="inlineStr"/>
      <c r="J430" s="21" t="inlineStr"/>
      <c r="K430" s="21" t="inlineStr"/>
      <c r="L430" s="21" t="inlineStr"/>
      <c r="M430" s="21" t="inlineStr"/>
      <c r="N430" s="21" t="inlineStr"/>
      <c r="O430" s="21" t="inlineStr"/>
      <c r="P430" s="21" t="inlineStr"/>
      <c r="Q430" s="21" t="inlineStr"/>
      <c r="R430" s="21" t="inlineStr"/>
      <c r="S430" s="21" t="inlineStr"/>
      <c r="T430" s="21" t="inlineStr">
        <is>
          <t>no named contact found</t>
        </is>
      </c>
      <c r="U430" s="22" t="n">
        <v>334273.09</v>
      </c>
      <c r="V430" s="38" t="inlineStr">
        <is>
          <t>C</t>
        </is>
      </c>
      <c r="W430" s="24">
        <f>IFERROR(VLOOKUP(V430,Assumptions!$A$7:$F$11,2,FALSE),0)</f>
        <v/>
      </c>
      <c r="X430" s="25">
        <f>IF(V430="A",MAX(1,IFERROR(VLOOKUP(V430,Assumptions!$A$7:$F$11,3,FALSE),3)+IFERROR(VLOOKUP(V430,Assumptions!$A$7:$F$11,4,FALSE),8)/2-MAX(0,IF(AO430="",0,YEAR(TODAY())-AO430)-IFERROR(VLOOKUP(V430,Assumptions!$A$7:$F$11,5,FALSE),1.5))),IFERROR(VLOOKUP(V430,Assumptions!$A$7:$F$11,5,FALSE),2.5)+IFERROR(VLOOKUP(V430,Assumptions!$A$7:$F$11,3,FALSE),3)+IFERROR(VLOOKUP(V430,Assumptions!$A$7:$F$11,4,FALSE),8)/2)</f>
        <v/>
      </c>
      <c r="Y430" s="22">
        <f>U430*W430/(1+Assumptions!$B$3)^X430</f>
        <v/>
      </c>
      <c r="Z430" s="26">
        <f>IF(U430=0,"",ROUND(Y430/U430*100,1))</f>
        <v/>
      </c>
      <c r="AA430" s="27">
        <f>Y430*Assumptions!$B$4</f>
        <v/>
      </c>
      <c r="AB430" s="26">
        <f>IF(U430=0,"",ROUND(AA430/U430*100,1))</f>
        <v/>
      </c>
      <c r="AC430" s="27">
        <f>Y430-AA430</f>
        <v/>
      </c>
      <c r="AD430" s="26">
        <f>IF(U430=0,"",ROUND((Y430-AA430)/U430*100,1))</f>
        <v/>
      </c>
      <c r="AE430" s="28" t="inlineStr">
        <is>
          <t>OK — totals reconciled</t>
        </is>
      </c>
      <c r="AF430" s="29" t="inlineStr">
        <is>
          <t>https://lrflideres.com.br/wp-content/plugins/download-attachments/includes/download.php?id=5001</t>
        </is>
      </c>
      <c r="AG430" s="28" t="inlineStr">
        <is>
          <t>p1 r29</t>
        </is>
      </c>
      <c r="AH430" s="28" t="inlineStr">
        <is>
          <t>p1: R$ 334.273,09</t>
        </is>
      </c>
      <c r="AI430" s="28" t="inlineStr">
        <is>
          <t>Unclassified list</t>
        </is>
      </c>
      <c r="AJ430" s="28" t="inlineStr"/>
      <c r="AK430" s="28" t="inlineStr">
        <is>
          <t>NONE FOUND</t>
        </is>
      </c>
      <c r="AL430" s="30" t="inlineStr">
        <is>
          <t>0000206-69.2013.8.17.1340</t>
        </is>
      </c>
      <c r="AM430" s="30" t="inlineStr">
        <is>
          <t>TJPE</t>
        </is>
      </c>
      <c r="AN430" s="30" t="inlineStr"/>
      <c r="AO430" s="30" t="n">
        <v>2013</v>
      </c>
      <c r="AP430" s="30" t="inlineStr">
        <is>
          <t>13y since filing, no plan document</t>
        </is>
      </c>
      <c r="AQ430" s="30" t="inlineStr"/>
      <c r="AR430" s="30" t="inlineStr">
        <is>
          <t>portal page title / URL — not printed on the list</t>
        </is>
      </c>
      <c r="AS430" s="30" t="inlineStr"/>
      <c r="AT430" s="30" t="inlineStr"/>
      <c r="AU430" s="30" t="inlineStr"/>
      <c r="AV430" s="30" t="inlineStr"/>
      <c r="AW430" s="31" t="inlineStr"/>
      <c r="AX430" s="30" t="inlineStr">
        <is>
          <t>MID-MARKET</t>
        </is>
      </c>
      <c r="AY430" s="30" t="inlineStr">
        <is>
          <t>03732359</t>
        </is>
      </c>
      <c r="AZ430" s="30" t="n">
        <v>1</v>
      </c>
      <c r="BA430" s="30" t="inlineStr">
        <is>
          <t>ALT_VALUE:334.273,09 LIKELY_FINANCIAL_BY_NAME ROWS:p1r29 VALUE_COL:Valor_Atualizado</t>
        </is>
      </c>
    </row>
    <row r="431">
      <c r="A431" s="16" t="inlineStr">
        <is>
          <t>BANCO FIBRA SA</t>
        </is>
      </c>
      <c r="B431" s="17" t="n">
        <v>604310.64</v>
      </c>
      <c r="C431" s="18" t="inlineStr">
        <is>
          <t>VISÃO ASSESSORIA CONTÁBIL SC LTDA</t>
        </is>
      </c>
      <c r="D431" s="19" t="inlineStr">
        <is>
          <t>NEW</t>
        </is>
      </c>
      <c r="E431" s="20" t="inlineStr"/>
      <c r="F431" s="19" t="inlineStr"/>
      <c r="G431" s="20" t="inlineStr"/>
      <c r="H431" s="19" t="inlineStr"/>
      <c r="I431" s="21" t="inlineStr">
        <is>
          <t>Carlota Schwarz</t>
        </is>
      </c>
      <c r="J431" s="21" t="inlineStr">
        <is>
          <t>Superintendente de Reestruturação de Crédito</t>
        </is>
      </c>
      <c r="K431" s="21" t="inlineStr">
        <is>
          <t>(11) 3847-6943</t>
        </is>
      </c>
      <c r="L431" s="21" t="inlineStr"/>
      <c r="M431" s="21" t="inlineStr"/>
      <c r="N431" s="21" t="inlineStr">
        <is>
          <t>carlota.schwarz@bancofibra.com.br</t>
        </is>
      </c>
      <c r="O431" s="21" t="inlineStr">
        <is>
          <t>acardoso@bancofibra.com.br</t>
        </is>
      </c>
      <c r="P431" s="21" t="inlineStr">
        <is>
          <t>Augusto Cardoso</t>
        </is>
      </c>
      <c r="Q431" s="21" t="inlineStr">
        <is>
          <t>Gerente de Recuperação de Crédito e Cobrança</t>
        </is>
      </c>
      <c r="R431" s="21" t="inlineStr"/>
      <c r="S431" s="21" t="inlineStr">
        <is>
          <t>acardoso@bancofibra.com.br</t>
        </is>
      </c>
      <c r="T431" s="21" t="inlineStr">
        <is>
          <t>email verified by Apollo</t>
        </is>
      </c>
      <c r="U431" s="22" t="n">
        <v>604310.64</v>
      </c>
      <c r="V431" s="39" t="inlineStr">
        <is>
          <t>D</t>
        </is>
      </c>
      <c r="W431" s="24">
        <f>IFERROR(VLOOKUP(V431,Assumptions!$A$7:$F$11,2,FALSE),0)</f>
        <v/>
      </c>
      <c r="X431" s="25">
        <f>IF(V431="A",MAX(1,IFERROR(VLOOKUP(V431,Assumptions!$A$7:$F$11,3,FALSE),3)+IFERROR(VLOOKUP(V431,Assumptions!$A$7:$F$11,4,FALSE),8)/2-MAX(0,IF(AO431="",0,YEAR(TODAY())-AO431)-IFERROR(VLOOKUP(V431,Assumptions!$A$7:$F$11,5,FALSE),1.5))),IFERROR(VLOOKUP(V431,Assumptions!$A$7:$F$11,5,FALSE),2.5)+IFERROR(VLOOKUP(V431,Assumptions!$A$7:$F$11,3,FALSE),3)+IFERROR(VLOOKUP(V431,Assumptions!$A$7:$F$11,4,FALSE),8)/2)</f>
        <v/>
      </c>
      <c r="Y431" s="22">
        <f>U431*W431/(1+Assumptions!$B$3)^X431</f>
        <v/>
      </c>
      <c r="Z431" s="26">
        <f>IF(U431=0,"",ROUND(Y431/U431*100,1))</f>
        <v/>
      </c>
      <c r="AA431" s="27">
        <f>Y431*Assumptions!$B$4</f>
        <v/>
      </c>
      <c r="AB431" s="26">
        <f>IF(U431=0,"",ROUND(AA431/U431*100,1))</f>
        <v/>
      </c>
      <c r="AC431" s="27">
        <f>Y431-AA431</f>
        <v/>
      </c>
      <c r="AD431" s="26">
        <f>IF(U431=0,"",ROUND((Y431-AA431)/U431*100,1))</f>
        <v/>
      </c>
      <c r="AE431" s="33" t="inlineStr">
        <is>
          <t>NO TOTALS — list prints none; check page</t>
        </is>
      </c>
      <c r="AF431" s="29" t="inlineStr">
        <is>
          <t>https://bbsadvogados.com.br/wp-content/uploads/2025/09/Edital-Relacao-de-Credores-da-Administradora-Judicial-art.-7o2o-da-LRF.-Visao-14-02-2025.pdf</t>
        </is>
      </c>
      <c r="AG431" s="28" t="inlineStr">
        <is>
          <t>p2 r3</t>
        </is>
      </c>
      <c r="AH431" s="28" t="inlineStr">
        <is>
          <t>p2: R$ 604.310,64</t>
        </is>
      </c>
      <c r="AI431" s="28" t="inlineStr">
        <is>
          <t>AJ list (art. 7 §2)</t>
        </is>
      </c>
      <c r="AJ431" s="28" t="inlineStr">
        <is>
          <t>2025-02-14</t>
        </is>
      </c>
      <c r="AK431" s="28" t="inlineStr">
        <is>
          <t>NONE FOUND</t>
        </is>
      </c>
      <c r="AL431" s="30" t="inlineStr">
        <is>
          <t>0003232-89.2024.8.16.0185</t>
        </is>
      </c>
      <c r="AM431" s="30" t="inlineStr">
        <is>
          <t>TJPR</t>
        </is>
      </c>
      <c r="AN431" s="30" t="inlineStr"/>
      <c r="AO431" s="30" t="n">
        <v>2024</v>
      </c>
      <c r="AP431" s="30" t="inlineStr">
        <is>
          <t>document is a falência (bankruptcy) list</t>
        </is>
      </c>
      <c r="AQ431" s="30" t="inlineStr">
        <is>
          <t>05.059.250/0001-10</t>
        </is>
      </c>
      <c r="AR431" s="30" t="inlineStr">
        <is>
          <t>printed on the list (read twice)</t>
        </is>
      </c>
      <c r="AS431" s="30" t="inlineStr">
        <is>
          <t>SAO PAULO</t>
        </is>
      </c>
      <c r="AT431" s="30" t="inlineStr">
        <is>
          <t>SP</t>
        </is>
      </c>
      <c r="AU431" s="30" t="inlineStr">
        <is>
          <t>Bancos múltiplos, com carteira comercial</t>
        </is>
      </c>
      <c r="AV431" s="30" t="inlineStr">
        <is>
          <t>DEMAIS</t>
        </is>
      </c>
      <c r="AW431" s="31" t="n">
        <v>1207776000</v>
      </c>
      <c r="AX431" s="30" t="inlineStr">
        <is>
          <t>LARGE CORP</t>
        </is>
      </c>
      <c r="AY431" s="30" t="inlineStr">
        <is>
          <t>58616418</t>
        </is>
      </c>
      <c r="AZ431" s="30" t="n">
        <v>1</v>
      </c>
      <c r="BA431" s="30" t="inlineStr">
        <is>
          <t>LIKELY_FINANCIAL_BY_NAME ROWS:p2r3 UNRECONCILED_SOURCE</t>
        </is>
      </c>
    </row>
    <row r="432">
      <c r="A432" s="16" t="inlineStr">
        <is>
          <t>RED - FUNDO DE INVESTIMENTO EM DIREITOS CREDITORIOS MULTISETORIAL LP (</t>
        </is>
      </c>
      <c r="B432" s="17" t="n">
        <v>325723.67</v>
      </c>
      <c r="C432" s="18" t="inlineStr">
        <is>
          <t>VECTOR INDÚSTRIA DE PRODUTOS METALÚRGICOS LTDA.</t>
        </is>
      </c>
      <c r="D432" s="19" t="inlineStr">
        <is>
          <t>NEW</t>
        </is>
      </c>
      <c r="E432" s="20" t="inlineStr"/>
      <c r="F432" s="19" t="inlineStr"/>
      <c r="G432" s="20" t="inlineStr"/>
      <c r="H432" s="19" t="inlineStr"/>
      <c r="I432" s="21" t="inlineStr">
        <is>
          <t>Camila Benedett</t>
        </is>
      </c>
      <c r="J432" s="21" t="inlineStr">
        <is>
          <t>Especialista Jurídico - Contratos | Imobiliário | FIDC</t>
        </is>
      </c>
      <c r="K432" s="21" t="inlineStr"/>
      <c r="L432" s="21" t="inlineStr"/>
      <c r="M432" s="21" t="inlineStr"/>
      <c r="N432" s="21" t="inlineStr">
        <is>
          <t>camila.benedett@redasset.com.br</t>
        </is>
      </c>
      <c r="O432" s="21" t="inlineStr"/>
      <c r="P432" s="21" t="inlineStr"/>
      <c r="Q432" s="21" t="inlineStr"/>
      <c r="R432" s="21" t="inlineStr"/>
      <c r="S432" s="21" t="inlineStr"/>
      <c r="T432" s="21" t="inlineStr">
        <is>
          <t>DM extrapolated email; VERIFY org: RED Asset (gestora of RED FIDC?); email is pattern-guessed, not verified</t>
        </is>
      </c>
      <c r="U432" s="22" t="n">
        <v>325723.67</v>
      </c>
      <c r="V432" s="38" t="inlineStr">
        <is>
          <t>C</t>
        </is>
      </c>
      <c r="W432" s="24">
        <f>IFERROR(VLOOKUP(V432,Assumptions!$A$7:$F$11,2,FALSE),0)</f>
        <v/>
      </c>
      <c r="X432" s="25">
        <f>IF(V432="A",MAX(1,IFERROR(VLOOKUP(V432,Assumptions!$A$7:$F$11,3,FALSE),3)+IFERROR(VLOOKUP(V432,Assumptions!$A$7:$F$11,4,FALSE),8)/2-MAX(0,IF(AO432="",0,YEAR(TODAY())-AO432)-IFERROR(VLOOKUP(V432,Assumptions!$A$7:$F$11,5,FALSE),1.5))),IFERROR(VLOOKUP(V432,Assumptions!$A$7:$F$11,5,FALSE),2.5)+IFERROR(VLOOKUP(V432,Assumptions!$A$7:$F$11,3,FALSE),3)+IFERROR(VLOOKUP(V432,Assumptions!$A$7:$F$11,4,FALSE),8)/2)</f>
        <v/>
      </c>
      <c r="Y432" s="22">
        <f>U432*W432/(1+Assumptions!$B$3)^X432</f>
        <v/>
      </c>
      <c r="Z432" s="26">
        <f>IF(U432=0,"",ROUND(Y432/U432*100,1))</f>
        <v/>
      </c>
      <c r="AA432" s="27">
        <f>Y432*Assumptions!$B$4</f>
        <v/>
      </c>
      <c r="AB432" s="26">
        <f>IF(U432=0,"",ROUND(AA432/U432*100,1))</f>
        <v/>
      </c>
      <c r="AC432" s="27">
        <f>Y432-AA432</f>
        <v/>
      </c>
      <c r="AD432" s="26">
        <f>IF(U432=0,"",ROUND((Y432-AA432)/U432*100,1))</f>
        <v/>
      </c>
      <c r="AE432" s="33" t="inlineStr">
        <is>
          <t>NO TOTALS — list prints none; check page</t>
        </is>
      </c>
      <c r="AF432" s="29" t="inlineStr">
        <is>
          <t>https://scalzilliaj.com.br/sgc/download.php?file=files/processo_documento/processo_documento15513401112022_1_.pdf&amp;nome=15 - Edital do art. 7º, §2º (segunda lista de credores) e do art. 53 da Lei 11.101/2005 (recebimento do plano)</t>
        </is>
      </c>
      <c r="AG432" s="28" t="inlineStr">
        <is>
          <t>p9 r13</t>
        </is>
      </c>
      <c r="AH432" s="28" t="inlineStr">
        <is>
          <t>p9: R$ 325.723,67</t>
        </is>
      </c>
      <c r="AI432" s="28" t="inlineStr">
        <is>
          <t>AJ list (art. 7 §2)</t>
        </is>
      </c>
      <c r="AJ432" s="28" t="inlineStr">
        <is>
          <t>2022-11-01</t>
        </is>
      </c>
      <c r="AK432" s="28" t="inlineStr">
        <is>
          <t>NONE FOUND</t>
        </is>
      </c>
      <c r="AL432" s="30" t="inlineStr">
        <is>
          <t>5014104-85.2021.8.21.0010</t>
        </is>
      </c>
      <c r="AM432" s="30" t="inlineStr">
        <is>
          <t>TJRS</t>
        </is>
      </c>
      <c r="AN432" s="30" t="inlineStr">
        <is>
          <t>ACTIVE</t>
        </is>
      </c>
      <c r="AO432" s="30" t="n">
        <v>2021</v>
      </c>
      <c r="AP432" s="30" t="inlineStr">
        <is>
          <t>5y since filing, no plan document</t>
        </is>
      </c>
      <c r="AQ432" s="30" t="inlineStr">
        <is>
          <t>03.018.339/0001-03</t>
        </is>
      </c>
      <c r="AR432" s="30" t="inlineStr">
        <is>
          <t>printed on the list (read twice)</t>
        </is>
      </c>
      <c r="AS432" s="30" t="inlineStr"/>
      <c r="AT432" s="30" t="inlineStr"/>
      <c r="AU432" s="30" t="inlineStr"/>
      <c r="AV432" s="30" t="inlineStr"/>
      <c r="AW432" s="31" t="inlineStr"/>
      <c r="AX432" s="30" t="inlineStr">
        <is>
          <t>MID-MARKET</t>
        </is>
      </c>
      <c r="AY432" s="30" t="inlineStr">
        <is>
          <t>08632394</t>
        </is>
      </c>
      <c r="AZ432" s="30" t="n">
        <v>1</v>
      </c>
      <c r="BA432" s="30" t="inlineStr">
        <is>
          <t>LIKELY_FINANCIAL_BY_NAME ROWS:p9r13 UNRECONCILED_SOURCE</t>
        </is>
      </c>
    </row>
    <row r="433">
      <c r="A433" s="16" t="inlineStr">
        <is>
          <t>BANCO DO BRASIL SA</t>
        </is>
      </c>
      <c r="B433" s="17" t="n">
        <v>324716.74</v>
      </c>
      <c r="C433" s="18" t="inlineStr">
        <is>
          <t>AGROPECUÁRIA SERROTE REDONDO</t>
        </is>
      </c>
      <c r="D433" s="19" t="inlineStr">
        <is>
          <t>NEW</t>
        </is>
      </c>
      <c r="E433" s="20" t="inlineStr"/>
      <c r="F433" s="19" t="inlineStr"/>
      <c r="G433" s="20" t="inlineStr"/>
      <c r="H433" s="19" t="inlineStr"/>
      <c r="I433" s="21" t="inlineStr">
        <is>
          <t>Thiago Cavichioli</t>
        </is>
      </c>
      <c r="J433" s="21" t="inlineStr">
        <is>
          <t>Gerente de Cobrança e Recuperação de Crédito</t>
        </is>
      </c>
      <c r="K433" s="21" t="inlineStr">
        <is>
          <t>(61) 3493-9002</t>
        </is>
      </c>
      <c r="L433" s="21" t="inlineStr"/>
      <c r="M433" s="21" t="inlineStr"/>
      <c r="N433" s="21" t="inlineStr">
        <is>
          <t>thiago.cavichioli@bb.com.br</t>
        </is>
      </c>
      <c r="O433" s="21" t="inlineStr">
        <is>
          <t>suelenmondador@bb.com.br</t>
        </is>
      </c>
      <c r="P433" s="21" t="inlineStr">
        <is>
          <t>Suelen Mondador</t>
        </is>
      </c>
      <c r="Q433" s="21" t="inlineStr">
        <is>
          <t>Gerente Especialista em Recuperação de Crédito</t>
        </is>
      </c>
      <c r="R433" s="21" t="inlineStr"/>
      <c r="S433" s="21" t="inlineStr">
        <is>
          <t>suelenmondador@bb.com.br</t>
        </is>
      </c>
      <c r="T433" s="21" t="inlineStr">
        <is>
          <t>email verified by Apollo</t>
        </is>
      </c>
      <c r="U433" s="22" t="n">
        <v>324716.74</v>
      </c>
      <c r="V433" s="38" t="inlineStr">
        <is>
          <t>C</t>
        </is>
      </c>
      <c r="W433" s="24">
        <f>IFERROR(VLOOKUP(V433,Assumptions!$A$7:$F$11,2,FALSE),0)</f>
        <v/>
      </c>
      <c r="X433" s="25">
        <f>IF(V433="A",MAX(1,IFERROR(VLOOKUP(V433,Assumptions!$A$7:$F$11,3,FALSE),3)+IFERROR(VLOOKUP(V433,Assumptions!$A$7:$F$11,4,FALSE),8)/2-MAX(0,IF(AO433="",0,YEAR(TODAY())-AO433)-IFERROR(VLOOKUP(V433,Assumptions!$A$7:$F$11,5,FALSE),1.5))),IFERROR(VLOOKUP(V433,Assumptions!$A$7:$F$11,5,FALSE),2.5)+IFERROR(VLOOKUP(V433,Assumptions!$A$7:$F$11,3,FALSE),3)+IFERROR(VLOOKUP(V433,Assumptions!$A$7:$F$11,4,FALSE),8)/2)</f>
        <v/>
      </c>
      <c r="Y433" s="22">
        <f>U433*W433/(1+Assumptions!$B$3)^X433</f>
        <v/>
      </c>
      <c r="Z433" s="26">
        <f>IF(U433=0,"",ROUND(Y433/U433*100,1))</f>
        <v/>
      </c>
      <c r="AA433" s="27">
        <f>Y433*Assumptions!$B$4</f>
        <v/>
      </c>
      <c r="AB433" s="26">
        <f>IF(U433=0,"",ROUND(AA433/U433*100,1))</f>
        <v/>
      </c>
      <c r="AC433" s="27">
        <f>Y433-AA433</f>
        <v/>
      </c>
      <c r="AD433" s="26">
        <f>IF(U433=0,"",ROUND((Y433-AA433)/U433*100,1))</f>
        <v/>
      </c>
      <c r="AE433" s="28" t="inlineStr">
        <is>
          <t>OK — totals reconciled</t>
        </is>
      </c>
      <c r="AF433" s="29" t="inlineStr">
        <is>
          <t>https://lrflideres.com.br/wp-content/plugins/download-attachments/includes/download.php?id=5001</t>
        </is>
      </c>
      <c r="AG433" s="28" t="inlineStr">
        <is>
          <t>p1 r13</t>
        </is>
      </c>
      <c r="AH433" s="28" t="inlineStr">
        <is>
          <t>p1: R$ 324.716,74</t>
        </is>
      </c>
      <c r="AI433" s="28" t="inlineStr">
        <is>
          <t>Unclassified list</t>
        </is>
      </c>
      <c r="AJ433" s="28" t="inlineStr"/>
      <c r="AK433" s="28" t="inlineStr">
        <is>
          <t>NONE FOUND</t>
        </is>
      </c>
      <c r="AL433" s="30" t="inlineStr">
        <is>
          <t>0000206-69.2013.8.17.1340</t>
        </is>
      </c>
      <c r="AM433" s="30" t="inlineStr">
        <is>
          <t>TJPE</t>
        </is>
      </c>
      <c r="AN433" s="30" t="inlineStr"/>
      <c r="AO433" s="30" t="n">
        <v>2013</v>
      </c>
      <c r="AP433" s="30" t="inlineStr">
        <is>
          <t>13y since filing, no plan document</t>
        </is>
      </c>
      <c r="AQ433" s="30" t="inlineStr"/>
      <c r="AR433" s="30" t="inlineStr">
        <is>
          <t>portal page title / URL — not printed on the list</t>
        </is>
      </c>
      <c r="AS433" s="30" t="inlineStr">
        <is>
          <t>BRASILIA</t>
        </is>
      </c>
      <c r="AT433" s="30" t="inlineStr">
        <is>
          <t>DF</t>
        </is>
      </c>
      <c r="AU433" s="30" t="inlineStr">
        <is>
          <t>Bancos múltiplos, com carteira comercial</t>
        </is>
      </c>
      <c r="AV433" s="30" t="inlineStr">
        <is>
          <t>DEMAIS</t>
        </is>
      </c>
      <c r="AW433" s="31" t="n">
        <v>120000000000</v>
      </c>
      <c r="AX433" s="30" t="inlineStr">
        <is>
          <t>LARGE CORP</t>
        </is>
      </c>
      <c r="AY433" s="30" t="inlineStr">
        <is>
          <t>00000000</t>
        </is>
      </c>
      <c r="AZ433" s="30" t="n">
        <v>1</v>
      </c>
      <c r="BA433" s="30" t="inlineStr">
        <is>
          <t>ALT_VALUE:324.716,74 LIKELY_FINANCIAL_BY_NAME ROWS:p1r13 VALUE_COL:Valor_Atualizado</t>
        </is>
      </c>
    </row>
    <row r="434">
      <c r="A434" s="16" t="inlineStr">
        <is>
          <t>BPLACE SECURITIZADORA S.A. (</t>
        </is>
      </c>
      <c r="B434" s="17" t="n">
        <v>303480.05</v>
      </c>
      <c r="C434" s="18" t="inlineStr">
        <is>
          <t>VECTOR INDÚSTRIA DE PRODUTOS METALÚRGICOS LTDA.</t>
        </is>
      </c>
      <c r="D434" s="19" t="inlineStr">
        <is>
          <t>NEW</t>
        </is>
      </c>
      <c r="E434" s="20" t="inlineStr"/>
      <c r="F434" s="19" t="inlineStr"/>
      <c r="G434" s="20" t="inlineStr"/>
      <c r="H434" s="19" t="inlineStr"/>
      <c r="I434" s="21" t="inlineStr">
        <is>
          <t>Renan Iop</t>
        </is>
      </c>
      <c r="J434" s="21" t="inlineStr">
        <is>
          <t>Managing Partner</t>
        </is>
      </c>
      <c r="K434" s="21" t="inlineStr"/>
      <c r="L434" s="21" t="inlineStr"/>
      <c r="M434" s="21" t="inlineStr"/>
      <c r="N434" s="21" t="inlineStr">
        <is>
          <t>renan.iop@bplace.com.br</t>
        </is>
      </c>
      <c r="O434" s="21" t="inlineStr"/>
      <c r="P434" s="21" t="inlineStr">
        <is>
          <t>Tainise Ferreira</t>
        </is>
      </c>
      <c r="Q434" s="21" t="inlineStr">
        <is>
          <t>Collection Analyst</t>
        </is>
      </c>
      <c r="R434" s="21" t="inlineStr"/>
      <c r="S434" s="21" t="inlineStr"/>
      <c r="T434" s="21" t="inlineStr">
        <is>
          <t>email verified by Apollo</t>
        </is>
      </c>
      <c r="U434" s="22" t="n">
        <v>303480.05</v>
      </c>
      <c r="V434" s="38" t="inlineStr">
        <is>
          <t>C</t>
        </is>
      </c>
      <c r="W434" s="24">
        <f>IFERROR(VLOOKUP(V434,Assumptions!$A$7:$F$11,2,FALSE),0)</f>
        <v/>
      </c>
      <c r="X434" s="25">
        <f>IF(V434="A",MAX(1,IFERROR(VLOOKUP(V434,Assumptions!$A$7:$F$11,3,FALSE),3)+IFERROR(VLOOKUP(V434,Assumptions!$A$7:$F$11,4,FALSE),8)/2-MAX(0,IF(AO434="",0,YEAR(TODAY())-AO434)-IFERROR(VLOOKUP(V434,Assumptions!$A$7:$F$11,5,FALSE),1.5))),IFERROR(VLOOKUP(V434,Assumptions!$A$7:$F$11,5,FALSE),2.5)+IFERROR(VLOOKUP(V434,Assumptions!$A$7:$F$11,3,FALSE),3)+IFERROR(VLOOKUP(V434,Assumptions!$A$7:$F$11,4,FALSE),8)/2)</f>
        <v/>
      </c>
      <c r="Y434" s="22">
        <f>U434*W434/(1+Assumptions!$B$3)^X434</f>
        <v/>
      </c>
      <c r="Z434" s="26">
        <f>IF(U434=0,"",ROUND(Y434/U434*100,1))</f>
        <v/>
      </c>
      <c r="AA434" s="27">
        <f>Y434*Assumptions!$B$4</f>
        <v/>
      </c>
      <c r="AB434" s="26">
        <f>IF(U434=0,"",ROUND(AA434/U434*100,1))</f>
        <v/>
      </c>
      <c r="AC434" s="27">
        <f>Y434-AA434</f>
        <v/>
      </c>
      <c r="AD434" s="26">
        <f>IF(U434=0,"",ROUND((Y434-AA434)/U434*100,1))</f>
        <v/>
      </c>
      <c r="AE434" s="33" t="inlineStr">
        <is>
          <t>NO TOTALS — list prints none; check page</t>
        </is>
      </c>
      <c r="AF434" s="29" t="inlineStr">
        <is>
          <t>https://scalzilliaj.com.br/sgc/download.php?file=files/processo_documento/processo_documento15513401112022_1_.pdf&amp;nome=15 - Edital do art. 7º, §2º (segunda lista de credores) e do art. 53 da Lei 11.101/2005 (recebimento do plano)</t>
        </is>
      </c>
      <c r="AG434" s="28" t="inlineStr">
        <is>
          <t>p6 r4</t>
        </is>
      </c>
      <c r="AH434" s="28" t="inlineStr">
        <is>
          <t>p6: R$ 303.480,05</t>
        </is>
      </c>
      <c r="AI434" s="28" t="inlineStr">
        <is>
          <t>AJ list (art. 7 §2)</t>
        </is>
      </c>
      <c r="AJ434" s="28" t="inlineStr">
        <is>
          <t>2022-11-01</t>
        </is>
      </c>
      <c r="AK434" s="28" t="inlineStr">
        <is>
          <t>NONE FOUND</t>
        </is>
      </c>
      <c r="AL434" s="30" t="inlineStr">
        <is>
          <t>5014104-85.2021.8.21.0010</t>
        </is>
      </c>
      <c r="AM434" s="30" t="inlineStr">
        <is>
          <t>TJRS</t>
        </is>
      </c>
      <c r="AN434" s="30" t="inlineStr">
        <is>
          <t>ACTIVE</t>
        </is>
      </c>
      <c r="AO434" s="30" t="n">
        <v>2021</v>
      </c>
      <c r="AP434" s="30" t="inlineStr">
        <is>
          <t>5y since filing, no plan document</t>
        </is>
      </c>
      <c r="AQ434" s="30" t="inlineStr">
        <is>
          <t>03.018.339/0001-03</t>
        </is>
      </c>
      <c r="AR434" s="30" t="inlineStr">
        <is>
          <t>printed on the list (read twice)</t>
        </is>
      </c>
      <c r="AS434" s="30" t="inlineStr"/>
      <c r="AT434" s="30" t="inlineStr"/>
      <c r="AU434" s="30" t="inlineStr"/>
      <c r="AV434" s="30" t="inlineStr"/>
      <c r="AW434" s="31" t="inlineStr"/>
      <c r="AX434" s="30" t="inlineStr">
        <is>
          <t>MID-MARKET</t>
        </is>
      </c>
      <c r="AY434" s="30" t="inlineStr">
        <is>
          <t>27695272</t>
        </is>
      </c>
      <c r="AZ434" s="30" t="n">
        <v>1</v>
      </c>
      <c r="BA434" s="30" t="inlineStr">
        <is>
          <t>LIKELY_FINANCIAL_BY_NAME ROWS:p6r4 UNRECONCILED_SOURCE</t>
        </is>
      </c>
    </row>
    <row r="435">
      <c r="A435" s="16" t="inlineStr">
        <is>
          <t>BANCO BRADESCO S.A.</t>
        </is>
      </c>
      <c r="B435" s="17" t="n">
        <v>299688.41</v>
      </c>
      <c r="C435" s="18" t="inlineStr">
        <is>
          <t>Grupo Mastter</t>
        </is>
      </c>
      <c r="D435" s="19" t="inlineStr">
        <is>
          <t>NEW</t>
        </is>
      </c>
      <c r="E435" s="20" t="inlineStr"/>
      <c r="F435" s="19" t="inlineStr"/>
      <c r="G435" s="20" t="inlineStr"/>
      <c r="H435" s="19" t="inlineStr"/>
      <c r="I435" s="21" t="inlineStr">
        <is>
          <t>Marcela Martins</t>
        </is>
      </c>
      <c r="J435" s="21" t="inlineStr">
        <is>
          <t>Superintendente de Recuperação de Crédito - Canais e Operações</t>
        </is>
      </c>
      <c r="K435" s="21" t="inlineStr">
        <is>
          <t>(11) 3684-5122</t>
        </is>
      </c>
      <c r="L435" s="21" t="inlineStr"/>
      <c r="M435" s="21" t="inlineStr"/>
      <c r="N435" s="21" t="inlineStr"/>
      <c r="O435" s="21" t="inlineStr">
        <is>
          <t>sl@bradesco.com.br</t>
        </is>
      </c>
      <c r="P435" s="21" t="inlineStr">
        <is>
          <t>Luis S</t>
        </is>
      </c>
      <c r="Q435" s="21" t="inlineStr">
        <is>
          <t>DRC - Departamento de Recuperação de Crédito - Gerente de Reestruturação de Crédito</t>
        </is>
      </c>
      <c r="R435" s="21" t="inlineStr"/>
      <c r="S435" s="21" t="inlineStr">
        <is>
          <t>sl@bradesco.com.br</t>
        </is>
      </c>
      <c r="T435" s="21" t="inlineStr">
        <is>
          <t>no work email found in Apollo</t>
        </is>
      </c>
      <c r="U435" s="22" t="n">
        <v>299688.41</v>
      </c>
      <c r="V435" s="38" t="inlineStr">
        <is>
          <t>C</t>
        </is>
      </c>
      <c r="W435" s="24">
        <f>IFERROR(VLOOKUP(V435,Assumptions!$A$7:$F$11,2,FALSE),0)</f>
        <v/>
      </c>
      <c r="X435" s="25">
        <f>IF(V435="A",MAX(1,IFERROR(VLOOKUP(V435,Assumptions!$A$7:$F$11,3,FALSE),3)+IFERROR(VLOOKUP(V435,Assumptions!$A$7:$F$11,4,FALSE),8)/2-MAX(0,IF(AO435="",0,YEAR(TODAY())-AO435)-IFERROR(VLOOKUP(V435,Assumptions!$A$7:$F$11,5,FALSE),1.5))),IFERROR(VLOOKUP(V435,Assumptions!$A$7:$F$11,5,FALSE),2.5)+IFERROR(VLOOKUP(V435,Assumptions!$A$7:$F$11,3,FALSE),3)+IFERROR(VLOOKUP(V435,Assumptions!$A$7:$F$11,4,FALSE),8)/2)</f>
        <v/>
      </c>
      <c r="Y435" s="22">
        <f>U435*W435/(1+Assumptions!$B$3)^X435</f>
        <v/>
      </c>
      <c r="Z435" s="26">
        <f>IF(U435=0,"",ROUND(Y435/U435*100,1))</f>
        <v/>
      </c>
      <c r="AA435" s="27">
        <f>Y435*Assumptions!$B$4</f>
        <v/>
      </c>
      <c r="AB435" s="26">
        <f>IF(U435=0,"",ROUND(AA435/U435*100,1))</f>
        <v/>
      </c>
      <c r="AC435" s="27">
        <f>Y435-AA435</f>
        <v/>
      </c>
      <c r="AD435" s="26">
        <f>IF(U435=0,"",ROUND((Y435-AA435)/U435*100,1))</f>
        <v/>
      </c>
      <c r="AE435" s="33" t="inlineStr">
        <is>
          <t>NO TOTALS — list prints none; check page</t>
        </is>
      </c>
      <c r="AF435" s="29" t="inlineStr">
        <is>
          <t>https://realbrasil.com.br/wp-content/uploads/2017/05/Relação-de-Credores_-Mastter-1.pdf</t>
        </is>
      </c>
      <c r="AG435" s="28" t="inlineStr">
        <is>
          <t>p13 r13; p13 r15</t>
        </is>
      </c>
      <c r="AH435" s="28" t="inlineStr">
        <is>
          <t>p13: R$ 298.489,42; p13: R$ 1.198,99</t>
        </is>
      </c>
      <c r="AI435" s="28" t="inlineStr">
        <is>
          <t>Debtor list (art. 51)</t>
        </is>
      </c>
      <c r="AJ435" s="28" t="inlineStr">
        <is>
          <t>2016-02-10</t>
        </is>
      </c>
      <c r="AK435" s="28" t="inlineStr">
        <is>
          <t>NONE FOUND</t>
        </is>
      </c>
      <c r="AL435" s="30" t="inlineStr">
        <is>
          <t>0801893-91.2016.8.12.0011</t>
        </is>
      </c>
      <c r="AM435" s="30" t="inlineStr">
        <is>
          <t>TJMS</t>
        </is>
      </c>
      <c r="AN435" s="30" t="inlineStr"/>
      <c r="AO435" s="30" t="n">
        <v>2016</v>
      </c>
      <c r="AP435" s="30" t="inlineStr">
        <is>
          <t>10y since filing, no plan document</t>
        </is>
      </c>
      <c r="AQ435" s="30" t="inlineStr"/>
      <c r="AR435" s="30" t="inlineStr">
        <is>
          <t>printed on the list (read twice)</t>
        </is>
      </c>
      <c r="AS435" s="30" t="inlineStr">
        <is>
          <t>OSASCO</t>
        </is>
      </c>
      <c r="AT435" s="30" t="inlineStr">
        <is>
          <t>SP</t>
        </is>
      </c>
      <c r="AU435" s="30" t="inlineStr">
        <is>
          <t>Bancos múltiplos, com carteira comercial</t>
        </is>
      </c>
      <c r="AV435" s="30" t="inlineStr">
        <is>
          <t>DEMAIS</t>
        </is>
      </c>
      <c r="AW435" s="31" t="n">
        <v>93770000000</v>
      </c>
      <c r="AX435" s="30" t="inlineStr">
        <is>
          <t>LARGE CORP</t>
        </is>
      </c>
      <c r="AY435" s="30" t="inlineStr">
        <is>
          <t>60746948</t>
        </is>
      </c>
      <c r="AZ435" s="30" t="n">
        <v>2</v>
      </c>
      <c r="BA435" s="30" t="inlineStr">
        <is>
          <t>ALT_VALUE:R$1.198,99 ALT_VALUE:R$298.489,42 ROWS:p13r13,p13r15 UNRECONCILED_SOURCE</t>
        </is>
      </c>
    </row>
    <row r="436">
      <c r="A436" s="16" t="inlineStr">
        <is>
          <t>LUGUS SECURITIZADORA S/A (</t>
        </is>
      </c>
      <c r="B436" s="17" t="n">
        <v>275417.56</v>
      </c>
      <c r="C436" s="18" t="inlineStr">
        <is>
          <t>VECTOR INDÚSTRIA DE PRODUTOS METALÚRGICOS LTDA.</t>
        </is>
      </c>
      <c r="D436" s="19" t="inlineStr">
        <is>
          <t>NEW</t>
        </is>
      </c>
      <c r="E436" s="20" t="inlineStr"/>
      <c r="F436" s="19" t="inlineStr"/>
      <c r="G436" s="20" t="inlineStr"/>
      <c r="H436" s="19" t="inlineStr"/>
      <c r="I436" s="21" t="inlineStr"/>
      <c r="J436" s="21" t="inlineStr"/>
      <c r="K436" s="21" t="inlineStr"/>
      <c r="L436" s="21" t="inlineStr"/>
      <c r="M436" s="21" t="inlineStr"/>
      <c r="N436" s="21" t="inlineStr"/>
      <c r="O436" s="21" t="inlineStr"/>
      <c r="P436" s="21" t="inlineStr"/>
      <c r="Q436" s="21" t="inlineStr"/>
      <c r="R436" s="21" t="inlineStr"/>
      <c r="S436" s="21" t="inlineStr"/>
      <c r="T436" s="21" t="inlineStr">
        <is>
          <t>no named contact found</t>
        </is>
      </c>
      <c r="U436" s="22" t="n">
        <v>275417.56</v>
      </c>
      <c r="V436" s="38" t="inlineStr">
        <is>
          <t>C</t>
        </is>
      </c>
      <c r="W436" s="24">
        <f>IFERROR(VLOOKUP(V436,Assumptions!$A$7:$F$11,2,FALSE),0)</f>
        <v/>
      </c>
      <c r="X436" s="25">
        <f>IF(V436="A",MAX(1,IFERROR(VLOOKUP(V436,Assumptions!$A$7:$F$11,3,FALSE),3)+IFERROR(VLOOKUP(V436,Assumptions!$A$7:$F$11,4,FALSE),8)/2-MAX(0,IF(AO436="",0,YEAR(TODAY())-AO436)-IFERROR(VLOOKUP(V436,Assumptions!$A$7:$F$11,5,FALSE),1.5))),IFERROR(VLOOKUP(V436,Assumptions!$A$7:$F$11,5,FALSE),2.5)+IFERROR(VLOOKUP(V436,Assumptions!$A$7:$F$11,3,FALSE),3)+IFERROR(VLOOKUP(V436,Assumptions!$A$7:$F$11,4,FALSE),8)/2)</f>
        <v/>
      </c>
      <c r="Y436" s="22">
        <f>U436*W436/(1+Assumptions!$B$3)^X436</f>
        <v/>
      </c>
      <c r="Z436" s="26">
        <f>IF(U436=0,"",ROUND(Y436/U436*100,1))</f>
        <v/>
      </c>
      <c r="AA436" s="27">
        <f>Y436*Assumptions!$B$4</f>
        <v/>
      </c>
      <c r="AB436" s="26">
        <f>IF(U436=0,"",ROUND(AA436/U436*100,1))</f>
        <v/>
      </c>
      <c r="AC436" s="27">
        <f>Y436-AA436</f>
        <v/>
      </c>
      <c r="AD436" s="26">
        <f>IF(U436=0,"",ROUND((Y436-AA436)/U436*100,1))</f>
        <v/>
      </c>
      <c r="AE436" s="33" t="inlineStr">
        <is>
          <t>NO TOTALS — list prints none; check page</t>
        </is>
      </c>
      <c r="AF436" s="29" t="inlineStr">
        <is>
          <t>https://scalzilliaj.com.br/sgc/download.php?file=files/processo_documento/processo_documento15513401112022_1_.pdf&amp;nome=15 - Edital do art. 7º, §2º (segunda lista de credores) e do art. 53 da Lei 11.101/2005 (recebimento do plano)</t>
        </is>
      </c>
      <c r="AG436" s="28" t="inlineStr">
        <is>
          <t>p8 r8</t>
        </is>
      </c>
      <c r="AH436" s="28" t="inlineStr">
        <is>
          <t>p8: R$ 275.417,56</t>
        </is>
      </c>
      <c r="AI436" s="28" t="inlineStr">
        <is>
          <t>AJ list (art. 7 §2)</t>
        </is>
      </c>
      <c r="AJ436" s="28" t="inlineStr">
        <is>
          <t>2022-11-01</t>
        </is>
      </c>
      <c r="AK436" s="28" t="inlineStr">
        <is>
          <t>NONE FOUND</t>
        </is>
      </c>
      <c r="AL436" s="30" t="inlineStr">
        <is>
          <t>5014104-85.2021.8.21.0010</t>
        </is>
      </c>
      <c r="AM436" s="30" t="inlineStr">
        <is>
          <t>TJRS</t>
        </is>
      </c>
      <c r="AN436" s="30" t="inlineStr">
        <is>
          <t>ACTIVE</t>
        </is>
      </c>
      <c r="AO436" s="30" t="n">
        <v>2021</v>
      </c>
      <c r="AP436" s="30" t="inlineStr">
        <is>
          <t>5y since filing, no plan document</t>
        </is>
      </c>
      <c r="AQ436" s="30" t="inlineStr">
        <is>
          <t>03.018.339/0001-03</t>
        </is>
      </c>
      <c r="AR436" s="30" t="inlineStr">
        <is>
          <t>printed on the list (read twice)</t>
        </is>
      </c>
      <c r="AS436" s="30" t="inlineStr"/>
      <c r="AT436" s="30" t="inlineStr"/>
      <c r="AU436" s="30" t="inlineStr"/>
      <c r="AV436" s="30" t="inlineStr"/>
      <c r="AW436" s="31" t="inlineStr"/>
      <c r="AX436" s="30" t="inlineStr">
        <is>
          <t>MID-MARKET</t>
        </is>
      </c>
      <c r="AY436" s="30" t="inlineStr">
        <is>
          <t>34548181</t>
        </is>
      </c>
      <c r="AZ436" s="30" t="n">
        <v>1</v>
      </c>
      <c r="BA436" s="30" t="inlineStr">
        <is>
          <t>LIKELY_FINANCIAL_BY_NAME ROWS:p8r8 UNRECONCILED_SOURCE</t>
        </is>
      </c>
    </row>
    <row r="437">
      <c r="A437" s="16" t="inlineStr">
        <is>
          <t>BANCO SANTANDER (BRASIL) S.A.</t>
        </is>
      </c>
      <c r="B437" s="17" t="n">
        <v>496312.38</v>
      </c>
      <c r="C437" s="18" t="inlineStr">
        <is>
          <t>Albertina Martins Pereira Freccia ME / Roberto Brunato Freccia Ltda. / Sofia Freccia Confecções Ltda.</t>
        </is>
      </c>
      <c r="D437" s="19" t="inlineStr">
        <is>
          <t>NEW</t>
        </is>
      </c>
      <c r="E437" s="20" t="inlineStr"/>
      <c r="F437" s="19" t="inlineStr"/>
      <c r="G437" s="20" t="inlineStr"/>
      <c r="H437" s="19" t="inlineStr"/>
      <c r="I437" s="21" t="inlineStr">
        <is>
          <t>Igor Puertas</t>
        </is>
      </c>
      <c r="J437" s="21" t="inlineStr">
        <is>
          <t>Distressed Assets | NPL</t>
        </is>
      </c>
      <c r="K437" s="21" t="inlineStr">
        <is>
          <t>(11) 4004-3535</t>
        </is>
      </c>
      <c r="L437" s="21" t="inlineStr"/>
      <c r="M437" s="21" t="inlineStr"/>
      <c r="N437" s="21" t="inlineStr">
        <is>
          <t>igor.puertas@santander.com.br</t>
        </is>
      </c>
      <c r="O437" s="21" t="inlineStr">
        <is>
          <t>antonio.pequeno.junior@santander.com.br</t>
        </is>
      </c>
      <c r="P437" s="21" t="inlineStr">
        <is>
          <t>Antonio Junior</t>
        </is>
      </c>
      <c r="Q437" s="21" t="inlineStr">
        <is>
          <t>Superintendente Recuperação de Crédito</t>
        </is>
      </c>
      <c r="R437" s="21" t="inlineStr"/>
      <c r="S437" s="21" t="inlineStr">
        <is>
          <t>antonio.pequeno.junior@santander.com.br</t>
        </is>
      </c>
      <c r="T437" s="21" t="inlineStr">
        <is>
          <t>email verified by Apollo</t>
        </is>
      </c>
      <c r="U437" s="22" t="n">
        <v>496312.38</v>
      </c>
      <c r="V437" s="39" t="inlineStr">
        <is>
          <t>D</t>
        </is>
      </c>
      <c r="W437" s="24">
        <f>IFERROR(VLOOKUP(V437,Assumptions!$A$7:$F$11,2,FALSE),0)</f>
        <v/>
      </c>
      <c r="X437" s="25">
        <f>IF(V437="A",MAX(1,IFERROR(VLOOKUP(V437,Assumptions!$A$7:$F$11,3,FALSE),3)+IFERROR(VLOOKUP(V437,Assumptions!$A$7:$F$11,4,FALSE),8)/2-MAX(0,IF(AO437="",0,YEAR(TODAY())-AO437)-IFERROR(VLOOKUP(V437,Assumptions!$A$7:$F$11,5,FALSE),1.5))),IFERROR(VLOOKUP(V437,Assumptions!$A$7:$F$11,5,FALSE),2.5)+IFERROR(VLOOKUP(V437,Assumptions!$A$7:$F$11,3,FALSE),3)+IFERROR(VLOOKUP(V437,Assumptions!$A$7:$F$11,4,FALSE),8)/2)</f>
        <v/>
      </c>
      <c r="Y437" s="22">
        <f>U437*W437/(1+Assumptions!$B$3)^X437</f>
        <v/>
      </c>
      <c r="Z437" s="26">
        <f>IF(U437=0,"",ROUND(Y437/U437*100,1))</f>
        <v/>
      </c>
      <c r="AA437" s="27">
        <f>Y437*Assumptions!$B$4</f>
        <v/>
      </c>
      <c r="AB437" s="26">
        <f>IF(U437=0,"",ROUND(AA437/U437*100,1))</f>
        <v/>
      </c>
      <c r="AC437" s="27">
        <f>Y437-AA437</f>
        <v/>
      </c>
      <c r="AD437" s="26">
        <f>IF(U437=0,"",ROUND((Y437-AA437)/U437*100,1))</f>
        <v/>
      </c>
      <c r="AE437" s="33" t="inlineStr">
        <is>
          <t>NO TOTALS — list prints none; check page</t>
        </is>
      </c>
      <c r="AF437" s="29" t="inlineStr">
        <is>
          <t>https://administradorajudicialgs.com.br/wp-content/uploads/2023/08/relacao-de-credores-da-recuperanda-2.pdf</t>
        </is>
      </c>
      <c r="AG437" s="28" t="inlineStr">
        <is>
          <t>p3 r11; p3 r12</t>
        </is>
      </c>
      <c r="AH437" s="28" t="inlineStr">
        <is>
          <t>p3: R$ 324.366,11; p3: R$ 171.946,27</t>
        </is>
      </c>
      <c r="AI437" s="28" t="inlineStr">
        <is>
          <t>Unclassified list</t>
        </is>
      </c>
      <c r="AJ437" s="28" t="inlineStr">
        <is>
          <t>2019-11-11</t>
        </is>
      </c>
      <c r="AK437" s="28" t="inlineStr">
        <is>
          <t>NONE FOUND</t>
        </is>
      </c>
      <c r="AL437" s="30" t="inlineStr">
        <is>
          <t>5003439-20.2020.8.24.0282</t>
        </is>
      </c>
      <c r="AM437" s="30" t="inlineStr">
        <is>
          <t>TJSC</t>
        </is>
      </c>
      <c r="AN437" s="30" t="inlineStr"/>
      <c r="AO437" s="30" t="n">
        <v>2020</v>
      </c>
      <c r="AP437" s="30" t="inlineStr">
        <is>
          <t>document is a falência (bankruptcy) list</t>
        </is>
      </c>
      <c r="AQ437" s="30" t="inlineStr"/>
      <c r="AR437" s="30" t="inlineStr">
        <is>
          <t>printed on the list (read twice)</t>
        </is>
      </c>
      <c r="AS437" s="30" t="inlineStr">
        <is>
          <t>SAO PAULO</t>
        </is>
      </c>
      <c r="AT437" s="30" t="inlineStr">
        <is>
          <t>SP</t>
        </is>
      </c>
      <c r="AU437" s="30" t="inlineStr">
        <is>
          <t>Bancos múltiplos, com carteira comercial</t>
        </is>
      </c>
      <c r="AV437" s="30" t="inlineStr">
        <is>
          <t>DEMAIS</t>
        </is>
      </c>
      <c r="AW437" s="31" t="n">
        <v>65000000000</v>
      </c>
      <c r="AX437" s="30" t="inlineStr">
        <is>
          <t>LARGE CORP</t>
        </is>
      </c>
      <c r="AY437" s="30" t="inlineStr">
        <is>
          <t>90400888</t>
        </is>
      </c>
      <c r="AZ437" s="30" t="n">
        <v>2</v>
      </c>
      <c r="BA437" s="30" t="inlineStr">
        <is>
          <t>ROWS:p3r11,p3r12 UNRECONCILED_SOURCE</t>
        </is>
      </c>
    </row>
    <row r="438">
      <c r="A438" s="16" t="inlineStr">
        <is>
          <t>M&amp;T CAPITAL SECURITIZADORA S/A (FIDEM BANK) (</t>
        </is>
      </c>
      <c r="B438" s="17" t="n">
        <v>264374.51</v>
      </c>
      <c r="C438" s="18" t="inlineStr">
        <is>
          <t>VECTOR INDÚSTRIA DE PRODUTOS METALÚRGICOS LTDA.</t>
        </is>
      </c>
      <c r="D438" s="19" t="inlineStr">
        <is>
          <t>NEW</t>
        </is>
      </c>
      <c r="E438" s="20" t="inlineStr"/>
      <c r="F438" s="19" t="inlineStr"/>
      <c r="G438" s="20" t="inlineStr"/>
      <c r="H438" s="19" t="inlineStr"/>
      <c r="I438" s="21" t="inlineStr">
        <is>
          <t>Bruno Fonseca</t>
        </is>
      </c>
      <c r="J438" s="21" t="inlineStr">
        <is>
          <t>Head de Negócios</t>
        </is>
      </c>
      <c r="K438" s="21" t="inlineStr"/>
      <c r="L438" s="21" t="inlineStr"/>
      <c r="M438" s="21" t="inlineStr"/>
      <c r="N438" s="21" t="inlineStr">
        <is>
          <t>bruno.fonseca@fidemcred.com.br</t>
        </is>
      </c>
      <c r="O438" s="21" t="inlineStr">
        <is>
          <t>aline.monteblanco@fidembank.com</t>
        </is>
      </c>
      <c r="P438" s="21" t="inlineStr">
        <is>
          <t>Aline Monteblanco</t>
        </is>
      </c>
      <c r="Q438" s="21" t="inlineStr">
        <is>
          <t>Collections Analyst</t>
        </is>
      </c>
      <c r="R438" s="21" t="inlineStr"/>
      <c r="S438" s="21" t="inlineStr">
        <is>
          <t>aline.monteblanco@fidembank.com</t>
        </is>
      </c>
      <c r="T438" s="21" t="inlineStr">
        <is>
          <t>email verified by Apollo</t>
        </is>
      </c>
      <c r="U438" s="22" t="n">
        <v>264374.51</v>
      </c>
      <c r="V438" s="38" t="inlineStr">
        <is>
          <t>C</t>
        </is>
      </c>
      <c r="W438" s="24">
        <f>IFERROR(VLOOKUP(V438,Assumptions!$A$7:$F$11,2,FALSE),0)</f>
        <v/>
      </c>
      <c r="X438" s="25">
        <f>IF(V438="A",MAX(1,IFERROR(VLOOKUP(V438,Assumptions!$A$7:$F$11,3,FALSE),3)+IFERROR(VLOOKUP(V438,Assumptions!$A$7:$F$11,4,FALSE),8)/2-MAX(0,IF(AO438="",0,YEAR(TODAY())-AO438)-IFERROR(VLOOKUP(V438,Assumptions!$A$7:$F$11,5,FALSE),1.5))),IFERROR(VLOOKUP(V438,Assumptions!$A$7:$F$11,5,FALSE),2.5)+IFERROR(VLOOKUP(V438,Assumptions!$A$7:$F$11,3,FALSE),3)+IFERROR(VLOOKUP(V438,Assumptions!$A$7:$F$11,4,FALSE),8)/2)</f>
        <v/>
      </c>
      <c r="Y438" s="22">
        <f>U438*W438/(1+Assumptions!$B$3)^X438</f>
        <v/>
      </c>
      <c r="Z438" s="26">
        <f>IF(U438=0,"",ROUND(Y438/U438*100,1))</f>
        <v/>
      </c>
      <c r="AA438" s="27">
        <f>Y438*Assumptions!$B$4</f>
        <v/>
      </c>
      <c r="AB438" s="26">
        <f>IF(U438=0,"",ROUND(AA438/U438*100,1))</f>
        <v/>
      </c>
      <c r="AC438" s="27">
        <f>Y438-AA438</f>
        <v/>
      </c>
      <c r="AD438" s="26">
        <f>IF(U438=0,"",ROUND((Y438-AA438)/U438*100,1))</f>
        <v/>
      </c>
      <c r="AE438" s="33" t="inlineStr">
        <is>
          <t>NO TOTALS — list prints none; check page</t>
        </is>
      </c>
      <c r="AF438" s="29" t="inlineStr">
        <is>
          <t>https://scalzilliaj.com.br/sgc/download.php?file=files/processo_documento/processo_documento15513401112022_1_.pdf&amp;nome=15 - Edital do art. 7º, §2º (segunda lista de credores) e do art. 53 da Lei 11.101/2005 (recebimento do plano)</t>
        </is>
      </c>
      <c r="AG438" s="28" t="inlineStr">
        <is>
          <t>p8 r11</t>
        </is>
      </c>
      <c r="AH438" s="28" t="inlineStr">
        <is>
          <t>p8: R$ 264.374,51</t>
        </is>
      </c>
      <c r="AI438" s="28" t="inlineStr">
        <is>
          <t>AJ list (art. 7 §2)</t>
        </is>
      </c>
      <c r="AJ438" s="28" t="inlineStr">
        <is>
          <t>2022-11-01</t>
        </is>
      </c>
      <c r="AK438" s="28" t="inlineStr">
        <is>
          <t>NONE FOUND</t>
        </is>
      </c>
      <c r="AL438" s="30" t="inlineStr">
        <is>
          <t>5014104-85.2021.8.21.0010</t>
        </is>
      </c>
      <c r="AM438" s="30" t="inlineStr">
        <is>
          <t>TJRS</t>
        </is>
      </c>
      <c r="AN438" s="30" t="inlineStr">
        <is>
          <t>ACTIVE</t>
        </is>
      </c>
      <c r="AO438" s="30" t="n">
        <v>2021</v>
      </c>
      <c r="AP438" s="30" t="inlineStr">
        <is>
          <t>5y since filing, no plan document</t>
        </is>
      </c>
      <c r="AQ438" s="30" t="inlineStr">
        <is>
          <t>03.018.339/0001-03</t>
        </is>
      </c>
      <c r="AR438" s="30" t="inlineStr">
        <is>
          <t>printed on the list (read twice)</t>
        </is>
      </c>
      <c r="AS438" s="30" t="inlineStr"/>
      <c r="AT438" s="30" t="inlineStr"/>
      <c r="AU438" s="30" t="inlineStr"/>
      <c r="AV438" s="30" t="inlineStr"/>
      <c r="AW438" s="31" t="inlineStr"/>
      <c r="AX438" s="30" t="inlineStr">
        <is>
          <t>MID-MARKET</t>
        </is>
      </c>
      <c r="AY438" s="30" t="inlineStr">
        <is>
          <t>34816202</t>
        </is>
      </c>
      <c r="AZ438" s="30" t="n">
        <v>1</v>
      </c>
      <c r="BA438" s="30" t="inlineStr">
        <is>
          <t>LIKELY_FINANCIAL_BY_NAME ROWS:p8r11 UNRECONCILED_SOURCE</t>
        </is>
      </c>
    </row>
    <row r="439">
      <c r="A439" s="16" t="inlineStr">
        <is>
          <t>BANCO CITIBANK S A</t>
        </is>
      </c>
      <c r="B439" s="17" t="n">
        <v>481718.88</v>
      </c>
      <c r="C439" s="18" t="inlineStr">
        <is>
          <t>Mannes</t>
        </is>
      </c>
      <c r="D439" s="19" t="inlineStr">
        <is>
          <t>NEW</t>
        </is>
      </c>
      <c r="E439" s="20" t="inlineStr"/>
      <c r="F439" s="19" t="inlineStr"/>
      <c r="G439" s="20" t="inlineStr"/>
      <c r="H439" s="19" t="inlineStr"/>
      <c r="I439" s="21" t="inlineStr">
        <is>
          <t>Daniela Finardi</t>
        </is>
      </c>
      <c r="J439" s="21" t="inlineStr">
        <is>
          <t>Credit Portfolio Sr Manager</t>
        </is>
      </c>
      <c r="K439" s="21" t="inlineStr">
        <is>
          <t>(11) 4009-0000</t>
        </is>
      </c>
      <c r="L439" s="21" t="inlineStr"/>
      <c r="M439" s="21" t="inlineStr"/>
      <c r="N439" s="21" t="inlineStr"/>
      <c r="O439" s="21" t="inlineStr"/>
      <c r="P439" s="21" t="inlineStr">
        <is>
          <t>Elaine Almeida</t>
        </is>
      </c>
      <c r="Q439" s="21" t="inlineStr">
        <is>
          <t>Supervisora Back Office Cobrança</t>
        </is>
      </c>
      <c r="R439" s="21" t="inlineStr"/>
      <c r="S439" s="21" t="inlineStr"/>
      <c r="T439" s="21" t="inlineStr">
        <is>
          <t>no work email found in Apollo</t>
        </is>
      </c>
      <c r="U439" s="22" t="n">
        <v>481718.88</v>
      </c>
      <c r="V439" s="39" t="inlineStr">
        <is>
          <t>D</t>
        </is>
      </c>
      <c r="W439" s="24">
        <f>IFERROR(VLOOKUP(V439,Assumptions!$A$7:$F$11,2,FALSE),0)</f>
        <v/>
      </c>
      <c r="X439" s="25">
        <f>IF(V439="A",MAX(1,IFERROR(VLOOKUP(V439,Assumptions!$A$7:$F$11,3,FALSE),3)+IFERROR(VLOOKUP(V439,Assumptions!$A$7:$F$11,4,FALSE),8)/2-MAX(0,IF(AO439="",0,YEAR(TODAY())-AO439)-IFERROR(VLOOKUP(V439,Assumptions!$A$7:$F$11,5,FALSE),1.5))),IFERROR(VLOOKUP(V439,Assumptions!$A$7:$F$11,5,FALSE),2.5)+IFERROR(VLOOKUP(V439,Assumptions!$A$7:$F$11,3,FALSE),3)+IFERROR(VLOOKUP(V439,Assumptions!$A$7:$F$11,4,FALSE),8)/2)</f>
        <v/>
      </c>
      <c r="Y439" s="22">
        <f>U439*W439/(1+Assumptions!$B$3)^X439</f>
        <v/>
      </c>
      <c r="Z439" s="26">
        <f>IF(U439=0,"",ROUND(Y439/U439*100,1))</f>
        <v/>
      </c>
      <c r="AA439" s="27">
        <f>Y439*Assumptions!$B$4</f>
        <v/>
      </c>
      <c r="AB439" s="26">
        <f>IF(U439=0,"",ROUND(AA439/U439*100,1))</f>
        <v/>
      </c>
      <c r="AC439" s="27">
        <f>Y439-AA439</f>
        <v/>
      </c>
      <c r="AD439" s="26">
        <f>IF(U439=0,"",ROUND((Y439-AA439)/U439*100,1))</f>
        <v/>
      </c>
      <c r="AE439" s="36" t="inlineStr">
        <is>
          <t>CHECK — source is not a statutory creditor list</t>
        </is>
      </c>
      <c r="AF439" s="29" t="inlineStr">
        <is>
          <t>https://administradorajudicialgs.com.br/wp-content/uploads/2024/12/relacao-de-credores-da-falida.pdf</t>
        </is>
      </c>
      <c r="AG439" s="28" t="inlineStr">
        <is>
          <t>p14 r55</t>
        </is>
      </c>
      <c r="AH439" s="28" t="inlineStr">
        <is>
          <t>p14: R$ 481.718,88</t>
        </is>
      </c>
      <c r="AI439" s="28" t="inlineStr">
        <is>
          <t>Other filing — NOT an art. 7/51 list</t>
        </is>
      </c>
      <c r="AJ439" s="28" t="inlineStr">
        <is>
          <t>2025-03-25</t>
        </is>
      </c>
      <c r="AK439" s="28" t="inlineStr">
        <is>
          <t>NONE FOUND</t>
        </is>
      </c>
      <c r="AL439" s="30" t="inlineStr">
        <is>
          <t>0005010-50.2013.8.24.0026</t>
        </is>
      </c>
      <c r="AM439" s="30" t="inlineStr">
        <is>
          <t>TJSC</t>
        </is>
      </c>
      <c r="AN439" s="30" t="inlineStr"/>
      <c r="AO439" s="30" t="n">
        <v>2013</v>
      </c>
      <c r="AP439" s="30" t="inlineStr">
        <is>
          <t>document is a falência (bankruptcy) list</t>
        </is>
      </c>
      <c r="AQ439" s="30" t="inlineStr"/>
      <c r="AR439" s="30" t="inlineStr">
        <is>
          <t>printed on the list (read twice)</t>
        </is>
      </c>
      <c r="AS439" s="30" t="inlineStr">
        <is>
          <t>SAO PAULO</t>
        </is>
      </c>
      <c r="AT439" s="30" t="inlineStr">
        <is>
          <t>SP</t>
        </is>
      </c>
      <c r="AU439" s="30" t="inlineStr">
        <is>
          <t>Bancos múltiplos, com carteira comercial</t>
        </is>
      </c>
      <c r="AV439" s="30" t="inlineStr">
        <is>
          <t>DEMAIS</t>
        </is>
      </c>
      <c r="AW439" s="31" t="n">
        <v>4469688000</v>
      </c>
      <c r="AX439" s="30" t="inlineStr">
        <is>
          <t>LARGE CORP</t>
        </is>
      </c>
      <c r="AY439" s="30" t="inlineStr">
        <is>
          <t>33479023</t>
        </is>
      </c>
      <c r="AZ439" s="30" t="n">
        <v>1</v>
      </c>
      <c r="BA439" s="30" t="inlineStr">
        <is>
          <t>ROWS:p14r55 UNRECONCILED_SOURCE CASE_NUMBER_CORRECTED</t>
        </is>
      </c>
    </row>
    <row r="440">
      <c r="A440" s="16" t="inlineStr">
        <is>
          <t>BANCO MERCANTIL DO BRASIL SA</t>
        </is>
      </c>
      <c r="B440" s="17" t="n">
        <v>258786.52</v>
      </c>
      <c r="C440" s="18" t="inlineStr">
        <is>
          <t>CONFECÇÕES ANDRIMALHAS LTDA</t>
        </is>
      </c>
      <c r="D440" s="19" t="inlineStr">
        <is>
          <t>NEW</t>
        </is>
      </c>
      <c r="E440" s="20" t="inlineStr"/>
      <c r="F440" s="19" t="inlineStr"/>
      <c r="G440" s="20" t="inlineStr"/>
      <c r="H440" s="19" t="inlineStr"/>
      <c r="I440" s="21" t="inlineStr">
        <is>
          <t>LUIZ HENRIQUE ANDRADE DE ARAUJO</t>
        </is>
      </c>
      <c r="J440" s="21" t="inlineStr">
        <is>
          <t>Presidente (RFB partner)</t>
        </is>
      </c>
      <c r="K440" s="21" t="inlineStr">
        <is>
          <t>(31) 3057-5342</t>
        </is>
      </c>
      <c r="L440" s="21" t="inlineStr"/>
      <c r="M440" s="21" t="inlineStr"/>
      <c r="N440" s="21" t="inlineStr"/>
      <c r="O440" s="21" t="inlineStr"/>
      <c r="P440" s="21" t="inlineStr">
        <is>
          <t>ANDERSON ADEILSON DE OLIVEIRA</t>
        </is>
      </c>
      <c r="Q440" s="21" t="inlineStr">
        <is>
          <t>Diretor (RFB partner)</t>
        </is>
      </c>
      <c r="R440" s="21" t="inlineStr"/>
      <c r="S440" s="21" t="inlineStr"/>
      <c r="T440" s="21" t="inlineStr">
        <is>
          <t>RFB partner (QSA); no Apollo match</t>
        </is>
      </c>
      <c r="U440" s="22" t="n">
        <v>258786.52</v>
      </c>
      <c r="V440" s="38" t="inlineStr">
        <is>
          <t>C</t>
        </is>
      </c>
      <c r="W440" s="24">
        <f>IFERROR(VLOOKUP(V440,Assumptions!$A$7:$F$11,2,FALSE),0)</f>
        <v/>
      </c>
      <c r="X440" s="25">
        <f>IF(V440="A",MAX(1,IFERROR(VLOOKUP(V440,Assumptions!$A$7:$F$11,3,FALSE),3)+IFERROR(VLOOKUP(V440,Assumptions!$A$7:$F$11,4,FALSE),8)/2-MAX(0,IF(AO440="",0,YEAR(TODAY())-AO440)-IFERROR(VLOOKUP(V440,Assumptions!$A$7:$F$11,5,FALSE),1.5))),IFERROR(VLOOKUP(V440,Assumptions!$A$7:$F$11,5,FALSE),2.5)+IFERROR(VLOOKUP(V440,Assumptions!$A$7:$F$11,3,FALSE),3)+IFERROR(VLOOKUP(V440,Assumptions!$A$7:$F$11,4,FALSE),8)/2)</f>
        <v/>
      </c>
      <c r="Y440" s="22">
        <f>U440*W440/(1+Assumptions!$B$3)^X440</f>
        <v/>
      </c>
      <c r="Z440" s="26">
        <f>IF(U440=0,"",ROUND(Y440/U440*100,1))</f>
        <v/>
      </c>
      <c r="AA440" s="27">
        <f>Y440*Assumptions!$B$4</f>
        <v/>
      </c>
      <c r="AB440" s="26">
        <f>IF(U440=0,"",ROUND(AA440/U440*100,1))</f>
        <v/>
      </c>
      <c r="AC440" s="27">
        <f>Y440-AA440</f>
        <v/>
      </c>
      <c r="AD440" s="26">
        <f>IF(U440=0,"",ROUND((Y440-AA440)/U440*100,1))</f>
        <v/>
      </c>
      <c r="AE440" s="34" t="inlineStr">
        <is>
          <t>PARTIAL — class III reconciled, other classes not</t>
        </is>
      </c>
      <c r="AF440" s="29" t="inlineStr">
        <is>
          <t>https://administradorajudicialgs.com.br/wp-content/uploads/2023/08/doc-06-relacao-credores-do-administrador-judicial-10-02-2015.pdf</t>
        </is>
      </c>
      <c r="AG440" s="28" t="inlineStr">
        <is>
          <t>p1 r37</t>
        </is>
      </c>
      <c r="AH440" s="28" t="inlineStr">
        <is>
          <t>p1: R$ 258.786,52</t>
        </is>
      </c>
      <c r="AI440" s="28" t="inlineStr">
        <is>
          <t>AJ list (art. 7 §2)</t>
        </is>
      </c>
      <c r="AJ440" s="28" t="inlineStr"/>
      <c r="AK440" s="28" t="inlineStr">
        <is>
          <t>NONE FOUND</t>
        </is>
      </c>
      <c r="AL440" s="30" t="inlineStr">
        <is>
          <t>0302174-63.2015.8.24.0025</t>
        </is>
      </c>
      <c r="AM440" s="30" t="inlineStr">
        <is>
          <t>TJSC</t>
        </is>
      </c>
      <c r="AN440" s="30" t="inlineStr"/>
      <c r="AO440" s="30" t="n">
        <v>2015</v>
      </c>
      <c r="AP440" s="30" t="inlineStr">
        <is>
          <t>11y since filing, no plan document</t>
        </is>
      </c>
      <c r="AQ440" s="30" t="inlineStr"/>
      <c r="AR440" s="30" t="inlineStr">
        <is>
          <t>printed on the list (read twice)</t>
        </is>
      </c>
      <c r="AS440" s="30" t="inlineStr">
        <is>
          <t>BELO HORIZONTE</t>
        </is>
      </c>
      <c r="AT440" s="30" t="inlineStr">
        <is>
          <t>MG</t>
        </is>
      </c>
      <c r="AU440" s="30" t="inlineStr">
        <is>
          <t>Bancos múltiplos, com carteira comercial</t>
        </is>
      </c>
      <c r="AV440" s="30" t="inlineStr">
        <is>
          <t>DEMAIS</t>
        </is>
      </c>
      <c r="AW440" s="31" t="n">
        <v>952710400</v>
      </c>
      <c r="AX440" s="30" t="inlineStr">
        <is>
          <t>LARGE CORP</t>
        </is>
      </c>
      <c r="AY440" s="30" t="inlineStr">
        <is>
          <t>17184037</t>
        </is>
      </c>
      <c r="AZ440" s="30" t="n">
        <v>1</v>
      </c>
      <c r="BA440" s="30" t="inlineStr">
        <is>
          <t>LIKELY_FINANCIAL_BY_NAME PARTIAL_DOC_CLASS_III_RECONCILED ROWS:p1r37 VALUE_COL:Valores</t>
        </is>
      </c>
    </row>
    <row r="441">
      <c r="A441" s="16" t="inlineStr">
        <is>
          <t>BANCO BRADESCO S.A.</t>
        </is>
      </c>
      <c r="B441" s="17" t="n">
        <v>253941.9</v>
      </c>
      <c r="C441" s="18" t="inlineStr">
        <is>
          <t>HOSPITAL SANTA MÔNICA LTDA</t>
        </is>
      </c>
      <c r="D441" s="19" t="inlineStr">
        <is>
          <t>NEW</t>
        </is>
      </c>
      <c r="E441" s="20" t="inlineStr"/>
      <c r="F441" s="19" t="inlineStr"/>
      <c r="G441" s="20" t="inlineStr"/>
      <c r="H441" s="19" t="inlineStr"/>
      <c r="I441" s="21" t="inlineStr">
        <is>
          <t>Marcela Martins</t>
        </is>
      </c>
      <c r="J441" s="21" t="inlineStr">
        <is>
          <t>Superintendente de Recuperação de Crédito - Canais e Operações</t>
        </is>
      </c>
      <c r="K441" s="21" t="inlineStr">
        <is>
          <t>(11) 3684-5122</t>
        </is>
      </c>
      <c r="L441" s="21" t="inlineStr"/>
      <c r="M441" s="21" t="inlineStr"/>
      <c r="N441" s="21" t="inlineStr"/>
      <c r="O441" s="21" t="inlineStr">
        <is>
          <t>sl@bradesco.com.br</t>
        </is>
      </c>
      <c r="P441" s="21" t="inlineStr">
        <is>
          <t>Luis S</t>
        </is>
      </c>
      <c r="Q441" s="21" t="inlineStr">
        <is>
          <t>DRC - Departamento de Recuperação de Crédito - Gerente de Reestruturação de Crédito</t>
        </is>
      </c>
      <c r="R441" s="21" t="inlineStr"/>
      <c r="S441" s="21" t="inlineStr">
        <is>
          <t>sl@bradesco.com.br</t>
        </is>
      </c>
      <c r="T441" s="21" t="inlineStr">
        <is>
          <t>no work email found in Apollo</t>
        </is>
      </c>
      <c r="U441" s="22" t="n">
        <v>253941.9</v>
      </c>
      <c r="V441" s="38" t="inlineStr">
        <is>
          <t>C</t>
        </is>
      </c>
      <c r="W441" s="24">
        <f>IFERROR(VLOOKUP(V441,Assumptions!$A$7:$F$11,2,FALSE),0)</f>
        <v/>
      </c>
      <c r="X441" s="25">
        <f>IF(V441="A",MAX(1,IFERROR(VLOOKUP(V441,Assumptions!$A$7:$F$11,3,FALSE),3)+IFERROR(VLOOKUP(V441,Assumptions!$A$7:$F$11,4,FALSE),8)/2-MAX(0,IF(AO441="",0,YEAR(TODAY())-AO441)-IFERROR(VLOOKUP(V441,Assumptions!$A$7:$F$11,5,FALSE),1.5))),IFERROR(VLOOKUP(V441,Assumptions!$A$7:$F$11,5,FALSE),2.5)+IFERROR(VLOOKUP(V441,Assumptions!$A$7:$F$11,3,FALSE),3)+IFERROR(VLOOKUP(V441,Assumptions!$A$7:$F$11,4,FALSE),8)/2)</f>
        <v/>
      </c>
      <c r="Y441" s="22">
        <f>U441*W441/(1+Assumptions!$B$3)^X441</f>
        <v/>
      </c>
      <c r="Z441" s="26">
        <f>IF(U441=0,"",ROUND(Y441/U441*100,1))</f>
        <v/>
      </c>
      <c r="AA441" s="27">
        <f>Y441*Assumptions!$B$4</f>
        <v/>
      </c>
      <c r="AB441" s="26">
        <f>IF(U441=0,"",ROUND(AA441/U441*100,1))</f>
        <v/>
      </c>
      <c r="AC441" s="27">
        <f>Y441-AA441</f>
        <v/>
      </c>
      <c r="AD441" s="26">
        <f>IF(U441=0,"",ROUND((Y441-AA441)/U441*100,1))</f>
        <v/>
      </c>
      <c r="AE441" s="33" t="inlineStr">
        <is>
          <t>NO TOTALS — list prints none; check page</t>
        </is>
      </c>
      <c r="AF441" s="29" t="inlineStr">
        <is>
          <t>https://ricardobiancardi.com.br/wp-content/uploads/2024/12/Edital-1-relacao-de-credores-pub.-02.12.24-.pdf</t>
        </is>
      </c>
      <c r="AG441" s="28" t="inlineStr">
        <is>
          <t>p3 r1; p3 r2; p3 r3</t>
        </is>
      </c>
      <c r="AH441" s="28" t="inlineStr">
        <is>
          <t>p3: R$ 39.706,32; p3: R$ 153.449,69; p3: R$ 60.785,89</t>
        </is>
      </c>
      <c r="AI441" s="28" t="inlineStr">
        <is>
          <t>Debtor list (art. 51)</t>
        </is>
      </c>
      <c r="AJ441" s="28" t="inlineStr">
        <is>
          <t>2024-12-02</t>
        </is>
      </c>
      <c r="AK441" s="28" t="inlineStr">
        <is>
          <t>NONE FOUND</t>
        </is>
      </c>
      <c r="AL441" s="30" t="inlineStr">
        <is>
          <t>0041309-42.2014.8.08.0024</t>
        </is>
      </c>
      <c r="AM441" s="30" t="inlineStr">
        <is>
          <t>TJES</t>
        </is>
      </c>
      <c r="AN441" s="30" t="inlineStr"/>
      <c r="AO441" s="30" t="n">
        <v>2014</v>
      </c>
      <c r="AP441" s="30" t="inlineStr">
        <is>
          <t>12y since filing, no plan document</t>
        </is>
      </c>
      <c r="AQ441" s="30" t="inlineStr"/>
      <c r="AR441" s="30" t="inlineStr">
        <is>
          <t>printed on the list (read twice)</t>
        </is>
      </c>
      <c r="AS441" s="30" t="inlineStr">
        <is>
          <t>OSASCO</t>
        </is>
      </c>
      <c r="AT441" s="30" t="inlineStr">
        <is>
          <t>SP</t>
        </is>
      </c>
      <c r="AU441" s="30" t="inlineStr">
        <is>
          <t>Bancos múltiplos, com carteira comercial</t>
        </is>
      </c>
      <c r="AV441" s="30" t="inlineStr">
        <is>
          <t>DEMAIS</t>
        </is>
      </c>
      <c r="AW441" s="31" t="n">
        <v>93770000000</v>
      </c>
      <c r="AX441" s="30" t="inlineStr">
        <is>
          <t>LARGE CORP</t>
        </is>
      </c>
      <c r="AY441" s="30" t="inlineStr">
        <is>
          <t>60746948</t>
        </is>
      </c>
      <c r="AZ441" s="30" t="n">
        <v>3</v>
      </c>
      <c r="BA441" s="30" t="inlineStr">
        <is>
          <t>LIKELY_FINANCIAL_BY_NAME ROWS:p3r1,p3r2,p3r3 UNRECONCILED_SOURCE</t>
        </is>
      </c>
    </row>
    <row r="442">
      <c r="A442" s="16" t="inlineStr">
        <is>
          <t>META FUNDO DE INVESTIMENTO EM DIREITOS CREDITÓRIOS MULTISSETORIAL LP (</t>
        </is>
      </c>
      <c r="B442" s="17" t="n">
        <v>252513.58</v>
      </c>
      <c r="C442" s="18" t="inlineStr">
        <is>
          <t>VECTOR INDÚSTRIA DE PRODUTOS METALÚRGICOS LTDA.</t>
        </is>
      </c>
      <c r="D442" s="19" t="inlineStr">
        <is>
          <t>NEW</t>
        </is>
      </c>
      <c r="E442" s="20" t="inlineStr"/>
      <c r="F442" s="19" t="inlineStr"/>
      <c r="G442" s="20" t="inlineStr"/>
      <c r="H442" s="19" t="inlineStr"/>
      <c r="I442" s="21" t="inlineStr">
        <is>
          <t>Fabio Fontanezzi</t>
        </is>
      </c>
      <c r="J442" s="21" t="inlineStr">
        <is>
          <t>Commercial Superintendent</t>
        </is>
      </c>
      <c r="K442" s="21" t="inlineStr"/>
      <c r="L442" s="21" t="inlineStr"/>
      <c r="M442" s="21" t="inlineStr"/>
      <c r="N442" s="21" t="inlineStr">
        <is>
          <t>fabio@metafidc.com.br</t>
        </is>
      </c>
      <c r="O442" s="21" t="inlineStr">
        <is>
          <t>eduardo@metafidc.com.br</t>
        </is>
      </c>
      <c r="P442" s="21" t="inlineStr">
        <is>
          <t>Eduardo Januario</t>
        </is>
      </c>
      <c r="Q442" s="21" t="inlineStr">
        <is>
          <t>Gerente Comercial SC</t>
        </is>
      </c>
      <c r="R442" s="21" t="inlineStr"/>
      <c r="S442" s="21" t="inlineStr">
        <is>
          <t>eduardo@metafidc.com.br</t>
        </is>
      </c>
      <c r="T442" s="21" t="inlineStr">
        <is>
          <t>email verified by Apollo</t>
        </is>
      </c>
      <c r="U442" s="22" t="n">
        <v>252513.58</v>
      </c>
      <c r="V442" s="38" t="inlineStr">
        <is>
          <t>C</t>
        </is>
      </c>
      <c r="W442" s="24">
        <f>IFERROR(VLOOKUP(V442,Assumptions!$A$7:$F$11,2,FALSE),0)</f>
        <v/>
      </c>
      <c r="X442" s="25">
        <f>IF(V442="A",MAX(1,IFERROR(VLOOKUP(V442,Assumptions!$A$7:$F$11,3,FALSE),3)+IFERROR(VLOOKUP(V442,Assumptions!$A$7:$F$11,4,FALSE),8)/2-MAX(0,IF(AO442="",0,YEAR(TODAY())-AO442)-IFERROR(VLOOKUP(V442,Assumptions!$A$7:$F$11,5,FALSE),1.5))),IFERROR(VLOOKUP(V442,Assumptions!$A$7:$F$11,5,FALSE),2.5)+IFERROR(VLOOKUP(V442,Assumptions!$A$7:$F$11,3,FALSE),3)+IFERROR(VLOOKUP(V442,Assumptions!$A$7:$F$11,4,FALSE),8)/2)</f>
        <v/>
      </c>
      <c r="Y442" s="22">
        <f>U442*W442/(1+Assumptions!$B$3)^X442</f>
        <v/>
      </c>
      <c r="Z442" s="26">
        <f>IF(U442=0,"",ROUND(Y442/U442*100,1))</f>
        <v/>
      </c>
      <c r="AA442" s="27">
        <f>Y442*Assumptions!$B$4</f>
        <v/>
      </c>
      <c r="AB442" s="26">
        <f>IF(U442=0,"",ROUND(AA442/U442*100,1))</f>
        <v/>
      </c>
      <c r="AC442" s="27">
        <f>Y442-AA442</f>
        <v/>
      </c>
      <c r="AD442" s="26">
        <f>IF(U442=0,"",ROUND((Y442-AA442)/U442*100,1))</f>
        <v/>
      </c>
      <c r="AE442" s="33" t="inlineStr">
        <is>
          <t>NO TOTALS — list prints none; check page</t>
        </is>
      </c>
      <c r="AF442" s="29" t="inlineStr">
        <is>
          <t>https://scalzilliaj.com.br/sgc/download.php?file=files/processo_documento/processo_documento15513401112022_1_.pdf&amp;nome=15 - Edital do art. 7º, §2º (segunda lista de credores) e do art. 53 da Lei 11.101/2005 (recebimento do plano)</t>
        </is>
      </c>
      <c r="AG442" s="28" t="inlineStr">
        <is>
          <t>p8 r21</t>
        </is>
      </c>
      <c r="AH442" s="28" t="inlineStr">
        <is>
          <t>p8: R$ 252.513,58</t>
        </is>
      </c>
      <c r="AI442" s="28" t="inlineStr">
        <is>
          <t>AJ list (art. 7 §2)</t>
        </is>
      </c>
      <c r="AJ442" s="28" t="inlineStr">
        <is>
          <t>2022-11-01</t>
        </is>
      </c>
      <c r="AK442" s="28" t="inlineStr">
        <is>
          <t>NONE FOUND</t>
        </is>
      </c>
      <c r="AL442" s="30" t="inlineStr">
        <is>
          <t>5014104-85.2021.8.21.0010</t>
        </is>
      </c>
      <c r="AM442" s="30" t="inlineStr">
        <is>
          <t>TJRS</t>
        </is>
      </c>
      <c r="AN442" s="30" t="inlineStr">
        <is>
          <t>ACTIVE</t>
        </is>
      </c>
      <c r="AO442" s="30" t="n">
        <v>2021</v>
      </c>
      <c r="AP442" s="30" t="inlineStr">
        <is>
          <t>5y since filing, no plan document</t>
        </is>
      </c>
      <c r="AQ442" s="30" t="inlineStr">
        <is>
          <t>03.018.339/0001-03</t>
        </is>
      </c>
      <c r="AR442" s="30" t="inlineStr">
        <is>
          <t>printed on the list (read twice)</t>
        </is>
      </c>
      <c r="AS442" s="30" t="inlineStr"/>
      <c r="AT442" s="30" t="inlineStr"/>
      <c r="AU442" s="30" t="inlineStr"/>
      <c r="AV442" s="30" t="inlineStr"/>
      <c r="AW442" s="31" t="inlineStr"/>
      <c r="AX442" s="30" t="inlineStr">
        <is>
          <t>MID-MARKET</t>
        </is>
      </c>
      <c r="AY442" s="30" t="inlineStr">
        <is>
          <t>62285390</t>
        </is>
      </c>
      <c r="AZ442" s="30" t="n">
        <v>1</v>
      </c>
      <c r="BA442" s="30" t="inlineStr">
        <is>
          <t>LIKELY_FINANCIAL_BY_NAME ROWS:p8r21 UNRECONCILED_SOURCE</t>
        </is>
      </c>
    </row>
    <row r="443">
      <c r="A443" s="16" t="inlineStr">
        <is>
          <t>YELUM SEGUROS S.A</t>
        </is>
      </c>
      <c r="B443" s="17" t="n">
        <v>246954.81</v>
      </c>
      <c r="C443" s="18" t="inlineStr">
        <is>
          <t>TRANSLOCOMOTIVA TRANSPORTES RODOVIÁRIOS E DISTRIBUIÇÃO DE CARGAS LTDA.</t>
        </is>
      </c>
      <c r="D443" s="19" t="inlineStr">
        <is>
          <t>NEW</t>
        </is>
      </c>
      <c r="E443" s="20" t="inlineStr"/>
      <c r="F443" s="19" t="inlineStr"/>
      <c r="G443" s="20" t="inlineStr"/>
      <c r="H443" s="19" t="inlineStr"/>
      <c r="I443" s="21" t="inlineStr">
        <is>
          <t>Hamilton Ronqui</t>
        </is>
      </c>
      <c r="J443" s="21" t="inlineStr">
        <is>
          <t>Gerente Jurídico Corporativo</t>
        </is>
      </c>
      <c r="K443" s="21" t="inlineStr">
        <is>
          <t>(11) 2663-4200</t>
        </is>
      </c>
      <c r="L443" s="21" t="inlineStr"/>
      <c r="M443" s="21" t="inlineStr"/>
      <c r="N443" s="21" t="inlineStr"/>
      <c r="O443" s="21" t="inlineStr"/>
      <c r="P443" s="21" t="inlineStr">
        <is>
          <t>Andre Alves</t>
        </is>
      </c>
      <c r="Q443" s="21" t="inlineStr">
        <is>
          <t>Coordenador Sinistros</t>
        </is>
      </c>
      <c r="R443" s="21" t="inlineStr"/>
      <c r="S443" s="21" t="inlineStr"/>
      <c r="T443" s="21" t="inlineStr">
        <is>
          <t>no work email found in Apollo</t>
        </is>
      </c>
      <c r="U443" s="22" t="n">
        <v>246954.81</v>
      </c>
      <c r="V443" s="38" t="inlineStr">
        <is>
          <t>C</t>
        </is>
      </c>
      <c r="W443" s="24">
        <f>IFERROR(VLOOKUP(V443,Assumptions!$A$7:$F$11,2,FALSE),0)</f>
        <v/>
      </c>
      <c r="X443" s="25">
        <f>IF(V443="A",MAX(1,IFERROR(VLOOKUP(V443,Assumptions!$A$7:$F$11,3,FALSE),3)+IFERROR(VLOOKUP(V443,Assumptions!$A$7:$F$11,4,FALSE),8)/2-MAX(0,IF(AO443="",0,YEAR(TODAY())-AO443)-IFERROR(VLOOKUP(V443,Assumptions!$A$7:$F$11,5,FALSE),1.5))),IFERROR(VLOOKUP(V443,Assumptions!$A$7:$F$11,5,FALSE),2.5)+IFERROR(VLOOKUP(V443,Assumptions!$A$7:$F$11,3,FALSE),3)+IFERROR(VLOOKUP(V443,Assumptions!$A$7:$F$11,4,FALSE),8)/2)</f>
        <v/>
      </c>
      <c r="Y443" s="22">
        <f>U443*W443/(1+Assumptions!$B$3)^X443</f>
        <v/>
      </c>
      <c r="Z443" s="26">
        <f>IF(U443=0,"",ROUND(Y443/U443*100,1))</f>
        <v/>
      </c>
      <c r="AA443" s="27">
        <f>Y443*Assumptions!$B$4</f>
        <v/>
      </c>
      <c r="AB443" s="26">
        <f>IF(U443=0,"",ROUND(AA443/U443*100,1))</f>
        <v/>
      </c>
      <c r="AC443" s="27">
        <f>Y443-AA443</f>
        <v/>
      </c>
      <c r="AD443" s="26">
        <f>IF(U443=0,"",ROUND((Y443-AA443)/U443*100,1))</f>
        <v/>
      </c>
      <c r="AE443" s="33" t="inlineStr">
        <is>
          <t>NO TOTALS — list prints none; check page</t>
        </is>
      </c>
      <c r="AF443" s="29" t="inlineStr">
        <is>
          <t>https://ativosajce.com.br/admin/download.php?file=files/processo_documento/processo_documento18430011062025_1_.pdf&amp;nome=Relação de Credores - Art. 52º § 1º, da Lei nº 11.101/2005 - 13/08/2020</t>
        </is>
      </c>
      <c r="AG443" s="28" t="inlineStr">
        <is>
          <t>p3 r13</t>
        </is>
      </c>
      <c r="AH443" s="28" t="inlineStr">
        <is>
          <t>p3: R$ 246.954,81</t>
        </is>
      </c>
      <c r="AI443" s="28" t="inlineStr">
        <is>
          <t>AJ list (art. 7 §2)</t>
        </is>
      </c>
      <c r="AJ443" s="28" t="inlineStr">
        <is>
          <t>2020-07-19</t>
        </is>
      </c>
      <c r="AK443" s="28" t="inlineStr">
        <is>
          <t>NONE FOUND</t>
        </is>
      </c>
      <c r="AL443" s="30" t="inlineStr">
        <is>
          <t>1000117-72.2020.8.26.0260</t>
        </is>
      </c>
      <c r="AM443" s="30" t="inlineStr">
        <is>
          <t>TJSP</t>
        </is>
      </c>
      <c r="AN443" s="30" t="inlineStr">
        <is>
          <t>ACTIVE</t>
        </is>
      </c>
      <c r="AO443" s="30" t="n">
        <v>2020</v>
      </c>
      <c r="AP443" s="30" t="inlineStr">
        <is>
          <t>6y since filing, no plan document</t>
        </is>
      </c>
      <c r="AQ443" s="30" t="inlineStr"/>
      <c r="AR443" s="30" t="inlineStr">
        <is>
          <t>printed on the list (read twice)</t>
        </is>
      </c>
      <c r="AS443" s="30" t="inlineStr">
        <is>
          <t>SAO PAULO</t>
        </is>
      </c>
      <c r="AT443" s="30" t="inlineStr">
        <is>
          <t>SP</t>
        </is>
      </c>
      <c r="AU443" s="30" t="inlineStr">
        <is>
          <t>Sociedade seguradora de seguros não vida</t>
        </is>
      </c>
      <c r="AV443" s="30" t="inlineStr">
        <is>
          <t>DEMAIS</t>
        </is>
      </c>
      <c r="AW443" s="31" t="n">
        <v>819703740</v>
      </c>
      <c r="AX443" s="30" t="inlineStr">
        <is>
          <t>LARGE CORP</t>
        </is>
      </c>
      <c r="AY443" s="30" t="inlineStr">
        <is>
          <t>61550141</t>
        </is>
      </c>
      <c r="AZ443" s="30" t="n">
        <v>1</v>
      </c>
      <c r="BA443" s="30" t="inlineStr">
        <is>
          <t>ROWS:p3r13 UNRECONCILED_SOURCE</t>
        </is>
      </c>
    </row>
    <row r="444">
      <c r="A444" s="16" t="inlineStr">
        <is>
          <t>BANCO COOPERATIVO SICOOB S.A.</t>
        </is>
      </c>
      <c r="B444" s="17" t="n">
        <v>448885.44</v>
      </c>
      <c r="C444" s="18" t="inlineStr">
        <is>
          <t>MUNDO BIZARRO IMPORTACAO E EXPORTACAO LTDA</t>
        </is>
      </c>
      <c r="D444" s="19" t="inlineStr">
        <is>
          <t>NEW</t>
        </is>
      </c>
      <c r="E444" s="20" t="inlineStr"/>
      <c r="F444" s="19" t="inlineStr"/>
      <c r="G444" s="20" t="inlineStr"/>
      <c r="H444" s="19" t="inlineStr"/>
      <c r="I444" s="21" t="inlineStr">
        <is>
          <t>Mauricio Reis</t>
        </is>
      </c>
      <c r="J444" s="21" t="inlineStr">
        <is>
          <t>Superintendente de Operações e Produtos de Crédito, Consórcios, Cobrança e de Recuperação de Ativos</t>
        </is>
      </c>
      <c r="K444" s="21" t="inlineStr">
        <is>
          <t>(61) 3217-5200</t>
        </is>
      </c>
      <c r="L444" s="21" t="inlineStr"/>
      <c r="M444" s="21" t="inlineStr"/>
      <c r="N444" s="21" t="inlineStr">
        <is>
          <t>mauricio.reis@sicoob.com.br</t>
        </is>
      </c>
      <c r="O444" s="21" t="inlineStr"/>
      <c r="P444" s="21" t="inlineStr">
        <is>
          <t>ANTONIO CANDIDO VILACA JUNIOR</t>
        </is>
      </c>
      <c r="Q444" s="21" t="inlineStr">
        <is>
          <t>Diretor (RFB partner)</t>
        </is>
      </c>
      <c r="R444" s="21" t="inlineStr"/>
      <c r="S444" s="21" t="inlineStr"/>
      <c r="T444" s="21" t="inlineStr">
        <is>
          <t>email verified by Apollo</t>
        </is>
      </c>
      <c r="U444" s="22" t="n">
        <v>448885.44</v>
      </c>
      <c r="V444" s="39" t="inlineStr">
        <is>
          <t>D</t>
        </is>
      </c>
      <c r="W444" s="24">
        <f>IFERROR(VLOOKUP(V444,Assumptions!$A$7:$F$11,2,FALSE),0)</f>
        <v/>
      </c>
      <c r="X444" s="25">
        <f>IF(V444="A",MAX(1,IFERROR(VLOOKUP(V444,Assumptions!$A$7:$F$11,3,FALSE),3)+IFERROR(VLOOKUP(V444,Assumptions!$A$7:$F$11,4,FALSE),8)/2-MAX(0,IF(AO444="",0,YEAR(TODAY())-AO444)-IFERROR(VLOOKUP(V444,Assumptions!$A$7:$F$11,5,FALSE),1.5))),IFERROR(VLOOKUP(V444,Assumptions!$A$7:$F$11,5,FALSE),2.5)+IFERROR(VLOOKUP(V444,Assumptions!$A$7:$F$11,3,FALSE),3)+IFERROR(VLOOKUP(V444,Assumptions!$A$7:$F$11,4,FALSE),8)/2)</f>
        <v/>
      </c>
      <c r="Y444" s="22">
        <f>U444*W444/(1+Assumptions!$B$3)^X444</f>
        <v/>
      </c>
      <c r="Z444" s="26">
        <f>IF(U444=0,"",ROUND(Y444/U444*100,1))</f>
        <v/>
      </c>
      <c r="AA444" s="27">
        <f>Y444*Assumptions!$B$4</f>
        <v/>
      </c>
      <c r="AB444" s="26">
        <f>IF(U444=0,"",ROUND(AA444/U444*100,1))</f>
        <v/>
      </c>
      <c r="AC444" s="27">
        <f>Y444-AA444</f>
        <v/>
      </c>
      <c r="AD444" s="26">
        <f>IF(U444=0,"",ROUND((Y444-AA444)/U444*100,1))</f>
        <v/>
      </c>
      <c r="AE444" s="33" t="inlineStr">
        <is>
          <t>NO TOTALS — list prints none; check page</t>
        </is>
      </c>
      <c r="AF444" s="29" t="inlineStr">
        <is>
          <t>https://administradorajudicialgs.com.br/wp-content/uploads/2024/10/relacao-de-credores-e-verificacao-de-credito-2025.pdf</t>
        </is>
      </c>
      <c r="AG444" s="28" t="inlineStr">
        <is>
          <t>p16 r5</t>
        </is>
      </c>
      <c r="AH444" s="28" t="inlineStr">
        <is>
          <t>p16: R$ 448.885,44</t>
        </is>
      </c>
      <c r="AI444" s="28" t="inlineStr">
        <is>
          <t>AJ list (art. 7 §2)</t>
        </is>
      </c>
      <c r="AJ444" s="28" t="inlineStr">
        <is>
          <t>2025-04-24</t>
        </is>
      </c>
      <c r="AK444" s="28" t="inlineStr">
        <is>
          <t>NONE FOUND</t>
        </is>
      </c>
      <c r="AL444" s="30" t="inlineStr">
        <is>
          <t>5100227-29.2022.8.24.0023</t>
        </is>
      </c>
      <c r="AM444" s="30" t="inlineStr">
        <is>
          <t>TJSC</t>
        </is>
      </c>
      <c r="AN444" s="30" t="inlineStr"/>
      <c r="AO444" s="30" t="n">
        <v>2022</v>
      </c>
      <c r="AP444" s="30" t="inlineStr">
        <is>
          <t>document is a falência (bankruptcy) list</t>
        </is>
      </c>
      <c r="AQ444" s="30" t="inlineStr">
        <is>
          <t>05.316.275/0001-52</t>
        </is>
      </c>
      <c r="AR444" s="30" t="inlineStr">
        <is>
          <t>printed on the list (read twice)</t>
        </is>
      </c>
      <c r="AS444" s="30" t="inlineStr">
        <is>
          <t>BRASILIA</t>
        </is>
      </c>
      <c r="AT444" s="30" t="inlineStr">
        <is>
          <t>DF</t>
        </is>
      </c>
      <c r="AU444" s="30" t="inlineStr">
        <is>
          <t>Bancos cooperativos</t>
        </is>
      </c>
      <c r="AV444" s="30" t="inlineStr">
        <is>
          <t>DEMAIS</t>
        </is>
      </c>
      <c r="AW444" s="31" t="n">
        <v>6198490000</v>
      </c>
      <c r="AX444" s="30" t="inlineStr">
        <is>
          <t>LARGE CORP</t>
        </is>
      </c>
      <c r="AY444" s="30" t="inlineStr">
        <is>
          <t>02038232</t>
        </is>
      </c>
      <c r="AZ444" s="30" t="n">
        <v>1</v>
      </c>
      <c r="BA444" s="30" t="inlineStr">
        <is>
          <t>ROWS:p16r5 UNRECONCILED_SOURCE</t>
        </is>
      </c>
    </row>
    <row r="445">
      <c r="A445" s="16" t="inlineStr">
        <is>
          <t>BANCO SANTANDER (BRASIL) S.A.</t>
        </is>
      </c>
      <c r="B445" s="17" t="n">
        <v>233956.22</v>
      </c>
      <c r="C445" s="18" t="inlineStr">
        <is>
          <t>Roque Materiais para Construção</t>
        </is>
      </c>
      <c r="D445" s="19" t="inlineStr">
        <is>
          <t>NEW</t>
        </is>
      </c>
      <c r="E445" s="20" t="inlineStr"/>
      <c r="F445" s="19" t="inlineStr"/>
      <c r="G445" s="20" t="inlineStr"/>
      <c r="H445" s="19" t="inlineStr"/>
      <c r="I445" s="21" t="inlineStr">
        <is>
          <t>Igor Puertas</t>
        </is>
      </c>
      <c r="J445" s="21" t="inlineStr">
        <is>
          <t>Distressed Assets | NPL</t>
        </is>
      </c>
      <c r="K445" s="21" t="inlineStr">
        <is>
          <t>(11) 4004-3535</t>
        </is>
      </c>
      <c r="L445" s="21" t="inlineStr"/>
      <c r="M445" s="21" t="inlineStr"/>
      <c r="N445" s="21" t="inlineStr">
        <is>
          <t>igor.puertas@santander.com.br</t>
        </is>
      </c>
      <c r="O445" s="21" t="inlineStr">
        <is>
          <t>antonio.pequeno.junior@santander.com.br</t>
        </is>
      </c>
      <c r="P445" s="21" t="inlineStr">
        <is>
          <t>Antonio Junior</t>
        </is>
      </c>
      <c r="Q445" s="21" t="inlineStr">
        <is>
          <t>Superintendente Recuperação de Crédito</t>
        </is>
      </c>
      <c r="R445" s="21" t="inlineStr"/>
      <c r="S445" s="21" t="inlineStr">
        <is>
          <t>antonio.pequeno.junior@santander.com.br</t>
        </is>
      </c>
      <c r="T445" s="21" t="inlineStr">
        <is>
          <t>email verified by Apollo</t>
        </is>
      </c>
      <c r="U445" s="22" t="n">
        <v>233956.22</v>
      </c>
      <c r="V445" s="38" t="inlineStr">
        <is>
          <t>C</t>
        </is>
      </c>
      <c r="W445" s="24">
        <f>IFERROR(VLOOKUP(V445,Assumptions!$A$7:$F$11,2,FALSE),0)</f>
        <v/>
      </c>
      <c r="X445" s="25">
        <f>IF(V445="A",MAX(1,IFERROR(VLOOKUP(V445,Assumptions!$A$7:$F$11,3,FALSE),3)+IFERROR(VLOOKUP(V445,Assumptions!$A$7:$F$11,4,FALSE),8)/2-MAX(0,IF(AO445="",0,YEAR(TODAY())-AO445)-IFERROR(VLOOKUP(V445,Assumptions!$A$7:$F$11,5,FALSE),1.5))),IFERROR(VLOOKUP(V445,Assumptions!$A$7:$F$11,5,FALSE),2.5)+IFERROR(VLOOKUP(V445,Assumptions!$A$7:$F$11,3,FALSE),3)+IFERROR(VLOOKUP(V445,Assumptions!$A$7:$F$11,4,FALSE),8)/2)</f>
        <v/>
      </c>
      <c r="Y445" s="22">
        <f>U445*W445/(1+Assumptions!$B$3)^X445</f>
        <v/>
      </c>
      <c r="Z445" s="26">
        <f>IF(U445=0,"",ROUND(Y445/U445*100,1))</f>
        <v/>
      </c>
      <c r="AA445" s="27">
        <f>Y445*Assumptions!$B$4</f>
        <v/>
      </c>
      <c r="AB445" s="26">
        <f>IF(U445=0,"",ROUND(AA445/U445*100,1))</f>
        <v/>
      </c>
      <c r="AC445" s="27">
        <f>Y445-AA445</f>
        <v/>
      </c>
      <c r="AD445" s="26">
        <f>IF(U445=0,"",ROUND((Y445-AA445)/U445*100,1))</f>
        <v/>
      </c>
      <c r="AE445" s="28" t="inlineStr">
        <is>
          <t>OK — totals reconciled</t>
        </is>
      </c>
      <c r="AF445" s="29" t="inlineStr">
        <is>
          <t>https://realbrasil.com.br/wp-content/uploads/2018/06/2_LISTA-DE-CREDORES-DA-RECUPERANDA_ROQUE.pdf</t>
        </is>
      </c>
      <c r="AG445" s="28" t="inlineStr">
        <is>
          <t>p2 r8</t>
        </is>
      </c>
      <c r="AH445" s="28" t="inlineStr">
        <is>
          <t>p2: R$ 233.956,22</t>
        </is>
      </c>
      <c r="AI445" s="28" t="inlineStr">
        <is>
          <t>Unclassified list</t>
        </is>
      </c>
      <c r="AJ445" s="28" t="inlineStr"/>
      <c r="AK445" s="28" t="inlineStr">
        <is>
          <t>NONE FOUND</t>
        </is>
      </c>
      <c r="AL445" s="30" t="inlineStr">
        <is>
          <t>0802426-35.2019.8.10.0000</t>
        </is>
      </c>
      <c r="AM445" s="30" t="inlineStr">
        <is>
          <t>TJMA</t>
        </is>
      </c>
      <c r="AN445" s="30" t="inlineStr"/>
      <c r="AO445" s="30" t="n">
        <v>2019</v>
      </c>
      <c r="AP445" s="30" t="inlineStr">
        <is>
          <t>7y since filing, no plan document</t>
        </is>
      </c>
      <c r="AQ445" s="30" t="inlineStr"/>
      <c r="AR445" s="30" t="inlineStr">
        <is>
          <t>portal page title / URL — not printed on the list</t>
        </is>
      </c>
      <c r="AS445" s="30" t="inlineStr">
        <is>
          <t>SAO PAULO</t>
        </is>
      </c>
      <c r="AT445" s="30" t="inlineStr">
        <is>
          <t>SP</t>
        </is>
      </c>
      <c r="AU445" s="30" t="inlineStr">
        <is>
          <t>Bancos múltiplos, com carteira comercial</t>
        </is>
      </c>
      <c r="AV445" s="30" t="inlineStr">
        <is>
          <t>DEMAIS</t>
        </is>
      </c>
      <c r="AW445" s="31" t="n">
        <v>65000000000</v>
      </c>
      <c r="AX445" s="30" t="inlineStr">
        <is>
          <t>LARGE CORP</t>
        </is>
      </c>
      <c r="AY445" s="30" t="inlineStr">
        <is>
          <t>90400888</t>
        </is>
      </c>
      <c r="AZ445" s="30" t="n">
        <v>1</v>
      </c>
      <c r="BA445" s="30" t="inlineStr">
        <is>
          <t>ROWS:p2r8 VALUE_COL:Saldo_Total</t>
        </is>
      </c>
    </row>
    <row r="446">
      <c r="A446" s="16" t="inlineStr">
        <is>
          <t>SB CREDITO FUNDO DE INVESTIMENTO EM DIREITOS CREDITORIOS MULTISSETORIAL (</t>
        </is>
      </c>
      <c r="B446" s="17" t="n">
        <v>229189.08</v>
      </c>
      <c r="C446" s="18" t="inlineStr">
        <is>
          <t>VECTOR INDÚSTRIA DE PRODUTOS METALÚRGICOS LTDA.</t>
        </is>
      </c>
      <c r="D446" s="19" t="inlineStr">
        <is>
          <t>NEW</t>
        </is>
      </c>
      <c r="E446" s="20" t="inlineStr"/>
      <c r="F446" s="19" t="inlineStr"/>
      <c r="G446" s="20" t="inlineStr"/>
      <c r="H446" s="19" t="inlineStr"/>
      <c r="I446" s="21" t="inlineStr">
        <is>
          <t>Elaine Souza</t>
        </is>
      </c>
      <c r="J446" s="21" t="inlineStr">
        <is>
          <t>Analista Financeiro de Tesouraria FIDC</t>
        </is>
      </c>
      <c r="K446" s="21" t="inlineStr"/>
      <c r="L446" s="21" t="inlineStr"/>
      <c r="M446" s="21" t="inlineStr"/>
      <c r="N446" s="21" t="inlineStr">
        <is>
          <t>elaine.souza@sbcredito.com.br</t>
        </is>
      </c>
      <c r="O446" s="21" t="inlineStr"/>
      <c r="P446" s="21" t="inlineStr"/>
      <c r="Q446" s="21" t="inlineStr"/>
      <c r="R446" s="21" t="inlineStr"/>
      <c r="S446" s="21" t="inlineStr"/>
      <c r="T446" s="21" t="inlineStr">
        <is>
          <t>email verified by Apollo</t>
        </is>
      </c>
      <c r="U446" s="22" t="n">
        <v>229189.08</v>
      </c>
      <c r="V446" s="38" t="inlineStr">
        <is>
          <t>C</t>
        </is>
      </c>
      <c r="W446" s="24">
        <f>IFERROR(VLOOKUP(V446,Assumptions!$A$7:$F$11,2,FALSE),0)</f>
        <v/>
      </c>
      <c r="X446" s="25">
        <f>IF(V446="A",MAX(1,IFERROR(VLOOKUP(V446,Assumptions!$A$7:$F$11,3,FALSE),3)+IFERROR(VLOOKUP(V446,Assumptions!$A$7:$F$11,4,FALSE),8)/2-MAX(0,IF(AO446="",0,YEAR(TODAY())-AO446)-IFERROR(VLOOKUP(V446,Assumptions!$A$7:$F$11,5,FALSE),1.5))),IFERROR(VLOOKUP(V446,Assumptions!$A$7:$F$11,5,FALSE),2.5)+IFERROR(VLOOKUP(V446,Assumptions!$A$7:$F$11,3,FALSE),3)+IFERROR(VLOOKUP(V446,Assumptions!$A$7:$F$11,4,FALSE),8)/2)</f>
        <v/>
      </c>
      <c r="Y446" s="22">
        <f>U446*W446/(1+Assumptions!$B$3)^X446</f>
        <v/>
      </c>
      <c r="Z446" s="26">
        <f>IF(U446=0,"",ROUND(Y446/U446*100,1))</f>
        <v/>
      </c>
      <c r="AA446" s="27">
        <f>Y446*Assumptions!$B$4</f>
        <v/>
      </c>
      <c r="AB446" s="26">
        <f>IF(U446=0,"",ROUND(AA446/U446*100,1))</f>
        <v/>
      </c>
      <c r="AC446" s="27">
        <f>Y446-AA446</f>
        <v/>
      </c>
      <c r="AD446" s="26">
        <f>IF(U446=0,"",ROUND((Y446-AA446)/U446*100,1))</f>
        <v/>
      </c>
      <c r="AE446" s="33" t="inlineStr">
        <is>
          <t>NO TOTALS — list prints none; check page</t>
        </is>
      </c>
      <c r="AF446" s="29" t="inlineStr">
        <is>
          <t>https://scalzilliaj.com.br/sgc/download.php?file=files/processo_documento/processo_documento15513401112022_1_.pdf&amp;nome=15 - Edital do art. 7º, §2º (segunda lista de credores) e do art. 53 da Lei 11.101/2005 (recebimento do plano)</t>
        </is>
      </c>
      <c r="AG446" s="28" t="inlineStr">
        <is>
          <t>p9 r28</t>
        </is>
      </c>
      <c r="AH446" s="28" t="inlineStr">
        <is>
          <t>p9: R$ 229.189,08</t>
        </is>
      </c>
      <c r="AI446" s="28" t="inlineStr">
        <is>
          <t>AJ list (art. 7 §2)</t>
        </is>
      </c>
      <c r="AJ446" s="28" t="inlineStr">
        <is>
          <t>2022-11-01</t>
        </is>
      </c>
      <c r="AK446" s="28" t="inlineStr">
        <is>
          <t>NONE FOUND</t>
        </is>
      </c>
      <c r="AL446" s="30" t="inlineStr">
        <is>
          <t>5014104-85.2021.8.21.0010</t>
        </is>
      </c>
      <c r="AM446" s="30" t="inlineStr">
        <is>
          <t>TJRS</t>
        </is>
      </c>
      <c r="AN446" s="30" t="inlineStr">
        <is>
          <t>ACTIVE</t>
        </is>
      </c>
      <c r="AO446" s="30" t="n">
        <v>2021</v>
      </c>
      <c r="AP446" s="30" t="inlineStr">
        <is>
          <t>5y since filing, no plan document</t>
        </is>
      </c>
      <c r="AQ446" s="30" t="inlineStr">
        <is>
          <t>03.018.339/0001-03</t>
        </is>
      </c>
      <c r="AR446" s="30" t="inlineStr">
        <is>
          <t>printed on the list (read twice)</t>
        </is>
      </c>
      <c r="AS446" s="30" t="inlineStr"/>
      <c r="AT446" s="30" t="inlineStr"/>
      <c r="AU446" s="30" t="inlineStr"/>
      <c r="AV446" s="30" t="inlineStr"/>
      <c r="AW446" s="31" t="inlineStr"/>
      <c r="AX446" s="30" t="inlineStr">
        <is>
          <t>MID-MARKET</t>
        </is>
      </c>
      <c r="AY446" s="30" t="inlineStr">
        <is>
          <t>23956882</t>
        </is>
      </c>
      <c r="AZ446" s="30" t="n">
        <v>1</v>
      </c>
      <c r="BA446" s="30" t="inlineStr">
        <is>
          <t>LIKELY_FINANCIAL_BY_NAME ROWS:p9r28 UNRECONCILED_SOURCE</t>
        </is>
      </c>
    </row>
    <row r="447">
      <c r="A447" s="16" t="inlineStr">
        <is>
          <t>RANDON ADMINISTRADORA DE CONSÓRCIO LTDA</t>
        </is>
      </c>
      <c r="B447" s="17" t="n">
        <v>219518.57</v>
      </c>
      <c r="C447" s="18" t="inlineStr">
        <is>
          <t>TRANSLOCOMOTIVA TRANSPORTES RODOVIÁRIOS E DISTRIBUIÇÃO DE CARGAS LTDA.</t>
        </is>
      </c>
      <c r="D447" s="19" t="inlineStr">
        <is>
          <t>NEW</t>
        </is>
      </c>
      <c r="E447" s="20" t="inlineStr"/>
      <c r="F447" s="19" t="inlineStr"/>
      <c r="G447" s="20" t="inlineStr"/>
      <c r="H447" s="19" t="inlineStr"/>
      <c r="I447" s="21" t="inlineStr">
        <is>
          <t>Candida Kuyava</t>
        </is>
      </c>
      <c r="J447" s="21" t="inlineStr">
        <is>
          <t>Legal Coordinator</t>
        </is>
      </c>
      <c r="K447" s="21" t="inlineStr"/>
      <c r="L447" s="21" t="inlineStr"/>
      <c r="M447" s="21" t="inlineStr"/>
      <c r="N447" s="21" t="inlineStr">
        <is>
          <t>candida.kuyava@randon.com.br</t>
        </is>
      </c>
      <c r="O447" s="21" t="inlineStr">
        <is>
          <t>felipe.corso@randon.com.br</t>
        </is>
      </c>
      <c r="P447" s="21" t="inlineStr">
        <is>
          <t>Felipe Corso</t>
        </is>
      </c>
      <c r="Q447" s="21" t="inlineStr">
        <is>
          <t>Legal Analyst</t>
        </is>
      </c>
      <c r="R447" s="21" t="inlineStr"/>
      <c r="S447" s="21" t="inlineStr">
        <is>
          <t>felipe.corso@randon.com.br</t>
        </is>
      </c>
      <c r="T447" s="21" t="inlineStr">
        <is>
          <t>email verified by Apollo</t>
        </is>
      </c>
      <c r="U447" s="22" t="n">
        <v>219518.57</v>
      </c>
      <c r="V447" s="38" t="inlineStr">
        <is>
          <t>C</t>
        </is>
      </c>
      <c r="W447" s="24">
        <f>IFERROR(VLOOKUP(V447,Assumptions!$A$7:$F$11,2,FALSE),0)</f>
        <v/>
      </c>
      <c r="X447" s="25">
        <f>IF(V447="A",MAX(1,IFERROR(VLOOKUP(V447,Assumptions!$A$7:$F$11,3,FALSE),3)+IFERROR(VLOOKUP(V447,Assumptions!$A$7:$F$11,4,FALSE),8)/2-MAX(0,IF(AO447="",0,YEAR(TODAY())-AO447)-IFERROR(VLOOKUP(V447,Assumptions!$A$7:$F$11,5,FALSE),1.5))),IFERROR(VLOOKUP(V447,Assumptions!$A$7:$F$11,5,FALSE),2.5)+IFERROR(VLOOKUP(V447,Assumptions!$A$7:$F$11,3,FALSE),3)+IFERROR(VLOOKUP(V447,Assumptions!$A$7:$F$11,4,FALSE),8)/2)</f>
        <v/>
      </c>
      <c r="Y447" s="22">
        <f>U447*W447/(1+Assumptions!$B$3)^X447</f>
        <v/>
      </c>
      <c r="Z447" s="26">
        <f>IF(U447=0,"",ROUND(Y447/U447*100,1))</f>
        <v/>
      </c>
      <c r="AA447" s="27">
        <f>Y447*Assumptions!$B$4</f>
        <v/>
      </c>
      <c r="AB447" s="26">
        <f>IF(U447=0,"",ROUND(AA447/U447*100,1))</f>
        <v/>
      </c>
      <c r="AC447" s="27">
        <f>Y447-AA447</f>
        <v/>
      </c>
      <c r="AD447" s="26">
        <f>IF(U447=0,"",ROUND((Y447-AA447)/U447*100,1))</f>
        <v/>
      </c>
      <c r="AE447" s="33" t="inlineStr">
        <is>
          <t>NO TOTALS — list prints none; check page</t>
        </is>
      </c>
      <c r="AF447" s="29" t="inlineStr">
        <is>
          <t>https://ativosajce.com.br/admin/download.php?file=files/processo_documento/processo_documento18430011062025_1_.pdf&amp;nome=Relação de Credores - Art. 52º § 1º, da Lei nº 11.101/2005 - 13/08/2020</t>
        </is>
      </c>
      <c r="AG447" s="28" t="inlineStr">
        <is>
          <t>p3 r16</t>
        </is>
      </c>
      <c r="AH447" s="28" t="inlineStr">
        <is>
          <t>p3: R$ 219.518,57</t>
        </is>
      </c>
      <c r="AI447" s="28" t="inlineStr">
        <is>
          <t>AJ list (art. 7 §2)</t>
        </is>
      </c>
      <c r="AJ447" s="28" t="inlineStr">
        <is>
          <t>2020-07-19</t>
        </is>
      </c>
      <c r="AK447" s="28" t="inlineStr">
        <is>
          <t>NONE FOUND</t>
        </is>
      </c>
      <c r="AL447" s="30" t="inlineStr">
        <is>
          <t>1000117-72.2020.8.26.0260</t>
        </is>
      </c>
      <c r="AM447" s="30" t="inlineStr">
        <is>
          <t>TJSP</t>
        </is>
      </c>
      <c r="AN447" s="30" t="inlineStr">
        <is>
          <t>ACTIVE</t>
        </is>
      </c>
      <c r="AO447" s="30" t="n">
        <v>2020</v>
      </c>
      <c r="AP447" s="30" t="inlineStr">
        <is>
          <t>6y since filing, no plan document</t>
        </is>
      </c>
      <c r="AQ447" s="30" t="inlineStr"/>
      <c r="AR447" s="30" t="inlineStr">
        <is>
          <t>printed on the list (read twice)</t>
        </is>
      </c>
      <c r="AS447" s="30" t="inlineStr"/>
      <c r="AT447" s="30" t="inlineStr"/>
      <c r="AU447" s="30" t="inlineStr"/>
      <c r="AV447" s="30" t="inlineStr"/>
      <c r="AW447" s="31" t="inlineStr"/>
      <c r="AX447" s="30" t="inlineStr">
        <is>
          <t>MID-MARKET</t>
        </is>
      </c>
      <c r="AY447" s="30" t="inlineStr">
        <is>
          <t>91108027</t>
        </is>
      </c>
      <c r="AZ447" s="30" t="n">
        <v>1</v>
      </c>
      <c r="BA447" s="30" t="inlineStr">
        <is>
          <t>LIKELY_FINANCIAL_BY_NAME ROWS:p3r16 UNRECONCILED_SOURCE</t>
        </is>
      </c>
    </row>
    <row r="448">
      <c r="A448" s="16" t="inlineStr">
        <is>
          <t>CAIXA ECONOMICA FEDERAL</t>
        </is>
      </c>
      <c r="B448" s="17" t="n">
        <v>213965.82</v>
      </c>
      <c r="C448" s="18" t="inlineStr">
        <is>
          <t>CENTRO DE TRATAMENTO RENAL ZONA SUL LTDA</t>
        </is>
      </c>
      <c r="D448" s="19" t="inlineStr">
        <is>
          <t>NEW</t>
        </is>
      </c>
      <c r="E448" s="20" t="inlineStr"/>
      <c r="F448" s="19" t="inlineStr"/>
      <c r="G448" s="20" t="inlineStr"/>
      <c r="H448" s="19" t="inlineStr"/>
      <c r="I448" s="21" t="inlineStr">
        <is>
          <t>Livia Serikaku</t>
        </is>
      </c>
      <c r="J448" s="21" t="inlineStr">
        <is>
          <t>Gerente de Clientes e Negócios | Recuperação de Crédito</t>
        </is>
      </c>
      <c r="K448" s="21" t="inlineStr">
        <is>
          <t>(00) 4004-0104</t>
        </is>
      </c>
      <c r="L448" s="21" t="inlineStr"/>
      <c r="M448" s="21" t="inlineStr"/>
      <c r="N448" s="21" t="inlineStr"/>
      <c r="O448" s="21" t="inlineStr"/>
      <c r="P448" s="21" t="inlineStr">
        <is>
          <t>Rodolfo Trevizan</t>
        </is>
      </c>
      <c r="Q448" s="21" t="inlineStr">
        <is>
          <t>Investment Banking | Distressed Assets | Project Finance</t>
        </is>
      </c>
      <c r="R448" s="21" t="inlineStr"/>
      <c r="S448" s="21" t="inlineStr"/>
      <c r="T448" s="21" t="inlineStr">
        <is>
          <t>no work email found in Apollo</t>
        </is>
      </c>
      <c r="U448" s="22" t="n">
        <v>213965.82</v>
      </c>
      <c r="V448" s="38" t="inlineStr">
        <is>
          <t>C</t>
        </is>
      </c>
      <c r="W448" s="24">
        <f>IFERROR(VLOOKUP(V448,Assumptions!$A$7:$F$11,2,FALSE),0)</f>
        <v/>
      </c>
      <c r="X448" s="25">
        <f>IF(V448="A",MAX(1,IFERROR(VLOOKUP(V448,Assumptions!$A$7:$F$11,3,FALSE),3)+IFERROR(VLOOKUP(V448,Assumptions!$A$7:$F$11,4,FALSE),8)/2-MAX(0,IF(AO448="",0,YEAR(TODAY())-AO448)-IFERROR(VLOOKUP(V448,Assumptions!$A$7:$F$11,5,FALSE),1.5))),IFERROR(VLOOKUP(V448,Assumptions!$A$7:$F$11,5,FALSE),2.5)+IFERROR(VLOOKUP(V448,Assumptions!$A$7:$F$11,3,FALSE),3)+IFERROR(VLOOKUP(V448,Assumptions!$A$7:$F$11,4,FALSE),8)/2)</f>
        <v/>
      </c>
      <c r="Y448" s="22">
        <f>U448*W448/(1+Assumptions!$B$3)^X448</f>
        <v/>
      </c>
      <c r="Z448" s="26">
        <f>IF(U448=0,"",ROUND(Y448/U448*100,1))</f>
        <v/>
      </c>
      <c r="AA448" s="27">
        <f>Y448*Assumptions!$B$4</f>
        <v/>
      </c>
      <c r="AB448" s="26">
        <f>IF(U448=0,"",ROUND(AA448/U448*100,1))</f>
        <v/>
      </c>
      <c r="AC448" s="27">
        <f>Y448-AA448</f>
        <v/>
      </c>
      <c r="AD448" s="26">
        <f>IF(U448=0,"",ROUND((Y448-AA448)/U448*100,1))</f>
        <v/>
      </c>
      <c r="AE448" s="28" t="inlineStr">
        <is>
          <t>OK — totals reconciled</t>
        </is>
      </c>
      <c r="AF448" s="29" t="inlineStr">
        <is>
          <t>https://recuperacaojudicial.squarespace.com/s/4-RJCTREditalda2ListadeCredoresnovembro2019.pdf</t>
        </is>
      </c>
      <c r="AG448" s="28" t="inlineStr">
        <is>
          <t>p3 r4; p3 r9</t>
        </is>
      </c>
      <c r="AH448" s="28" t="inlineStr">
        <is>
          <t>p3: R$ 201.422,22; p3: R$ 12.543,60</t>
        </is>
      </c>
      <c r="AI448" s="28" t="inlineStr">
        <is>
          <t>AJ list (art. 7 §2)</t>
        </is>
      </c>
      <c r="AJ448" s="28" t="inlineStr">
        <is>
          <t>2019-11-25</t>
        </is>
      </c>
      <c r="AK448" s="28" t="inlineStr">
        <is>
          <t>NONE FOUND</t>
        </is>
      </c>
      <c r="AL448" s="30" t="inlineStr">
        <is>
          <t>0015488-29.2018.8.17.2810</t>
        </is>
      </c>
      <c r="AM448" s="30" t="inlineStr">
        <is>
          <t>TJPE</t>
        </is>
      </c>
      <c r="AN448" s="30" t="inlineStr"/>
      <c r="AO448" s="30" t="n">
        <v>2018</v>
      </c>
      <c r="AP448" s="30" t="inlineStr">
        <is>
          <t>8y since filing, no plan document</t>
        </is>
      </c>
      <c r="AQ448" s="30" t="inlineStr">
        <is>
          <t>03.648.189/0001-11</t>
        </is>
      </c>
      <c r="AR448" s="30" t="inlineStr">
        <is>
          <t>printed on the list (read twice)</t>
        </is>
      </c>
      <c r="AS448" s="30" t="inlineStr">
        <is>
          <t>BRASILIA</t>
        </is>
      </c>
      <c r="AT448" s="30" t="inlineStr">
        <is>
          <t>DF</t>
        </is>
      </c>
      <c r="AU448" s="30" t="inlineStr">
        <is>
          <t>Caixas econômicas</t>
        </is>
      </c>
      <c r="AV448" s="30" t="inlineStr">
        <is>
          <t>DEMAIS</t>
        </is>
      </c>
      <c r="AW448" s="31" t="n">
        <v>105300000000</v>
      </c>
      <c r="AX448" s="30" t="inlineStr">
        <is>
          <t>LARGE CORP</t>
        </is>
      </c>
      <c r="AY448" s="30" t="inlineStr">
        <is>
          <t>00360305</t>
        </is>
      </c>
      <c r="AZ448" s="30" t="n">
        <v>2</v>
      </c>
      <c r="BA448" s="30" t="inlineStr">
        <is>
          <t>ROWS:p3r4,p3r9</t>
        </is>
      </c>
    </row>
    <row r="449">
      <c r="A449" s="16" t="inlineStr">
        <is>
          <t>KIRTON BANK S.A. - BANCO MULTIPLO</t>
        </is>
      </c>
      <c r="B449" s="17" t="n">
        <v>385691.42</v>
      </c>
      <c r="C449" s="18" t="inlineStr">
        <is>
          <t>Mannes</t>
        </is>
      </c>
      <c r="D449" s="19" t="inlineStr">
        <is>
          <t>NEW</t>
        </is>
      </c>
      <c r="E449" s="20" t="inlineStr"/>
      <c r="F449" s="19" t="inlineStr"/>
      <c r="G449" s="20" t="inlineStr"/>
      <c r="H449" s="19" t="inlineStr"/>
      <c r="I449" s="21" t="inlineStr">
        <is>
          <t>CLAYTON NEVES XAVIER</t>
        </is>
      </c>
      <c r="J449" s="21" t="inlineStr">
        <is>
          <t>Administrador (RFB partner)</t>
        </is>
      </c>
      <c r="K449" s="21" t="inlineStr">
        <is>
          <t>(11) 3684-3884</t>
        </is>
      </c>
      <c r="L449" s="21" t="inlineStr"/>
      <c r="M449" s="21" t="inlineStr"/>
      <c r="N449" s="21" t="inlineStr"/>
      <c r="O449" s="21" t="inlineStr"/>
      <c r="P449" s="21" t="inlineStr">
        <is>
          <t>CRISTIANO ADJUTO E CAMPOS</t>
        </is>
      </c>
      <c r="Q449" s="21" t="inlineStr">
        <is>
          <t>Administrador (RFB partner)</t>
        </is>
      </c>
      <c r="R449" s="21" t="inlineStr"/>
      <c r="S449" s="21" t="inlineStr"/>
      <c r="T449" s="21" t="inlineStr">
        <is>
          <t>RFB partner (QSA); no Apollo match</t>
        </is>
      </c>
      <c r="U449" s="22" t="n">
        <v>385691.42</v>
      </c>
      <c r="V449" s="39" t="inlineStr">
        <is>
          <t>D</t>
        </is>
      </c>
      <c r="W449" s="24">
        <f>IFERROR(VLOOKUP(V449,Assumptions!$A$7:$F$11,2,FALSE),0)</f>
        <v/>
      </c>
      <c r="X449" s="25">
        <f>IF(V449="A",MAX(1,IFERROR(VLOOKUP(V449,Assumptions!$A$7:$F$11,3,FALSE),3)+IFERROR(VLOOKUP(V449,Assumptions!$A$7:$F$11,4,FALSE),8)/2-MAX(0,IF(AO449="",0,YEAR(TODAY())-AO449)-IFERROR(VLOOKUP(V449,Assumptions!$A$7:$F$11,5,FALSE),1.5))),IFERROR(VLOOKUP(V449,Assumptions!$A$7:$F$11,5,FALSE),2.5)+IFERROR(VLOOKUP(V449,Assumptions!$A$7:$F$11,3,FALSE),3)+IFERROR(VLOOKUP(V449,Assumptions!$A$7:$F$11,4,FALSE),8)/2)</f>
        <v/>
      </c>
      <c r="Y449" s="22">
        <f>U449*W449/(1+Assumptions!$B$3)^X449</f>
        <v/>
      </c>
      <c r="Z449" s="26">
        <f>IF(U449=0,"",ROUND(Y449/U449*100,1))</f>
        <v/>
      </c>
      <c r="AA449" s="27">
        <f>Y449*Assumptions!$B$4</f>
        <v/>
      </c>
      <c r="AB449" s="26">
        <f>IF(U449=0,"",ROUND(AA449/U449*100,1))</f>
        <v/>
      </c>
      <c r="AC449" s="27">
        <f>Y449-AA449</f>
        <v/>
      </c>
      <c r="AD449" s="26">
        <f>IF(U449=0,"",ROUND((Y449-AA449)/U449*100,1))</f>
        <v/>
      </c>
      <c r="AE449" s="36" t="inlineStr">
        <is>
          <t>CHECK — source is not a statutory creditor list</t>
        </is>
      </c>
      <c r="AF449" s="29" t="inlineStr">
        <is>
          <t>https://administradorajudicialgs.com.br/wp-content/uploads/2024/12/relacao-de-credores-da-falida.pdf</t>
        </is>
      </c>
      <c r="AG449" s="28" t="inlineStr">
        <is>
          <t>p15 r17</t>
        </is>
      </c>
      <c r="AH449" s="28" t="inlineStr">
        <is>
          <t>p15: R$ 385.691,42</t>
        </is>
      </c>
      <c r="AI449" s="28" t="inlineStr">
        <is>
          <t>Other filing — NOT an art. 7/51 list</t>
        </is>
      </c>
      <c r="AJ449" s="28" t="inlineStr">
        <is>
          <t>2025-03-25</t>
        </is>
      </c>
      <c r="AK449" s="28" t="inlineStr">
        <is>
          <t>NONE FOUND</t>
        </is>
      </c>
      <c r="AL449" s="30" t="inlineStr">
        <is>
          <t>0005010-50.2013.8.24.0026</t>
        </is>
      </c>
      <c r="AM449" s="30" t="inlineStr">
        <is>
          <t>TJSC</t>
        </is>
      </c>
      <c r="AN449" s="30" t="inlineStr"/>
      <c r="AO449" s="30" t="n">
        <v>2013</v>
      </c>
      <c r="AP449" s="30" t="inlineStr">
        <is>
          <t>document is a falência (bankruptcy) list</t>
        </is>
      </c>
      <c r="AQ449" s="30" t="inlineStr"/>
      <c r="AR449" s="30" t="inlineStr">
        <is>
          <t>printed on the list (read twice)</t>
        </is>
      </c>
      <c r="AS449" s="30" t="inlineStr">
        <is>
          <t>OSASCO</t>
        </is>
      </c>
      <c r="AT449" s="30" t="inlineStr">
        <is>
          <t>SP</t>
        </is>
      </c>
      <c r="AU449" s="30" t="inlineStr">
        <is>
          <t>Bancos múltiplos, com carteira comercial</t>
        </is>
      </c>
      <c r="AV449" s="30" t="inlineStr">
        <is>
          <t>DEMAIS</t>
        </is>
      </c>
      <c r="AW449" s="31" t="n">
        <v>8778882000</v>
      </c>
      <c r="AX449" s="30" t="inlineStr">
        <is>
          <t>LARGE CORP</t>
        </is>
      </c>
      <c r="AY449" s="30" t="inlineStr">
        <is>
          <t>01701201</t>
        </is>
      </c>
      <c r="AZ449" s="30" t="n">
        <v>1</v>
      </c>
      <c r="BA449" s="30" t="inlineStr">
        <is>
          <t>ROWS:p15r17 UNRECONCILED_SOURCE CASE_NUMBER_CORRECTED</t>
        </is>
      </c>
    </row>
    <row r="450">
      <c r="A450" s="16" t="inlineStr">
        <is>
          <t>META FUNDO DE INVESTIMENTO EM DIREITOS CREDITORIOS (</t>
        </is>
      </c>
      <c r="B450" s="17" t="n">
        <v>205684.95</v>
      </c>
      <c r="C450" s="18" t="inlineStr">
        <is>
          <t>VECTOR INDÚSTRIA DE PRODUTOS METALÚRGICOS LTDA.</t>
        </is>
      </c>
      <c r="D450" s="19" t="inlineStr">
        <is>
          <t>NEW</t>
        </is>
      </c>
      <c r="E450" s="20" t="inlineStr"/>
      <c r="F450" s="19" t="inlineStr"/>
      <c r="G450" s="20" t="inlineStr"/>
      <c r="H450" s="19" t="inlineStr"/>
      <c r="I450" s="21" t="inlineStr">
        <is>
          <t>Fabio Fontanezzi</t>
        </is>
      </c>
      <c r="J450" s="21" t="inlineStr">
        <is>
          <t>Commercial Superintendent</t>
        </is>
      </c>
      <c r="K450" s="21" t="inlineStr"/>
      <c r="L450" s="21" t="inlineStr"/>
      <c r="M450" s="21" t="inlineStr"/>
      <c r="N450" s="21" t="inlineStr">
        <is>
          <t>fabio@metafidc.com.br</t>
        </is>
      </c>
      <c r="O450" s="21" t="inlineStr">
        <is>
          <t>eduardo@metafidc.com.br</t>
        </is>
      </c>
      <c r="P450" s="21" t="inlineStr">
        <is>
          <t>Eduardo Januario</t>
        </is>
      </c>
      <c r="Q450" s="21" t="inlineStr">
        <is>
          <t>Gerente Comercial SC</t>
        </is>
      </c>
      <c r="R450" s="21" t="inlineStr"/>
      <c r="S450" s="21" t="inlineStr">
        <is>
          <t>eduardo@metafidc.com.br</t>
        </is>
      </c>
      <c r="T450" s="21" t="inlineStr">
        <is>
          <t>email verified by Apollo</t>
        </is>
      </c>
      <c r="U450" s="22" t="n">
        <v>205684.95</v>
      </c>
      <c r="V450" s="38" t="inlineStr">
        <is>
          <t>C</t>
        </is>
      </c>
      <c r="W450" s="24">
        <f>IFERROR(VLOOKUP(V450,Assumptions!$A$7:$F$11,2,FALSE),0)</f>
        <v/>
      </c>
      <c r="X450" s="25">
        <f>IF(V450="A",MAX(1,IFERROR(VLOOKUP(V450,Assumptions!$A$7:$F$11,3,FALSE),3)+IFERROR(VLOOKUP(V450,Assumptions!$A$7:$F$11,4,FALSE),8)/2-MAX(0,IF(AO450="",0,YEAR(TODAY())-AO450)-IFERROR(VLOOKUP(V450,Assumptions!$A$7:$F$11,5,FALSE),1.5))),IFERROR(VLOOKUP(V450,Assumptions!$A$7:$F$11,5,FALSE),2.5)+IFERROR(VLOOKUP(V450,Assumptions!$A$7:$F$11,3,FALSE),3)+IFERROR(VLOOKUP(V450,Assumptions!$A$7:$F$11,4,FALSE),8)/2)</f>
        <v/>
      </c>
      <c r="Y450" s="22">
        <f>U450*W450/(1+Assumptions!$B$3)^X450</f>
        <v/>
      </c>
      <c r="Z450" s="26">
        <f>IF(U450=0,"",ROUND(Y450/U450*100,1))</f>
        <v/>
      </c>
      <c r="AA450" s="27">
        <f>Y450*Assumptions!$B$4</f>
        <v/>
      </c>
      <c r="AB450" s="26">
        <f>IF(U450=0,"",ROUND(AA450/U450*100,1))</f>
        <v/>
      </c>
      <c r="AC450" s="27">
        <f>Y450-AA450</f>
        <v/>
      </c>
      <c r="AD450" s="26">
        <f>IF(U450=0,"",ROUND((Y450-AA450)/U450*100,1))</f>
        <v/>
      </c>
      <c r="AE450" s="33" t="inlineStr">
        <is>
          <t>NO TOTALS — list prints none; check page</t>
        </is>
      </c>
      <c r="AF450" s="29" t="inlineStr">
        <is>
          <t>https://scalzilliaj.com.br/sgc/download.php?file=files/processo_documento/processo_documento15513401112022_1_.pdf&amp;nome=15 - Edital do art. 7º, §2º (segunda lista de credores) e do art. 53 da Lei 11.101/2005 (recebimento do plano)</t>
        </is>
      </c>
      <c r="AG450" s="28" t="inlineStr">
        <is>
          <t>p8 r20</t>
        </is>
      </c>
      <c r="AH450" s="28" t="inlineStr">
        <is>
          <t>p8: R$ 205.684,95</t>
        </is>
      </c>
      <c r="AI450" s="28" t="inlineStr">
        <is>
          <t>AJ list (art. 7 §2)</t>
        </is>
      </c>
      <c r="AJ450" s="28" t="inlineStr">
        <is>
          <t>2022-11-01</t>
        </is>
      </c>
      <c r="AK450" s="28" t="inlineStr">
        <is>
          <t>NONE FOUND</t>
        </is>
      </c>
      <c r="AL450" s="30" t="inlineStr">
        <is>
          <t>5014104-85.2021.8.21.0010</t>
        </is>
      </c>
      <c r="AM450" s="30" t="inlineStr">
        <is>
          <t>TJRS</t>
        </is>
      </c>
      <c r="AN450" s="30" t="inlineStr">
        <is>
          <t>ACTIVE</t>
        </is>
      </c>
      <c r="AO450" s="30" t="n">
        <v>2021</v>
      </c>
      <c r="AP450" s="30" t="inlineStr">
        <is>
          <t>5y since filing, no plan document</t>
        </is>
      </c>
      <c r="AQ450" s="30" t="inlineStr">
        <is>
          <t>03.018.339/0001-03</t>
        </is>
      </c>
      <c r="AR450" s="30" t="inlineStr">
        <is>
          <t>printed on the list (read twice)</t>
        </is>
      </c>
      <c r="AS450" s="30" t="inlineStr"/>
      <c r="AT450" s="30" t="inlineStr"/>
      <c r="AU450" s="30" t="inlineStr"/>
      <c r="AV450" s="30" t="inlineStr"/>
      <c r="AW450" s="31" t="inlineStr"/>
      <c r="AX450" s="30" t="inlineStr">
        <is>
          <t>MID-MARKET</t>
        </is>
      </c>
      <c r="AY450" s="30" t="inlineStr">
        <is>
          <t>29953928</t>
        </is>
      </c>
      <c r="AZ450" s="30" t="n">
        <v>1</v>
      </c>
      <c r="BA450" s="30" t="inlineStr">
        <is>
          <t>LIKELY_FINANCIAL_BY_NAME ROWS:p8r20 UNRECONCILED_SOURCE</t>
        </is>
      </c>
    </row>
    <row r="451">
      <c r="A451" s="16" t="inlineStr">
        <is>
          <t>FUNDO DE INVESTIMENTOS EM DIREITOS CREDITÓRIOS - EXODUS III</t>
        </is>
      </c>
      <c r="B451" s="17" t="n">
        <v>332680</v>
      </c>
      <c r="C451" s="18" t="inlineStr">
        <is>
          <t>Mannes</t>
        </is>
      </c>
      <c r="D451" s="19" t="inlineStr">
        <is>
          <t>NEW</t>
        </is>
      </c>
      <c r="E451" s="20" t="inlineStr"/>
      <c r="F451" s="19" t="inlineStr"/>
      <c r="G451" s="20" t="inlineStr"/>
      <c r="H451" s="19" t="inlineStr"/>
      <c r="I451" s="21" t="inlineStr"/>
      <c r="J451" s="21" t="inlineStr"/>
      <c r="K451" s="21" t="inlineStr"/>
      <c r="L451" s="21" t="inlineStr"/>
      <c r="M451" s="21" t="inlineStr"/>
      <c r="N451" s="21" t="inlineStr"/>
      <c r="O451" s="21" t="inlineStr"/>
      <c r="P451" s="21" t="inlineStr"/>
      <c r="Q451" s="21" t="inlineStr"/>
      <c r="R451" s="21" t="inlineStr"/>
      <c r="S451" s="21" t="inlineStr"/>
      <c r="T451" s="21" t="inlineStr">
        <is>
          <t>no named contact found</t>
        </is>
      </c>
      <c r="U451" s="22" t="n">
        <v>332680</v>
      </c>
      <c r="V451" s="39" t="inlineStr">
        <is>
          <t>D</t>
        </is>
      </c>
      <c r="W451" s="24">
        <f>IFERROR(VLOOKUP(V451,Assumptions!$A$7:$F$11,2,FALSE),0)</f>
        <v/>
      </c>
      <c r="X451" s="25">
        <f>IF(V451="A",MAX(1,IFERROR(VLOOKUP(V451,Assumptions!$A$7:$F$11,3,FALSE),3)+IFERROR(VLOOKUP(V451,Assumptions!$A$7:$F$11,4,FALSE),8)/2-MAX(0,IF(AO451="",0,YEAR(TODAY())-AO451)-IFERROR(VLOOKUP(V451,Assumptions!$A$7:$F$11,5,FALSE),1.5))),IFERROR(VLOOKUP(V451,Assumptions!$A$7:$F$11,5,FALSE),2.5)+IFERROR(VLOOKUP(V451,Assumptions!$A$7:$F$11,3,FALSE),3)+IFERROR(VLOOKUP(V451,Assumptions!$A$7:$F$11,4,FALSE),8)/2)</f>
        <v/>
      </c>
      <c r="Y451" s="22">
        <f>U451*W451/(1+Assumptions!$B$3)^X451</f>
        <v/>
      </c>
      <c r="Z451" s="26">
        <f>IF(U451=0,"",ROUND(Y451/U451*100,1))</f>
        <v/>
      </c>
      <c r="AA451" s="27">
        <f>Y451*Assumptions!$B$4</f>
        <v/>
      </c>
      <c r="AB451" s="26">
        <f>IF(U451=0,"",ROUND(AA451/U451*100,1))</f>
        <v/>
      </c>
      <c r="AC451" s="27">
        <f>Y451-AA451</f>
        <v/>
      </c>
      <c r="AD451" s="26">
        <f>IF(U451=0,"",ROUND((Y451-AA451)/U451*100,1))</f>
        <v/>
      </c>
      <c r="AE451" s="36" t="inlineStr">
        <is>
          <t>CHECK — source is not a statutory creditor list</t>
        </is>
      </c>
      <c r="AF451" s="29" t="inlineStr">
        <is>
          <t>https://administradorajudicialgs.com.br/wp-content/uploads/2024/12/relacao-de-credores-da-falida.pdf</t>
        </is>
      </c>
      <c r="AG451" s="28" t="inlineStr">
        <is>
          <t>p14 r56</t>
        </is>
      </c>
      <c r="AH451" s="28" t="inlineStr">
        <is>
          <t>p14: R$ 332.680,00</t>
        </is>
      </c>
      <c r="AI451" s="28" t="inlineStr">
        <is>
          <t>Other filing — NOT an art. 7/51 list</t>
        </is>
      </c>
      <c r="AJ451" s="28" t="inlineStr">
        <is>
          <t>2025-03-25</t>
        </is>
      </c>
      <c r="AK451" s="28" t="inlineStr">
        <is>
          <t>NONE FOUND</t>
        </is>
      </c>
      <c r="AL451" s="30" t="inlineStr">
        <is>
          <t>0005010-50.2013.8.24.0026</t>
        </is>
      </c>
      <c r="AM451" s="30" t="inlineStr">
        <is>
          <t>TJSC</t>
        </is>
      </c>
      <c r="AN451" s="30" t="inlineStr"/>
      <c r="AO451" s="30" t="n">
        <v>2013</v>
      </c>
      <c r="AP451" s="30" t="inlineStr">
        <is>
          <t>document is a falência (bankruptcy) list</t>
        </is>
      </c>
      <c r="AQ451" s="30" t="inlineStr"/>
      <c r="AR451" s="30" t="inlineStr">
        <is>
          <t>printed on the list (read twice)</t>
        </is>
      </c>
      <c r="AS451" s="30" t="inlineStr"/>
      <c r="AT451" s="30" t="inlineStr"/>
      <c r="AU451" s="30" t="inlineStr"/>
      <c r="AV451" s="30" t="inlineStr"/>
      <c r="AW451" s="31" t="inlineStr"/>
      <c r="AX451" s="30" t="inlineStr">
        <is>
          <t>MID-MARKET</t>
        </is>
      </c>
      <c r="AY451" s="30" t="inlineStr">
        <is>
          <t>33918160</t>
        </is>
      </c>
      <c r="AZ451" s="30" t="n">
        <v>1</v>
      </c>
      <c r="BA451" s="30" t="inlineStr">
        <is>
          <t>LIKELY_FINANCIAL_BY_NAME ROWS:p14r56 UNRECONCILED_SOURCE CASE_NUMBER_CORRECTED</t>
        </is>
      </c>
    </row>
  </sheetData>
  <autoFilter ref="A1:BA451"/>
  <conditionalFormatting sqref="D2:D451">
    <cfRule type="cellIs" priority="1" operator="equal" dxfId="0">
      <formula>"DEAL"</formula>
    </cfRule>
    <cfRule type="cellIs" priority="2" operator="equal" dxfId="0">
      <formula>"INTERESTED"</formula>
    </cfRule>
    <cfRule type="cellIs" priority="3" operator="equal" dxfId="1">
      <formula>"DEAD"</formula>
    </cfRule>
    <cfRule type="cellIs" priority="4" operator="equal" dxfId="1">
      <formula>"NOT INTERESTED"</formula>
    </cfRule>
  </conditionalFormatting>
  <conditionalFormatting sqref="G2:G451">
    <cfRule type="expression" priority="5" dxfId="1">
      <formula>AND(G2&lt;&gt;"",G2&lt;TODAY(),D2&lt;&gt;"DEAD",D2&lt;&gt;"DEAL")</formula>
    </cfRule>
    <cfRule type="expression" priority="6" dxfId="2">
      <formula>G2=TODAY()</formula>
    </cfRule>
  </conditionalFormatting>
  <dataValidations count="2">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showDropDown="0" showInputMessage="0" showErrorMessage="0" allowBlank="1" type="list">
      <formula1>"NEW,QUEUED,EMAILED,CALLED,VOICEMAIL,CONNECTED,INTERESTED,NOT INTERESTED,CALL BACK,DEAD,DEAL"</formula1>
    </dataValidation>
    <dataValidation sqref="V2 V3 V4 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V105 V106 V107 V108 V109 V110 V111 V112 V113 V114 V115 V116 V117 V118 V119 V120 V121 V122 V123 V124 V125 V126 V127 V128 V129 V130 V131 V132 V133 V134 V135 V136 V137 V138 V139 V140 V141 V142 V143 V144 V145 V146 V147 V148 V149 V150 V151 V152 V153 V154 V155 V156 V157 V158 V159 V160 V161 V162 V163 V164 V165 V166 V167 V168 V169 V170 V171 V172 V173 V174 V175 V176 V177 V178 V179 V180 V181 V182 V183 V184 V185 V186 V187 V188 V189 V190 V191 V192 V193 V194 V195 V196 V197 V198 V199 V200 V201 V202 V203 V204 V205 V206 V207 V208 V209 V210 V211 V212 V213 V214 V215 V216 V217 V218 V219 V220 V221 V222 V223 V224 V225 V226 V227 V228 V229 V230 V231 V232 V233 V234 V235 V236 V237 V238 V239 V240 V241 V242 V243 V244 V245 V246 V247 V248 V249 V250 V251 V252 V253 V254 V255 V256 V257 V258 V259 V260 V261 V262 V263 V264 V265 V266 V267 V268 V269 V270 V271 V272 V273 V274 V275 V276 V277 V278 V279 V280 V281 V282 V283 V284 V285 V286 V287 V288 V289 V290 V291 V292 V293 V294 V295 V296 V297 V298 V299 V300 V301 V302 V303 V304 V305 V306 V307 V308 V309 V310 V311 V312 V313 V314 V315 V316 V317 V318 V319 V320 V321 V322 V323 V324 V325 V326 V327 V328 V329 V330 V331 V332 V333 V334 V335 V336 V337 V338 V339 V340 V341 V342 V343 V344 V345 V346 V347 V348 V349 V350 V351 V352 V353 V354 V355 V356 V357 V358 V359 V360 V361 V362 V363 V364 V365 V366 V367 V368 V369 V370 V371 V372 V373 V374 V375 V376 V377 V378 V379 V380 V381 V382 V383 V384 V385 V386 V387 V388 V389 V390 V391 V392 V393 V394 V395 V396 V397 V398 V399 V400 V401 V402 V403 V404 V405 V406 V407 V408 V409 V410 V411 V412 V413 V414 V415 V416 V417 V418 V419 V420 V421 V422 V423 V424 V425 V426 V427 V428 V429 V430 V431 V432 V433 V434 V435 V436 V437 V438 V439 V440 V441 V442 V443 V444 V445 V446 V447 V448 V449 V450 V451" showDropDown="0" showInputMessage="0" showErrorMessage="0" allowBlank="1" type="list">
      <formula1>"A,B,C,D,U"</formula1>
    </dataValidation>
  </dataValidations>
  <hyperlinks>
    <hyperlink xmlns:r="http://schemas.openxmlformats.org/officeDocument/2006/relationships" ref="AF2" r:id="rId1"/>
    <hyperlink xmlns:r="http://schemas.openxmlformats.org/officeDocument/2006/relationships" ref="AF3" r:id="rId2"/>
    <hyperlink xmlns:r="http://schemas.openxmlformats.org/officeDocument/2006/relationships" ref="AF4" r:id="rId3"/>
    <hyperlink xmlns:r="http://schemas.openxmlformats.org/officeDocument/2006/relationships" ref="AF5" r:id="rId4"/>
    <hyperlink xmlns:r="http://schemas.openxmlformats.org/officeDocument/2006/relationships" ref="AF6" r:id="rId5"/>
    <hyperlink xmlns:r="http://schemas.openxmlformats.org/officeDocument/2006/relationships" ref="AF7" r:id="rId6"/>
    <hyperlink xmlns:r="http://schemas.openxmlformats.org/officeDocument/2006/relationships" ref="AF8" r:id="rId7"/>
    <hyperlink xmlns:r="http://schemas.openxmlformats.org/officeDocument/2006/relationships" ref="AF9" r:id="rId8"/>
    <hyperlink xmlns:r="http://schemas.openxmlformats.org/officeDocument/2006/relationships" ref="AF10" r:id="rId9"/>
    <hyperlink xmlns:r="http://schemas.openxmlformats.org/officeDocument/2006/relationships" ref="AF11" r:id="rId10"/>
    <hyperlink xmlns:r="http://schemas.openxmlformats.org/officeDocument/2006/relationships" ref="AF12" r:id="rId11"/>
    <hyperlink xmlns:r="http://schemas.openxmlformats.org/officeDocument/2006/relationships" ref="AF13" r:id="rId12"/>
    <hyperlink xmlns:r="http://schemas.openxmlformats.org/officeDocument/2006/relationships" ref="AF14" r:id="rId13"/>
    <hyperlink xmlns:r="http://schemas.openxmlformats.org/officeDocument/2006/relationships" ref="AF15" r:id="rId14"/>
    <hyperlink xmlns:r="http://schemas.openxmlformats.org/officeDocument/2006/relationships" ref="AF16" r:id="rId15"/>
    <hyperlink xmlns:r="http://schemas.openxmlformats.org/officeDocument/2006/relationships" ref="AF17" r:id="rId16"/>
    <hyperlink xmlns:r="http://schemas.openxmlformats.org/officeDocument/2006/relationships" ref="AF18" r:id="rId17"/>
    <hyperlink xmlns:r="http://schemas.openxmlformats.org/officeDocument/2006/relationships" ref="AF19" r:id="rId18"/>
    <hyperlink xmlns:r="http://schemas.openxmlformats.org/officeDocument/2006/relationships" ref="AF20" r:id="rId19"/>
    <hyperlink xmlns:r="http://schemas.openxmlformats.org/officeDocument/2006/relationships" ref="AF21" r:id="rId20"/>
    <hyperlink xmlns:r="http://schemas.openxmlformats.org/officeDocument/2006/relationships" ref="AF22" r:id="rId21"/>
    <hyperlink xmlns:r="http://schemas.openxmlformats.org/officeDocument/2006/relationships" ref="AF23" r:id="rId22"/>
    <hyperlink xmlns:r="http://schemas.openxmlformats.org/officeDocument/2006/relationships" ref="AF24" r:id="rId23"/>
    <hyperlink xmlns:r="http://schemas.openxmlformats.org/officeDocument/2006/relationships" ref="AF25" r:id="rId24"/>
    <hyperlink xmlns:r="http://schemas.openxmlformats.org/officeDocument/2006/relationships" ref="AF26" r:id="rId25"/>
    <hyperlink xmlns:r="http://schemas.openxmlformats.org/officeDocument/2006/relationships" ref="AF27" r:id="rId26"/>
    <hyperlink xmlns:r="http://schemas.openxmlformats.org/officeDocument/2006/relationships" ref="AF28" r:id="rId27"/>
    <hyperlink xmlns:r="http://schemas.openxmlformats.org/officeDocument/2006/relationships" ref="AF29" r:id="rId28"/>
    <hyperlink xmlns:r="http://schemas.openxmlformats.org/officeDocument/2006/relationships" ref="AF30" r:id="rId29"/>
    <hyperlink xmlns:r="http://schemas.openxmlformats.org/officeDocument/2006/relationships" ref="AF31" r:id="rId30"/>
    <hyperlink xmlns:r="http://schemas.openxmlformats.org/officeDocument/2006/relationships" ref="AF32" r:id="rId31"/>
    <hyperlink xmlns:r="http://schemas.openxmlformats.org/officeDocument/2006/relationships" ref="AF33" r:id="rId32"/>
    <hyperlink xmlns:r="http://schemas.openxmlformats.org/officeDocument/2006/relationships" ref="AF34" r:id="rId33"/>
    <hyperlink xmlns:r="http://schemas.openxmlformats.org/officeDocument/2006/relationships" ref="AF35" r:id="rId34"/>
    <hyperlink xmlns:r="http://schemas.openxmlformats.org/officeDocument/2006/relationships" ref="AF36" r:id="rId35"/>
    <hyperlink xmlns:r="http://schemas.openxmlformats.org/officeDocument/2006/relationships" ref="AF37" r:id="rId36"/>
    <hyperlink xmlns:r="http://schemas.openxmlformats.org/officeDocument/2006/relationships" ref="AF38" r:id="rId37"/>
    <hyperlink xmlns:r="http://schemas.openxmlformats.org/officeDocument/2006/relationships" ref="AF39" r:id="rId38"/>
    <hyperlink xmlns:r="http://schemas.openxmlformats.org/officeDocument/2006/relationships" ref="AF40" r:id="rId39"/>
    <hyperlink xmlns:r="http://schemas.openxmlformats.org/officeDocument/2006/relationships" ref="AF41" r:id="rId40"/>
    <hyperlink xmlns:r="http://schemas.openxmlformats.org/officeDocument/2006/relationships" ref="AF42" r:id="rId41"/>
    <hyperlink xmlns:r="http://schemas.openxmlformats.org/officeDocument/2006/relationships" ref="AF43" r:id="rId42"/>
    <hyperlink xmlns:r="http://schemas.openxmlformats.org/officeDocument/2006/relationships" ref="AF44" r:id="rId43"/>
    <hyperlink xmlns:r="http://schemas.openxmlformats.org/officeDocument/2006/relationships" ref="AF45" r:id="rId44"/>
    <hyperlink xmlns:r="http://schemas.openxmlformats.org/officeDocument/2006/relationships" ref="AF46" r:id="rId45"/>
    <hyperlink xmlns:r="http://schemas.openxmlformats.org/officeDocument/2006/relationships" ref="AF47" r:id="rId46"/>
    <hyperlink xmlns:r="http://schemas.openxmlformats.org/officeDocument/2006/relationships" ref="AF48" r:id="rId47"/>
    <hyperlink xmlns:r="http://schemas.openxmlformats.org/officeDocument/2006/relationships" ref="AF49" r:id="rId48"/>
    <hyperlink xmlns:r="http://schemas.openxmlformats.org/officeDocument/2006/relationships" ref="AF50" r:id="rId49"/>
    <hyperlink xmlns:r="http://schemas.openxmlformats.org/officeDocument/2006/relationships" ref="AF51" r:id="rId50"/>
    <hyperlink xmlns:r="http://schemas.openxmlformats.org/officeDocument/2006/relationships" ref="AF52" r:id="rId51"/>
    <hyperlink xmlns:r="http://schemas.openxmlformats.org/officeDocument/2006/relationships" ref="AF53" r:id="rId52"/>
    <hyperlink xmlns:r="http://schemas.openxmlformats.org/officeDocument/2006/relationships" ref="AF54" r:id="rId53"/>
    <hyperlink xmlns:r="http://schemas.openxmlformats.org/officeDocument/2006/relationships" ref="AF55" r:id="rId54"/>
    <hyperlink xmlns:r="http://schemas.openxmlformats.org/officeDocument/2006/relationships" ref="AF56" r:id="rId55"/>
    <hyperlink xmlns:r="http://schemas.openxmlformats.org/officeDocument/2006/relationships" ref="AF57" r:id="rId56"/>
    <hyperlink xmlns:r="http://schemas.openxmlformats.org/officeDocument/2006/relationships" ref="AF58" r:id="rId57"/>
    <hyperlink xmlns:r="http://schemas.openxmlformats.org/officeDocument/2006/relationships" ref="AF59" r:id="rId58"/>
    <hyperlink xmlns:r="http://schemas.openxmlformats.org/officeDocument/2006/relationships" ref="AF60" r:id="rId59"/>
    <hyperlink xmlns:r="http://schemas.openxmlformats.org/officeDocument/2006/relationships" ref="AF61" r:id="rId60"/>
    <hyperlink xmlns:r="http://schemas.openxmlformats.org/officeDocument/2006/relationships" ref="AF62" r:id="rId61"/>
    <hyperlink xmlns:r="http://schemas.openxmlformats.org/officeDocument/2006/relationships" ref="AF63" r:id="rId62"/>
    <hyperlink xmlns:r="http://schemas.openxmlformats.org/officeDocument/2006/relationships" ref="AF64" r:id="rId63"/>
    <hyperlink xmlns:r="http://schemas.openxmlformats.org/officeDocument/2006/relationships" ref="AF65" r:id="rId64"/>
    <hyperlink xmlns:r="http://schemas.openxmlformats.org/officeDocument/2006/relationships" ref="AF66" r:id="rId65"/>
    <hyperlink xmlns:r="http://schemas.openxmlformats.org/officeDocument/2006/relationships" ref="AF67" r:id="rId66"/>
    <hyperlink xmlns:r="http://schemas.openxmlformats.org/officeDocument/2006/relationships" ref="AF68" r:id="rId67"/>
    <hyperlink xmlns:r="http://schemas.openxmlformats.org/officeDocument/2006/relationships" ref="AF69" r:id="rId68"/>
    <hyperlink xmlns:r="http://schemas.openxmlformats.org/officeDocument/2006/relationships" ref="AF70" r:id="rId69"/>
    <hyperlink xmlns:r="http://schemas.openxmlformats.org/officeDocument/2006/relationships" ref="AF71" r:id="rId70"/>
    <hyperlink xmlns:r="http://schemas.openxmlformats.org/officeDocument/2006/relationships" ref="AF72" r:id="rId71"/>
    <hyperlink xmlns:r="http://schemas.openxmlformats.org/officeDocument/2006/relationships" ref="AF73" r:id="rId72"/>
    <hyperlink xmlns:r="http://schemas.openxmlformats.org/officeDocument/2006/relationships" ref="AF74" r:id="rId73"/>
    <hyperlink xmlns:r="http://schemas.openxmlformats.org/officeDocument/2006/relationships" ref="AF75" r:id="rId74"/>
    <hyperlink xmlns:r="http://schemas.openxmlformats.org/officeDocument/2006/relationships" ref="AF76" r:id="rId75"/>
    <hyperlink xmlns:r="http://schemas.openxmlformats.org/officeDocument/2006/relationships" ref="AF77" r:id="rId76"/>
    <hyperlink xmlns:r="http://schemas.openxmlformats.org/officeDocument/2006/relationships" ref="AF78" r:id="rId77"/>
    <hyperlink xmlns:r="http://schemas.openxmlformats.org/officeDocument/2006/relationships" ref="AF79" r:id="rId78"/>
    <hyperlink xmlns:r="http://schemas.openxmlformats.org/officeDocument/2006/relationships" ref="AF80" r:id="rId79"/>
    <hyperlink xmlns:r="http://schemas.openxmlformats.org/officeDocument/2006/relationships" ref="AF81" r:id="rId80"/>
    <hyperlink xmlns:r="http://schemas.openxmlformats.org/officeDocument/2006/relationships" ref="AF82" r:id="rId81"/>
    <hyperlink xmlns:r="http://schemas.openxmlformats.org/officeDocument/2006/relationships" ref="AF83" r:id="rId82"/>
    <hyperlink xmlns:r="http://schemas.openxmlformats.org/officeDocument/2006/relationships" ref="AF84" r:id="rId83"/>
    <hyperlink xmlns:r="http://schemas.openxmlformats.org/officeDocument/2006/relationships" ref="AF85" r:id="rId84"/>
    <hyperlink xmlns:r="http://schemas.openxmlformats.org/officeDocument/2006/relationships" ref="AF86" r:id="rId85"/>
    <hyperlink xmlns:r="http://schemas.openxmlformats.org/officeDocument/2006/relationships" ref="AF87" r:id="rId86"/>
    <hyperlink xmlns:r="http://schemas.openxmlformats.org/officeDocument/2006/relationships" ref="AF88" r:id="rId87"/>
    <hyperlink xmlns:r="http://schemas.openxmlformats.org/officeDocument/2006/relationships" ref="AF89" r:id="rId88"/>
    <hyperlink xmlns:r="http://schemas.openxmlformats.org/officeDocument/2006/relationships" ref="AF90" r:id="rId89"/>
    <hyperlink xmlns:r="http://schemas.openxmlformats.org/officeDocument/2006/relationships" ref="AF91" r:id="rId90"/>
    <hyperlink xmlns:r="http://schemas.openxmlformats.org/officeDocument/2006/relationships" ref="AF92" r:id="rId91"/>
    <hyperlink xmlns:r="http://schemas.openxmlformats.org/officeDocument/2006/relationships" ref="AF93" r:id="rId92"/>
    <hyperlink xmlns:r="http://schemas.openxmlformats.org/officeDocument/2006/relationships" ref="AF94" r:id="rId93"/>
    <hyperlink xmlns:r="http://schemas.openxmlformats.org/officeDocument/2006/relationships" ref="AF95" r:id="rId94"/>
    <hyperlink xmlns:r="http://schemas.openxmlformats.org/officeDocument/2006/relationships" ref="AF96" r:id="rId95"/>
    <hyperlink xmlns:r="http://schemas.openxmlformats.org/officeDocument/2006/relationships" ref="AF97" r:id="rId96"/>
    <hyperlink xmlns:r="http://schemas.openxmlformats.org/officeDocument/2006/relationships" ref="AF98" r:id="rId97"/>
    <hyperlink xmlns:r="http://schemas.openxmlformats.org/officeDocument/2006/relationships" ref="AF99" r:id="rId98"/>
    <hyperlink xmlns:r="http://schemas.openxmlformats.org/officeDocument/2006/relationships" ref="AF100" r:id="rId99"/>
    <hyperlink xmlns:r="http://schemas.openxmlformats.org/officeDocument/2006/relationships" ref="AF101" r:id="rId100"/>
    <hyperlink xmlns:r="http://schemas.openxmlformats.org/officeDocument/2006/relationships" ref="AF102" r:id="rId101"/>
    <hyperlink xmlns:r="http://schemas.openxmlformats.org/officeDocument/2006/relationships" ref="AF103" r:id="rId102"/>
    <hyperlink xmlns:r="http://schemas.openxmlformats.org/officeDocument/2006/relationships" ref="AF104" r:id="rId103"/>
    <hyperlink xmlns:r="http://schemas.openxmlformats.org/officeDocument/2006/relationships" ref="AF105" r:id="rId104"/>
    <hyperlink xmlns:r="http://schemas.openxmlformats.org/officeDocument/2006/relationships" ref="AF106" r:id="rId105"/>
    <hyperlink xmlns:r="http://schemas.openxmlformats.org/officeDocument/2006/relationships" ref="AF107" r:id="rId106"/>
    <hyperlink xmlns:r="http://schemas.openxmlformats.org/officeDocument/2006/relationships" ref="AF108" r:id="rId107"/>
    <hyperlink xmlns:r="http://schemas.openxmlformats.org/officeDocument/2006/relationships" ref="AF109" r:id="rId108"/>
    <hyperlink xmlns:r="http://schemas.openxmlformats.org/officeDocument/2006/relationships" ref="AF110" r:id="rId109"/>
    <hyperlink xmlns:r="http://schemas.openxmlformats.org/officeDocument/2006/relationships" ref="AF111" r:id="rId110"/>
    <hyperlink xmlns:r="http://schemas.openxmlformats.org/officeDocument/2006/relationships" ref="AF112" r:id="rId111"/>
    <hyperlink xmlns:r="http://schemas.openxmlformats.org/officeDocument/2006/relationships" ref="AF113" r:id="rId112"/>
    <hyperlink xmlns:r="http://schemas.openxmlformats.org/officeDocument/2006/relationships" ref="AF114" r:id="rId113"/>
    <hyperlink xmlns:r="http://schemas.openxmlformats.org/officeDocument/2006/relationships" ref="AF115" r:id="rId114"/>
    <hyperlink xmlns:r="http://schemas.openxmlformats.org/officeDocument/2006/relationships" ref="AF116" r:id="rId115"/>
    <hyperlink xmlns:r="http://schemas.openxmlformats.org/officeDocument/2006/relationships" ref="AF117" r:id="rId116"/>
    <hyperlink xmlns:r="http://schemas.openxmlformats.org/officeDocument/2006/relationships" ref="AF118" r:id="rId117"/>
    <hyperlink xmlns:r="http://schemas.openxmlformats.org/officeDocument/2006/relationships" ref="AF119" r:id="rId118"/>
    <hyperlink xmlns:r="http://schemas.openxmlformats.org/officeDocument/2006/relationships" ref="AF120" r:id="rId119"/>
    <hyperlink xmlns:r="http://schemas.openxmlformats.org/officeDocument/2006/relationships" ref="AF121" r:id="rId120"/>
    <hyperlink xmlns:r="http://schemas.openxmlformats.org/officeDocument/2006/relationships" ref="AF122" r:id="rId121"/>
    <hyperlink xmlns:r="http://schemas.openxmlformats.org/officeDocument/2006/relationships" ref="AF123" r:id="rId122"/>
    <hyperlink xmlns:r="http://schemas.openxmlformats.org/officeDocument/2006/relationships" ref="AF124" r:id="rId123"/>
    <hyperlink xmlns:r="http://schemas.openxmlformats.org/officeDocument/2006/relationships" ref="AF125" r:id="rId124"/>
    <hyperlink xmlns:r="http://schemas.openxmlformats.org/officeDocument/2006/relationships" ref="AF126" r:id="rId125"/>
    <hyperlink xmlns:r="http://schemas.openxmlformats.org/officeDocument/2006/relationships" ref="AF127" r:id="rId126"/>
    <hyperlink xmlns:r="http://schemas.openxmlformats.org/officeDocument/2006/relationships" ref="AF128" r:id="rId127"/>
    <hyperlink xmlns:r="http://schemas.openxmlformats.org/officeDocument/2006/relationships" ref="AF129" r:id="rId128"/>
    <hyperlink xmlns:r="http://schemas.openxmlformats.org/officeDocument/2006/relationships" ref="AF130" r:id="rId129"/>
    <hyperlink xmlns:r="http://schemas.openxmlformats.org/officeDocument/2006/relationships" ref="AF131" r:id="rId130"/>
    <hyperlink xmlns:r="http://schemas.openxmlformats.org/officeDocument/2006/relationships" ref="AF132" r:id="rId131"/>
    <hyperlink xmlns:r="http://schemas.openxmlformats.org/officeDocument/2006/relationships" ref="AF133" r:id="rId132"/>
    <hyperlink xmlns:r="http://schemas.openxmlformats.org/officeDocument/2006/relationships" ref="AF134" r:id="rId133"/>
    <hyperlink xmlns:r="http://schemas.openxmlformats.org/officeDocument/2006/relationships" ref="AF135" r:id="rId134"/>
    <hyperlink xmlns:r="http://schemas.openxmlformats.org/officeDocument/2006/relationships" ref="AF136" r:id="rId135"/>
    <hyperlink xmlns:r="http://schemas.openxmlformats.org/officeDocument/2006/relationships" ref="AF137" r:id="rId136"/>
    <hyperlink xmlns:r="http://schemas.openxmlformats.org/officeDocument/2006/relationships" ref="AF138" r:id="rId137"/>
    <hyperlink xmlns:r="http://schemas.openxmlformats.org/officeDocument/2006/relationships" ref="AF139" r:id="rId138"/>
    <hyperlink xmlns:r="http://schemas.openxmlformats.org/officeDocument/2006/relationships" ref="AF140" r:id="rId139"/>
    <hyperlink xmlns:r="http://schemas.openxmlformats.org/officeDocument/2006/relationships" ref="AF141" r:id="rId140"/>
    <hyperlink xmlns:r="http://schemas.openxmlformats.org/officeDocument/2006/relationships" ref="AF142" r:id="rId141"/>
    <hyperlink xmlns:r="http://schemas.openxmlformats.org/officeDocument/2006/relationships" ref="AF143" r:id="rId142"/>
    <hyperlink xmlns:r="http://schemas.openxmlformats.org/officeDocument/2006/relationships" ref="AF144" r:id="rId143"/>
    <hyperlink xmlns:r="http://schemas.openxmlformats.org/officeDocument/2006/relationships" ref="AF145" r:id="rId144"/>
    <hyperlink xmlns:r="http://schemas.openxmlformats.org/officeDocument/2006/relationships" ref="AF146" r:id="rId145"/>
    <hyperlink xmlns:r="http://schemas.openxmlformats.org/officeDocument/2006/relationships" ref="AF147" r:id="rId146"/>
    <hyperlink xmlns:r="http://schemas.openxmlformats.org/officeDocument/2006/relationships" ref="AF148" r:id="rId147"/>
    <hyperlink xmlns:r="http://schemas.openxmlformats.org/officeDocument/2006/relationships" ref="AF149" r:id="rId148"/>
    <hyperlink xmlns:r="http://schemas.openxmlformats.org/officeDocument/2006/relationships" ref="AF150" r:id="rId149"/>
    <hyperlink xmlns:r="http://schemas.openxmlformats.org/officeDocument/2006/relationships" ref="AF151" r:id="rId150"/>
    <hyperlink xmlns:r="http://schemas.openxmlformats.org/officeDocument/2006/relationships" ref="AF152" r:id="rId151"/>
    <hyperlink xmlns:r="http://schemas.openxmlformats.org/officeDocument/2006/relationships" ref="AF153" r:id="rId152"/>
    <hyperlink xmlns:r="http://schemas.openxmlformats.org/officeDocument/2006/relationships" ref="AF154" r:id="rId153"/>
    <hyperlink xmlns:r="http://schemas.openxmlformats.org/officeDocument/2006/relationships" ref="AF155" r:id="rId154"/>
    <hyperlink xmlns:r="http://schemas.openxmlformats.org/officeDocument/2006/relationships" ref="AF156" r:id="rId155"/>
    <hyperlink xmlns:r="http://schemas.openxmlformats.org/officeDocument/2006/relationships" ref="AF157" r:id="rId156"/>
    <hyperlink xmlns:r="http://schemas.openxmlformats.org/officeDocument/2006/relationships" ref="AF158" r:id="rId157"/>
    <hyperlink xmlns:r="http://schemas.openxmlformats.org/officeDocument/2006/relationships" ref="AF159" r:id="rId158"/>
    <hyperlink xmlns:r="http://schemas.openxmlformats.org/officeDocument/2006/relationships" ref="AF160" r:id="rId159"/>
    <hyperlink xmlns:r="http://schemas.openxmlformats.org/officeDocument/2006/relationships" ref="AF161" r:id="rId160"/>
    <hyperlink xmlns:r="http://schemas.openxmlformats.org/officeDocument/2006/relationships" ref="AF162" r:id="rId161"/>
    <hyperlink xmlns:r="http://schemas.openxmlformats.org/officeDocument/2006/relationships" ref="AF163" r:id="rId162"/>
    <hyperlink xmlns:r="http://schemas.openxmlformats.org/officeDocument/2006/relationships" ref="AF164" r:id="rId163"/>
    <hyperlink xmlns:r="http://schemas.openxmlformats.org/officeDocument/2006/relationships" ref="AF165" r:id="rId164"/>
    <hyperlink xmlns:r="http://schemas.openxmlformats.org/officeDocument/2006/relationships" ref="AF166" r:id="rId165"/>
    <hyperlink xmlns:r="http://schemas.openxmlformats.org/officeDocument/2006/relationships" ref="AF167" r:id="rId166"/>
    <hyperlink xmlns:r="http://schemas.openxmlformats.org/officeDocument/2006/relationships" ref="AF168" r:id="rId167"/>
    <hyperlink xmlns:r="http://schemas.openxmlformats.org/officeDocument/2006/relationships" ref="AF169" r:id="rId168"/>
    <hyperlink xmlns:r="http://schemas.openxmlformats.org/officeDocument/2006/relationships" ref="AF170" r:id="rId169"/>
    <hyperlink xmlns:r="http://schemas.openxmlformats.org/officeDocument/2006/relationships" ref="AF171" r:id="rId170"/>
    <hyperlink xmlns:r="http://schemas.openxmlformats.org/officeDocument/2006/relationships" ref="AF172" r:id="rId171"/>
    <hyperlink xmlns:r="http://schemas.openxmlformats.org/officeDocument/2006/relationships" ref="AF173" r:id="rId172"/>
    <hyperlink xmlns:r="http://schemas.openxmlformats.org/officeDocument/2006/relationships" ref="AF174" r:id="rId173"/>
    <hyperlink xmlns:r="http://schemas.openxmlformats.org/officeDocument/2006/relationships" ref="AF175" r:id="rId174"/>
    <hyperlink xmlns:r="http://schemas.openxmlformats.org/officeDocument/2006/relationships" ref="AF176" r:id="rId175"/>
    <hyperlink xmlns:r="http://schemas.openxmlformats.org/officeDocument/2006/relationships" ref="AF177" r:id="rId176"/>
    <hyperlink xmlns:r="http://schemas.openxmlformats.org/officeDocument/2006/relationships" ref="AF178" r:id="rId177"/>
    <hyperlink xmlns:r="http://schemas.openxmlformats.org/officeDocument/2006/relationships" ref="AF179" r:id="rId178"/>
    <hyperlink xmlns:r="http://schemas.openxmlformats.org/officeDocument/2006/relationships" ref="AF180" r:id="rId179"/>
    <hyperlink xmlns:r="http://schemas.openxmlformats.org/officeDocument/2006/relationships" ref="AF181" r:id="rId180"/>
    <hyperlink xmlns:r="http://schemas.openxmlformats.org/officeDocument/2006/relationships" ref="AF182" r:id="rId181"/>
    <hyperlink xmlns:r="http://schemas.openxmlformats.org/officeDocument/2006/relationships" ref="AF183" r:id="rId182"/>
    <hyperlink xmlns:r="http://schemas.openxmlformats.org/officeDocument/2006/relationships" ref="AF184" r:id="rId183"/>
    <hyperlink xmlns:r="http://schemas.openxmlformats.org/officeDocument/2006/relationships" ref="AF185" r:id="rId184"/>
    <hyperlink xmlns:r="http://schemas.openxmlformats.org/officeDocument/2006/relationships" ref="AF186" r:id="rId185"/>
    <hyperlink xmlns:r="http://schemas.openxmlformats.org/officeDocument/2006/relationships" ref="AF187" r:id="rId186"/>
    <hyperlink xmlns:r="http://schemas.openxmlformats.org/officeDocument/2006/relationships" ref="AF188" r:id="rId187"/>
    <hyperlink xmlns:r="http://schemas.openxmlformats.org/officeDocument/2006/relationships" ref="AF189" r:id="rId188"/>
    <hyperlink xmlns:r="http://schemas.openxmlformats.org/officeDocument/2006/relationships" ref="AF190" r:id="rId189"/>
    <hyperlink xmlns:r="http://schemas.openxmlformats.org/officeDocument/2006/relationships" ref="AF191" r:id="rId190"/>
    <hyperlink xmlns:r="http://schemas.openxmlformats.org/officeDocument/2006/relationships" ref="AF192" r:id="rId191"/>
    <hyperlink xmlns:r="http://schemas.openxmlformats.org/officeDocument/2006/relationships" ref="AF193" r:id="rId192"/>
    <hyperlink xmlns:r="http://schemas.openxmlformats.org/officeDocument/2006/relationships" ref="AF194" r:id="rId193"/>
    <hyperlink xmlns:r="http://schemas.openxmlformats.org/officeDocument/2006/relationships" ref="AF195" r:id="rId194"/>
    <hyperlink xmlns:r="http://schemas.openxmlformats.org/officeDocument/2006/relationships" ref="AF196" r:id="rId195"/>
    <hyperlink xmlns:r="http://schemas.openxmlformats.org/officeDocument/2006/relationships" ref="AF197" r:id="rId196"/>
    <hyperlink xmlns:r="http://schemas.openxmlformats.org/officeDocument/2006/relationships" ref="AF198" r:id="rId197"/>
    <hyperlink xmlns:r="http://schemas.openxmlformats.org/officeDocument/2006/relationships" ref="AF199" r:id="rId198"/>
    <hyperlink xmlns:r="http://schemas.openxmlformats.org/officeDocument/2006/relationships" ref="AF200" r:id="rId199"/>
    <hyperlink xmlns:r="http://schemas.openxmlformats.org/officeDocument/2006/relationships" ref="AF201" r:id="rId200"/>
    <hyperlink xmlns:r="http://schemas.openxmlformats.org/officeDocument/2006/relationships" ref="AF202" r:id="rId201"/>
    <hyperlink xmlns:r="http://schemas.openxmlformats.org/officeDocument/2006/relationships" ref="AF203" r:id="rId202"/>
    <hyperlink xmlns:r="http://schemas.openxmlformats.org/officeDocument/2006/relationships" ref="AF204" r:id="rId203"/>
    <hyperlink xmlns:r="http://schemas.openxmlformats.org/officeDocument/2006/relationships" ref="AF205" r:id="rId204"/>
    <hyperlink xmlns:r="http://schemas.openxmlformats.org/officeDocument/2006/relationships" ref="AF206" r:id="rId205"/>
    <hyperlink xmlns:r="http://schemas.openxmlformats.org/officeDocument/2006/relationships" ref="AF207" r:id="rId206"/>
    <hyperlink xmlns:r="http://schemas.openxmlformats.org/officeDocument/2006/relationships" ref="AF208" r:id="rId207"/>
    <hyperlink xmlns:r="http://schemas.openxmlformats.org/officeDocument/2006/relationships" ref="AF209" r:id="rId208"/>
    <hyperlink xmlns:r="http://schemas.openxmlformats.org/officeDocument/2006/relationships" ref="AF210" r:id="rId209"/>
    <hyperlink xmlns:r="http://schemas.openxmlformats.org/officeDocument/2006/relationships" ref="AF211" r:id="rId210"/>
    <hyperlink xmlns:r="http://schemas.openxmlformats.org/officeDocument/2006/relationships" ref="AF212" r:id="rId211"/>
    <hyperlink xmlns:r="http://schemas.openxmlformats.org/officeDocument/2006/relationships" ref="AF213" r:id="rId212"/>
    <hyperlink xmlns:r="http://schemas.openxmlformats.org/officeDocument/2006/relationships" ref="AF214" r:id="rId213"/>
    <hyperlink xmlns:r="http://schemas.openxmlformats.org/officeDocument/2006/relationships" ref="AF215" r:id="rId214"/>
    <hyperlink xmlns:r="http://schemas.openxmlformats.org/officeDocument/2006/relationships" ref="AF216" r:id="rId215"/>
    <hyperlink xmlns:r="http://schemas.openxmlformats.org/officeDocument/2006/relationships" ref="AF217" r:id="rId216"/>
    <hyperlink xmlns:r="http://schemas.openxmlformats.org/officeDocument/2006/relationships" ref="AF218" r:id="rId217"/>
    <hyperlink xmlns:r="http://schemas.openxmlformats.org/officeDocument/2006/relationships" ref="AF219" r:id="rId218"/>
    <hyperlink xmlns:r="http://schemas.openxmlformats.org/officeDocument/2006/relationships" ref="AF220" r:id="rId219"/>
    <hyperlink xmlns:r="http://schemas.openxmlformats.org/officeDocument/2006/relationships" ref="AF221" r:id="rId220"/>
    <hyperlink xmlns:r="http://schemas.openxmlformats.org/officeDocument/2006/relationships" ref="AF222" r:id="rId221"/>
    <hyperlink xmlns:r="http://schemas.openxmlformats.org/officeDocument/2006/relationships" ref="AF223" r:id="rId222"/>
    <hyperlink xmlns:r="http://schemas.openxmlformats.org/officeDocument/2006/relationships" ref="AF224" r:id="rId223"/>
    <hyperlink xmlns:r="http://schemas.openxmlformats.org/officeDocument/2006/relationships" ref="AF225" r:id="rId224"/>
    <hyperlink xmlns:r="http://schemas.openxmlformats.org/officeDocument/2006/relationships" ref="AF226" r:id="rId225"/>
    <hyperlink xmlns:r="http://schemas.openxmlformats.org/officeDocument/2006/relationships" ref="AF227" r:id="rId226"/>
    <hyperlink xmlns:r="http://schemas.openxmlformats.org/officeDocument/2006/relationships" ref="AF228" r:id="rId227"/>
    <hyperlink xmlns:r="http://schemas.openxmlformats.org/officeDocument/2006/relationships" ref="AF229" r:id="rId228"/>
    <hyperlink xmlns:r="http://schemas.openxmlformats.org/officeDocument/2006/relationships" ref="AF230" r:id="rId229"/>
    <hyperlink xmlns:r="http://schemas.openxmlformats.org/officeDocument/2006/relationships" ref="AF231" r:id="rId230"/>
    <hyperlink xmlns:r="http://schemas.openxmlformats.org/officeDocument/2006/relationships" ref="AF232" r:id="rId231"/>
    <hyperlink xmlns:r="http://schemas.openxmlformats.org/officeDocument/2006/relationships" ref="AF233" r:id="rId232"/>
    <hyperlink xmlns:r="http://schemas.openxmlformats.org/officeDocument/2006/relationships" ref="AF234" r:id="rId233"/>
    <hyperlink xmlns:r="http://schemas.openxmlformats.org/officeDocument/2006/relationships" ref="AF235" r:id="rId234"/>
    <hyperlink xmlns:r="http://schemas.openxmlformats.org/officeDocument/2006/relationships" ref="AF236" r:id="rId235"/>
    <hyperlink xmlns:r="http://schemas.openxmlformats.org/officeDocument/2006/relationships" ref="AF237" r:id="rId236"/>
    <hyperlink xmlns:r="http://schemas.openxmlformats.org/officeDocument/2006/relationships" ref="AF238" r:id="rId237"/>
    <hyperlink xmlns:r="http://schemas.openxmlformats.org/officeDocument/2006/relationships" ref="AF239" r:id="rId238"/>
    <hyperlink xmlns:r="http://schemas.openxmlformats.org/officeDocument/2006/relationships" ref="AF240" r:id="rId239"/>
    <hyperlink xmlns:r="http://schemas.openxmlformats.org/officeDocument/2006/relationships" ref="AF241" r:id="rId240"/>
    <hyperlink xmlns:r="http://schemas.openxmlformats.org/officeDocument/2006/relationships" ref="AF242" r:id="rId241"/>
    <hyperlink xmlns:r="http://schemas.openxmlformats.org/officeDocument/2006/relationships" ref="AF243" r:id="rId242"/>
    <hyperlink xmlns:r="http://schemas.openxmlformats.org/officeDocument/2006/relationships" ref="AF244" r:id="rId243"/>
    <hyperlink xmlns:r="http://schemas.openxmlformats.org/officeDocument/2006/relationships" ref="AF245" r:id="rId244"/>
    <hyperlink xmlns:r="http://schemas.openxmlformats.org/officeDocument/2006/relationships" ref="AF246" r:id="rId245"/>
    <hyperlink xmlns:r="http://schemas.openxmlformats.org/officeDocument/2006/relationships" ref="AF247" r:id="rId246"/>
    <hyperlink xmlns:r="http://schemas.openxmlformats.org/officeDocument/2006/relationships" ref="AF248" r:id="rId247"/>
    <hyperlink xmlns:r="http://schemas.openxmlformats.org/officeDocument/2006/relationships" ref="AF249" r:id="rId248"/>
    <hyperlink xmlns:r="http://schemas.openxmlformats.org/officeDocument/2006/relationships" ref="AF250" r:id="rId249"/>
    <hyperlink xmlns:r="http://schemas.openxmlformats.org/officeDocument/2006/relationships" ref="AF251" r:id="rId250"/>
    <hyperlink xmlns:r="http://schemas.openxmlformats.org/officeDocument/2006/relationships" ref="AF252" r:id="rId251"/>
    <hyperlink xmlns:r="http://schemas.openxmlformats.org/officeDocument/2006/relationships" ref="AF253" r:id="rId252"/>
    <hyperlink xmlns:r="http://schemas.openxmlformats.org/officeDocument/2006/relationships" ref="AF254" r:id="rId253"/>
    <hyperlink xmlns:r="http://schemas.openxmlformats.org/officeDocument/2006/relationships" ref="AF255" r:id="rId254"/>
    <hyperlink xmlns:r="http://schemas.openxmlformats.org/officeDocument/2006/relationships" ref="AF256" r:id="rId255"/>
    <hyperlink xmlns:r="http://schemas.openxmlformats.org/officeDocument/2006/relationships" ref="AF257" r:id="rId256"/>
    <hyperlink xmlns:r="http://schemas.openxmlformats.org/officeDocument/2006/relationships" ref="AF258" r:id="rId257"/>
    <hyperlink xmlns:r="http://schemas.openxmlformats.org/officeDocument/2006/relationships" ref="AF259" r:id="rId258"/>
    <hyperlink xmlns:r="http://schemas.openxmlformats.org/officeDocument/2006/relationships" ref="AF260" r:id="rId259"/>
    <hyperlink xmlns:r="http://schemas.openxmlformats.org/officeDocument/2006/relationships" ref="AF261" r:id="rId260"/>
    <hyperlink xmlns:r="http://schemas.openxmlformats.org/officeDocument/2006/relationships" ref="AF262" r:id="rId261"/>
    <hyperlink xmlns:r="http://schemas.openxmlformats.org/officeDocument/2006/relationships" ref="AF263" r:id="rId262"/>
    <hyperlink xmlns:r="http://schemas.openxmlformats.org/officeDocument/2006/relationships" ref="AF264" r:id="rId263"/>
    <hyperlink xmlns:r="http://schemas.openxmlformats.org/officeDocument/2006/relationships" ref="AF265" r:id="rId264"/>
    <hyperlink xmlns:r="http://schemas.openxmlformats.org/officeDocument/2006/relationships" ref="AF266" r:id="rId265"/>
    <hyperlink xmlns:r="http://schemas.openxmlformats.org/officeDocument/2006/relationships" ref="AF267" r:id="rId266"/>
    <hyperlink xmlns:r="http://schemas.openxmlformats.org/officeDocument/2006/relationships" ref="AF268" r:id="rId267"/>
    <hyperlink xmlns:r="http://schemas.openxmlformats.org/officeDocument/2006/relationships" ref="AF269" r:id="rId268"/>
    <hyperlink xmlns:r="http://schemas.openxmlformats.org/officeDocument/2006/relationships" ref="AF270" r:id="rId269"/>
    <hyperlink xmlns:r="http://schemas.openxmlformats.org/officeDocument/2006/relationships" ref="AF271" r:id="rId270"/>
    <hyperlink xmlns:r="http://schemas.openxmlformats.org/officeDocument/2006/relationships" ref="AF272" r:id="rId271"/>
    <hyperlink xmlns:r="http://schemas.openxmlformats.org/officeDocument/2006/relationships" ref="AF273" r:id="rId272"/>
    <hyperlink xmlns:r="http://schemas.openxmlformats.org/officeDocument/2006/relationships" ref="AF274" r:id="rId273"/>
    <hyperlink xmlns:r="http://schemas.openxmlformats.org/officeDocument/2006/relationships" ref="AF275" r:id="rId274"/>
    <hyperlink xmlns:r="http://schemas.openxmlformats.org/officeDocument/2006/relationships" ref="AF276" r:id="rId275"/>
    <hyperlink xmlns:r="http://schemas.openxmlformats.org/officeDocument/2006/relationships" ref="AF277" r:id="rId276"/>
    <hyperlink xmlns:r="http://schemas.openxmlformats.org/officeDocument/2006/relationships" ref="AF278" r:id="rId277"/>
    <hyperlink xmlns:r="http://schemas.openxmlformats.org/officeDocument/2006/relationships" ref="AF279" r:id="rId278"/>
    <hyperlink xmlns:r="http://schemas.openxmlformats.org/officeDocument/2006/relationships" ref="AF280" r:id="rId279"/>
    <hyperlink xmlns:r="http://schemas.openxmlformats.org/officeDocument/2006/relationships" ref="AF281" r:id="rId280"/>
    <hyperlink xmlns:r="http://schemas.openxmlformats.org/officeDocument/2006/relationships" ref="AF282" r:id="rId281"/>
    <hyperlink xmlns:r="http://schemas.openxmlformats.org/officeDocument/2006/relationships" ref="AF283" r:id="rId282"/>
    <hyperlink xmlns:r="http://schemas.openxmlformats.org/officeDocument/2006/relationships" ref="AF284" r:id="rId283"/>
    <hyperlink xmlns:r="http://schemas.openxmlformats.org/officeDocument/2006/relationships" ref="AF285" r:id="rId284"/>
    <hyperlink xmlns:r="http://schemas.openxmlformats.org/officeDocument/2006/relationships" ref="AF286" r:id="rId285"/>
    <hyperlink xmlns:r="http://schemas.openxmlformats.org/officeDocument/2006/relationships" ref="AF287" r:id="rId286"/>
    <hyperlink xmlns:r="http://schemas.openxmlformats.org/officeDocument/2006/relationships" ref="AF288" r:id="rId287"/>
    <hyperlink xmlns:r="http://schemas.openxmlformats.org/officeDocument/2006/relationships" ref="AF289" r:id="rId288"/>
    <hyperlink xmlns:r="http://schemas.openxmlformats.org/officeDocument/2006/relationships" ref="AF290" r:id="rId289"/>
    <hyperlink xmlns:r="http://schemas.openxmlformats.org/officeDocument/2006/relationships" ref="AF291" r:id="rId290"/>
    <hyperlink xmlns:r="http://schemas.openxmlformats.org/officeDocument/2006/relationships" ref="AF292" r:id="rId291"/>
    <hyperlink xmlns:r="http://schemas.openxmlformats.org/officeDocument/2006/relationships" ref="AF293" r:id="rId292"/>
    <hyperlink xmlns:r="http://schemas.openxmlformats.org/officeDocument/2006/relationships" ref="AF294" r:id="rId293"/>
    <hyperlink xmlns:r="http://schemas.openxmlformats.org/officeDocument/2006/relationships" ref="AF295" r:id="rId294"/>
    <hyperlink xmlns:r="http://schemas.openxmlformats.org/officeDocument/2006/relationships" ref="AF296" r:id="rId295"/>
    <hyperlink xmlns:r="http://schemas.openxmlformats.org/officeDocument/2006/relationships" ref="AF297" r:id="rId296"/>
    <hyperlink xmlns:r="http://schemas.openxmlformats.org/officeDocument/2006/relationships" ref="AF298" r:id="rId297"/>
    <hyperlink xmlns:r="http://schemas.openxmlformats.org/officeDocument/2006/relationships" ref="AF299" r:id="rId298"/>
    <hyperlink xmlns:r="http://schemas.openxmlformats.org/officeDocument/2006/relationships" ref="AF300" r:id="rId299"/>
    <hyperlink xmlns:r="http://schemas.openxmlformats.org/officeDocument/2006/relationships" ref="AF301" r:id="rId300"/>
    <hyperlink xmlns:r="http://schemas.openxmlformats.org/officeDocument/2006/relationships" ref="AF302" r:id="rId301"/>
    <hyperlink xmlns:r="http://schemas.openxmlformats.org/officeDocument/2006/relationships" ref="AF303" r:id="rId302"/>
    <hyperlink xmlns:r="http://schemas.openxmlformats.org/officeDocument/2006/relationships" ref="AF304" r:id="rId303"/>
    <hyperlink xmlns:r="http://schemas.openxmlformats.org/officeDocument/2006/relationships" ref="AF305" r:id="rId304"/>
    <hyperlink xmlns:r="http://schemas.openxmlformats.org/officeDocument/2006/relationships" ref="AF306" r:id="rId305"/>
    <hyperlink xmlns:r="http://schemas.openxmlformats.org/officeDocument/2006/relationships" ref="AF307" r:id="rId306"/>
    <hyperlink xmlns:r="http://schemas.openxmlformats.org/officeDocument/2006/relationships" ref="AF308" r:id="rId307"/>
    <hyperlink xmlns:r="http://schemas.openxmlformats.org/officeDocument/2006/relationships" ref="AF309" r:id="rId308"/>
    <hyperlink xmlns:r="http://schemas.openxmlformats.org/officeDocument/2006/relationships" ref="AF310" r:id="rId309"/>
    <hyperlink xmlns:r="http://schemas.openxmlformats.org/officeDocument/2006/relationships" ref="AF311" r:id="rId310"/>
    <hyperlink xmlns:r="http://schemas.openxmlformats.org/officeDocument/2006/relationships" ref="AF312" r:id="rId311"/>
    <hyperlink xmlns:r="http://schemas.openxmlformats.org/officeDocument/2006/relationships" ref="AF313" r:id="rId312"/>
    <hyperlink xmlns:r="http://schemas.openxmlformats.org/officeDocument/2006/relationships" ref="AF314" r:id="rId313"/>
    <hyperlink xmlns:r="http://schemas.openxmlformats.org/officeDocument/2006/relationships" ref="AF315" r:id="rId314"/>
    <hyperlink xmlns:r="http://schemas.openxmlformats.org/officeDocument/2006/relationships" ref="AF316" r:id="rId315"/>
    <hyperlink xmlns:r="http://schemas.openxmlformats.org/officeDocument/2006/relationships" ref="AF317" r:id="rId316"/>
    <hyperlink xmlns:r="http://schemas.openxmlformats.org/officeDocument/2006/relationships" ref="AF318" r:id="rId317"/>
    <hyperlink xmlns:r="http://schemas.openxmlformats.org/officeDocument/2006/relationships" ref="AF319" r:id="rId318"/>
    <hyperlink xmlns:r="http://schemas.openxmlformats.org/officeDocument/2006/relationships" ref="AF320" r:id="rId319"/>
    <hyperlink xmlns:r="http://schemas.openxmlformats.org/officeDocument/2006/relationships" ref="AF321" r:id="rId320"/>
    <hyperlink xmlns:r="http://schemas.openxmlformats.org/officeDocument/2006/relationships" ref="AF322" r:id="rId321"/>
    <hyperlink xmlns:r="http://schemas.openxmlformats.org/officeDocument/2006/relationships" ref="AF323" r:id="rId322"/>
    <hyperlink xmlns:r="http://schemas.openxmlformats.org/officeDocument/2006/relationships" ref="AF324" r:id="rId323"/>
    <hyperlink xmlns:r="http://schemas.openxmlformats.org/officeDocument/2006/relationships" ref="AF325" r:id="rId324"/>
    <hyperlink xmlns:r="http://schemas.openxmlformats.org/officeDocument/2006/relationships" ref="AF326" r:id="rId325"/>
    <hyperlink xmlns:r="http://schemas.openxmlformats.org/officeDocument/2006/relationships" ref="AF327" r:id="rId326"/>
    <hyperlink xmlns:r="http://schemas.openxmlformats.org/officeDocument/2006/relationships" ref="AF328" r:id="rId327"/>
    <hyperlink xmlns:r="http://schemas.openxmlformats.org/officeDocument/2006/relationships" ref="AF329" r:id="rId328"/>
    <hyperlink xmlns:r="http://schemas.openxmlformats.org/officeDocument/2006/relationships" ref="AF330" r:id="rId329"/>
    <hyperlink xmlns:r="http://schemas.openxmlformats.org/officeDocument/2006/relationships" ref="AF331" r:id="rId330"/>
    <hyperlink xmlns:r="http://schemas.openxmlformats.org/officeDocument/2006/relationships" ref="AF332" r:id="rId331"/>
    <hyperlink xmlns:r="http://schemas.openxmlformats.org/officeDocument/2006/relationships" ref="AF333" r:id="rId332"/>
    <hyperlink xmlns:r="http://schemas.openxmlformats.org/officeDocument/2006/relationships" ref="AF334" r:id="rId333"/>
    <hyperlink xmlns:r="http://schemas.openxmlformats.org/officeDocument/2006/relationships" ref="AF335" r:id="rId334"/>
    <hyperlink xmlns:r="http://schemas.openxmlformats.org/officeDocument/2006/relationships" ref="AF336" r:id="rId335"/>
    <hyperlink xmlns:r="http://schemas.openxmlformats.org/officeDocument/2006/relationships" ref="AF337" r:id="rId336"/>
    <hyperlink xmlns:r="http://schemas.openxmlformats.org/officeDocument/2006/relationships" ref="AF338" r:id="rId337"/>
    <hyperlink xmlns:r="http://schemas.openxmlformats.org/officeDocument/2006/relationships" ref="AF339" r:id="rId338"/>
    <hyperlink xmlns:r="http://schemas.openxmlformats.org/officeDocument/2006/relationships" ref="AF340" r:id="rId339"/>
    <hyperlink xmlns:r="http://schemas.openxmlformats.org/officeDocument/2006/relationships" ref="AF341" r:id="rId340"/>
    <hyperlink xmlns:r="http://schemas.openxmlformats.org/officeDocument/2006/relationships" ref="AF342" r:id="rId341"/>
    <hyperlink xmlns:r="http://schemas.openxmlformats.org/officeDocument/2006/relationships" ref="AF343" r:id="rId342"/>
    <hyperlink xmlns:r="http://schemas.openxmlformats.org/officeDocument/2006/relationships" ref="AF344" r:id="rId343"/>
    <hyperlink xmlns:r="http://schemas.openxmlformats.org/officeDocument/2006/relationships" ref="AF345" r:id="rId344"/>
    <hyperlink xmlns:r="http://schemas.openxmlformats.org/officeDocument/2006/relationships" ref="AF346" r:id="rId345"/>
    <hyperlink xmlns:r="http://schemas.openxmlformats.org/officeDocument/2006/relationships" ref="AF347" r:id="rId346"/>
    <hyperlink xmlns:r="http://schemas.openxmlformats.org/officeDocument/2006/relationships" ref="AF348" r:id="rId347"/>
    <hyperlink xmlns:r="http://schemas.openxmlformats.org/officeDocument/2006/relationships" ref="AF349" r:id="rId348"/>
    <hyperlink xmlns:r="http://schemas.openxmlformats.org/officeDocument/2006/relationships" ref="AF350" r:id="rId349"/>
    <hyperlink xmlns:r="http://schemas.openxmlformats.org/officeDocument/2006/relationships" ref="AF351" r:id="rId350"/>
    <hyperlink xmlns:r="http://schemas.openxmlformats.org/officeDocument/2006/relationships" ref="AF352" r:id="rId351"/>
    <hyperlink xmlns:r="http://schemas.openxmlformats.org/officeDocument/2006/relationships" ref="AF353" r:id="rId352"/>
    <hyperlink xmlns:r="http://schemas.openxmlformats.org/officeDocument/2006/relationships" ref="AF354" r:id="rId353"/>
    <hyperlink xmlns:r="http://schemas.openxmlformats.org/officeDocument/2006/relationships" ref="AF355" r:id="rId354"/>
    <hyperlink xmlns:r="http://schemas.openxmlformats.org/officeDocument/2006/relationships" ref="AF356" r:id="rId355"/>
    <hyperlink xmlns:r="http://schemas.openxmlformats.org/officeDocument/2006/relationships" ref="AF357" r:id="rId356"/>
    <hyperlink xmlns:r="http://schemas.openxmlformats.org/officeDocument/2006/relationships" ref="AF358" r:id="rId357"/>
    <hyperlink xmlns:r="http://schemas.openxmlformats.org/officeDocument/2006/relationships" ref="AF359" r:id="rId358"/>
    <hyperlink xmlns:r="http://schemas.openxmlformats.org/officeDocument/2006/relationships" ref="AF360" r:id="rId359"/>
    <hyperlink xmlns:r="http://schemas.openxmlformats.org/officeDocument/2006/relationships" ref="AF361" r:id="rId360"/>
    <hyperlink xmlns:r="http://schemas.openxmlformats.org/officeDocument/2006/relationships" ref="AF362" r:id="rId361"/>
    <hyperlink xmlns:r="http://schemas.openxmlformats.org/officeDocument/2006/relationships" ref="AF363" r:id="rId362"/>
    <hyperlink xmlns:r="http://schemas.openxmlformats.org/officeDocument/2006/relationships" ref="AF364" r:id="rId363"/>
    <hyperlink xmlns:r="http://schemas.openxmlformats.org/officeDocument/2006/relationships" ref="AF365" r:id="rId364"/>
    <hyperlink xmlns:r="http://schemas.openxmlformats.org/officeDocument/2006/relationships" ref="AF366" r:id="rId365"/>
    <hyperlink xmlns:r="http://schemas.openxmlformats.org/officeDocument/2006/relationships" ref="AF367" r:id="rId366"/>
    <hyperlink xmlns:r="http://schemas.openxmlformats.org/officeDocument/2006/relationships" ref="AF368" r:id="rId367"/>
    <hyperlink xmlns:r="http://schemas.openxmlformats.org/officeDocument/2006/relationships" ref="AF369" r:id="rId368"/>
    <hyperlink xmlns:r="http://schemas.openxmlformats.org/officeDocument/2006/relationships" ref="AF370" r:id="rId369"/>
    <hyperlink xmlns:r="http://schemas.openxmlformats.org/officeDocument/2006/relationships" ref="AF371" r:id="rId370"/>
    <hyperlink xmlns:r="http://schemas.openxmlformats.org/officeDocument/2006/relationships" ref="AF372" r:id="rId371"/>
    <hyperlink xmlns:r="http://schemas.openxmlformats.org/officeDocument/2006/relationships" ref="AF373" r:id="rId372"/>
    <hyperlink xmlns:r="http://schemas.openxmlformats.org/officeDocument/2006/relationships" ref="AF374" r:id="rId373"/>
    <hyperlink xmlns:r="http://schemas.openxmlformats.org/officeDocument/2006/relationships" ref="AF375" r:id="rId374"/>
    <hyperlink xmlns:r="http://schemas.openxmlformats.org/officeDocument/2006/relationships" ref="AF376" r:id="rId375"/>
    <hyperlink xmlns:r="http://schemas.openxmlformats.org/officeDocument/2006/relationships" ref="AF377" r:id="rId376"/>
    <hyperlink xmlns:r="http://schemas.openxmlformats.org/officeDocument/2006/relationships" ref="AF378" r:id="rId377"/>
    <hyperlink xmlns:r="http://schemas.openxmlformats.org/officeDocument/2006/relationships" ref="AF379" r:id="rId378"/>
    <hyperlink xmlns:r="http://schemas.openxmlformats.org/officeDocument/2006/relationships" ref="AF380" r:id="rId379"/>
    <hyperlink xmlns:r="http://schemas.openxmlformats.org/officeDocument/2006/relationships" ref="AF381" r:id="rId380"/>
    <hyperlink xmlns:r="http://schemas.openxmlformats.org/officeDocument/2006/relationships" ref="AF382" r:id="rId381"/>
    <hyperlink xmlns:r="http://schemas.openxmlformats.org/officeDocument/2006/relationships" ref="AF383" r:id="rId382"/>
    <hyperlink xmlns:r="http://schemas.openxmlformats.org/officeDocument/2006/relationships" ref="AF384" r:id="rId383"/>
    <hyperlink xmlns:r="http://schemas.openxmlformats.org/officeDocument/2006/relationships" ref="AF385" r:id="rId384"/>
    <hyperlink xmlns:r="http://schemas.openxmlformats.org/officeDocument/2006/relationships" ref="AF386" r:id="rId385"/>
    <hyperlink xmlns:r="http://schemas.openxmlformats.org/officeDocument/2006/relationships" ref="AF387" r:id="rId386"/>
    <hyperlink xmlns:r="http://schemas.openxmlformats.org/officeDocument/2006/relationships" ref="AF388" r:id="rId387"/>
    <hyperlink xmlns:r="http://schemas.openxmlformats.org/officeDocument/2006/relationships" ref="AF389" r:id="rId388"/>
    <hyperlink xmlns:r="http://schemas.openxmlformats.org/officeDocument/2006/relationships" ref="AF390" r:id="rId389"/>
    <hyperlink xmlns:r="http://schemas.openxmlformats.org/officeDocument/2006/relationships" ref="AF391" r:id="rId390"/>
    <hyperlink xmlns:r="http://schemas.openxmlformats.org/officeDocument/2006/relationships" ref="AF392" r:id="rId391"/>
    <hyperlink xmlns:r="http://schemas.openxmlformats.org/officeDocument/2006/relationships" ref="AF393" r:id="rId392"/>
    <hyperlink xmlns:r="http://schemas.openxmlformats.org/officeDocument/2006/relationships" ref="AF394" r:id="rId393"/>
    <hyperlink xmlns:r="http://schemas.openxmlformats.org/officeDocument/2006/relationships" ref="AF395" r:id="rId394"/>
    <hyperlink xmlns:r="http://schemas.openxmlformats.org/officeDocument/2006/relationships" ref="AF396" r:id="rId395"/>
    <hyperlink xmlns:r="http://schemas.openxmlformats.org/officeDocument/2006/relationships" ref="AF397" r:id="rId396"/>
    <hyperlink xmlns:r="http://schemas.openxmlformats.org/officeDocument/2006/relationships" ref="AF398" r:id="rId397"/>
    <hyperlink xmlns:r="http://schemas.openxmlformats.org/officeDocument/2006/relationships" ref="AF399" r:id="rId398"/>
    <hyperlink xmlns:r="http://schemas.openxmlformats.org/officeDocument/2006/relationships" ref="AF400" r:id="rId399"/>
    <hyperlink xmlns:r="http://schemas.openxmlformats.org/officeDocument/2006/relationships" ref="AF401" r:id="rId400"/>
    <hyperlink xmlns:r="http://schemas.openxmlformats.org/officeDocument/2006/relationships" ref="AF402" r:id="rId401"/>
    <hyperlink xmlns:r="http://schemas.openxmlformats.org/officeDocument/2006/relationships" ref="AF403" r:id="rId402"/>
    <hyperlink xmlns:r="http://schemas.openxmlformats.org/officeDocument/2006/relationships" ref="AF404" r:id="rId403"/>
    <hyperlink xmlns:r="http://schemas.openxmlformats.org/officeDocument/2006/relationships" ref="AF405" r:id="rId404"/>
    <hyperlink xmlns:r="http://schemas.openxmlformats.org/officeDocument/2006/relationships" ref="AF406" r:id="rId405"/>
    <hyperlink xmlns:r="http://schemas.openxmlformats.org/officeDocument/2006/relationships" ref="AF407" r:id="rId406"/>
    <hyperlink xmlns:r="http://schemas.openxmlformats.org/officeDocument/2006/relationships" ref="AF408" r:id="rId407"/>
    <hyperlink xmlns:r="http://schemas.openxmlformats.org/officeDocument/2006/relationships" ref="AF409" r:id="rId408"/>
    <hyperlink xmlns:r="http://schemas.openxmlformats.org/officeDocument/2006/relationships" ref="AF410" r:id="rId409"/>
    <hyperlink xmlns:r="http://schemas.openxmlformats.org/officeDocument/2006/relationships" ref="AF411" r:id="rId410"/>
    <hyperlink xmlns:r="http://schemas.openxmlformats.org/officeDocument/2006/relationships" ref="AF412" r:id="rId411"/>
    <hyperlink xmlns:r="http://schemas.openxmlformats.org/officeDocument/2006/relationships" ref="AF413" r:id="rId412"/>
    <hyperlink xmlns:r="http://schemas.openxmlformats.org/officeDocument/2006/relationships" ref="AF414" r:id="rId413"/>
    <hyperlink xmlns:r="http://schemas.openxmlformats.org/officeDocument/2006/relationships" ref="AF415" r:id="rId414"/>
    <hyperlink xmlns:r="http://schemas.openxmlformats.org/officeDocument/2006/relationships" ref="AF416" r:id="rId415"/>
    <hyperlink xmlns:r="http://schemas.openxmlformats.org/officeDocument/2006/relationships" ref="AF417" r:id="rId416"/>
    <hyperlink xmlns:r="http://schemas.openxmlformats.org/officeDocument/2006/relationships" ref="AF418" r:id="rId417"/>
    <hyperlink xmlns:r="http://schemas.openxmlformats.org/officeDocument/2006/relationships" ref="AF419" r:id="rId418"/>
    <hyperlink xmlns:r="http://schemas.openxmlformats.org/officeDocument/2006/relationships" ref="AF420" r:id="rId419"/>
    <hyperlink xmlns:r="http://schemas.openxmlformats.org/officeDocument/2006/relationships" ref="AF421" r:id="rId420"/>
    <hyperlink xmlns:r="http://schemas.openxmlformats.org/officeDocument/2006/relationships" ref="AF422" r:id="rId421"/>
    <hyperlink xmlns:r="http://schemas.openxmlformats.org/officeDocument/2006/relationships" ref="AF423" r:id="rId422"/>
    <hyperlink xmlns:r="http://schemas.openxmlformats.org/officeDocument/2006/relationships" ref="AF424" r:id="rId423"/>
    <hyperlink xmlns:r="http://schemas.openxmlformats.org/officeDocument/2006/relationships" ref="AF425" r:id="rId424"/>
    <hyperlink xmlns:r="http://schemas.openxmlformats.org/officeDocument/2006/relationships" ref="AF426" r:id="rId425"/>
    <hyperlink xmlns:r="http://schemas.openxmlformats.org/officeDocument/2006/relationships" ref="AF427" r:id="rId426"/>
    <hyperlink xmlns:r="http://schemas.openxmlformats.org/officeDocument/2006/relationships" ref="AF428" r:id="rId427"/>
    <hyperlink xmlns:r="http://schemas.openxmlformats.org/officeDocument/2006/relationships" ref="AF429" r:id="rId428"/>
    <hyperlink xmlns:r="http://schemas.openxmlformats.org/officeDocument/2006/relationships" ref="AF430" r:id="rId429"/>
    <hyperlink xmlns:r="http://schemas.openxmlformats.org/officeDocument/2006/relationships" ref="AF431" r:id="rId430"/>
    <hyperlink xmlns:r="http://schemas.openxmlformats.org/officeDocument/2006/relationships" ref="AF432" r:id="rId431"/>
    <hyperlink xmlns:r="http://schemas.openxmlformats.org/officeDocument/2006/relationships" ref="AF433" r:id="rId432"/>
    <hyperlink xmlns:r="http://schemas.openxmlformats.org/officeDocument/2006/relationships" ref="AF434" r:id="rId433"/>
    <hyperlink xmlns:r="http://schemas.openxmlformats.org/officeDocument/2006/relationships" ref="AF435" r:id="rId434"/>
    <hyperlink xmlns:r="http://schemas.openxmlformats.org/officeDocument/2006/relationships" ref="AF436" r:id="rId435"/>
    <hyperlink xmlns:r="http://schemas.openxmlformats.org/officeDocument/2006/relationships" ref="AF437" r:id="rId436"/>
    <hyperlink xmlns:r="http://schemas.openxmlformats.org/officeDocument/2006/relationships" ref="AF438" r:id="rId437"/>
    <hyperlink xmlns:r="http://schemas.openxmlformats.org/officeDocument/2006/relationships" ref="AF439" r:id="rId438"/>
    <hyperlink xmlns:r="http://schemas.openxmlformats.org/officeDocument/2006/relationships" ref="AF440" r:id="rId439"/>
    <hyperlink xmlns:r="http://schemas.openxmlformats.org/officeDocument/2006/relationships" ref="AF441" r:id="rId440"/>
    <hyperlink xmlns:r="http://schemas.openxmlformats.org/officeDocument/2006/relationships" ref="AF442" r:id="rId441"/>
    <hyperlink xmlns:r="http://schemas.openxmlformats.org/officeDocument/2006/relationships" ref="AF443" r:id="rId442"/>
    <hyperlink xmlns:r="http://schemas.openxmlformats.org/officeDocument/2006/relationships" ref="AF444" r:id="rId443"/>
    <hyperlink xmlns:r="http://schemas.openxmlformats.org/officeDocument/2006/relationships" ref="AF445" r:id="rId444"/>
    <hyperlink xmlns:r="http://schemas.openxmlformats.org/officeDocument/2006/relationships" ref="AF446" r:id="rId445"/>
    <hyperlink xmlns:r="http://schemas.openxmlformats.org/officeDocument/2006/relationships" ref="AF447" r:id="rId446"/>
    <hyperlink xmlns:r="http://schemas.openxmlformats.org/officeDocument/2006/relationships" ref="AF448" r:id="rId447"/>
    <hyperlink xmlns:r="http://schemas.openxmlformats.org/officeDocument/2006/relationships" ref="AF449" r:id="rId448"/>
    <hyperlink xmlns:r="http://schemas.openxmlformats.org/officeDocument/2006/relationships" ref="AF450" r:id="rId449"/>
    <hyperlink xmlns:r="http://schemas.openxmlformats.org/officeDocument/2006/relationships" ref="AF451" r:id="rId45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005"/>
  <sheetViews>
    <sheetView workbookViewId="0">
      <selection activeCell="A1" sqref="A1"/>
    </sheetView>
  </sheetViews>
  <sheetFormatPr baseColWidth="8" defaultRowHeight="15"/>
  <sheetData>
    <row r="1">
      <c r="A1" s="8" t="inlineStr">
        <is>
          <t>CREDITOR — company owed money</t>
        </is>
      </c>
      <c r="B1" s="8" t="inlineStr">
        <is>
          <t>DEBTOR — company in RJ</t>
        </is>
      </c>
      <c r="C1" s="8" t="inlineStr">
        <is>
          <t>FACE VALUE (as printed)</t>
        </is>
      </c>
      <c r="D1" s="8" t="inlineStr">
        <is>
          <t>FUND PRICE @ IRR (R$)</t>
        </is>
      </c>
      <c r="E1" s="8" t="inlineStr">
        <is>
          <t>OUR ÁGIO (R$)</t>
        </is>
      </c>
      <c r="F1" s="8" t="inlineStr">
        <is>
          <t>DEBTOR BAND</t>
        </is>
      </c>
      <c r="G1" s="8" t="inlineStr">
        <is>
          <t>STATUS</t>
        </is>
      </c>
      <c r="H1" s="8" t="inlineStr">
        <is>
          <t>NEXT DATE</t>
        </is>
      </c>
      <c r="I1" s="8" t="inlineStr">
        <is>
          <t>UF</t>
        </is>
      </c>
      <c r="J1" s="8" t="inlineStr">
        <is>
          <t>Seller fit</t>
        </is>
      </c>
      <c r="K1" s="8" t="inlineStr">
        <is>
          <t>Email</t>
        </is>
      </c>
      <c r="L1" s="8" t="inlineStr">
        <is>
          <t>PROOF QUALITY</t>
        </is>
      </c>
      <c r="M1" s="8" t="inlineStr">
        <is>
          <t>BOOK</t>
        </is>
      </c>
      <c r="N1" s="8" t="inlineStr">
        <is>
          <t>Where</t>
        </is>
      </c>
    </row>
    <row r="2">
      <c r="A2">
        <f>IF('CALL SHEET'!$A$2="","",'CALL SHEET'!$A$2)</f>
        <v/>
      </c>
      <c r="B2">
        <f>IF('CALL SHEET'!$C$2="","",'CALL SHEET'!$C$2)</f>
        <v/>
      </c>
      <c r="C2">
        <f>'CALL SHEET'!$U$2</f>
        <v/>
      </c>
      <c r="D2">
        <f>'CALL SHEET'!$Y$2</f>
        <v/>
      </c>
      <c r="E2">
        <f>'CALL SHEET'!$AC$2</f>
        <v/>
      </c>
      <c r="F2">
        <f>IF('CALL SHEET'!$V$2="","",'CALL SHEET'!$V$2)</f>
        <v/>
      </c>
      <c r="G2">
        <f>IF('CALL SHEET'!$D$2="","",'CALL SHEET'!$D$2)</f>
        <v/>
      </c>
      <c r="H2">
        <f>IF('CALL SHEET'!$G$2="","",'CALL SHEET'!$G$2)</f>
        <v/>
      </c>
      <c r="I2">
        <f>IF('CALL SHEET'!$AT$2="","",'CALL SHEET'!$AT$2)</f>
        <v/>
      </c>
      <c r="J2">
        <f>IF('CALL SHEET'!$AX$2="","",'CALL SHEET'!$AX$2)</f>
        <v/>
      </c>
      <c r="K2">
        <f>IF('CALL SHEET'!$N$2="","",'CALL SHEET'!$N$2)</f>
        <v/>
      </c>
      <c r="L2">
        <f>IF('CALL SHEET'!$AE$2="","",'CALL SHEET'!$AE$2)</f>
        <v/>
      </c>
      <c r="M2" t="inlineStr">
        <is>
          <t>TRADE</t>
        </is>
      </c>
      <c r="N2" t="inlineStr">
        <is>
          <t>CALL SHEET · row 2</t>
        </is>
      </c>
    </row>
    <row r="3">
      <c r="A3">
        <f>IF('CALL SHEET'!$A$3="","",'CALL SHEET'!$A$3)</f>
        <v/>
      </c>
      <c r="B3">
        <f>IF('CALL SHEET'!$C$3="","",'CALL SHEET'!$C$3)</f>
        <v/>
      </c>
      <c r="C3">
        <f>'CALL SHEET'!$U$3</f>
        <v/>
      </c>
      <c r="D3">
        <f>'CALL SHEET'!$Y$3</f>
        <v/>
      </c>
      <c r="E3">
        <f>'CALL SHEET'!$AC$3</f>
        <v/>
      </c>
      <c r="F3">
        <f>IF('CALL SHEET'!$V$3="","",'CALL SHEET'!$V$3)</f>
        <v/>
      </c>
      <c r="G3">
        <f>IF('CALL SHEET'!$D$3="","",'CALL SHEET'!$D$3)</f>
        <v/>
      </c>
      <c r="H3">
        <f>IF('CALL SHEET'!$G$3="","",'CALL SHEET'!$G$3)</f>
        <v/>
      </c>
      <c r="I3">
        <f>IF('CALL SHEET'!$AT$3="","",'CALL SHEET'!$AT$3)</f>
        <v/>
      </c>
      <c r="J3">
        <f>IF('CALL SHEET'!$AX$3="","",'CALL SHEET'!$AX$3)</f>
        <v/>
      </c>
      <c r="K3">
        <f>IF('CALL SHEET'!$N$3="","",'CALL SHEET'!$N$3)</f>
        <v/>
      </c>
      <c r="L3">
        <f>IF('CALL SHEET'!$AE$3="","",'CALL SHEET'!$AE$3)</f>
        <v/>
      </c>
      <c r="M3" t="inlineStr">
        <is>
          <t>TRADE</t>
        </is>
      </c>
      <c r="N3" t="inlineStr">
        <is>
          <t>CALL SHEET · row 3</t>
        </is>
      </c>
    </row>
    <row r="4">
      <c r="A4">
        <f>IF('CALL SHEET'!$A$4="","",'CALL SHEET'!$A$4)</f>
        <v/>
      </c>
      <c r="B4">
        <f>IF('CALL SHEET'!$C$4="","",'CALL SHEET'!$C$4)</f>
        <v/>
      </c>
      <c r="C4">
        <f>'CALL SHEET'!$U$4</f>
        <v/>
      </c>
      <c r="D4">
        <f>'CALL SHEET'!$Y$4</f>
        <v/>
      </c>
      <c r="E4">
        <f>'CALL SHEET'!$AC$4</f>
        <v/>
      </c>
      <c r="F4">
        <f>IF('CALL SHEET'!$V$4="","",'CALL SHEET'!$V$4)</f>
        <v/>
      </c>
      <c r="G4">
        <f>IF('CALL SHEET'!$D$4="","",'CALL SHEET'!$D$4)</f>
        <v/>
      </c>
      <c r="H4">
        <f>IF('CALL SHEET'!$G$4="","",'CALL SHEET'!$G$4)</f>
        <v/>
      </c>
      <c r="I4">
        <f>IF('CALL SHEET'!$AT$4="","",'CALL SHEET'!$AT$4)</f>
        <v/>
      </c>
      <c r="J4">
        <f>IF('CALL SHEET'!$AX$4="","",'CALL SHEET'!$AX$4)</f>
        <v/>
      </c>
      <c r="K4">
        <f>IF('CALL SHEET'!$N$4="","",'CALL SHEET'!$N$4)</f>
        <v/>
      </c>
      <c r="L4">
        <f>IF('CALL SHEET'!$AE$4="","",'CALL SHEET'!$AE$4)</f>
        <v/>
      </c>
      <c r="M4" t="inlineStr">
        <is>
          <t>TRADE</t>
        </is>
      </c>
      <c r="N4" t="inlineStr">
        <is>
          <t>CALL SHEET · row 4</t>
        </is>
      </c>
    </row>
    <row r="5">
      <c r="A5">
        <f>IF('CALL SHEET'!$A$5="","",'CALL SHEET'!$A$5)</f>
        <v/>
      </c>
      <c r="B5">
        <f>IF('CALL SHEET'!$C$5="","",'CALL SHEET'!$C$5)</f>
        <v/>
      </c>
      <c r="C5">
        <f>'CALL SHEET'!$U$5</f>
        <v/>
      </c>
      <c r="D5">
        <f>'CALL SHEET'!$Y$5</f>
        <v/>
      </c>
      <c r="E5">
        <f>'CALL SHEET'!$AC$5</f>
        <v/>
      </c>
      <c r="F5">
        <f>IF('CALL SHEET'!$V$5="","",'CALL SHEET'!$V$5)</f>
        <v/>
      </c>
      <c r="G5">
        <f>IF('CALL SHEET'!$D$5="","",'CALL SHEET'!$D$5)</f>
        <v/>
      </c>
      <c r="H5">
        <f>IF('CALL SHEET'!$G$5="","",'CALL SHEET'!$G$5)</f>
        <v/>
      </c>
      <c r="I5">
        <f>IF('CALL SHEET'!$AT$5="","",'CALL SHEET'!$AT$5)</f>
        <v/>
      </c>
      <c r="J5">
        <f>IF('CALL SHEET'!$AX$5="","",'CALL SHEET'!$AX$5)</f>
        <v/>
      </c>
      <c r="K5">
        <f>IF('CALL SHEET'!$N$5="","",'CALL SHEET'!$N$5)</f>
        <v/>
      </c>
      <c r="L5">
        <f>IF('CALL SHEET'!$AE$5="","",'CALL SHEET'!$AE$5)</f>
        <v/>
      </c>
      <c r="M5" t="inlineStr">
        <is>
          <t>TRADE</t>
        </is>
      </c>
      <c r="N5" t="inlineStr">
        <is>
          <t>CALL SHEET · row 5</t>
        </is>
      </c>
    </row>
    <row r="6">
      <c r="A6">
        <f>IF('CALL SHEET'!$A$6="","",'CALL SHEET'!$A$6)</f>
        <v/>
      </c>
      <c r="B6">
        <f>IF('CALL SHEET'!$C$6="","",'CALL SHEET'!$C$6)</f>
        <v/>
      </c>
      <c r="C6">
        <f>'CALL SHEET'!$U$6</f>
        <v/>
      </c>
      <c r="D6">
        <f>'CALL SHEET'!$Y$6</f>
        <v/>
      </c>
      <c r="E6">
        <f>'CALL SHEET'!$AC$6</f>
        <v/>
      </c>
      <c r="F6">
        <f>IF('CALL SHEET'!$V$6="","",'CALL SHEET'!$V$6)</f>
        <v/>
      </c>
      <c r="G6">
        <f>IF('CALL SHEET'!$D$6="","",'CALL SHEET'!$D$6)</f>
        <v/>
      </c>
      <c r="H6">
        <f>IF('CALL SHEET'!$G$6="","",'CALL SHEET'!$G$6)</f>
        <v/>
      </c>
      <c r="I6">
        <f>IF('CALL SHEET'!$AT$6="","",'CALL SHEET'!$AT$6)</f>
        <v/>
      </c>
      <c r="J6">
        <f>IF('CALL SHEET'!$AX$6="","",'CALL SHEET'!$AX$6)</f>
        <v/>
      </c>
      <c r="K6">
        <f>IF('CALL SHEET'!$N$6="","",'CALL SHEET'!$N$6)</f>
        <v/>
      </c>
      <c r="L6">
        <f>IF('CALL SHEET'!$AE$6="","",'CALL SHEET'!$AE$6)</f>
        <v/>
      </c>
      <c r="M6" t="inlineStr">
        <is>
          <t>TRADE</t>
        </is>
      </c>
      <c r="N6" t="inlineStr">
        <is>
          <t>CALL SHEET · row 6</t>
        </is>
      </c>
    </row>
    <row r="7">
      <c r="A7">
        <f>IF('CALL SHEET'!$A$7="","",'CALL SHEET'!$A$7)</f>
        <v/>
      </c>
      <c r="B7">
        <f>IF('CALL SHEET'!$C$7="","",'CALL SHEET'!$C$7)</f>
        <v/>
      </c>
      <c r="C7">
        <f>'CALL SHEET'!$U$7</f>
        <v/>
      </c>
      <c r="D7">
        <f>'CALL SHEET'!$Y$7</f>
        <v/>
      </c>
      <c r="E7">
        <f>'CALL SHEET'!$AC$7</f>
        <v/>
      </c>
      <c r="F7">
        <f>IF('CALL SHEET'!$V$7="","",'CALL SHEET'!$V$7)</f>
        <v/>
      </c>
      <c r="G7">
        <f>IF('CALL SHEET'!$D$7="","",'CALL SHEET'!$D$7)</f>
        <v/>
      </c>
      <c r="H7">
        <f>IF('CALL SHEET'!$G$7="","",'CALL SHEET'!$G$7)</f>
        <v/>
      </c>
      <c r="I7">
        <f>IF('CALL SHEET'!$AT$7="","",'CALL SHEET'!$AT$7)</f>
        <v/>
      </c>
      <c r="J7">
        <f>IF('CALL SHEET'!$AX$7="","",'CALL SHEET'!$AX$7)</f>
        <v/>
      </c>
      <c r="K7">
        <f>IF('CALL SHEET'!$N$7="","",'CALL SHEET'!$N$7)</f>
        <v/>
      </c>
      <c r="L7">
        <f>IF('CALL SHEET'!$AE$7="","",'CALL SHEET'!$AE$7)</f>
        <v/>
      </c>
      <c r="M7" t="inlineStr">
        <is>
          <t>TRADE</t>
        </is>
      </c>
      <c r="N7" t="inlineStr">
        <is>
          <t>CALL SHEET · row 7</t>
        </is>
      </c>
    </row>
    <row r="8">
      <c r="A8">
        <f>IF('CALL SHEET'!$A$8="","",'CALL SHEET'!$A$8)</f>
        <v/>
      </c>
      <c r="B8">
        <f>IF('CALL SHEET'!$C$8="","",'CALL SHEET'!$C$8)</f>
        <v/>
      </c>
      <c r="C8">
        <f>'CALL SHEET'!$U$8</f>
        <v/>
      </c>
      <c r="D8">
        <f>'CALL SHEET'!$Y$8</f>
        <v/>
      </c>
      <c r="E8">
        <f>'CALL SHEET'!$AC$8</f>
        <v/>
      </c>
      <c r="F8">
        <f>IF('CALL SHEET'!$V$8="","",'CALL SHEET'!$V$8)</f>
        <v/>
      </c>
      <c r="G8">
        <f>IF('CALL SHEET'!$D$8="","",'CALL SHEET'!$D$8)</f>
        <v/>
      </c>
      <c r="H8">
        <f>IF('CALL SHEET'!$G$8="","",'CALL SHEET'!$G$8)</f>
        <v/>
      </c>
      <c r="I8">
        <f>IF('CALL SHEET'!$AT$8="","",'CALL SHEET'!$AT$8)</f>
        <v/>
      </c>
      <c r="J8">
        <f>IF('CALL SHEET'!$AX$8="","",'CALL SHEET'!$AX$8)</f>
        <v/>
      </c>
      <c r="K8">
        <f>IF('CALL SHEET'!$N$8="","",'CALL SHEET'!$N$8)</f>
        <v/>
      </c>
      <c r="L8">
        <f>IF('CALL SHEET'!$AE$8="","",'CALL SHEET'!$AE$8)</f>
        <v/>
      </c>
      <c r="M8" t="inlineStr">
        <is>
          <t>TRADE</t>
        </is>
      </c>
      <c r="N8" t="inlineStr">
        <is>
          <t>CALL SHEET · row 8</t>
        </is>
      </c>
    </row>
    <row r="9">
      <c r="A9">
        <f>IF('CALL SHEET'!$A$9="","",'CALL SHEET'!$A$9)</f>
        <v/>
      </c>
      <c r="B9">
        <f>IF('CALL SHEET'!$C$9="","",'CALL SHEET'!$C$9)</f>
        <v/>
      </c>
      <c r="C9">
        <f>'CALL SHEET'!$U$9</f>
        <v/>
      </c>
      <c r="D9">
        <f>'CALL SHEET'!$Y$9</f>
        <v/>
      </c>
      <c r="E9">
        <f>'CALL SHEET'!$AC$9</f>
        <v/>
      </c>
      <c r="F9">
        <f>IF('CALL SHEET'!$V$9="","",'CALL SHEET'!$V$9)</f>
        <v/>
      </c>
      <c r="G9">
        <f>IF('CALL SHEET'!$D$9="","",'CALL SHEET'!$D$9)</f>
        <v/>
      </c>
      <c r="H9">
        <f>IF('CALL SHEET'!$G$9="","",'CALL SHEET'!$G$9)</f>
        <v/>
      </c>
      <c r="I9">
        <f>IF('CALL SHEET'!$AT$9="","",'CALL SHEET'!$AT$9)</f>
        <v/>
      </c>
      <c r="J9">
        <f>IF('CALL SHEET'!$AX$9="","",'CALL SHEET'!$AX$9)</f>
        <v/>
      </c>
      <c r="K9">
        <f>IF('CALL SHEET'!$N$9="","",'CALL SHEET'!$N$9)</f>
        <v/>
      </c>
      <c r="L9">
        <f>IF('CALL SHEET'!$AE$9="","",'CALL SHEET'!$AE$9)</f>
        <v/>
      </c>
      <c r="M9" t="inlineStr">
        <is>
          <t>TRADE</t>
        </is>
      </c>
      <c r="N9" t="inlineStr">
        <is>
          <t>CALL SHEET · row 9</t>
        </is>
      </c>
    </row>
    <row r="10">
      <c r="A10">
        <f>IF('CALL SHEET'!$A$10="","",'CALL SHEET'!$A$10)</f>
        <v/>
      </c>
      <c r="B10">
        <f>IF('CALL SHEET'!$C$10="","",'CALL SHEET'!$C$10)</f>
        <v/>
      </c>
      <c r="C10">
        <f>'CALL SHEET'!$U$10</f>
        <v/>
      </c>
      <c r="D10">
        <f>'CALL SHEET'!$Y$10</f>
        <v/>
      </c>
      <c r="E10">
        <f>'CALL SHEET'!$AC$10</f>
        <v/>
      </c>
      <c r="F10">
        <f>IF('CALL SHEET'!$V$10="","",'CALL SHEET'!$V$10)</f>
        <v/>
      </c>
      <c r="G10">
        <f>IF('CALL SHEET'!$D$10="","",'CALL SHEET'!$D$10)</f>
        <v/>
      </c>
      <c r="H10">
        <f>IF('CALL SHEET'!$G$10="","",'CALL SHEET'!$G$10)</f>
        <v/>
      </c>
      <c r="I10">
        <f>IF('CALL SHEET'!$AT$10="","",'CALL SHEET'!$AT$10)</f>
        <v/>
      </c>
      <c r="J10">
        <f>IF('CALL SHEET'!$AX$10="","",'CALL SHEET'!$AX$10)</f>
        <v/>
      </c>
      <c r="K10">
        <f>IF('CALL SHEET'!$N$10="","",'CALL SHEET'!$N$10)</f>
        <v/>
      </c>
      <c r="L10">
        <f>IF('CALL SHEET'!$AE$10="","",'CALL SHEET'!$AE$10)</f>
        <v/>
      </c>
      <c r="M10" t="inlineStr">
        <is>
          <t>TRADE</t>
        </is>
      </c>
      <c r="N10" t="inlineStr">
        <is>
          <t>CALL SHEET · row 10</t>
        </is>
      </c>
    </row>
    <row r="11">
      <c r="A11">
        <f>IF('CALL SHEET'!$A$11="","",'CALL SHEET'!$A$11)</f>
        <v/>
      </c>
      <c r="B11">
        <f>IF('CALL SHEET'!$C$11="","",'CALL SHEET'!$C$11)</f>
        <v/>
      </c>
      <c r="C11">
        <f>'CALL SHEET'!$U$11</f>
        <v/>
      </c>
      <c r="D11">
        <f>'CALL SHEET'!$Y$11</f>
        <v/>
      </c>
      <c r="E11">
        <f>'CALL SHEET'!$AC$11</f>
        <v/>
      </c>
      <c r="F11">
        <f>IF('CALL SHEET'!$V$11="","",'CALL SHEET'!$V$11)</f>
        <v/>
      </c>
      <c r="G11">
        <f>IF('CALL SHEET'!$D$11="","",'CALL SHEET'!$D$11)</f>
        <v/>
      </c>
      <c r="H11">
        <f>IF('CALL SHEET'!$G$11="","",'CALL SHEET'!$G$11)</f>
        <v/>
      </c>
      <c r="I11">
        <f>IF('CALL SHEET'!$AT$11="","",'CALL SHEET'!$AT$11)</f>
        <v/>
      </c>
      <c r="J11">
        <f>IF('CALL SHEET'!$AX$11="","",'CALL SHEET'!$AX$11)</f>
        <v/>
      </c>
      <c r="K11">
        <f>IF('CALL SHEET'!$N$11="","",'CALL SHEET'!$N$11)</f>
        <v/>
      </c>
      <c r="L11">
        <f>IF('CALL SHEET'!$AE$11="","",'CALL SHEET'!$AE$11)</f>
        <v/>
      </c>
      <c r="M11" t="inlineStr">
        <is>
          <t>TRADE</t>
        </is>
      </c>
      <c r="N11" t="inlineStr">
        <is>
          <t>CALL SHEET · row 11</t>
        </is>
      </c>
    </row>
    <row r="12">
      <c r="A12">
        <f>IF('CALL SHEET'!$A$12="","",'CALL SHEET'!$A$12)</f>
        <v/>
      </c>
      <c r="B12">
        <f>IF('CALL SHEET'!$C$12="","",'CALL SHEET'!$C$12)</f>
        <v/>
      </c>
      <c r="C12">
        <f>'CALL SHEET'!$U$12</f>
        <v/>
      </c>
      <c r="D12">
        <f>'CALL SHEET'!$Y$12</f>
        <v/>
      </c>
      <c r="E12">
        <f>'CALL SHEET'!$AC$12</f>
        <v/>
      </c>
      <c r="F12">
        <f>IF('CALL SHEET'!$V$12="","",'CALL SHEET'!$V$12)</f>
        <v/>
      </c>
      <c r="G12">
        <f>IF('CALL SHEET'!$D$12="","",'CALL SHEET'!$D$12)</f>
        <v/>
      </c>
      <c r="H12">
        <f>IF('CALL SHEET'!$G$12="","",'CALL SHEET'!$G$12)</f>
        <v/>
      </c>
      <c r="I12">
        <f>IF('CALL SHEET'!$AT$12="","",'CALL SHEET'!$AT$12)</f>
        <v/>
      </c>
      <c r="J12">
        <f>IF('CALL SHEET'!$AX$12="","",'CALL SHEET'!$AX$12)</f>
        <v/>
      </c>
      <c r="K12">
        <f>IF('CALL SHEET'!$N$12="","",'CALL SHEET'!$N$12)</f>
        <v/>
      </c>
      <c r="L12">
        <f>IF('CALL SHEET'!$AE$12="","",'CALL SHEET'!$AE$12)</f>
        <v/>
      </c>
      <c r="M12" t="inlineStr">
        <is>
          <t>TRADE</t>
        </is>
      </c>
      <c r="N12" t="inlineStr">
        <is>
          <t>CALL SHEET · row 12</t>
        </is>
      </c>
    </row>
    <row r="13">
      <c r="A13">
        <f>IF('CALL SHEET'!$A$13="","",'CALL SHEET'!$A$13)</f>
        <v/>
      </c>
      <c r="B13">
        <f>IF('CALL SHEET'!$C$13="","",'CALL SHEET'!$C$13)</f>
        <v/>
      </c>
      <c r="C13">
        <f>'CALL SHEET'!$U$13</f>
        <v/>
      </c>
      <c r="D13">
        <f>'CALL SHEET'!$Y$13</f>
        <v/>
      </c>
      <c r="E13">
        <f>'CALL SHEET'!$AC$13</f>
        <v/>
      </c>
      <c r="F13">
        <f>IF('CALL SHEET'!$V$13="","",'CALL SHEET'!$V$13)</f>
        <v/>
      </c>
      <c r="G13">
        <f>IF('CALL SHEET'!$D$13="","",'CALL SHEET'!$D$13)</f>
        <v/>
      </c>
      <c r="H13">
        <f>IF('CALL SHEET'!$G$13="","",'CALL SHEET'!$G$13)</f>
        <v/>
      </c>
      <c r="I13">
        <f>IF('CALL SHEET'!$AT$13="","",'CALL SHEET'!$AT$13)</f>
        <v/>
      </c>
      <c r="J13">
        <f>IF('CALL SHEET'!$AX$13="","",'CALL SHEET'!$AX$13)</f>
        <v/>
      </c>
      <c r="K13">
        <f>IF('CALL SHEET'!$N$13="","",'CALL SHEET'!$N$13)</f>
        <v/>
      </c>
      <c r="L13">
        <f>IF('CALL SHEET'!$AE$13="","",'CALL SHEET'!$AE$13)</f>
        <v/>
      </c>
      <c r="M13" t="inlineStr">
        <is>
          <t>TRADE</t>
        </is>
      </c>
      <c r="N13" t="inlineStr">
        <is>
          <t>CALL SHEET · row 13</t>
        </is>
      </c>
    </row>
    <row r="14">
      <c r="A14">
        <f>IF('CALL SHEET'!$A$14="","",'CALL SHEET'!$A$14)</f>
        <v/>
      </c>
      <c r="B14">
        <f>IF('CALL SHEET'!$C$14="","",'CALL SHEET'!$C$14)</f>
        <v/>
      </c>
      <c r="C14">
        <f>'CALL SHEET'!$U$14</f>
        <v/>
      </c>
      <c r="D14">
        <f>'CALL SHEET'!$Y$14</f>
        <v/>
      </c>
      <c r="E14">
        <f>'CALL SHEET'!$AC$14</f>
        <v/>
      </c>
      <c r="F14">
        <f>IF('CALL SHEET'!$V$14="","",'CALL SHEET'!$V$14)</f>
        <v/>
      </c>
      <c r="G14">
        <f>IF('CALL SHEET'!$D$14="","",'CALL SHEET'!$D$14)</f>
        <v/>
      </c>
      <c r="H14">
        <f>IF('CALL SHEET'!$G$14="","",'CALL SHEET'!$G$14)</f>
        <v/>
      </c>
      <c r="I14">
        <f>IF('CALL SHEET'!$AT$14="","",'CALL SHEET'!$AT$14)</f>
        <v/>
      </c>
      <c r="J14">
        <f>IF('CALL SHEET'!$AX$14="","",'CALL SHEET'!$AX$14)</f>
        <v/>
      </c>
      <c r="K14">
        <f>IF('CALL SHEET'!$N$14="","",'CALL SHEET'!$N$14)</f>
        <v/>
      </c>
      <c r="L14">
        <f>IF('CALL SHEET'!$AE$14="","",'CALL SHEET'!$AE$14)</f>
        <v/>
      </c>
      <c r="M14" t="inlineStr">
        <is>
          <t>TRADE</t>
        </is>
      </c>
      <c r="N14" t="inlineStr">
        <is>
          <t>CALL SHEET · row 14</t>
        </is>
      </c>
    </row>
    <row r="15">
      <c r="A15">
        <f>IF('CALL SHEET'!$A$15="","",'CALL SHEET'!$A$15)</f>
        <v/>
      </c>
      <c r="B15">
        <f>IF('CALL SHEET'!$C$15="","",'CALL SHEET'!$C$15)</f>
        <v/>
      </c>
      <c r="C15">
        <f>'CALL SHEET'!$U$15</f>
        <v/>
      </c>
      <c r="D15">
        <f>'CALL SHEET'!$Y$15</f>
        <v/>
      </c>
      <c r="E15">
        <f>'CALL SHEET'!$AC$15</f>
        <v/>
      </c>
      <c r="F15">
        <f>IF('CALL SHEET'!$V$15="","",'CALL SHEET'!$V$15)</f>
        <v/>
      </c>
      <c r="G15">
        <f>IF('CALL SHEET'!$D$15="","",'CALL SHEET'!$D$15)</f>
        <v/>
      </c>
      <c r="H15">
        <f>IF('CALL SHEET'!$G$15="","",'CALL SHEET'!$G$15)</f>
        <v/>
      </c>
      <c r="I15">
        <f>IF('CALL SHEET'!$AT$15="","",'CALL SHEET'!$AT$15)</f>
        <v/>
      </c>
      <c r="J15">
        <f>IF('CALL SHEET'!$AX$15="","",'CALL SHEET'!$AX$15)</f>
        <v/>
      </c>
      <c r="K15">
        <f>IF('CALL SHEET'!$N$15="","",'CALL SHEET'!$N$15)</f>
        <v/>
      </c>
      <c r="L15">
        <f>IF('CALL SHEET'!$AE$15="","",'CALL SHEET'!$AE$15)</f>
        <v/>
      </c>
      <c r="M15" t="inlineStr">
        <is>
          <t>TRADE</t>
        </is>
      </c>
      <c r="N15" t="inlineStr">
        <is>
          <t>CALL SHEET · row 15</t>
        </is>
      </c>
    </row>
    <row r="16">
      <c r="A16">
        <f>IF('CALL SHEET'!$A$16="","",'CALL SHEET'!$A$16)</f>
        <v/>
      </c>
      <c r="B16">
        <f>IF('CALL SHEET'!$C$16="","",'CALL SHEET'!$C$16)</f>
        <v/>
      </c>
      <c r="C16">
        <f>'CALL SHEET'!$U$16</f>
        <v/>
      </c>
      <c r="D16">
        <f>'CALL SHEET'!$Y$16</f>
        <v/>
      </c>
      <c r="E16">
        <f>'CALL SHEET'!$AC$16</f>
        <v/>
      </c>
      <c r="F16">
        <f>IF('CALL SHEET'!$V$16="","",'CALL SHEET'!$V$16)</f>
        <v/>
      </c>
      <c r="G16">
        <f>IF('CALL SHEET'!$D$16="","",'CALL SHEET'!$D$16)</f>
        <v/>
      </c>
      <c r="H16">
        <f>IF('CALL SHEET'!$G$16="","",'CALL SHEET'!$G$16)</f>
        <v/>
      </c>
      <c r="I16">
        <f>IF('CALL SHEET'!$AT$16="","",'CALL SHEET'!$AT$16)</f>
        <v/>
      </c>
      <c r="J16">
        <f>IF('CALL SHEET'!$AX$16="","",'CALL SHEET'!$AX$16)</f>
        <v/>
      </c>
      <c r="K16">
        <f>IF('CALL SHEET'!$N$16="","",'CALL SHEET'!$N$16)</f>
        <v/>
      </c>
      <c r="L16">
        <f>IF('CALL SHEET'!$AE$16="","",'CALL SHEET'!$AE$16)</f>
        <v/>
      </c>
      <c r="M16" t="inlineStr">
        <is>
          <t>TRADE</t>
        </is>
      </c>
      <c r="N16" t="inlineStr">
        <is>
          <t>CALL SHEET · row 16</t>
        </is>
      </c>
    </row>
    <row r="17">
      <c r="A17">
        <f>IF('CALL SHEET'!$A$17="","",'CALL SHEET'!$A$17)</f>
        <v/>
      </c>
      <c r="B17">
        <f>IF('CALL SHEET'!$C$17="","",'CALL SHEET'!$C$17)</f>
        <v/>
      </c>
      <c r="C17">
        <f>'CALL SHEET'!$U$17</f>
        <v/>
      </c>
      <c r="D17">
        <f>'CALL SHEET'!$Y$17</f>
        <v/>
      </c>
      <c r="E17">
        <f>'CALL SHEET'!$AC$17</f>
        <v/>
      </c>
      <c r="F17">
        <f>IF('CALL SHEET'!$V$17="","",'CALL SHEET'!$V$17)</f>
        <v/>
      </c>
      <c r="G17">
        <f>IF('CALL SHEET'!$D$17="","",'CALL SHEET'!$D$17)</f>
        <v/>
      </c>
      <c r="H17">
        <f>IF('CALL SHEET'!$G$17="","",'CALL SHEET'!$G$17)</f>
        <v/>
      </c>
      <c r="I17">
        <f>IF('CALL SHEET'!$AT$17="","",'CALL SHEET'!$AT$17)</f>
        <v/>
      </c>
      <c r="J17">
        <f>IF('CALL SHEET'!$AX$17="","",'CALL SHEET'!$AX$17)</f>
        <v/>
      </c>
      <c r="K17">
        <f>IF('CALL SHEET'!$N$17="","",'CALL SHEET'!$N$17)</f>
        <v/>
      </c>
      <c r="L17">
        <f>IF('CALL SHEET'!$AE$17="","",'CALL SHEET'!$AE$17)</f>
        <v/>
      </c>
      <c r="M17" t="inlineStr">
        <is>
          <t>TRADE</t>
        </is>
      </c>
      <c r="N17" t="inlineStr">
        <is>
          <t>CALL SHEET · row 17</t>
        </is>
      </c>
    </row>
    <row r="18">
      <c r="A18">
        <f>IF('CALL SHEET'!$A$18="","",'CALL SHEET'!$A$18)</f>
        <v/>
      </c>
      <c r="B18">
        <f>IF('CALL SHEET'!$C$18="","",'CALL SHEET'!$C$18)</f>
        <v/>
      </c>
      <c r="C18">
        <f>'CALL SHEET'!$U$18</f>
        <v/>
      </c>
      <c r="D18">
        <f>'CALL SHEET'!$Y$18</f>
        <v/>
      </c>
      <c r="E18">
        <f>'CALL SHEET'!$AC$18</f>
        <v/>
      </c>
      <c r="F18">
        <f>IF('CALL SHEET'!$V$18="","",'CALL SHEET'!$V$18)</f>
        <v/>
      </c>
      <c r="G18">
        <f>IF('CALL SHEET'!$D$18="","",'CALL SHEET'!$D$18)</f>
        <v/>
      </c>
      <c r="H18">
        <f>IF('CALL SHEET'!$G$18="","",'CALL SHEET'!$G$18)</f>
        <v/>
      </c>
      <c r="I18">
        <f>IF('CALL SHEET'!$AT$18="","",'CALL SHEET'!$AT$18)</f>
        <v/>
      </c>
      <c r="J18">
        <f>IF('CALL SHEET'!$AX$18="","",'CALL SHEET'!$AX$18)</f>
        <v/>
      </c>
      <c r="K18">
        <f>IF('CALL SHEET'!$N$18="","",'CALL SHEET'!$N$18)</f>
        <v/>
      </c>
      <c r="L18">
        <f>IF('CALL SHEET'!$AE$18="","",'CALL SHEET'!$AE$18)</f>
        <v/>
      </c>
      <c r="M18" t="inlineStr">
        <is>
          <t>TRADE</t>
        </is>
      </c>
      <c r="N18" t="inlineStr">
        <is>
          <t>CALL SHEET · row 18</t>
        </is>
      </c>
    </row>
    <row r="19">
      <c r="A19">
        <f>IF('CALL SHEET'!$A$19="","",'CALL SHEET'!$A$19)</f>
        <v/>
      </c>
      <c r="B19">
        <f>IF('CALL SHEET'!$C$19="","",'CALL SHEET'!$C$19)</f>
        <v/>
      </c>
      <c r="C19">
        <f>'CALL SHEET'!$U$19</f>
        <v/>
      </c>
      <c r="D19">
        <f>'CALL SHEET'!$Y$19</f>
        <v/>
      </c>
      <c r="E19">
        <f>'CALL SHEET'!$AC$19</f>
        <v/>
      </c>
      <c r="F19">
        <f>IF('CALL SHEET'!$V$19="","",'CALL SHEET'!$V$19)</f>
        <v/>
      </c>
      <c r="G19">
        <f>IF('CALL SHEET'!$D$19="","",'CALL SHEET'!$D$19)</f>
        <v/>
      </c>
      <c r="H19">
        <f>IF('CALL SHEET'!$G$19="","",'CALL SHEET'!$G$19)</f>
        <v/>
      </c>
      <c r="I19">
        <f>IF('CALL SHEET'!$AT$19="","",'CALL SHEET'!$AT$19)</f>
        <v/>
      </c>
      <c r="J19">
        <f>IF('CALL SHEET'!$AX$19="","",'CALL SHEET'!$AX$19)</f>
        <v/>
      </c>
      <c r="K19">
        <f>IF('CALL SHEET'!$N$19="","",'CALL SHEET'!$N$19)</f>
        <v/>
      </c>
      <c r="L19">
        <f>IF('CALL SHEET'!$AE$19="","",'CALL SHEET'!$AE$19)</f>
        <v/>
      </c>
      <c r="M19" t="inlineStr">
        <is>
          <t>TRADE</t>
        </is>
      </c>
      <c r="N19" t="inlineStr">
        <is>
          <t>CALL SHEET · row 19</t>
        </is>
      </c>
    </row>
    <row r="20">
      <c r="A20">
        <f>IF('CALL SHEET'!$A$20="","",'CALL SHEET'!$A$20)</f>
        <v/>
      </c>
      <c r="B20">
        <f>IF('CALL SHEET'!$C$20="","",'CALL SHEET'!$C$20)</f>
        <v/>
      </c>
      <c r="C20">
        <f>'CALL SHEET'!$U$20</f>
        <v/>
      </c>
      <c r="D20">
        <f>'CALL SHEET'!$Y$20</f>
        <v/>
      </c>
      <c r="E20">
        <f>'CALL SHEET'!$AC$20</f>
        <v/>
      </c>
      <c r="F20">
        <f>IF('CALL SHEET'!$V$20="","",'CALL SHEET'!$V$20)</f>
        <v/>
      </c>
      <c r="G20">
        <f>IF('CALL SHEET'!$D$20="","",'CALL SHEET'!$D$20)</f>
        <v/>
      </c>
      <c r="H20">
        <f>IF('CALL SHEET'!$G$20="","",'CALL SHEET'!$G$20)</f>
        <v/>
      </c>
      <c r="I20">
        <f>IF('CALL SHEET'!$AT$20="","",'CALL SHEET'!$AT$20)</f>
        <v/>
      </c>
      <c r="J20">
        <f>IF('CALL SHEET'!$AX$20="","",'CALL SHEET'!$AX$20)</f>
        <v/>
      </c>
      <c r="K20">
        <f>IF('CALL SHEET'!$N$20="","",'CALL SHEET'!$N$20)</f>
        <v/>
      </c>
      <c r="L20">
        <f>IF('CALL SHEET'!$AE$20="","",'CALL SHEET'!$AE$20)</f>
        <v/>
      </c>
      <c r="M20" t="inlineStr">
        <is>
          <t>TRADE</t>
        </is>
      </c>
      <c r="N20" t="inlineStr">
        <is>
          <t>CALL SHEET · row 20</t>
        </is>
      </c>
    </row>
    <row r="21">
      <c r="A21">
        <f>IF('CALL SHEET'!$A$21="","",'CALL SHEET'!$A$21)</f>
        <v/>
      </c>
      <c r="B21">
        <f>IF('CALL SHEET'!$C$21="","",'CALL SHEET'!$C$21)</f>
        <v/>
      </c>
      <c r="C21">
        <f>'CALL SHEET'!$U$21</f>
        <v/>
      </c>
      <c r="D21">
        <f>'CALL SHEET'!$Y$21</f>
        <v/>
      </c>
      <c r="E21">
        <f>'CALL SHEET'!$AC$21</f>
        <v/>
      </c>
      <c r="F21">
        <f>IF('CALL SHEET'!$V$21="","",'CALL SHEET'!$V$21)</f>
        <v/>
      </c>
      <c r="G21">
        <f>IF('CALL SHEET'!$D$21="","",'CALL SHEET'!$D$21)</f>
        <v/>
      </c>
      <c r="H21">
        <f>IF('CALL SHEET'!$G$21="","",'CALL SHEET'!$G$21)</f>
        <v/>
      </c>
      <c r="I21">
        <f>IF('CALL SHEET'!$AT$21="","",'CALL SHEET'!$AT$21)</f>
        <v/>
      </c>
      <c r="J21">
        <f>IF('CALL SHEET'!$AX$21="","",'CALL SHEET'!$AX$21)</f>
        <v/>
      </c>
      <c r="K21">
        <f>IF('CALL SHEET'!$N$21="","",'CALL SHEET'!$N$21)</f>
        <v/>
      </c>
      <c r="L21">
        <f>IF('CALL SHEET'!$AE$21="","",'CALL SHEET'!$AE$21)</f>
        <v/>
      </c>
      <c r="M21" t="inlineStr">
        <is>
          <t>TRADE</t>
        </is>
      </c>
      <c r="N21" t="inlineStr">
        <is>
          <t>CALL SHEET · row 21</t>
        </is>
      </c>
    </row>
    <row r="22">
      <c r="A22">
        <f>IF('CALL SHEET'!$A$22="","",'CALL SHEET'!$A$22)</f>
        <v/>
      </c>
      <c r="B22">
        <f>IF('CALL SHEET'!$C$22="","",'CALL SHEET'!$C$22)</f>
        <v/>
      </c>
      <c r="C22">
        <f>'CALL SHEET'!$U$22</f>
        <v/>
      </c>
      <c r="D22">
        <f>'CALL SHEET'!$Y$22</f>
        <v/>
      </c>
      <c r="E22">
        <f>'CALL SHEET'!$AC$22</f>
        <v/>
      </c>
      <c r="F22">
        <f>IF('CALL SHEET'!$V$22="","",'CALL SHEET'!$V$22)</f>
        <v/>
      </c>
      <c r="G22">
        <f>IF('CALL SHEET'!$D$22="","",'CALL SHEET'!$D$22)</f>
        <v/>
      </c>
      <c r="H22">
        <f>IF('CALL SHEET'!$G$22="","",'CALL SHEET'!$G$22)</f>
        <v/>
      </c>
      <c r="I22">
        <f>IF('CALL SHEET'!$AT$22="","",'CALL SHEET'!$AT$22)</f>
        <v/>
      </c>
      <c r="J22">
        <f>IF('CALL SHEET'!$AX$22="","",'CALL SHEET'!$AX$22)</f>
        <v/>
      </c>
      <c r="K22">
        <f>IF('CALL SHEET'!$N$22="","",'CALL SHEET'!$N$22)</f>
        <v/>
      </c>
      <c r="L22">
        <f>IF('CALL SHEET'!$AE$22="","",'CALL SHEET'!$AE$22)</f>
        <v/>
      </c>
      <c r="M22" t="inlineStr">
        <is>
          <t>TRADE</t>
        </is>
      </c>
      <c r="N22" t="inlineStr">
        <is>
          <t>CALL SHEET · row 22</t>
        </is>
      </c>
    </row>
    <row r="23">
      <c r="A23">
        <f>IF('CALL SHEET'!$A$23="","",'CALL SHEET'!$A$23)</f>
        <v/>
      </c>
      <c r="B23">
        <f>IF('CALL SHEET'!$C$23="","",'CALL SHEET'!$C$23)</f>
        <v/>
      </c>
      <c r="C23">
        <f>'CALL SHEET'!$U$23</f>
        <v/>
      </c>
      <c r="D23">
        <f>'CALL SHEET'!$Y$23</f>
        <v/>
      </c>
      <c r="E23">
        <f>'CALL SHEET'!$AC$23</f>
        <v/>
      </c>
      <c r="F23">
        <f>IF('CALL SHEET'!$V$23="","",'CALL SHEET'!$V$23)</f>
        <v/>
      </c>
      <c r="G23">
        <f>IF('CALL SHEET'!$D$23="","",'CALL SHEET'!$D$23)</f>
        <v/>
      </c>
      <c r="H23">
        <f>IF('CALL SHEET'!$G$23="","",'CALL SHEET'!$G$23)</f>
        <v/>
      </c>
      <c r="I23">
        <f>IF('CALL SHEET'!$AT$23="","",'CALL SHEET'!$AT$23)</f>
        <v/>
      </c>
      <c r="J23">
        <f>IF('CALL SHEET'!$AX$23="","",'CALL SHEET'!$AX$23)</f>
        <v/>
      </c>
      <c r="K23">
        <f>IF('CALL SHEET'!$N$23="","",'CALL SHEET'!$N$23)</f>
        <v/>
      </c>
      <c r="L23">
        <f>IF('CALL SHEET'!$AE$23="","",'CALL SHEET'!$AE$23)</f>
        <v/>
      </c>
      <c r="M23" t="inlineStr">
        <is>
          <t>TRADE</t>
        </is>
      </c>
      <c r="N23" t="inlineStr">
        <is>
          <t>CALL SHEET · row 23</t>
        </is>
      </c>
    </row>
    <row r="24">
      <c r="A24">
        <f>IF('CALL SHEET'!$A$24="","",'CALL SHEET'!$A$24)</f>
        <v/>
      </c>
      <c r="B24">
        <f>IF('CALL SHEET'!$C$24="","",'CALL SHEET'!$C$24)</f>
        <v/>
      </c>
      <c r="C24">
        <f>'CALL SHEET'!$U$24</f>
        <v/>
      </c>
      <c r="D24">
        <f>'CALL SHEET'!$Y$24</f>
        <v/>
      </c>
      <c r="E24">
        <f>'CALL SHEET'!$AC$24</f>
        <v/>
      </c>
      <c r="F24">
        <f>IF('CALL SHEET'!$V$24="","",'CALL SHEET'!$V$24)</f>
        <v/>
      </c>
      <c r="G24">
        <f>IF('CALL SHEET'!$D$24="","",'CALL SHEET'!$D$24)</f>
        <v/>
      </c>
      <c r="H24">
        <f>IF('CALL SHEET'!$G$24="","",'CALL SHEET'!$G$24)</f>
        <v/>
      </c>
      <c r="I24">
        <f>IF('CALL SHEET'!$AT$24="","",'CALL SHEET'!$AT$24)</f>
        <v/>
      </c>
      <c r="J24">
        <f>IF('CALL SHEET'!$AX$24="","",'CALL SHEET'!$AX$24)</f>
        <v/>
      </c>
      <c r="K24">
        <f>IF('CALL SHEET'!$N$24="","",'CALL SHEET'!$N$24)</f>
        <v/>
      </c>
      <c r="L24">
        <f>IF('CALL SHEET'!$AE$24="","",'CALL SHEET'!$AE$24)</f>
        <v/>
      </c>
      <c r="M24" t="inlineStr">
        <is>
          <t>TRADE</t>
        </is>
      </c>
      <c r="N24" t="inlineStr">
        <is>
          <t>CALL SHEET · row 24</t>
        </is>
      </c>
    </row>
    <row r="25">
      <c r="A25">
        <f>IF('CALL SHEET'!$A$25="","",'CALL SHEET'!$A$25)</f>
        <v/>
      </c>
      <c r="B25">
        <f>IF('CALL SHEET'!$C$25="","",'CALL SHEET'!$C$25)</f>
        <v/>
      </c>
      <c r="C25">
        <f>'CALL SHEET'!$U$25</f>
        <v/>
      </c>
      <c r="D25">
        <f>'CALL SHEET'!$Y$25</f>
        <v/>
      </c>
      <c r="E25">
        <f>'CALL SHEET'!$AC$25</f>
        <v/>
      </c>
      <c r="F25">
        <f>IF('CALL SHEET'!$V$25="","",'CALL SHEET'!$V$25)</f>
        <v/>
      </c>
      <c r="G25">
        <f>IF('CALL SHEET'!$D$25="","",'CALL SHEET'!$D$25)</f>
        <v/>
      </c>
      <c r="H25">
        <f>IF('CALL SHEET'!$G$25="","",'CALL SHEET'!$G$25)</f>
        <v/>
      </c>
      <c r="I25">
        <f>IF('CALL SHEET'!$AT$25="","",'CALL SHEET'!$AT$25)</f>
        <v/>
      </c>
      <c r="J25">
        <f>IF('CALL SHEET'!$AX$25="","",'CALL SHEET'!$AX$25)</f>
        <v/>
      </c>
      <c r="K25">
        <f>IF('CALL SHEET'!$N$25="","",'CALL SHEET'!$N$25)</f>
        <v/>
      </c>
      <c r="L25">
        <f>IF('CALL SHEET'!$AE$25="","",'CALL SHEET'!$AE$25)</f>
        <v/>
      </c>
      <c r="M25" t="inlineStr">
        <is>
          <t>TRADE</t>
        </is>
      </c>
      <c r="N25" t="inlineStr">
        <is>
          <t>CALL SHEET · row 25</t>
        </is>
      </c>
    </row>
    <row r="26">
      <c r="A26">
        <f>IF('CALL SHEET'!$A$26="","",'CALL SHEET'!$A$26)</f>
        <v/>
      </c>
      <c r="B26">
        <f>IF('CALL SHEET'!$C$26="","",'CALL SHEET'!$C$26)</f>
        <v/>
      </c>
      <c r="C26">
        <f>'CALL SHEET'!$U$26</f>
        <v/>
      </c>
      <c r="D26">
        <f>'CALL SHEET'!$Y$26</f>
        <v/>
      </c>
      <c r="E26">
        <f>'CALL SHEET'!$AC$26</f>
        <v/>
      </c>
      <c r="F26">
        <f>IF('CALL SHEET'!$V$26="","",'CALL SHEET'!$V$26)</f>
        <v/>
      </c>
      <c r="G26">
        <f>IF('CALL SHEET'!$D$26="","",'CALL SHEET'!$D$26)</f>
        <v/>
      </c>
      <c r="H26">
        <f>IF('CALL SHEET'!$G$26="","",'CALL SHEET'!$G$26)</f>
        <v/>
      </c>
      <c r="I26">
        <f>IF('CALL SHEET'!$AT$26="","",'CALL SHEET'!$AT$26)</f>
        <v/>
      </c>
      <c r="J26">
        <f>IF('CALL SHEET'!$AX$26="","",'CALL SHEET'!$AX$26)</f>
        <v/>
      </c>
      <c r="K26">
        <f>IF('CALL SHEET'!$N$26="","",'CALL SHEET'!$N$26)</f>
        <v/>
      </c>
      <c r="L26">
        <f>IF('CALL SHEET'!$AE$26="","",'CALL SHEET'!$AE$26)</f>
        <v/>
      </c>
      <c r="M26" t="inlineStr">
        <is>
          <t>TRADE</t>
        </is>
      </c>
      <c r="N26" t="inlineStr">
        <is>
          <t>CALL SHEET · row 26</t>
        </is>
      </c>
    </row>
    <row r="27">
      <c r="A27">
        <f>IF('CALL SHEET'!$A$27="","",'CALL SHEET'!$A$27)</f>
        <v/>
      </c>
      <c r="B27">
        <f>IF('CALL SHEET'!$C$27="","",'CALL SHEET'!$C$27)</f>
        <v/>
      </c>
      <c r="C27">
        <f>'CALL SHEET'!$U$27</f>
        <v/>
      </c>
      <c r="D27">
        <f>'CALL SHEET'!$Y$27</f>
        <v/>
      </c>
      <c r="E27">
        <f>'CALL SHEET'!$AC$27</f>
        <v/>
      </c>
      <c r="F27">
        <f>IF('CALL SHEET'!$V$27="","",'CALL SHEET'!$V$27)</f>
        <v/>
      </c>
      <c r="G27">
        <f>IF('CALL SHEET'!$D$27="","",'CALL SHEET'!$D$27)</f>
        <v/>
      </c>
      <c r="H27">
        <f>IF('CALL SHEET'!$G$27="","",'CALL SHEET'!$G$27)</f>
        <v/>
      </c>
      <c r="I27">
        <f>IF('CALL SHEET'!$AT$27="","",'CALL SHEET'!$AT$27)</f>
        <v/>
      </c>
      <c r="J27">
        <f>IF('CALL SHEET'!$AX$27="","",'CALL SHEET'!$AX$27)</f>
        <v/>
      </c>
      <c r="K27">
        <f>IF('CALL SHEET'!$N$27="","",'CALL SHEET'!$N$27)</f>
        <v/>
      </c>
      <c r="L27">
        <f>IF('CALL SHEET'!$AE$27="","",'CALL SHEET'!$AE$27)</f>
        <v/>
      </c>
      <c r="M27" t="inlineStr">
        <is>
          <t>TRADE</t>
        </is>
      </c>
      <c r="N27" t="inlineStr">
        <is>
          <t>CALL SHEET · row 27</t>
        </is>
      </c>
    </row>
    <row r="28">
      <c r="A28">
        <f>IF('CALL SHEET'!$A$28="","",'CALL SHEET'!$A$28)</f>
        <v/>
      </c>
      <c r="B28">
        <f>IF('CALL SHEET'!$C$28="","",'CALL SHEET'!$C$28)</f>
        <v/>
      </c>
      <c r="C28">
        <f>'CALL SHEET'!$U$28</f>
        <v/>
      </c>
      <c r="D28">
        <f>'CALL SHEET'!$Y$28</f>
        <v/>
      </c>
      <c r="E28">
        <f>'CALL SHEET'!$AC$28</f>
        <v/>
      </c>
      <c r="F28">
        <f>IF('CALL SHEET'!$V$28="","",'CALL SHEET'!$V$28)</f>
        <v/>
      </c>
      <c r="G28">
        <f>IF('CALL SHEET'!$D$28="","",'CALL SHEET'!$D$28)</f>
        <v/>
      </c>
      <c r="H28">
        <f>IF('CALL SHEET'!$G$28="","",'CALL SHEET'!$G$28)</f>
        <v/>
      </c>
      <c r="I28">
        <f>IF('CALL SHEET'!$AT$28="","",'CALL SHEET'!$AT$28)</f>
        <v/>
      </c>
      <c r="J28">
        <f>IF('CALL SHEET'!$AX$28="","",'CALL SHEET'!$AX$28)</f>
        <v/>
      </c>
      <c r="K28">
        <f>IF('CALL SHEET'!$N$28="","",'CALL SHEET'!$N$28)</f>
        <v/>
      </c>
      <c r="L28">
        <f>IF('CALL SHEET'!$AE$28="","",'CALL SHEET'!$AE$28)</f>
        <v/>
      </c>
      <c r="M28" t="inlineStr">
        <is>
          <t>TRADE</t>
        </is>
      </c>
      <c r="N28" t="inlineStr">
        <is>
          <t>CALL SHEET · row 28</t>
        </is>
      </c>
    </row>
    <row r="29">
      <c r="A29">
        <f>IF('CALL SHEET'!$A$29="","",'CALL SHEET'!$A$29)</f>
        <v/>
      </c>
      <c r="B29">
        <f>IF('CALL SHEET'!$C$29="","",'CALL SHEET'!$C$29)</f>
        <v/>
      </c>
      <c r="C29">
        <f>'CALL SHEET'!$U$29</f>
        <v/>
      </c>
      <c r="D29">
        <f>'CALL SHEET'!$Y$29</f>
        <v/>
      </c>
      <c r="E29">
        <f>'CALL SHEET'!$AC$29</f>
        <v/>
      </c>
      <c r="F29">
        <f>IF('CALL SHEET'!$V$29="","",'CALL SHEET'!$V$29)</f>
        <v/>
      </c>
      <c r="G29">
        <f>IF('CALL SHEET'!$D$29="","",'CALL SHEET'!$D$29)</f>
        <v/>
      </c>
      <c r="H29">
        <f>IF('CALL SHEET'!$G$29="","",'CALL SHEET'!$G$29)</f>
        <v/>
      </c>
      <c r="I29">
        <f>IF('CALL SHEET'!$AT$29="","",'CALL SHEET'!$AT$29)</f>
        <v/>
      </c>
      <c r="J29">
        <f>IF('CALL SHEET'!$AX$29="","",'CALL SHEET'!$AX$29)</f>
        <v/>
      </c>
      <c r="K29">
        <f>IF('CALL SHEET'!$N$29="","",'CALL SHEET'!$N$29)</f>
        <v/>
      </c>
      <c r="L29">
        <f>IF('CALL SHEET'!$AE$29="","",'CALL SHEET'!$AE$29)</f>
        <v/>
      </c>
      <c r="M29" t="inlineStr">
        <is>
          <t>TRADE</t>
        </is>
      </c>
      <c r="N29" t="inlineStr">
        <is>
          <t>CALL SHEET · row 29</t>
        </is>
      </c>
    </row>
    <row r="30">
      <c r="A30">
        <f>IF('CALL SHEET'!$A$30="","",'CALL SHEET'!$A$30)</f>
        <v/>
      </c>
      <c r="B30">
        <f>IF('CALL SHEET'!$C$30="","",'CALL SHEET'!$C$30)</f>
        <v/>
      </c>
      <c r="C30">
        <f>'CALL SHEET'!$U$30</f>
        <v/>
      </c>
      <c r="D30">
        <f>'CALL SHEET'!$Y$30</f>
        <v/>
      </c>
      <c r="E30">
        <f>'CALL SHEET'!$AC$30</f>
        <v/>
      </c>
      <c r="F30">
        <f>IF('CALL SHEET'!$V$30="","",'CALL SHEET'!$V$30)</f>
        <v/>
      </c>
      <c r="G30">
        <f>IF('CALL SHEET'!$D$30="","",'CALL SHEET'!$D$30)</f>
        <v/>
      </c>
      <c r="H30">
        <f>IF('CALL SHEET'!$G$30="","",'CALL SHEET'!$G$30)</f>
        <v/>
      </c>
      <c r="I30">
        <f>IF('CALL SHEET'!$AT$30="","",'CALL SHEET'!$AT$30)</f>
        <v/>
      </c>
      <c r="J30">
        <f>IF('CALL SHEET'!$AX$30="","",'CALL SHEET'!$AX$30)</f>
        <v/>
      </c>
      <c r="K30">
        <f>IF('CALL SHEET'!$N$30="","",'CALL SHEET'!$N$30)</f>
        <v/>
      </c>
      <c r="L30">
        <f>IF('CALL SHEET'!$AE$30="","",'CALL SHEET'!$AE$30)</f>
        <v/>
      </c>
      <c r="M30" t="inlineStr">
        <is>
          <t>TRADE</t>
        </is>
      </c>
      <c r="N30" t="inlineStr">
        <is>
          <t>CALL SHEET · row 30</t>
        </is>
      </c>
    </row>
    <row r="31">
      <c r="A31">
        <f>IF('CALL SHEET'!$A$31="","",'CALL SHEET'!$A$31)</f>
        <v/>
      </c>
      <c r="B31">
        <f>IF('CALL SHEET'!$C$31="","",'CALL SHEET'!$C$31)</f>
        <v/>
      </c>
      <c r="C31">
        <f>'CALL SHEET'!$U$31</f>
        <v/>
      </c>
      <c r="D31">
        <f>'CALL SHEET'!$Y$31</f>
        <v/>
      </c>
      <c r="E31">
        <f>'CALL SHEET'!$AC$31</f>
        <v/>
      </c>
      <c r="F31">
        <f>IF('CALL SHEET'!$V$31="","",'CALL SHEET'!$V$31)</f>
        <v/>
      </c>
      <c r="G31">
        <f>IF('CALL SHEET'!$D$31="","",'CALL SHEET'!$D$31)</f>
        <v/>
      </c>
      <c r="H31">
        <f>IF('CALL SHEET'!$G$31="","",'CALL SHEET'!$G$31)</f>
        <v/>
      </c>
      <c r="I31">
        <f>IF('CALL SHEET'!$AT$31="","",'CALL SHEET'!$AT$31)</f>
        <v/>
      </c>
      <c r="J31">
        <f>IF('CALL SHEET'!$AX$31="","",'CALL SHEET'!$AX$31)</f>
        <v/>
      </c>
      <c r="K31">
        <f>IF('CALL SHEET'!$N$31="","",'CALL SHEET'!$N$31)</f>
        <v/>
      </c>
      <c r="L31">
        <f>IF('CALL SHEET'!$AE$31="","",'CALL SHEET'!$AE$31)</f>
        <v/>
      </c>
      <c r="M31" t="inlineStr">
        <is>
          <t>TRADE</t>
        </is>
      </c>
      <c r="N31" t="inlineStr">
        <is>
          <t>CALL SHEET · row 31</t>
        </is>
      </c>
    </row>
    <row r="32">
      <c r="A32">
        <f>IF('CALL SHEET'!$A$32="","",'CALL SHEET'!$A$32)</f>
        <v/>
      </c>
      <c r="B32">
        <f>IF('CALL SHEET'!$C$32="","",'CALL SHEET'!$C$32)</f>
        <v/>
      </c>
      <c r="C32">
        <f>'CALL SHEET'!$U$32</f>
        <v/>
      </c>
      <c r="D32">
        <f>'CALL SHEET'!$Y$32</f>
        <v/>
      </c>
      <c r="E32">
        <f>'CALL SHEET'!$AC$32</f>
        <v/>
      </c>
      <c r="F32">
        <f>IF('CALL SHEET'!$V$32="","",'CALL SHEET'!$V$32)</f>
        <v/>
      </c>
      <c r="G32">
        <f>IF('CALL SHEET'!$D$32="","",'CALL SHEET'!$D$32)</f>
        <v/>
      </c>
      <c r="H32">
        <f>IF('CALL SHEET'!$G$32="","",'CALL SHEET'!$G$32)</f>
        <v/>
      </c>
      <c r="I32">
        <f>IF('CALL SHEET'!$AT$32="","",'CALL SHEET'!$AT$32)</f>
        <v/>
      </c>
      <c r="J32">
        <f>IF('CALL SHEET'!$AX$32="","",'CALL SHEET'!$AX$32)</f>
        <v/>
      </c>
      <c r="K32">
        <f>IF('CALL SHEET'!$N$32="","",'CALL SHEET'!$N$32)</f>
        <v/>
      </c>
      <c r="L32">
        <f>IF('CALL SHEET'!$AE$32="","",'CALL SHEET'!$AE$32)</f>
        <v/>
      </c>
      <c r="M32" t="inlineStr">
        <is>
          <t>TRADE</t>
        </is>
      </c>
      <c r="N32" t="inlineStr">
        <is>
          <t>CALL SHEET · row 32</t>
        </is>
      </c>
    </row>
    <row r="33">
      <c r="A33">
        <f>IF('CALL SHEET'!$A$33="","",'CALL SHEET'!$A$33)</f>
        <v/>
      </c>
      <c r="B33">
        <f>IF('CALL SHEET'!$C$33="","",'CALL SHEET'!$C$33)</f>
        <v/>
      </c>
      <c r="C33">
        <f>'CALL SHEET'!$U$33</f>
        <v/>
      </c>
      <c r="D33">
        <f>'CALL SHEET'!$Y$33</f>
        <v/>
      </c>
      <c r="E33">
        <f>'CALL SHEET'!$AC$33</f>
        <v/>
      </c>
      <c r="F33">
        <f>IF('CALL SHEET'!$V$33="","",'CALL SHEET'!$V$33)</f>
        <v/>
      </c>
      <c r="G33">
        <f>IF('CALL SHEET'!$D$33="","",'CALL SHEET'!$D$33)</f>
        <v/>
      </c>
      <c r="H33">
        <f>IF('CALL SHEET'!$G$33="","",'CALL SHEET'!$G$33)</f>
        <v/>
      </c>
      <c r="I33">
        <f>IF('CALL SHEET'!$AT$33="","",'CALL SHEET'!$AT$33)</f>
        <v/>
      </c>
      <c r="J33">
        <f>IF('CALL SHEET'!$AX$33="","",'CALL SHEET'!$AX$33)</f>
        <v/>
      </c>
      <c r="K33">
        <f>IF('CALL SHEET'!$N$33="","",'CALL SHEET'!$N$33)</f>
        <v/>
      </c>
      <c r="L33">
        <f>IF('CALL SHEET'!$AE$33="","",'CALL SHEET'!$AE$33)</f>
        <v/>
      </c>
      <c r="M33" t="inlineStr">
        <is>
          <t>TRADE</t>
        </is>
      </c>
      <c r="N33" t="inlineStr">
        <is>
          <t>CALL SHEET · row 33</t>
        </is>
      </c>
    </row>
    <row r="34">
      <c r="A34">
        <f>IF('CALL SHEET'!$A$34="","",'CALL SHEET'!$A$34)</f>
        <v/>
      </c>
      <c r="B34">
        <f>IF('CALL SHEET'!$C$34="","",'CALL SHEET'!$C$34)</f>
        <v/>
      </c>
      <c r="C34">
        <f>'CALL SHEET'!$U$34</f>
        <v/>
      </c>
      <c r="D34">
        <f>'CALL SHEET'!$Y$34</f>
        <v/>
      </c>
      <c r="E34">
        <f>'CALL SHEET'!$AC$34</f>
        <v/>
      </c>
      <c r="F34">
        <f>IF('CALL SHEET'!$V$34="","",'CALL SHEET'!$V$34)</f>
        <v/>
      </c>
      <c r="G34">
        <f>IF('CALL SHEET'!$D$34="","",'CALL SHEET'!$D$34)</f>
        <v/>
      </c>
      <c r="H34">
        <f>IF('CALL SHEET'!$G$34="","",'CALL SHEET'!$G$34)</f>
        <v/>
      </c>
      <c r="I34">
        <f>IF('CALL SHEET'!$AT$34="","",'CALL SHEET'!$AT$34)</f>
        <v/>
      </c>
      <c r="J34">
        <f>IF('CALL SHEET'!$AX$34="","",'CALL SHEET'!$AX$34)</f>
        <v/>
      </c>
      <c r="K34">
        <f>IF('CALL SHEET'!$N$34="","",'CALL SHEET'!$N$34)</f>
        <v/>
      </c>
      <c r="L34">
        <f>IF('CALL SHEET'!$AE$34="","",'CALL SHEET'!$AE$34)</f>
        <v/>
      </c>
      <c r="M34" t="inlineStr">
        <is>
          <t>TRADE</t>
        </is>
      </c>
      <c r="N34" t="inlineStr">
        <is>
          <t>CALL SHEET · row 34</t>
        </is>
      </c>
    </row>
    <row r="35">
      <c r="A35">
        <f>IF('CALL SHEET'!$A$35="","",'CALL SHEET'!$A$35)</f>
        <v/>
      </c>
      <c r="B35">
        <f>IF('CALL SHEET'!$C$35="","",'CALL SHEET'!$C$35)</f>
        <v/>
      </c>
      <c r="C35">
        <f>'CALL SHEET'!$U$35</f>
        <v/>
      </c>
      <c r="D35">
        <f>'CALL SHEET'!$Y$35</f>
        <v/>
      </c>
      <c r="E35">
        <f>'CALL SHEET'!$AC$35</f>
        <v/>
      </c>
      <c r="F35">
        <f>IF('CALL SHEET'!$V$35="","",'CALL SHEET'!$V$35)</f>
        <v/>
      </c>
      <c r="G35">
        <f>IF('CALL SHEET'!$D$35="","",'CALL SHEET'!$D$35)</f>
        <v/>
      </c>
      <c r="H35">
        <f>IF('CALL SHEET'!$G$35="","",'CALL SHEET'!$G$35)</f>
        <v/>
      </c>
      <c r="I35">
        <f>IF('CALL SHEET'!$AT$35="","",'CALL SHEET'!$AT$35)</f>
        <v/>
      </c>
      <c r="J35">
        <f>IF('CALL SHEET'!$AX$35="","",'CALL SHEET'!$AX$35)</f>
        <v/>
      </c>
      <c r="K35">
        <f>IF('CALL SHEET'!$N$35="","",'CALL SHEET'!$N$35)</f>
        <v/>
      </c>
      <c r="L35">
        <f>IF('CALL SHEET'!$AE$35="","",'CALL SHEET'!$AE$35)</f>
        <v/>
      </c>
      <c r="M35" t="inlineStr">
        <is>
          <t>TRADE</t>
        </is>
      </c>
      <c r="N35" t="inlineStr">
        <is>
          <t>CALL SHEET · row 35</t>
        </is>
      </c>
    </row>
    <row r="36">
      <c r="A36">
        <f>IF('CALL SHEET'!$A$36="","",'CALL SHEET'!$A$36)</f>
        <v/>
      </c>
      <c r="B36">
        <f>IF('CALL SHEET'!$C$36="","",'CALL SHEET'!$C$36)</f>
        <v/>
      </c>
      <c r="C36">
        <f>'CALL SHEET'!$U$36</f>
        <v/>
      </c>
      <c r="D36">
        <f>'CALL SHEET'!$Y$36</f>
        <v/>
      </c>
      <c r="E36">
        <f>'CALL SHEET'!$AC$36</f>
        <v/>
      </c>
      <c r="F36">
        <f>IF('CALL SHEET'!$V$36="","",'CALL SHEET'!$V$36)</f>
        <v/>
      </c>
      <c r="G36">
        <f>IF('CALL SHEET'!$D$36="","",'CALL SHEET'!$D$36)</f>
        <v/>
      </c>
      <c r="H36">
        <f>IF('CALL SHEET'!$G$36="","",'CALL SHEET'!$G$36)</f>
        <v/>
      </c>
      <c r="I36">
        <f>IF('CALL SHEET'!$AT$36="","",'CALL SHEET'!$AT$36)</f>
        <v/>
      </c>
      <c r="J36">
        <f>IF('CALL SHEET'!$AX$36="","",'CALL SHEET'!$AX$36)</f>
        <v/>
      </c>
      <c r="K36">
        <f>IF('CALL SHEET'!$N$36="","",'CALL SHEET'!$N$36)</f>
        <v/>
      </c>
      <c r="L36">
        <f>IF('CALL SHEET'!$AE$36="","",'CALL SHEET'!$AE$36)</f>
        <v/>
      </c>
      <c r="M36" t="inlineStr">
        <is>
          <t>TRADE</t>
        </is>
      </c>
      <c r="N36" t="inlineStr">
        <is>
          <t>CALL SHEET · row 36</t>
        </is>
      </c>
    </row>
    <row r="37">
      <c r="A37">
        <f>IF('CALL SHEET'!$A$37="","",'CALL SHEET'!$A$37)</f>
        <v/>
      </c>
      <c r="B37">
        <f>IF('CALL SHEET'!$C$37="","",'CALL SHEET'!$C$37)</f>
        <v/>
      </c>
      <c r="C37">
        <f>'CALL SHEET'!$U$37</f>
        <v/>
      </c>
      <c r="D37">
        <f>'CALL SHEET'!$Y$37</f>
        <v/>
      </c>
      <c r="E37">
        <f>'CALL SHEET'!$AC$37</f>
        <v/>
      </c>
      <c r="F37">
        <f>IF('CALL SHEET'!$V$37="","",'CALL SHEET'!$V$37)</f>
        <v/>
      </c>
      <c r="G37">
        <f>IF('CALL SHEET'!$D$37="","",'CALL SHEET'!$D$37)</f>
        <v/>
      </c>
      <c r="H37">
        <f>IF('CALL SHEET'!$G$37="","",'CALL SHEET'!$G$37)</f>
        <v/>
      </c>
      <c r="I37">
        <f>IF('CALL SHEET'!$AT$37="","",'CALL SHEET'!$AT$37)</f>
        <v/>
      </c>
      <c r="J37">
        <f>IF('CALL SHEET'!$AX$37="","",'CALL SHEET'!$AX$37)</f>
        <v/>
      </c>
      <c r="K37">
        <f>IF('CALL SHEET'!$N$37="","",'CALL SHEET'!$N$37)</f>
        <v/>
      </c>
      <c r="L37">
        <f>IF('CALL SHEET'!$AE$37="","",'CALL SHEET'!$AE$37)</f>
        <v/>
      </c>
      <c r="M37" t="inlineStr">
        <is>
          <t>TRADE</t>
        </is>
      </c>
      <c r="N37" t="inlineStr">
        <is>
          <t>CALL SHEET · row 37</t>
        </is>
      </c>
    </row>
    <row r="38">
      <c r="A38">
        <f>IF('CALL SHEET'!$A$38="","",'CALL SHEET'!$A$38)</f>
        <v/>
      </c>
      <c r="B38">
        <f>IF('CALL SHEET'!$C$38="","",'CALL SHEET'!$C$38)</f>
        <v/>
      </c>
      <c r="C38">
        <f>'CALL SHEET'!$U$38</f>
        <v/>
      </c>
      <c r="D38">
        <f>'CALL SHEET'!$Y$38</f>
        <v/>
      </c>
      <c r="E38">
        <f>'CALL SHEET'!$AC$38</f>
        <v/>
      </c>
      <c r="F38">
        <f>IF('CALL SHEET'!$V$38="","",'CALL SHEET'!$V$38)</f>
        <v/>
      </c>
      <c r="G38">
        <f>IF('CALL SHEET'!$D$38="","",'CALL SHEET'!$D$38)</f>
        <v/>
      </c>
      <c r="H38">
        <f>IF('CALL SHEET'!$G$38="","",'CALL SHEET'!$G$38)</f>
        <v/>
      </c>
      <c r="I38">
        <f>IF('CALL SHEET'!$AT$38="","",'CALL SHEET'!$AT$38)</f>
        <v/>
      </c>
      <c r="J38">
        <f>IF('CALL SHEET'!$AX$38="","",'CALL SHEET'!$AX$38)</f>
        <v/>
      </c>
      <c r="K38">
        <f>IF('CALL SHEET'!$N$38="","",'CALL SHEET'!$N$38)</f>
        <v/>
      </c>
      <c r="L38">
        <f>IF('CALL SHEET'!$AE$38="","",'CALL SHEET'!$AE$38)</f>
        <v/>
      </c>
      <c r="M38" t="inlineStr">
        <is>
          <t>TRADE</t>
        </is>
      </c>
      <c r="N38" t="inlineStr">
        <is>
          <t>CALL SHEET · row 38</t>
        </is>
      </c>
    </row>
    <row r="39">
      <c r="A39">
        <f>IF('CALL SHEET'!$A$39="","",'CALL SHEET'!$A$39)</f>
        <v/>
      </c>
      <c r="B39">
        <f>IF('CALL SHEET'!$C$39="","",'CALL SHEET'!$C$39)</f>
        <v/>
      </c>
      <c r="C39">
        <f>'CALL SHEET'!$U$39</f>
        <v/>
      </c>
      <c r="D39">
        <f>'CALL SHEET'!$Y$39</f>
        <v/>
      </c>
      <c r="E39">
        <f>'CALL SHEET'!$AC$39</f>
        <v/>
      </c>
      <c r="F39">
        <f>IF('CALL SHEET'!$V$39="","",'CALL SHEET'!$V$39)</f>
        <v/>
      </c>
      <c r="G39">
        <f>IF('CALL SHEET'!$D$39="","",'CALL SHEET'!$D$39)</f>
        <v/>
      </c>
      <c r="H39">
        <f>IF('CALL SHEET'!$G$39="","",'CALL SHEET'!$G$39)</f>
        <v/>
      </c>
      <c r="I39">
        <f>IF('CALL SHEET'!$AT$39="","",'CALL SHEET'!$AT$39)</f>
        <v/>
      </c>
      <c r="J39">
        <f>IF('CALL SHEET'!$AX$39="","",'CALL SHEET'!$AX$39)</f>
        <v/>
      </c>
      <c r="K39">
        <f>IF('CALL SHEET'!$N$39="","",'CALL SHEET'!$N$39)</f>
        <v/>
      </c>
      <c r="L39">
        <f>IF('CALL SHEET'!$AE$39="","",'CALL SHEET'!$AE$39)</f>
        <v/>
      </c>
      <c r="M39" t="inlineStr">
        <is>
          <t>TRADE</t>
        </is>
      </c>
      <c r="N39" t="inlineStr">
        <is>
          <t>CALL SHEET · row 39</t>
        </is>
      </c>
    </row>
    <row r="40">
      <c r="A40">
        <f>IF('CALL SHEET'!$A$40="","",'CALL SHEET'!$A$40)</f>
        <v/>
      </c>
      <c r="B40">
        <f>IF('CALL SHEET'!$C$40="","",'CALL SHEET'!$C$40)</f>
        <v/>
      </c>
      <c r="C40">
        <f>'CALL SHEET'!$U$40</f>
        <v/>
      </c>
      <c r="D40">
        <f>'CALL SHEET'!$Y$40</f>
        <v/>
      </c>
      <c r="E40">
        <f>'CALL SHEET'!$AC$40</f>
        <v/>
      </c>
      <c r="F40">
        <f>IF('CALL SHEET'!$V$40="","",'CALL SHEET'!$V$40)</f>
        <v/>
      </c>
      <c r="G40">
        <f>IF('CALL SHEET'!$D$40="","",'CALL SHEET'!$D$40)</f>
        <v/>
      </c>
      <c r="H40">
        <f>IF('CALL SHEET'!$G$40="","",'CALL SHEET'!$G$40)</f>
        <v/>
      </c>
      <c r="I40">
        <f>IF('CALL SHEET'!$AT$40="","",'CALL SHEET'!$AT$40)</f>
        <v/>
      </c>
      <c r="J40">
        <f>IF('CALL SHEET'!$AX$40="","",'CALL SHEET'!$AX$40)</f>
        <v/>
      </c>
      <c r="K40">
        <f>IF('CALL SHEET'!$N$40="","",'CALL SHEET'!$N$40)</f>
        <v/>
      </c>
      <c r="L40">
        <f>IF('CALL SHEET'!$AE$40="","",'CALL SHEET'!$AE$40)</f>
        <v/>
      </c>
      <c r="M40" t="inlineStr">
        <is>
          <t>TRADE</t>
        </is>
      </c>
      <c r="N40" t="inlineStr">
        <is>
          <t>CALL SHEET · row 40</t>
        </is>
      </c>
    </row>
    <row r="41">
      <c r="A41">
        <f>IF('CALL SHEET'!$A$41="","",'CALL SHEET'!$A$41)</f>
        <v/>
      </c>
      <c r="B41">
        <f>IF('CALL SHEET'!$C$41="","",'CALL SHEET'!$C$41)</f>
        <v/>
      </c>
      <c r="C41">
        <f>'CALL SHEET'!$U$41</f>
        <v/>
      </c>
      <c r="D41">
        <f>'CALL SHEET'!$Y$41</f>
        <v/>
      </c>
      <c r="E41">
        <f>'CALL SHEET'!$AC$41</f>
        <v/>
      </c>
      <c r="F41">
        <f>IF('CALL SHEET'!$V$41="","",'CALL SHEET'!$V$41)</f>
        <v/>
      </c>
      <c r="G41">
        <f>IF('CALL SHEET'!$D$41="","",'CALL SHEET'!$D$41)</f>
        <v/>
      </c>
      <c r="H41">
        <f>IF('CALL SHEET'!$G$41="","",'CALL SHEET'!$G$41)</f>
        <v/>
      </c>
      <c r="I41">
        <f>IF('CALL SHEET'!$AT$41="","",'CALL SHEET'!$AT$41)</f>
        <v/>
      </c>
      <c r="J41">
        <f>IF('CALL SHEET'!$AX$41="","",'CALL SHEET'!$AX$41)</f>
        <v/>
      </c>
      <c r="K41">
        <f>IF('CALL SHEET'!$N$41="","",'CALL SHEET'!$N$41)</f>
        <v/>
      </c>
      <c r="L41">
        <f>IF('CALL SHEET'!$AE$41="","",'CALL SHEET'!$AE$41)</f>
        <v/>
      </c>
      <c r="M41" t="inlineStr">
        <is>
          <t>TRADE</t>
        </is>
      </c>
      <c r="N41" t="inlineStr">
        <is>
          <t>CALL SHEET · row 41</t>
        </is>
      </c>
    </row>
    <row r="42">
      <c r="A42">
        <f>IF('CALL SHEET'!$A$42="","",'CALL SHEET'!$A$42)</f>
        <v/>
      </c>
      <c r="B42">
        <f>IF('CALL SHEET'!$C$42="","",'CALL SHEET'!$C$42)</f>
        <v/>
      </c>
      <c r="C42">
        <f>'CALL SHEET'!$U$42</f>
        <v/>
      </c>
      <c r="D42">
        <f>'CALL SHEET'!$Y$42</f>
        <v/>
      </c>
      <c r="E42">
        <f>'CALL SHEET'!$AC$42</f>
        <v/>
      </c>
      <c r="F42">
        <f>IF('CALL SHEET'!$V$42="","",'CALL SHEET'!$V$42)</f>
        <v/>
      </c>
      <c r="G42">
        <f>IF('CALL SHEET'!$D$42="","",'CALL SHEET'!$D$42)</f>
        <v/>
      </c>
      <c r="H42">
        <f>IF('CALL SHEET'!$G$42="","",'CALL SHEET'!$G$42)</f>
        <v/>
      </c>
      <c r="I42">
        <f>IF('CALL SHEET'!$AT$42="","",'CALL SHEET'!$AT$42)</f>
        <v/>
      </c>
      <c r="J42">
        <f>IF('CALL SHEET'!$AX$42="","",'CALL SHEET'!$AX$42)</f>
        <v/>
      </c>
      <c r="K42">
        <f>IF('CALL SHEET'!$N$42="","",'CALL SHEET'!$N$42)</f>
        <v/>
      </c>
      <c r="L42">
        <f>IF('CALL SHEET'!$AE$42="","",'CALL SHEET'!$AE$42)</f>
        <v/>
      </c>
      <c r="M42" t="inlineStr">
        <is>
          <t>TRADE</t>
        </is>
      </c>
      <c r="N42" t="inlineStr">
        <is>
          <t>CALL SHEET · row 42</t>
        </is>
      </c>
    </row>
    <row r="43">
      <c r="A43">
        <f>IF('CALL SHEET'!$A$43="","",'CALL SHEET'!$A$43)</f>
        <v/>
      </c>
      <c r="B43">
        <f>IF('CALL SHEET'!$C$43="","",'CALL SHEET'!$C$43)</f>
        <v/>
      </c>
      <c r="C43">
        <f>'CALL SHEET'!$U$43</f>
        <v/>
      </c>
      <c r="D43">
        <f>'CALL SHEET'!$Y$43</f>
        <v/>
      </c>
      <c r="E43">
        <f>'CALL SHEET'!$AC$43</f>
        <v/>
      </c>
      <c r="F43">
        <f>IF('CALL SHEET'!$V$43="","",'CALL SHEET'!$V$43)</f>
        <v/>
      </c>
      <c r="G43">
        <f>IF('CALL SHEET'!$D$43="","",'CALL SHEET'!$D$43)</f>
        <v/>
      </c>
      <c r="H43">
        <f>IF('CALL SHEET'!$G$43="","",'CALL SHEET'!$G$43)</f>
        <v/>
      </c>
      <c r="I43">
        <f>IF('CALL SHEET'!$AT$43="","",'CALL SHEET'!$AT$43)</f>
        <v/>
      </c>
      <c r="J43">
        <f>IF('CALL SHEET'!$AX$43="","",'CALL SHEET'!$AX$43)</f>
        <v/>
      </c>
      <c r="K43">
        <f>IF('CALL SHEET'!$N$43="","",'CALL SHEET'!$N$43)</f>
        <v/>
      </c>
      <c r="L43">
        <f>IF('CALL SHEET'!$AE$43="","",'CALL SHEET'!$AE$43)</f>
        <v/>
      </c>
      <c r="M43" t="inlineStr">
        <is>
          <t>TRADE</t>
        </is>
      </c>
      <c r="N43" t="inlineStr">
        <is>
          <t>CALL SHEET · row 43</t>
        </is>
      </c>
    </row>
    <row r="44">
      <c r="A44">
        <f>IF('CALL SHEET'!$A$44="","",'CALL SHEET'!$A$44)</f>
        <v/>
      </c>
      <c r="B44">
        <f>IF('CALL SHEET'!$C$44="","",'CALL SHEET'!$C$44)</f>
        <v/>
      </c>
      <c r="C44">
        <f>'CALL SHEET'!$U$44</f>
        <v/>
      </c>
      <c r="D44">
        <f>'CALL SHEET'!$Y$44</f>
        <v/>
      </c>
      <c r="E44">
        <f>'CALL SHEET'!$AC$44</f>
        <v/>
      </c>
      <c r="F44">
        <f>IF('CALL SHEET'!$V$44="","",'CALL SHEET'!$V$44)</f>
        <v/>
      </c>
      <c r="G44">
        <f>IF('CALL SHEET'!$D$44="","",'CALL SHEET'!$D$44)</f>
        <v/>
      </c>
      <c r="H44">
        <f>IF('CALL SHEET'!$G$44="","",'CALL SHEET'!$G$44)</f>
        <v/>
      </c>
      <c r="I44">
        <f>IF('CALL SHEET'!$AT$44="","",'CALL SHEET'!$AT$44)</f>
        <v/>
      </c>
      <c r="J44">
        <f>IF('CALL SHEET'!$AX$44="","",'CALL SHEET'!$AX$44)</f>
        <v/>
      </c>
      <c r="K44">
        <f>IF('CALL SHEET'!$N$44="","",'CALL SHEET'!$N$44)</f>
        <v/>
      </c>
      <c r="L44">
        <f>IF('CALL SHEET'!$AE$44="","",'CALL SHEET'!$AE$44)</f>
        <v/>
      </c>
      <c r="M44" t="inlineStr">
        <is>
          <t>TRADE</t>
        </is>
      </c>
      <c r="N44" t="inlineStr">
        <is>
          <t>CALL SHEET · row 44</t>
        </is>
      </c>
    </row>
    <row r="45">
      <c r="A45">
        <f>IF('CALL SHEET'!$A$45="","",'CALL SHEET'!$A$45)</f>
        <v/>
      </c>
      <c r="B45">
        <f>IF('CALL SHEET'!$C$45="","",'CALL SHEET'!$C$45)</f>
        <v/>
      </c>
      <c r="C45">
        <f>'CALL SHEET'!$U$45</f>
        <v/>
      </c>
      <c r="D45">
        <f>'CALL SHEET'!$Y$45</f>
        <v/>
      </c>
      <c r="E45">
        <f>'CALL SHEET'!$AC$45</f>
        <v/>
      </c>
      <c r="F45">
        <f>IF('CALL SHEET'!$V$45="","",'CALL SHEET'!$V$45)</f>
        <v/>
      </c>
      <c r="G45">
        <f>IF('CALL SHEET'!$D$45="","",'CALL SHEET'!$D$45)</f>
        <v/>
      </c>
      <c r="H45">
        <f>IF('CALL SHEET'!$G$45="","",'CALL SHEET'!$G$45)</f>
        <v/>
      </c>
      <c r="I45">
        <f>IF('CALL SHEET'!$AT$45="","",'CALL SHEET'!$AT$45)</f>
        <v/>
      </c>
      <c r="J45">
        <f>IF('CALL SHEET'!$AX$45="","",'CALL SHEET'!$AX$45)</f>
        <v/>
      </c>
      <c r="K45">
        <f>IF('CALL SHEET'!$N$45="","",'CALL SHEET'!$N$45)</f>
        <v/>
      </c>
      <c r="L45">
        <f>IF('CALL SHEET'!$AE$45="","",'CALL SHEET'!$AE$45)</f>
        <v/>
      </c>
      <c r="M45" t="inlineStr">
        <is>
          <t>TRADE</t>
        </is>
      </c>
      <c r="N45" t="inlineStr">
        <is>
          <t>CALL SHEET · row 45</t>
        </is>
      </c>
    </row>
    <row r="46">
      <c r="A46">
        <f>IF('CALL SHEET'!$A$46="","",'CALL SHEET'!$A$46)</f>
        <v/>
      </c>
      <c r="B46">
        <f>IF('CALL SHEET'!$C$46="","",'CALL SHEET'!$C$46)</f>
        <v/>
      </c>
      <c r="C46">
        <f>'CALL SHEET'!$U$46</f>
        <v/>
      </c>
      <c r="D46">
        <f>'CALL SHEET'!$Y$46</f>
        <v/>
      </c>
      <c r="E46">
        <f>'CALL SHEET'!$AC$46</f>
        <v/>
      </c>
      <c r="F46">
        <f>IF('CALL SHEET'!$V$46="","",'CALL SHEET'!$V$46)</f>
        <v/>
      </c>
      <c r="G46">
        <f>IF('CALL SHEET'!$D$46="","",'CALL SHEET'!$D$46)</f>
        <v/>
      </c>
      <c r="H46">
        <f>IF('CALL SHEET'!$G$46="","",'CALL SHEET'!$G$46)</f>
        <v/>
      </c>
      <c r="I46">
        <f>IF('CALL SHEET'!$AT$46="","",'CALL SHEET'!$AT$46)</f>
        <v/>
      </c>
      <c r="J46">
        <f>IF('CALL SHEET'!$AX$46="","",'CALL SHEET'!$AX$46)</f>
        <v/>
      </c>
      <c r="K46">
        <f>IF('CALL SHEET'!$N$46="","",'CALL SHEET'!$N$46)</f>
        <v/>
      </c>
      <c r="L46">
        <f>IF('CALL SHEET'!$AE$46="","",'CALL SHEET'!$AE$46)</f>
        <v/>
      </c>
      <c r="M46" t="inlineStr">
        <is>
          <t>TRADE</t>
        </is>
      </c>
      <c r="N46" t="inlineStr">
        <is>
          <t>CALL SHEET · row 46</t>
        </is>
      </c>
    </row>
    <row r="47">
      <c r="A47">
        <f>IF('CALL SHEET'!$A$47="","",'CALL SHEET'!$A$47)</f>
        <v/>
      </c>
      <c r="B47">
        <f>IF('CALL SHEET'!$C$47="","",'CALL SHEET'!$C$47)</f>
        <v/>
      </c>
      <c r="C47">
        <f>'CALL SHEET'!$U$47</f>
        <v/>
      </c>
      <c r="D47">
        <f>'CALL SHEET'!$Y$47</f>
        <v/>
      </c>
      <c r="E47">
        <f>'CALL SHEET'!$AC$47</f>
        <v/>
      </c>
      <c r="F47">
        <f>IF('CALL SHEET'!$V$47="","",'CALL SHEET'!$V$47)</f>
        <v/>
      </c>
      <c r="G47">
        <f>IF('CALL SHEET'!$D$47="","",'CALL SHEET'!$D$47)</f>
        <v/>
      </c>
      <c r="H47">
        <f>IF('CALL SHEET'!$G$47="","",'CALL SHEET'!$G$47)</f>
        <v/>
      </c>
      <c r="I47">
        <f>IF('CALL SHEET'!$AT$47="","",'CALL SHEET'!$AT$47)</f>
        <v/>
      </c>
      <c r="J47">
        <f>IF('CALL SHEET'!$AX$47="","",'CALL SHEET'!$AX$47)</f>
        <v/>
      </c>
      <c r="K47">
        <f>IF('CALL SHEET'!$N$47="","",'CALL SHEET'!$N$47)</f>
        <v/>
      </c>
      <c r="L47">
        <f>IF('CALL SHEET'!$AE$47="","",'CALL SHEET'!$AE$47)</f>
        <v/>
      </c>
      <c r="M47" t="inlineStr">
        <is>
          <t>TRADE</t>
        </is>
      </c>
      <c r="N47" t="inlineStr">
        <is>
          <t>CALL SHEET · row 47</t>
        </is>
      </c>
    </row>
    <row r="48">
      <c r="A48">
        <f>IF('CALL SHEET'!$A$48="","",'CALL SHEET'!$A$48)</f>
        <v/>
      </c>
      <c r="B48">
        <f>IF('CALL SHEET'!$C$48="","",'CALL SHEET'!$C$48)</f>
        <v/>
      </c>
      <c r="C48">
        <f>'CALL SHEET'!$U$48</f>
        <v/>
      </c>
      <c r="D48">
        <f>'CALL SHEET'!$Y$48</f>
        <v/>
      </c>
      <c r="E48">
        <f>'CALL SHEET'!$AC$48</f>
        <v/>
      </c>
      <c r="F48">
        <f>IF('CALL SHEET'!$V$48="","",'CALL SHEET'!$V$48)</f>
        <v/>
      </c>
      <c r="G48">
        <f>IF('CALL SHEET'!$D$48="","",'CALL SHEET'!$D$48)</f>
        <v/>
      </c>
      <c r="H48">
        <f>IF('CALL SHEET'!$G$48="","",'CALL SHEET'!$G$48)</f>
        <v/>
      </c>
      <c r="I48">
        <f>IF('CALL SHEET'!$AT$48="","",'CALL SHEET'!$AT$48)</f>
        <v/>
      </c>
      <c r="J48">
        <f>IF('CALL SHEET'!$AX$48="","",'CALL SHEET'!$AX$48)</f>
        <v/>
      </c>
      <c r="K48">
        <f>IF('CALL SHEET'!$N$48="","",'CALL SHEET'!$N$48)</f>
        <v/>
      </c>
      <c r="L48">
        <f>IF('CALL SHEET'!$AE$48="","",'CALL SHEET'!$AE$48)</f>
        <v/>
      </c>
      <c r="M48" t="inlineStr">
        <is>
          <t>TRADE</t>
        </is>
      </c>
      <c r="N48" t="inlineStr">
        <is>
          <t>CALL SHEET · row 48</t>
        </is>
      </c>
    </row>
    <row r="49">
      <c r="A49">
        <f>IF('CALL SHEET'!$A$49="","",'CALL SHEET'!$A$49)</f>
        <v/>
      </c>
      <c r="B49">
        <f>IF('CALL SHEET'!$C$49="","",'CALL SHEET'!$C$49)</f>
        <v/>
      </c>
      <c r="C49">
        <f>'CALL SHEET'!$U$49</f>
        <v/>
      </c>
      <c r="D49">
        <f>'CALL SHEET'!$Y$49</f>
        <v/>
      </c>
      <c r="E49">
        <f>'CALL SHEET'!$AC$49</f>
        <v/>
      </c>
      <c r="F49">
        <f>IF('CALL SHEET'!$V$49="","",'CALL SHEET'!$V$49)</f>
        <v/>
      </c>
      <c r="G49">
        <f>IF('CALL SHEET'!$D$49="","",'CALL SHEET'!$D$49)</f>
        <v/>
      </c>
      <c r="H49">
        <f>IF('CALL SHEET'!$G$49="","",'CALL SHEET'!$G$49)</f>
        <v/>
      </c>
      <c r="I49">
        <f>IF('CALL SHEET'!$AT$49="","",'CALL SHEET'!$AT$49)</f>
        <v/>
      </c>
      <c r="J49">
        <f>IF('CALL SHEET'!$AX$49="","",'CALL SHEET'!$AX$49)</f>
        <v/>
      </c>
      <c r="K49">
        <f>IF('CALL SHEET'!$N$49="","",'CALL SHEET'!$N$49)</f>
        <v/>
      </c>
      <c r="L49">
        <f>IF('CALL SHEET'!$AE$49="","",'CALL SHEET'!$AE$49)</f>
        <v/>
      </c>
      <c r="M49" t="inlineStr">
        <is>
          <t>TRADE</t>
        </is>
      </c>
      <c r="N49" t="inlineStr">
        <is>
          <t>CALL SHEET · row 49</t>
        </is>
      </c>
    </row>
    <row r="50">
      <c r="A50">
        <f>IF('CALL SHEET'!$A$50="","",'CALL SHEET'!$A$50)</f>
        <v/>
      </c>
      <c r="B50">
        <f>IF('CALL SHEET'!$C$50="","",'CALL SHEET'!$C$50)</f>
        <v/>
      </c>
      <c r="C50">
        <f>'CALL SHEET'!$U$50</f>
        <v/>
      </c>
      <c r="D50">
        <f>'CALL SHEET'!$Y$50</f>
        <v/>
      </c>
      <c r="E50">
        <f>'CALL SHEET'!$AC$50</f>
        <v/>
      </c>
      <c r="F50">
        <f>IF('CALL SHEET'!$V$50="","",'CALL SHEET'!$V$50)</f>
        <v/>
      </c>
      <c r="G50">
        <f>IF('CALL SHEET'!$D$50="","",'CALL SHEET'!$D$50)</f>
        <v/>
      </c>
      <c r="H50">
        <f>IF('CALL SHEET'!$G$50="","",'CALL SHEET'!$G$50)</f>
        <v/>
      </c>
      <c r="I50">
        <f>IF('CALL SHEET'!$AT$50="","",'CALL SHEET'!$AT$50)</f>
        <v/>
      </c>
      <c r="J50">
        <f>IF('CALL SHEET'!$AX$50="","",'CALL SHEET'!$AX$50)</f>
        <v/>
      </c>
      <c r="K50">
        <f>IF('CALL SHEET'!$N$50="","",'CALL SHEET'!$N$50)</f>
        <v/>
      </c>
      <c r="L50">
        <f>IF('CALL SHEET'!$AE$50="","",'CALL SHEET'!$AE$50)</f>
        <v/>
      </c>
      <c r="M50" t="inlineStr">
        <is>
          <t>TRADE</t>
        </is>
      </c>
      <c r="N50" t="inlineStr">
        <is>
          <t>CALL SHEET · row 50</t>
        </is>
      </c>
    </row>
    <row r="51">
      <c r="A51">
        <f>IF('CALL SHEET'!$A$51="","",'CALL SHEET'!$A$51)</f>
        <v/>
      </c>
      <c r="B51">
        <f>IF('CALL SHEET'!$C$51="","",'CALL SHEET'!$C$51)</f>
        <v/>
      </c>
      <c r="C51">
        <f>'CALL SHEET'!$U$51</f>
        <v/>
      </c>
      <c r="D51">
        <f>'CALL SHEET'!$Y$51</f>
        <v/>
      </c>
      <c r="E51">
        <f>'CALL SHEET'!$AC$51</f>
        <v/>
      </c>
      <c r="F51">
        <f>IF('CALL SHEET'!$V$51="","",'CALL SHEET'!$V$51)</f>
        <v/>
      </c>
      <c r="G51">
        <f>IF('CALL SHEET'!$D$51="","",'CALL SHEET'!$D$51)</f>
        <v/>
      </c>
      <c r="H51">
        <f>IF('CALL SHEET'!$G$51="","",'CALL SHEET'!$G$51)</f>
        <v/>
      </c>
      <c r="I51">
        <f>IF('CALL SHEET'!$AT$51="","",'CALL SHEET'!$AT$51)</f>
        <v/>
      </c>
      <c r="J51">
        <f>IF('CALL SHEET'!$AX$51="","",'CALL SHEET'!$AX$51)</f>
        <v/>
      </c>
      <c r="K51">
        <f>IF('CALL SHEET'!$N$51="","",'CALL SHEET'!$N$51)</f>
        <v/>
      </c>
      <c r="L51">
        <f>IF('CALL SHEET'!$AE$51="","",'CALL SHEET'!$AE$51)</f>
        <v/>
      </c>
      <c r="M51" t="inlineStr">
        <is>
          <t>TRADE</t>
        </is>
      </c>
      <c r="N51" t="inlineStr">
        <is>
          <t>CALL SHEET · row 51</t>
        </is>
      </c>
    </row>
    <row r="52">
      <c r="A52">
        <f>IF('CALL SHEET'!$A$52="","",'CALL SHEET'!$A$52)</f>
        <v/>
      </c>
      <c r="B52">
        <f>IF('CALL SHEET'!$C$52="","",'CALL SHEET'!$C$52)</f>
        <v/>
      </c>
      <c r="C52">
        <f>'CALL SHEET'!$U$52</f>
        <v/>
      </c>
      <c r="D52">
        <f>'CALL SHEET'!$Y$52</f>
        <v/>
      </c>
      <c r="E52">
        <f>'CALL SHEET'!$AC$52</f>
        <v/>
      </c>
      <c r="F52">
        <f>IF('CALL SHEET'!$V$52="","",'CALL SHEET'!$V$52)</f>
        <v/>
      </c>
      <c r="G52">
        <f>IF('CALL SHEET'!$D$52="","",'CALL SHEET'!$D$52)</f>
        <v/>
      </c>
      <c r="H52">
        <f>IF('CALL SHEET'!$G$52="","",'CALL SHEET'!$G$52)</f>
        <v/>
      </c>
      <c r="I52">
        <f>IF('CALL SHEET'!$AT$52="","",'CALL SHEET'!$AT$52)</f>
        <v/>
      </c>
      <c r="J52">
        <f>IF('CALL SHEET'!$AX$52="","",'CALL SHEET'!$AX$52)</f>
        <v/>
      </c>
      <c r="K52">
        <f>IF('CALL SHEET'!$N$52="","",'CALL SHEET'!$N$52)</f>
        <v/>
      </c>
      <c r="L52">
        <f>IF('CALL SHEET'!$AE$52="","",'CALL SHEET'!$AE$52)</f>
        <v/>
      </c>
      <c r="M52" t="inlineStr">
        <is>
          <t>TRADE</t>
        </is>
      </c>
      <c r="N52" t="inlineStr">
        <is>
          <t>CALL SHEET · row 52</t>
        </is>
      </c>
    </row>
    <row r="53">
      <c r="A53">
        <f>IF('CALL SHEET'!$A$53="","",'CALL SHEET'!$A$53)</f>
        <v/>
      </c>
      <c r="B53">
        <f>IF('CALL SHEET'!$C$53="","",'CALL SHEET'!$C$53)</f>
        <v/>
      </c>
      <c r="C53">
        <f>'CALL SHEET'!$U$53</f>
        <v/>
      </c>
      <c r="D53">
        <f>'CALL SHEET'!$Y$53</f>
        <v/>
      </c>
      <c r="E53">
        <f>'CALL SHEET'!$AC$53</f>
        <v/>
      </c>
      <c r="F53">
        <f>IF('CALL SHEET'!$V$53="","",'CALL SHEET'!$V$53)</f>
        <v/>
      </c>
      <c r="G53">
        <f>IF('CALL SHEET'!$D$53="","",'CALL SHEET'!$D$53)</f>
        <v/>
      </c>
      <c r="H53">
        <f>IF('CALL SHEET'!$G$53="","",'CALL SHEET'!$G$53)</f>
        <v/>
      </c>
      <c r="I53">
        <f>IF('CALL SHEET'!$AT$53="","",'CALL SHEET'!$AT$53)</f>
        <v/>
      </c>
      <c r="J53">
        <f>IF('CALL SHEET'!$AX$53="","",'CALL SHEET'!$AX$53)</f>
        <v/>
      </c>
      <c r="K53">
        <f>IF('CALL SHEET'!$N$53="","",'CALL SHEET'!$N$53)</f>
        <v/>
      </c>
      <c r="L53">
        <f>IF('CALL SHEET'!$AE$53="","",'CALL SHEET'!$AE$53)</f>
        <v/>
      </c>
      <c r="M53" t="inlineStr">
        <is>
          <t>TRADE</t>
        </is>
      </c>
      <c r="N53" t="inlineStr">
        <is>
          <t>CALL SHEET · row 53</t>
        </is>
      </c>
    </row>
    <row r="54">
      <c r="A54">
        <f>IF('CALL SHEET'!$A$54="","",'CALL SHEET'!$A$54)</f>
        <v/>
      </c>
      <c r="B54">
        <f>IF('CALL SHEET'!$C$54="","",'CALL SHEET'!$C$54)</f>
        <v/>
      </c>
      <c r="C54">
        <f>'CALL SHEET'!$U$54</f>
        <v/>
      </c>
      <c r="D54">
        <f>'CALL SHEET'!$Y$54</f>
        <v/>
      </c>
      <c r="E54">
        <f>'CALL SHEET'!$AC$54</f>
        <v/>
      </c>
      <c r="F54">
        <f>IF('CALL SHEET'!$V$54="","",'CALL SHEET'!$V$54)</f>
        <v/>
      </c>
      <c r="G54">
        <f>IF('CALL SHEET'!$D$54="","",'CALL SHEET'!$D$54)</f>
        <v/>
      </c>
      <c r="H54">
        <f>IF('CALL SHEET'!$G$54="","",'CALL SHEET'!$G$54)</f>
        <v/>
      </c>
      <c r="I54">
        <f>IF('CALL SHEET'!$AT$54="","",'CALL SHEET'!$AT$54)</f>
        <v/>
      </c>
      <c r="J54">
        <f>IF('CALL SHEET'!$AX$54="","",'CALL SHEET'!$AX$54)</f>
        <v/>
      </c>
      <c r="K54">
        <f>IF('CALL SHEET'!$N$54="","",'CALL SHEET'!$N$54)</f>
        <v/>
      </c>
      <c r="L54">
        <f>IF('CALL SHEET'!$AE$54="","",'CALL SHEET'!$AE$54)</f>
        <v/>
      </c>
      <c r="M54" t="inlineStr">
        <is>
          <t>TRADE</t>
        </is>
      </c>
      <c r="N54" t="inlineStr">
        <is>
          <t>CALL SHEET · row 54</t>
        </is>
      </c>
    </row>
    <row r="55">
      <c r="A55">
        <f>IF('CALL SHEET'!$A$55="","",'CALL SHEET'!$A$55)</f>
        <v/>
      </c>
      <c r="B55">
        <f>IF('CALL SHEET'!$C$55="","",'CALL SHEET'!$C$55)</f>
        <v/>
      </c>
      <c r="C55">
        <f>'CALL SHEET'!$U$55</f>
        <v/>
      </c>
      <c r="D55">
        <f>'CALL SHEET'!$Y$55</f>
        <v/>
      </c>
      <c r="E55">
        <f>'CALL SHEET'!$AC$55</f>
        <v/>
      </c>
      <c r="F55">
        <f>IF('CALL SHEET'!$V$55="","",'CALL SHEET'!$V$55)</f>
        <v/>
      </c>
      <c r="G55">
        <f>IF('CALL SHEET'!$D$55="","",'CALL SHEET'!$D$55)</f>
        <v/>
      </c>
      <c r="H55">
        <f>IF('CALL SHEET'!$G$55="","",'CALL SHEET'!$G$55)</f>
        <v/>
      </c>
      <c r="I55">
        <f>IF('CALL SHEET'!$AT$55="","",'CALL SHEET'!$AT$55)</f>
        <v/>
      </c>
      <c r="J55">
        <f>IF('CALL SHEET'!$AX$55="","",'CALL SHEET'!$AX$55)</f>
        <v/>
      </c>
      <c r="K55">
        <f>IF('CALL SHEET'!$N$55="","",'CALL SHEET'!$N$55)</f>
        <v/>
      </c>
      <c r="L55">
        <f>IF('CALL SHEET'!$AE$55="","",'CALL SHEET'!$AE$55)</f>
        <v/>
      </c>
      <c r="M55" t="inlineStr">
        <is>
          <t>TRADE</t>
        </is>
      </c>
      <c r="N55" t="inlineStr">
        <is>
          <t>CALL SHEET · row 55</t>
        </is>
      </c>
    </row>
    <row r="56">
      <c r="A56">
        <f>IF('CALL SHEET'!$A$56="","",'CALL SHEET'!$A$56)</f>
        <v/>
      </c>
      <c r="B56">
        <f>IF('CALL SHEET'!$C$56="","",'CALL SHEET'!$C$56)</f>
        <v/>
      </c>
      <c r="C56">
        <f>'CALL SHEET'!$U$56</f>
        <v/>
      </c>
      <c r="D56">
        <f>'CALL SHEET'!$Y$56</f>
        <v/>
      </c>
      <c r="E56">
        <f>'CALL SHEET'!$AC$56</f>
        <v/>
      </c>
      <c r="F56">
        <f>IF('CALL SHEET'!$V$56="","",'CALL SHEET'!$V$56)</f>
        <v/>
      </c>
      <c r="G56">
        <f>IF('CALL SHEET'!$D$56="","",'CALL SHEET'!$D$56)</f>
        <v/>
      </c>
      <c r="H56">
        <f>IF('CALL SHEET'!$G$56="","",'CALL SHEET'!$G$56)</f>
        <v/>
      </c>
      <c r="I56">
        <f>IF('CALL SHEET'!$AT$56="","",'CALL SHEET'!$AT$56)</f>
        <v/>
      </c>
      <c r="J56">
        <f>IF('CALL SHEET'!$AX$56="","",'CALL SHEET'!$AX$56)</f>
        <v/>
      </c>
      <c r="K56">
        <f>IF('CALL SHEET'!$N$56="","",'CALL SHEET'!$N$56)</f>
        <v/>
      </c>
      <c r="L56">
        <f>IF('CALL SHEET'!$AE$56="","",'CALL SHEET'!$AE$56)</f>
        <v/>
      </c>
      <c r="M56" t="inlineStr">
        <is>
          <t>TRADE</t>
        </is>
      </c>
      <c r="N56" t="inlineStr">
        <is>
          <t>CALL SHEET · row 56</t>
        </is>
      </c>
    </row>
    <row r="57">
      <c r="A57">
        <f>IF('CALL SHEET'!$A$57="","",'CALL SHEET'!$A$57)</f>
        <v/>
      </c>
      <c r="B57">
        <f>IF('CALL SHEET'!$C$57="","",'CALL SHEET'!$C$57)</f>
        <v/>
      </c>
      <c r="C57">
        <f>'CALL SHEET'!$U$57</f>
        <v/>
      </c>
      <c r="D57">
        <f>'CALL SHEET'!$Y$57</f>
        <v/>
      </c>
      <c r="E57">
        <f>'CALL SHEET'!$AC$57</f>
        <v/>
      </c>
      <c r="F57">
        <f>IF('CALL SHEET'!$V$57="","",'CALL SHEET'!$V$57)</f>
        <v/>
      </c>
      <c r="G57">
        <f>IF('CALL SHEET'!$D$57="","",'CALL SHEET'!$D$57)</f>
        <v/>
      </c>
      <c r="H57">
        <f>IF('CALL SHEET'!$G$57="","",'CALL SHEET'!$G$57)</f>
        <v/>
      </c>
      <c r="I57">
        <f>IF('CALL SHEET'!$AT$57="","",'CALL SHEET'!$AT$57)</f>
        <v/>
      </c>
      <c r="J57">
        <f>IF('CALL SHEET'!$AX$57="","",'CALL SHEET'!$AX$57)</f>
        <v/>
      </c>
      <c r="K57">
        <f>IF('CALL SHEET'!$N$57="","",'CALL SHEET'!$N$57)</f>
        <v/>
      </c>
      <c r="L57">
        <f>IF('CALL SHEET'!$AE$57="","",'CALL SHEET'!$AE$57)</f>
        <v/>
      </c>
      <c r="M57" t="inlineStr">
        <is>
          <t>TRADE</t>
        </is>
      </c>
      <c r="N57" t="inlineStr">
        <is>
          <t>CALL SHEET · row 57</t>
        </is>
      </c>
    </row>
    <row r="58">
      <c r="A58">
        <f>IF('CALL SHEET'!$A$58="","",'CALL SHEET'!$A$58)</f>
        <v/>
      </c>
      <c r="B58">
        <f>IF('CALL SHEET'!$C$58="","",'CALL SHEET'!$C$58)</f>
        <v/>
      </c>
      <c r="C58">
        <f>'CALL SHEET'!$U$58</f>
        <v/>
      </c>
      <c r="D58">
        <f>'CALL SHEET'!$Y$58</f>
        <v/>
      </c>
      <c r="E58">
        <f>'CALL SHEET'!$AC$58</f>
        <v/>
      </c>
      <c r="F58">
        <f>IF('CALL SHEET'!$V$58="","",'CALL SHEET'!$V$58)</f>
        <v/>
      </c>
      <c r="G58">
        <f>IF('CALL SHEET'!$D$58="","",'CALL SHEET'!$D$58)</f>
        <v/>
      </c>
      <c r="H58">
        <f>IF('CALL SHEET'!$G$58="","",'CALL SHEET'!$G$58)</f>
        <v/>
      </c>
      <c r="I58">
        <f>IF('CALL SHEET'!$AT$58="","",'CALL SHEET'!$AT$58)</f>
        <v/>
      </c>
      <c r="J58">
        <f>IF('CALL SHEET'!$AX$58="","",'CALL SHEET'!$AX$58)</f>
        <v/>
      </c>
      <c r="K58">
        <f>IF('CALL SHEET'!$N$58="","",'CALL SHEET'!$N$58)</f>
        <v/>
      </c>
      <c r="L58">
        <f>IF('CALL SHEET'!$AE$58="","",'CALL SHEET'!$AE$58)</f>
        <v/>
      </c>
      <c r="M58" t="inlineStr">
        <is>
          <t>TRADE</t>
        </is>
      </c>
      <c r="N58" t="inlineStr">
        <is>
          <t>CALL SHEET · row 58</t>
        </is>
      </c>
    </row>
    <row r="59">
      <c r="A59">
        <f>IF('CALL SHEET'!$A$59="","",'CALL SHEET'!$A$59)</f>
        <v/>
      </c>
      <c r="B59">
        <f>IF('CALL SHEET'!$C$59="","",'CALL SHEET'!$C$59)</f>
        <v/>
      </c>
      <c r="C59">
        <f>'CALL SHEET'!$U$59</f>
        <v/>
      </c>
      <c r="D59">
        <f>'CALL SHEET'!$Y$59</f>
        <v/>
      </c>
      <c r="E59">
        <f>'CALL SHEET'!$AC$59</f>
        <v/>
      </c>
      <c r="F59">
        <f>IF('CALL SHEET'!$V$59="","",'CALL SHEET'!$V$59)</f>
        <v/>
      </c>
      <c r="G59">
        <f>IF('CALL SHEET'!$D$59="","",'CALL SHEET'!$D$59)</f>
        <v/>
      </c>
      <c r="H59">
        <f>IF('CALL SHEET'!$G$59="","",'CALL SHEET'!$G$59)</f>
        <v/>
      </c>
      <c r="I59">
        <f>IF('CALL SHEET'!$AT$59="","",'CALL SHEET'!$AT$59)</f>
        <v/>
      </c>
      <c r="J59">
        <f>IF('CALL SHEET'!$AX$59="","",'CALL SHEET'!$AX$59)</f>
        <v/>
      </c>
      <c r="K59">
        <f>IF('CALL SHEET'!$N$59="","",'CALL SHEET'!$N$59)</f>
        <v/>
      </c>
      <c r="L59">
        <f>IF('CALL SHEET'!$AE$59="","",'CALL SHEET'!$AE$59)</f>
        <v/>
      </c>
      <c r="M59" t="inlineStr">
        <is>
          <t>TRADE</t>
        </is>
      </c>
      <c r="N59" t="inlineStr">
        <is>
          <t>CALL SHEET · row 59</t>
        </is>
      </c>
    </row>
    <row r="60">
      <c r="A60">
        <f>IF('CALL SHEET'!$A$60="","",'CALL SHEET'!$A$60)</f>
        <v/>
      </c>
      <c r="B60">
        <f>IF('CALL SHEET'!$C$60="","",'CALL SHEET'!$C$60)</f>
        <v/>
      </c>
      <c r="C60">
        <f>'CALL SHEET'!$U$60</f>
        <v/>
      </c>
      <c r="D60">
        <f>'CALL SHEET'!$Y$60</f>
        <v/>
      </c>
      <c r="E60">
        <f>'CALL SHEET'!$AC$60</f>
        <v/>
      </c>
      <c r="F60">
        <f>IF('CALL SHEET'!$V$60="","",'CALL SHEET'!$V$60)</f>
        <v/>
      </c>
      <c r="G60">
        <f>IF('CALL SHEET'!$D$60="","",'CALL SHEET'!$D$60)</f>
        <v/>
      </c>
      <c r="H60">
        <f>IF('CALL SHEET'!$G$60="","",'CALL SHEET'!$G$60)</f>
        <v/>
      </c>
      <c r="I60">
        <f>IF('CALL SHEET'!$AT$60="","",'CALL SHEET'!$AT$60)</f>
        <v/>
      </c>
      <c r="J60">
        <f>IF('CALL SHEET'!$AX$60="","",'CALL SHEET'!$AX$60)</f>
        <v/>
      </c>
      <c r="K60">
        <f>IF('CALL SHEET'!$N$60="","",'CALL SHEET'!$N$60)</f>
        <v/>
      </c>
      <c r="L60">
        <f>IF('CALL SHEET'!$AE$60="","",'CALL SHEET'!$AE$60)</f>
        <v/>
      </c>
      <c r="M60" t="inlineStr">
        <is>
          <t>TRADE</t>
        </is>
      </c>
      <c r="N60" t="inlineStr">
        <is>
          <t>CALL SHEET · row 60</t>
        </is>
      </c>
    </row>
    <row r="61">
      <c r="A61">
        <f>IF('CALL SHEET'!$A$61="","",'CALL SHEET'!$A$61)</f>
        <v/>
      </c>
      <c r="B61">
        <f>IF('CALL SHEET'!$C$61="","",'CALL SHEET'!$C$61)</f>
        <v/>
      </c>
      <c r="C61">
        <f>'CALL SHEET'!$U$61</f>
        <v/>
      </c>
      <c r="D61">
        <f>'CALL SHEET'!$Y$61</f>
        <v/>
      </c>
      <c r="E61">
        <f>'CALL SHEET'!$AC$61</f>
        <v/>
      </c>
      <c r="F61">
        <f>IF('CALL SHEET'!$V$61="","",'CALL SHEET'!$V$61)</f>
        <v/>
      </c>
      <c r="G61">
        <f>IF('CALL SHEET'!$D$61="","",'CALL SHEET'!$D$61)</f>
        <v/>
      </c>
      <c r="H61">
        <f>IF('CALL SHEET'!$G$61="","",'CALL SHEET'!$G$61)</f>
        <v/>
      </c>
      <c r="I61">
        <f>IF('CALL SHEET'!$AT$61="","",'CALL SHEET'!$AT$61)</f>
        <v/>
      </c>
      <c r="J61">
        <f>IF('CALL SHEET'!$AX$61="","",'CALL SHEET'!$AX$61)</f>
        <v/>
      </c>
      <c r="K61">
        <f>IF('CALL SHEET'!$N$61="","",'CALL SHEET'!$N$61)</f>
        <v/>
      </c>
      <c r="L61">
        <f>IF('CALL SHEET'!$AE$61="","",'CALL SHEET'!$AE$61)</f>
        <v/>
      </c>
      <c r="M61" t="inlineStr">
        <is>
          <t>TRADE</t>
        </is>
      </c>
      <c r="N61" t="inlineStr">
        <is>
          <t>CALL SHEET · row 61</t>
        </is>
      </c>
    </row>
    <row r="62">
      <c r="A62">
        <f>IF('CALL SHEET'!$A$62="","",'CALL SHEET'!$A$62)</f>
        <v/>
      </c>
      <c r="B62">
        <f>IF('CALL SHEET'!$C$62="","",'CALL SHEET'!$C$62)</f>
        <v/>
      </c>
      <c r="C62">
        <f>'CALL SHEET'!$U$62</f>
        <v/>
      </c>
      <c r="D62">
        <f>'CALL SHEET'!$Y$62</f>
        <v/>
      </c>
      <c r="E62">
        <f>'CALL SHEET'!$AC$62</f>
        <v/>
      </c>
      <c r="F62">
        <f>IF('CALL SHEET'!$V$62="","",'CALL SHEET'!$V$62)</f>
        <v/>
      </c>
      <c r="G62">
        <f>IF('CALL SHEET'!$D$62="","",'CALL SHEET'!$D$62)</f>
        <v/>
      </c>
      <c r="H62">
        <f>IF('CALL SHEET'!$G$62="","",'CALL SHEET'!$G$62)</f>
        <v/>
      </c>
      <c r="I62">
        <f>IF('CALL SHEET'!$AT$62="","",'CALL SHEET'!$AT$62)</f>
        <v/>
      </c>
      <c r="J62">
        <f>IF('CALL SHEET'!$AX$62="","",'CALL SHEET'!$AX$62)</f>
        <v/>
      </c>
      <c r="K62">
        <f>IF('CALL SHEET'!$N$62="","",'CALL SHEET'!$N$62)</f>
        <v/>
      </c>
      <c r="L62">
        <f>IF('CALL SHEET'!$AE$62="","",'CALL SHEET'!$AE$62)</f>
        <v/>
      </c>
      <c r="M62" t="inlineStr">
        <is>
          <t>TRADE</t>
        </is>
      </c>
      <c r="N62" t="inlineStr">
        <is>
          <t>CALL SHEET · row 62</t>
        </is>
      </c>
    </row>
    <row r="63">
      <c r="A63">
        <f>IF('CALL SHEET'!$A$63="","",'CALL SHEET'!$A$63)</f>
        <v/>
      </c>
      <c r="B63">
        <f>IF('CALL SHEET'!$C$63="","",'CALL SHEET'!$C$63)</f>
        <v/>
      </c>
      <c r="C63">
        <f>'CALL SHEET'!$U$63</f>
        <v/>
      </c>
      <c r="D63">
        <f>'CALL SHEET'!$Y$63</f>
        <v/>
      </c>
      <c r="E63">
        <f>'CALL SHEET'!$AC$63</f>
        <v/>
      </c>
      <c r="F63">
        <f>IF('CALL SHEET'!$V$63="","",'CALL SHEET'!$V$63)</f>
        <v/>
      </c>
      <c r="G63">
        <f>IF('CALL SHEET'!$D$63="","",'CALL SHEET'!$D$63)</f>
        <v/>
      </c>
      <c r="H63">
        <f>IF('CALL SHEET'!$G$63="","",'CALL SHEET'!$G$63)</f>
        <v/>
      </c>
      <c r="I63">
        <f>IF('CALL SHEET'!$AT$63="","",'CALL SHEET'!$AT$63)</f>
        <v/>
      </c>
      <c r="J63">
        <f>IF('CALL SHEET'!$AX$63="","",'CALL SHEET'!$AX$63)</f>
        <v/>
      </c>
      <c r="K63">
        <f>IF('CALL SHEET'!$N$63="","",'CALL SHEET'!$N$63)</f>
        <v/>
      </c>
      <c r="L63">
        <f>IF('CALL SHEET'!$AE$63="","",'CALL SHEET'!$AE$63)</f>
        <v/>
      </c>
      <c r="M63" t="inlineStr">
        <is>
          <t>TRADE</t>
        </is>
      </c>
      <c r="N63" t="inlineStr">
        <is>
          <t>CALL SHEET · row 63</t>
        </is>
      </c>
    </row>
    <row r="64">
      <c r="A64">
        <f>IF('CALL SHEET'!$A$64="","",'CALL SHEET'!$A$64)</f>
        <v/>
      </c>
      <c r="B64">
        <f>IF('CALL SHEET'!$C$64="","",'CALL SHEET'!$C$64)</f>
        <v/>
      </c>
      <c r="C64">
        <f>'CALL SHEET'!$U$64</f>
        <v/>
      </c>
      <c r="D64">
        <f>'CALL SHEET'!$Y$64</f>
        <v/>
      </c>
      <c r="E64">
        <f>'CALL SHEET'!$AC$64</f>
        <v/>
      </c>
      <c r="F64">
        <f>IF('CALL SHEET'!$V$64="","",'CALL SHEET'!$V$64)</f>
        <v/>
      </c>
      <c r="G64">
        <f>IF('CALL SHEET'!$D$64="","",'CALL SHEET'!$D$64)</f>
        <v/>
      </c>
      <c r="H64">
        <f>IF('CALL SHEET'!$G$64="","",'CALL SHEET'!$G$64)</f>
        <v/>
      </c>
      <c r="I64">
        <f>IF('CALL SHEET'!$AT$64="","",'CALL SHEET'!$AT$64)</f>
        <v/>
      </c>
      <c r="J64">
        <f>IF('CALL SHEET'!$AX$64="","",'CALL SHEET'!$AX$64)</f>
        <v/>
      </c>
      <c r="K64">
        <f>IF('CALL SHEET'!$N$64="","",'CALL SHEET'!$N$64)</f>
        <v/>
      </c>
      <c r="L64">
        <f>IF('CALL SHEET'!$AE$64="","",'CALL SHEET'!$AE$64)</f>
        <v/>
      </c>
      <c r="M64" t="inlineStr">
        <is>
          <t>TRADE</t>
        </is>
      </c>
      <c r="N64" t="inlineStr">
        <is>
          <t>CALL SHEET · row 64</t>
        </is>
      </c>
    </row>
    <row r="65">
      <c r="A65">
        <f>IF('CALL SHEET'!$A$65="","",'CALL SHEET'!$A$65)</f>
        <v/>
      </c>
      <c r="B65">
        <f>IF('CALL SHEET'!$C$65="","",'CALL SHEET'!$C$65)</f>
        <v/>
      </c>
      <c r="C65">
        <f>'CALL SHEET'!$U$65</f>
        <v/>
      </c>
      <c r="D65">
        <f>'CALL SHEET'!$Y$65</f>
        <v/>
      </c>
      <c r="E65">
        <f>'CALL SHEET'!$AC$65</f>
        <v/>
      </c>
      <c r="F65">
        <f>IF('CALL SHEET'!$V$65="","",'CALL SHEET'!$V$65)</f>
        <v/>
      </c>
      <c r="G65">
        <f>IF('CALL SHEET'!$D$65="","",'CALL SHEET'!$D$65)</f>
        <v/>
      </c>
      <c r="H65">
        <f>IF('CALL SHEET'!$G$65="","",'CALL SHEET'!$G$65)</f>
        <v/>
      </c>
      <c r="I65">
        <f>IF('CALL SHEET'!$AT$65="","",'CALL SHEET'!$AT$65)</f>
        <v/>
      </c>
      <c r="J65">
        <f>IF('CALL SHEET'!$AX$65="","",'CALL SHEET'!$AX$65)</f>
        <v/>
      </c>
      <c r="K65">
        <f>IF('CALL SHEET'!$N$65="","",'CALL SHEET'!$N$65)</f>
        <v/>
      </c>
      <c r="L65">
        <f>IF('CALL SHEET'!$AE$65="","",'CALL SHEET'!$AE$65)</f>
        <v/>
      </c>
      <c r="M65" t="inlineStr">
        <is>
          <t>TRADE</t>
        </is>
      </c>
      <c r="N65" t="inlineStr">
        <is>
          <t>CALL SHEET · row 65</t>
        </is>
      </c>
    </row>
    <row r="66">
      <c r="A66">
        <f>IF('CALL SHEET'!$A$66="","",'CALL SHEET'!$A$66)</f>
        <v/>
      </c>
      <c r="B66">
        <f>IF('CALL SHEET'!$C$66="","",'CALL SHEET'!$C$66)</f>
        <v/>
      </c>
      <c r="C66">
        <f>'CALL SHEET'!$U$66</f>
        <v/>
      </c>
      <c r="D66">
        <f>'CALL SHEET'!$Y$66</f>
        <v/>
      </c>
      <c r="E66">
        <f>'CALL SHEET'!$AC$66</f>
        <v/>
      </c>
      <c r="F66">
        <f>IF('CALL SHEET'!$V$66="","",'CALL SHEET'!$V$66)</f>
        <v/>
      </c>
      <c r="G66">
        <f>IF('CALL SHEET'!$D$66="","",'CALL SHEET'!$D$66)</f>
        <v/>
      </c>
      <c r="H66">
        <f>IF('CALL SHEET'!$G$66="","",'CALL SHEET'!$G$66)</f>
        <v/>
      </c>
      <c r="I66">
        <f>IF('CALL SHEET'!$AT$66="","",'CALL SHEET'!$AT$66)</f>
        <v/>
      </c>
      <c r="J66">
        <f>IF('CALL SHEET'!$AX$66="","",'CALL SHEET'!$AX$66)</f>
        <v/>
      </c>
      <c r="K66">
        <f>IF('CALL SHEET'!$N$66="","",'CALL SHEET'!$N$66)</f>
        <v/>
      </c>
      <c r="L66">
        <f>IF('CALL SHEET'!$AE$66="","",'CALL SHEET'!$AE$66)</f>
        <v/>
      </c>
      <c r="M66" t="inlineStr">
        <is>
          <t>TRADE</t>
        </is>
      </c>
      <c r="N66" t="inlineStr">
        <is>
          <t>CALL SHEET · row 66</t>
        </is>
      </c>
    </row>
    <row r="67">
      <c r="A67">
        <f>IF('CALL SHEET'!$A$67="","",'CALL SHEET'!$A$67)</f>
        <v/>
      </c>
      <c r="B67">
        <f>IF('CALL SHEET'!$C$67="","",'CALL SHEET'!$C$67)</f>
        <v/>
      </c>
      <c r="C67">
        <f>'CALL SHEET'!$U$67</f>
        <v/>
      </c>
      <c r="D67">
        <f>'CALL SHEET'!$Y$67</f>
        <v/>
      </c>
      <c r="E67">
        <f>'CALL SHEET'!$AC$67</f>
        <v/>
      </c>
      <c r="F67">
        <f>IF('CALL SHEET'!$V$67="","",'CALL SHEET'!$V$67)</f>
        <v/>
      </c>
      <c r="G67">
        <f>IF('CALL SHEET'!$D$67="","",'CALL SHEET'!$D$67)</f>
        <v/>
      </c>
      <c r="H67">
        <f>IF('CALL SHEET'!$G$67="","",'CALL SHEET'!$G$67)</f>
        <v/>
      </c>
      <c r="I67">
        <f>IF('CALL SHEET'!$AT$67="","",'CALL SHEET'!$AT$67)</f>
        <v/>
      </c>
      <c r="J67">
        <f>IF('CALL SHEET'!$AX$67="","",'CALL SHEET'!$AX$67)</f>
        <v/>
      </c>
      <c r="K67">
        <f>IF('CALL SHEET'!$N$67="","",'CALL SHEET'!$N$67)</f>
        <v/>
      </c>
      <c r="L67">
        <f>IF('CALL SHEET'!$AE$67="","",'CALL SHEET'!$AE$67)</f>
        <v/>
      </c>
      <c r="M67" t="inlineStr">
        <is>
          <t>TRADE</t>
        </is>
      </c>
      <c r="N67" t="inlineStr">
        <is>
          <t>CALL SHEET · row 67</t>
        </is>
      </c>
    </row>
    <row r="68">
      <c r="A68">
        <f>IF('CALL SHEET'!$A$68="","",'CALL SHEET'!$A$68)</f>
        <v/>
      </c>
      <c r="B68">
        <f>IF('CALL SHEET'!$C$68="","",'CALL SHEET'!$C$68)</f>
        <v/>
      </c>
      <c r="C68">
        <f>'CALL SHEET'!$U$68</f>
        <v/>
      </c>
      <c r="D68">
        <f>'CALL SHEET'!$Y$68</f>
        <v/>
      </c>
      <c r="E68">
        <f>'CALL SHEET'!$AC$68</f>
        <v/>
      </c>
      <c r="F68">
        <f>IF('CALL SHEET'!$V$68="","",'CALL SHEET'!$V$68)</f>
        <v/>
      </c>
      <c r="G68">
        <f>IF('CALL SHEET'!$D$68="","",'CALL SHEET'!$D$68)</f>
        <v/>
      </c>
      <c r="H68">
        <f>IF('CALL SHEET'!$G$68="","",'CALL SHEET'!$G$68)</f>
        <v/>
      </c>
      <c r="I68">
        <f>IF('CALL SHEET'!$AT$68="","",'CALL SHEET'!$AT$68)</f>
        <v/>
      </c>
      <c r="J68">
        <f>IF('CALL SHEET'!$AX$68="","",'CALL SHEET'!$AX$68)</f>
        <v/>
      </c>
      <c r="K68">
        <f>IF('CALL SHEET'!$N$68="","",'CALL SHEET'!$N$68)</f>
        <v/>
      </c>
      <c r="L68">
        <f>IF('CALL SHEET'!$AE$68="","",'CALL SHEET'!$AE$68)</f>
        <v/>
      </c>
      <c r="M68" t="inlineStr">
        <is>
          <t>TRADE</t>
        </is>
      </c>
      <c r="N68" t="inlineStr">
        <is>
          <t>CALL SHEET · row 68</t>
        </is>
      </c>
    </row>
    <row r="69">
      <c r="A69">
        <f>IF('CALL SHEET'!$A$69="","",'CALL SHEET'!$A$69)</f>
        <v/>
      </c>
      <c r="B69">
        <f>IF('CALL SHEET'!$C$69="","",'CALL SHEET'!$C$69)</f>
        <v/>
      </c>
      <c r="C69">
        <f>'CALL SHEET'!$U$69</f>
        <v/>
      </c>
      <c r="D69">
        <f>'CALL SHEET'!$Y$69</f>
        <v/>
      </c>
      <c r="E69">
        <f>'CALL SHEET'!$AC$69</f>
        <v/>
      </c>
      <c r="F69">
        <f>IF('CALL SHEET'!$V$69="","",'CALL SHEET'!$V$69)</f>
        <v/>
      </c>
      <c r="G69">
        <f>IF('CALL SHEET'!$D$69="","",'CALL SHEET'!$D$69)</f>
        <v/>
      </c>
      <c r="H69">
        <f>IF('CALL SHEET'!$G$69="","",'CALL SHEET'!$G$69)</f>
        <v/>
      </c>
      <c r="I69">
        <f>IF('CALL SHEET'!$AT$69="","",'CALL SHEET'!$AT$69)</f>
        <v/>
      </c>
      <c r="J69">
        <f>IF('CALL SHEET'!$AX$69="","",'CALL SHEET'!$AX$69)</f>
        <v/>
      </c>
      <c r="K69">
        <f>IF('CALL SHEET'!$N$69="","",'CALL SHEET'!$N$69)</f>
        <v/>
      </c>
      <c r="L69">
        <f>IF('CALL SHEET'!$AE$69="","",'CALL SHEET'!$AE$69)</f>
        <v/>
      </c>
      <c r="M69" t="inlineStr">
        <is>
          <t>TRADE</t>
        </is>
      </c>
      <c r="N69" t="inlineStr">
        <is>
          <t>CALL SHEET · row 69</t>
        </is>
      </c>
    </row>
    <row r="70">
      <c r="A70">
        <f>IF('CALL SHEET'!$A$70="","",'CALL SHEET'!$A$70)</f>
        <v/>
      </c>
      <c r="B70">
        <f>IF('CALL SHEET'!$C$70="","",'CALL SHEET'!$C$70)</f>
        <v/>
      </c>
      <c r="C70">
        <f>'CALL SHEET'!$U$70</f>
        <v/>
      </c>
      <c r="D70">
        <f>'CALL SHEET'!$Y$70</f>
        <v/>
      </c>
      <c r="E70">
        <f>'CALL SHEET'!$AC$70</f>
        <v/>
      </c>
      <c r="F70">
        <f>IF('CALL SHEET'!$V$70="","",'CALL SHEET'!$V$70)</f>
        <v/>
      </c>
      <c r="G70">
        <f>IF('CALL SHEET'!$D$70="","",'CALL SHEET'!$D$70)</f>
        <v/>
      </c>
      <c r="H70">
        <f>IF('CALL SHEET'!$G$70="","",'CALL SHEET'!$G$70)</f>
        <v/>
      </c>
      <c r="I70">
        <f>IF('CALL SHEET'!$AT$70="","",'CALL SHEET'!$AT$70)</f>
        <v/>
      </c>
      <c r="J70">
        <f>IF('CALL SHEET'!$AX$70="","",'CALL SHEET'!$AX$70)</f>
        <v/>
      </c>
      <c r="K70">
        <f>IF('CALL SHEET'!$N$70="","",'CALL SHEET'!$N$70)</f>
        <v/>
      </c>
      <c r="L70">
        <f>IF('CALL SHEET'!$AE$70="","",'CALL SHEET'!$AE$70)</f>
        <v/>
      </c>
      <c r="M70" t="inlineStr">
        <is>
          <t>TRADE</t>
        </is>
      </c>
      <c r="N70" t="inlineStr">
        <is>
          <t>CALL SHEET · row 70</t>
        </is>
      </c>
    </row>
    <row r="71">
      <c r="A71">
        <f>IF('CALL SHEET'!$A$71="","",'CALL SHEET'!$A$71)</f>
        <v/>
      </c>
      <c r="B71">
        <f>IF('CALL SHEET'!$C$71="","",'CALL SHEET'!$C$71)</f>
        <v/>
      </c>
      <c r="C71">
        <f>'CALL SHEET'!$U$71</f>
        <v/>
      </c>
      <c r="D71">
        <f>'CALL SHEET'!$Y$71</f>
        <v/>
      </c>
      <c r="E71">
        <f>'CALL SHEET'!$AC$71</f>
        <v/>
      </c>
      <c r="F71">
        <f>IF('CALL SHEET'!$V$71="","",'CALL SHEET'!$V$71)</f>
        <v/>
      </c>
      <c r="G71">
        <f>IF('CALL SHEET'!$D$71="","",'CALL SHEET'!$D$71)</f>
        <v/>
      </c>
      <c r="H71">
        <f>IF('CALL SHEET'!$G$71="","",'CALL SHEET'!$G$71)</f>
        <v/>
      </c>
      <c r="I71">
        <f>IF('CALL SHEET'!$AT$71="","",'CALL SHEET'!$AT$71)</f>
        <v/>
      </c>
      <c r="J71">
        <f>IF('CALL SHEET'!$AX$71="","",'CALL SHEET'!$AX$71)</f>
        <v/>
      </c>
      <c r="K71">
        <f>IF('CALL SHEET'!$N$71="","",'CALL SHEET'!$N$71)</f>
        <v/>
      </c>
      <c r="L71">
        <f>IF('CALL SHEET'!$AE$71="","",'CALL SHEET'!$AE$71)</f>
        <v/>
      </c>
      <c r="M71" t="inlineStr">
        <is>
          <t>TRADE</t>
        </is>
      </c>
      <c r="N71" t="inlineStr">
        <is>
          <t>CALL SHEET · row 71</t>
        </is>
      </c>
    </row>
    <row r="72">
      <c r="A72">
        <f>IF('CALL SHEET'!$A$72="","",'CALL SHEET'!$A$72)</f>
        <v/>
      </c>
      <c r="B72">
        <f>IF('CALL SHEET'!$C$72="","",'CALL SHEET'!$C$72)</f>
        <v/>
      </c>
      <c r="C72">
        <f>'CALL SHEET'!$U$72</f>
        <v/>
      </c>
      <c r="D72">
        <f>'CALL SHEET'!$Y$72</f>
        <v/>
      </c>
      <c r="E72">
        <f>'CALL SHEET'!$AC$72</f>
        <v/>
      </c>
      <c r="F72">
        <f>IF('CALL SHEET'!$V$72="","",'CALL SHEET'!$V$72)</f>
        <v/>
      </c>
      <c r="G72">
        <f>IF('CALL SHEET'!$D$72="","",'CALL SHEET'!$D$72)</f>
        <v/>
      </c>
      <c r="H72">
        <f>IF('CALL SHEET'!$G$72="","",'CALL SHEET'!$G$72)</f>
        <v/>
      </c>
      <c r="I72">
        <f>IF('CALL SHEET'!$AT$72="","",'CALL SHEET'!$AT$72)</f>
        <v/>
      </c>
      <c r="J72">
        <f>IF('CALL SHEET'!$AX$72="","",'CALL SHEET'!$AX$72)</f>
        <v/>
      </c>
      <c r="K72">
        <f>IF('CALL SHEET'!$N$72="","",'CALL SHEET'!$N$72)</f>
        <v/>
      </c>
      <c r="L72">
        <f>IF('CALL SHEET'!$AE$72="","",'CALL SHEET'!$AE$72)</f>
        <v/>
      </c>
      <c r="M72" t="inlineStr">
        <is>
          <t>TRADE</t>
        </is>
      </c>
      <c r="N72" t="inlineStr">
        <is>
          <t>CALL SHEET · row 72</t>
        </is>
      </c>
    </row>
    <row r="73">
      <c r="A73">
        <f>IF('CALL SHEET'!$A$73="","",'CALL SHEET'!$A$73)</f>
        <v/>
      </c>
      <c r="B73">
        <f>IF('CALL SHEET'!$C$73="","",'CALL SHEET'!$C$73)</f>
        <v/>
      </c>
      <c r="C73">
        <f>'CALL SHEET'!$U$73</f>
        <v/>
      </c>
      <c r="D73">
        <f>'CALL SHEET'!$Y$73</f>
        <v/>
      </c>
      <c r="E73">
        <f>'CALL SHEET'!$AC$73</f>
        <v/>
      </c>
      <c r="F73">
        <f>IF('CALL SHEET'!$V$73="","",'CALL SHEET'!$V$73)</f>
        <v/>
      </c>
      <c r="G73">
        <f>IF('CALL SHEET'!$D$73="","",'CALL SHEET'!$D$73)</f>
        <v/>
      </c>
      <c r="H73">
        <f>IF('CALL SHEET'!$G$73="","",'CALL SHEET'!$G$73)</f>
        <v/>
      </c>
      <c r="I73">
        <f>IF('CALL SHEET'!$AT$73="","",'CALL SHEET'!$AT$73)</f>
        <v/>
      </c>
      <c r="J73">
        <f>IF('CALL SHEET'!$AX$73="","",'CALL SHEET'!$AX$73)</f>
        <v/>
      </c>
      <c r="K73">
        <f>IF('CALL SHEET'!$N$73="","",'CALL SHEET'!$N$73)</f>
        <v/>
      </c>
      <c r="L73">
        <f>IF('CALL SHEET'!$AE$73="","",'CALL SHEET'!$AE$73)</f>
        <v/>
      </c>
      <c r="M73" t="inlineStr">
        <is>
          <t>TRADE</t>
        </is>
      </c>
      <c r="N73" t="inlineStr">
        <is>
          <t>CALL SHEET · row 73</t>
        </is>
      </c>
    </row>
    <row r="74">
      <c r="A74">
        <f>IF('CALL SHEET'!$A$74="","",'CALL SHEET'!$A$74)</f>
        <v/>
      </c>
      <c r="B74">
        <f>IF('CALL SHEET'!$C$74="","",'CALL SHEET'!$C$74)</f>
        <v/>
      </c>
      <c r="C74">
        <f>'CALL SHEET'!$U$74</f>
        <v/>
      </c>
      <c r="D74">
        <f>'CALL SHEET'!$Y$74</f>
        <v/>
      </c>
      <c r="E74">
        <f>'CALL SHEET'!$AC$74</f>
        <v/>
      </c>
      <c r="F74">
        <f>IF('CALL SHEET'!$V$74="","",'CALL SHEET'!$V$74)</f>
        <v/>
      </c>
      <c r="G74">
        <f>IF('CALL SHEET'!$D$74="","",'CALL SHEET'!$D$74)</f>
        <v/>
      </c>
      <c r="H74">
        <f>IF('CALL SHEET'!$G$74="","",'CALL SHEET'!$G$74)</f>
        <v/>
      </c>
      <c r="I74">
        <f>IF('CALL SHEET'!$AT$74="","",'CALL SHEET'!$AT$74)</f>
        <v/>
      </c>
      <c r="J74">
        <f>IF('CALL SHEET'!$AX$74="","",'CALL SHEET'!$AX$74)</f>
        <v/>
      </c>
      <c r="K74">
        <f>IF('CALL SHEET'!$N$74="","",'CALL SHEET'!$N$74)</f>
        <v/>
      </c>
      <c r="L74">
        <f>IF('CALL SHEET'!$AE$74="","",'CALL SHEET'!$AE$74)</f>
        <v/>
      </c>
      <c r="M74" t="inlineStr">
        <is>
          <t>TRADE</t>
        </is>
      </c>
      <c r="N74" t="inlineStr">
        <is>
          <t>CALL SHEET · row 74</t>
        </is>
      </c>
    </row>
    <row r="75">
      <c r="A75">
        <f>IF('CALL SHEET'!$A$75="","",'CALL SHEET'!$A$75)</f>
        <v/>
      </c>
      <c r="B75">
        <f>IF('CALL SHEET'!$C$75="","",'CALL SHEET'!$C$75)</f>
        <v/>
      </c>
      <c r="C75">
        <f>'CALL SHEET'!$U$75</f>
        <v/>
      </c>
      <c r="D75">
        <f>'CALL SHEET'!$Y$75</f>
        <v/>
      </c>
      <c r="E75">
        <f>'CALL SHEET'!$AC$75</f>
        <v/>
      </c>
      <c r="F75">
        <f>IF('CALL SHEET'!$V$75="","",'CALL SHEET'!$V$75)</f>
        <v/>
      </c>
      <c r="G75">
        <f>IF('CALL SHEET'!$D$75="","",'CALL SHEET'!$D$75)</f>
        <v/>
      </c>
      <c r="H75">
        <f>IF('CALL SHEET'!$G$75="","",'CALL SHEET'!$G$75)</f>
        <v/>
      </c>
      <c r="I75">
        <f>IF('CALL SHEET'!$AT$75="","",'CALL SHEET'!$AT$75)</f>
        <v/>
      </c>
      <c r="J75">
        <f>IF('CALL SHEET'!$AX$75="","",'CALL SHEET'!$AX$75)</f>
        <v/>
      </c>
      <c r="K75">
        <f>IF('CALL SHEET'!$N$75="","",'CALL SHEET'!$N$75)</f>
        <v/>
      </c>
      <c r="L75">
        <f>IF('CALL SHEET'!$AE$75="","",'CALL SHEET'!$AE$75)</f>
        <v/>
      </c>
      <c r="M75" t="inlineStr">
        <is>
          <t>TRADE</t>
        </is>
      </c>
      <c r="N75" t="inlineStr">
        <is>
          <t>CALL SHEET · row 75</t>
        </is>
      </c>
    </row>
    <row r="76">
      <c r="A76">
        <f>IF('CALL SHEET'!$A$76="","",'CALL SHEET'!$A$76)</f>
        <v/>
      </c>
      <c r="B76">
        <f>IF('CALL SHEET'!$C$76="","",'CALL SHEET'!$C$76)</f>
        <v/>
      </c>
      <c r="C76">
        <f>'CALL SHEET'!$U$76</f>
        <v/>
      </c>
      <c r="D76">
        <f>'CALL SHEET'!$Y$76</f>
        <v/>
      </c>
      <c r="E76">
        <f>'CALL SHEET'!$AC$76</f>
        <v/>
      </c>
      <c r="F76">
        <f>IF('CALL SHEET'!$V$76="","",'CALL SHEET'!$V$76)</f>
        <v/>
      </c>
      <c r="G76">
        <f>IF('CALL SHEET'!$D$76="","",'CALL SHEET'!$D$76)</f>
        <v/>
      </c>
      <c r="H76">
        <f>IF('CALL SHEET'!$G$76="","",'CALL SHEET'!$G$76)</f>
        <v/>
      </c>
      <c r="I76">
        <f>IF('CALL SHEET'!$AT$76="","",'CALL SHEET'!$AT$76)</f>
        <v/>
      </c>
      <c r="J76">
        <f>IF('CALL SHEET'!$AX$76="","",'CALL SHEET'!$AX$76)</f>
        <v/>
      </c>
      <c r="K76">
        <f>IF('CALL SHEET'!$N$76="","",'CALL SHEET'!$N$76)</f>
        <v/>
      </c>
      <c r="L76">
        <f>IF('CALL SHEET'!$AE$76="","",'CALL SHEET'!$AE$76)</f>
        <v/>
      </c>
      <c r="M76" t="inlineStr">
        <is>
          <t>TRADE</t>
        </is>
      </c>
      <c r="N76" t="inlineStr">
        <is>
          <t>CALL SHEET · row 76</t>
        </is>
      </c>
    </row>
    <row r="77">
      <c r="A77">
        <f>IF('CALL SHEET'!$A$77="","",'CALL SHEET'!$A$77)</f>
        <v/>
      </c>
      <c r="B77">
        <f>IF('CALL SHEET'!$C$77="","",'CALL SHEET'!$C$77)</f>
        <v/>
      </c>
      <c r="C77">
        <f>'CALL SHEET'!$U$77</f>
        <v/>
      </c>
      <c r="D77">
        <f>'CALL SHEET'!$Y$77</f>
        <v/>
      </c>
      <c r="E77">
        <f>'CALL SHEET'!$AC$77</f>
        <v/>
      </c>
      <c r="F77">
        <f>IF('CALL SHEET'!$V$77="","",'CALL SHEET'!$V$77)</f>
        <v/>
      </c>
      <c r="G77">
        <f>IF('CALL SHEET'!$D$77="","",'CALL SHEET'!$D$77)</f>
        <v/>
      </c>
      <c r="H77">
        <f>IF('CALL SHEET'!$G$77="","",'CALL SHEET'!$G$77)</f>
        <v/>
      </c>
      <c r="I77">
        <f>IF('CALL SHEET'!$AT$77="","",'CALL SHEET'!$AT$77)</f>
        <v/>
      </c>
      <c r="J77">
        <f>IF('CALL SHEET'!$AX$77="","",'CALL SHEET'!$AX$77)</f>
        <v/>
      </c>
      <c r="K77">
        <f>IF('CALL SHEET'!$N$77="","",'CALL SHEET'!$N$77)</f>
        <v/>
      </c>
      <c r="L77">
        <f>IF('CALL SHEET'!$AE$77="","",'CALL SHEET'!$AE$77)</f>
        <v/>
      </c>
      <c r="M77" t="inlineStr">
        <is>
          <t>TRADE</t>
        </is>
      </c>
      <c r="N77" t="inlineStr">
        <is>
          <t>CALL SHEET · row 77</t>
        </is>
      </c>
    </row>
    <row r="78">
      <c r="A78">
        <f>IF('CALL SHEET'!$A$78="","",'CALL SHEET'!$A$78)</f>
        <v/>
      </c>
      <c r="B78">
        <f>IF('CALL SHEET'!$C$78="","",'CALL SHEET'!$C$78)</f>
        <v/>
      </c>
      <c r="C78">
        <f>'CALL SHEET'!$U$78</f>
        <v/>
      </c>
      <c r="D78">
        <f>'CALL SHEET'!$Y$78</f>
        <v/>
      </c>
      <c r="E78">
        <f>'CALL SHEET'!$AC$78</f>
        <v/>
      </c>
      <c r="F78">
        <f>IF('CALL SHEET'!$V$78="","",'CALL SHEET'!$V$78)</f>
        <v/>
      </c>
      <c r="G78">
        <f>IF('CALL SHEET'!$D$78="","",'CALL SHEET'!$D$78)</f>
        <v/>
      </c>
      <c r="H78">
        <f>IF('CALL SHEET'!$G$78="","",'CALL SHEET'!$G$78)</f>
        <v/>
      </c>
      <c r="I78">
        <f>IF('CALL SHEET'!$AT$78="","",'CALL SHEET'!$AT$78)</f>
        <v/>
      </c>
      <c r="J78">
        <f>IF('CALL SHEET'!$AX$78="","",'CALL SHEET'!$AX$78)</f>
        <v/>
      </c>
      <c r="K78">
        <f>IF('CALL SHEET'!$N$78="","",'CALL SHEET'!$N$78)</f>
        <v/>
      </c>
      <c r="L78">
        <f>IF('CALL SHEET'!$AE$78="","",'CALL SHEET'!$AE$78)</f>
        <v/>
      </c>
      <c r="M78" t="inlineStr">
        <is>
          <t>TRADE</t>
        </is>
      </c>
      <c r="N78" t="inlineStr">
        <is>
          <t>CALL SHEET · row 78</t>
        </is>
      </c>
    </row>
    <row r="79">
      <c r="A79">
        <f>IF('CALL SHEET'!$A$79="","",'CALL SHEET'!$A$79)</f>
        <v/>
      </c>
      <c r="B79">
        <f>IF('CALL SHEET'!$C$79="","",'CALL SHEET'!$C$79)</f>
        <v/>
      </c>
      <c r="C79">
        <f>'CALL SHEET'!$U$79</f>
        <v/>
      </c>
      <c r="D79">
        <f>'CALL SHEET'!$Y$79</f>
        <v/>
      </c>
      <c r="E79">
        <f>'CALL SHEET'!$AC$79</f>
        <v/>
      </c>
      <c r="F79">
        <f>IF('CALL SHEET'!$V$79="","",'CALL SHEET'!$V$79)</f>
        <v/>
      </c>
      <c r="G79">
        <f>IF('CALL SHEET'!$D$79="","",'CALL SHEET'!$D$79)</f>
        <v/>
      </c>
      <c r="H79">
        <f>IF('CALL SHEET'!$G$79="","",'CALL SHEET'!$G$79)</f>
        <v/>
      </c>
      <c r="I79">
        <f>IF('CALL SHEET'!$AT$79="","",'CALL SHEET'!$AT$79)</f>
        <v/>
      </c>
      <c r="J79">
        <f>IF('CALL SHEET'!$AX$79="","",'CALL SHEET'!$AX$79)</f>
        <v/>
      </c>
      <c r="K79">
        <f>IF('CALL SHEET'!$N$79="","",'CALL SHEET'!$N$79)</f>
        <v/>
      </c>
      <c r="L79">
        <f>IF('CALL SHEET'!$AE$79="","",'CALL SHEET'!$AE$79)</f>
        <v/>
      </c>
      <c r="M79" t="inlineStr">
        <is>
          <t>TRADE</t>
        </is>
      </c>
      <c r="N79" t="inlineStr">
        <is>
          <t>CALL SHEET · row 79</t>
        </is>
      </c>
    </row>
    <row r="80">
      <c r="A80">
        <f>IF('CALL SHEET'!$A$80="","",'CALL SHEET'!$A$80)</f>
        <v/>
      </c>
      <c r="B80">
        <f>IF('CALL SHEET'!$C$80="","",'CALL SHEET'!$C$80)</f>
        <v/>
      </c>
      <c r="C80">
        <f>'CALL SHEET'!$U$80</f>
        <v/>
      </c>
      <c r="D80">
        <f>'CALL SHEET'!$Y$80</f>
        <v/>
      </c>
      <c r="E80">
        <f>'CALL SHEET'!$AC$80</f>
        <v/>
      </c>
      <c r="F80">
        <f>IF('CALL SHEET'!$V$80="","",'CALL SHEET'!$V$80)</f>
        <v/>
      </c>
      <c r="G80">
        <f>IF('CALL SHEET'!$D$80="","",'CALL SHEET'!$D$80)</f>
        <v/>
      </c>
      <c r="H80">
        <f>IF('CALL SHEET'!$G$80="","",'CALL SHEET'!$G$80)</f>
        <v/>
      </c>
      <c r="I80">
        <f>IF('CALL SHEET'!$AT$80="","",'CALL SHEET'!$AT$80)</f>
        <v/>
      </c>
      <c r="J80">
        <f>IF('CALL SHEET'!$AX$80="","",'CALL SHEET'!$AX$80)</f>
        <v/>
      </c>
      <c r="K80">
        <f>IF('CALL SHEET'!$N$80="","",'CALL SHEET'!$N$80)</f>
        <v/>
      </c>
      <c r="L80">
        <f>IF('CALL SHEET'!$AE$80="","",'CALL SHEET'!$AE$80)</f>
        <v/>
      </c>
      <c r="M80" t="inlineStr">
        <is>
          <t>TRADE</t>
        </is>
      </c>
      <c r="N80" t="inlineStr">
        <is>
          <t>CALL SHEET · row 80</t>
        </is>
      </c>
    </row>
    <row r="81">
      <c r="A81">
        <f>IF('CALL SHEET'!$A$81="","",'CALL SHEET'!$A$81)</f>
        <v/>
      </c>
      <c r="B81">
        <f>IF('CALL SHEET'!$C$81="","",'CALL SHEET'!$C$81)</f>
        <v/>
      </c>
      <c r="C81">
        <f>'CALL SHEET'!$U$81</f>
        <v/>
      </c>
      <c r="D81">
        <f>'CALL SHEET'!$Y$81</f>
        <v/>
      </c>
      <c r="E81">
        <f>'CALL SHEET'!$AC$81</f>
        <v/>
      </c>
      <c r="F81">
        <f>IF('CALL SHEET'!$V$81="","",'CALL SHEET'!$V$81)</f>
        <v/>
      </c>
      <c r="G81">
        <f>IF('CALL SHEET'!$D$81="","",'CALL SHEET'!$D$81)</f>
        <v/>
      </c>
      <c r="H81">
        <f>IF('CALL SHEET'!$G$81="","",'CALL SHEET'!$G$81)</f>
        <v/>
      </c>
      <c r="I81">
        <f>IF('CALL SHEET'!$AT$81="","",'CALL SHEET'!$AT$81)</f>
        <v/>
      </c>
      <c r="J81">
        <f>IF('CALL SHEET'!$AX$81="","",'CALL SHEET'!$AX$81)</f>
        <v/>
      </c>
      <c r="K81">
        <f>IF('CALL SHEET'!$N$81="","",'CALL SHEET'!$N$81)</f>
        <v/>
      </c>
      <c r="L81">
        <f>IF('CALL SHEET'!$AE$81="","",'CALL SHEET'!$AE$81)</f>
        <v/>
      </c>
      <c r="M81" t="inlineStr">
        <is>
          <t>TRADE</t>
        </is>
      </c>
      <c r="N81" t="inlineStr">
        <is>
          <t>CALL SHEET · row 81</t>
        </is>
      </c>
    </row>
    <row r="82">
      <c r="A82">
        <f>IF('CALL SHEET'!$A$82="","",'CALL SHEET'!$A$82)</f>
        <v/>
      </c>
      <c r="B82">
        <f>IF('CALL SHEET'!$C$82="","",'CALL SHEET'!$C$82)</f>
        <v/>
      </c>
      <c r="C82">
        <f>'CALL SHEET'!$U$82</f>
        <v/>
      </c>
      <c r="D82">
        <f>'CALL SHEET'!$Y$82</f>
        <v/>
      </c>
      <c r="E82">
        <f>'CALL SHEET'!$AC$82</f>
        <v/>
      </c>
      <c r="F82">
        <f>IF('CALL SHEET'!$V$82="","",'CALL SHEET'!$V$82)</f>
        <v/>
      </c>
      <c r="G82">
        <f>IF('CALL SHEET'!$D$82="","",'CALL SHEET'!$D$82)</f>
        <v/>
      </c>
      <c r="H82">
        <f>IF('CALL SHEET'!$G$82="","",'CALL SHEET'!$G$82)</f>
        <v/>
      </c>
      <c r="I82">
        <f>IF('CALL SHEET'!$AT$82="","",'CALL SHEET'!$AT$82)</f>
        <v/>
      </c>
      <c r="J82">
        <f>IF('CALL SHEET'!$AX$82="","",'CALL SHEET'!$AX$82)</f>
        <v/>
      </c>
      <c r="K82">
        <f>IF('CALL SHEET'!$N$82="","",'CALL SHEET'!$N$82)</f>
        <v/>
      </c>
      <c r="L82">
        <f>IF('CALL SHEET'!$AE$82="","",'CALL SHEET'!$AE$82)</f>
        <v/>
      </c>
      <c r="M82" t="inlineStr">
        <is>
          <t>TRADE</t>
        </is>
      </c>
      <c r="N82" t="inlineStr">
        <is>
          <t>CALL SHEET · row 82</t>
        </is>
      </c>
    </row>
    <row r="83">
      <c r="A83">
        <f>IF('CALL SHEET'!$A$83="","",'CALL SHEET'!$A$83)</f>
        <v/>
      </c>
      <c r="B83">
        <f>IF('CALL SHEET'!$C$83="","",'CALL SHEET'!$C$83)</f>
        <v/>
      </c>
      <c r="C83">
        <f>'CALL SHEET'!$U$83</f>
        <v/>
      </c>
      <c r="D83">
        <f>'CALL SHEET'!$Y$83</f>
        <v/>
      </c>
      <c r="E83">
        <f>'CALL SHEET'!$AC$83</f>
        <v/>
      </c>
      <c r="F83">
        <f>IF('CALL SHEET'!$V$83="","",'CALL SHEET'!$V$83)</f>
        <v/>
      </c>
      <c r="G83">
        <f>IF('CALL SHEET'!$D$83="","",'CALL SHEET'!$D$83)</f>
        <v/>
      </c>
      <c r="H83">
        <f>IF('CALL SHEET'!$G$83="","",'CALL SHEET'!$G$83)</f>
        <v/>
      </c>
      <c r="I83">
        <f>IF('CALL SHEET'!$AT$83="","",'CALL SHEET'!$AT$83)</f>
        <v/>
      </c>
      <c r="J83">
        <f>IF('CALL SHEET'!$AX$83="","",'CALL SHEET'!$AX$83)</f>
        <v/>
      </c>
      <c r="K83">
        <f>IF('CALL SHEET'!$N$83="","",'CALL SHEET'!$N$83)</f>
        <v/>
      </c>
      <c r="L83">
        <f>IF('CALL SHEET'!$AE$83="","",'CALL SHEET'!$AE$83)</f>
        <v/>
      </c>
      <c r="M83" t="inlineStr">
        <is>
          <t>TRADE</t>
        </is>
      </c>
      <c r="N83" t="inlineStr">
        <is>
          <t>CALL SHEET · row 83</t>
        </is>
      </c>
    </row>
    <row r="84">
      <c r="A84">
        <f>IF('CALL SHEET'!$A$84="","",'CALL SHEET'!$A$84)</f>
        <v/>
      </c>
      <c r="B84">
        <f>IF('CALL SHEET'!$C$84="","",'CALL SHEET'!$C$84)</f>
        <v/>
      </c>
      <c r="C84">
        <f>'CALL SHEET'!$U$84</f>
        <v/>
      </c>
      <c r="D84">
        <f>'CALL SHEET'!$Y$84</f>
        <v/>
      </c>
      <c r="E84">
        <f>'CALL SHEET'!$AC$84</f>
        <v/>
      </c>
      <c r="F84">
        <f>IF('CALL SHEET'!$V$84="","",'CALL SHEET'!$V$84)</f>
        <v/>
      </c>
      <c r="G84">
        <f>IF('CALL SHEET'!$D$84="","",'CALL SHEET'!$D$84)</f>
        <v/>
      </c>
      <c r="H84">
        <f>IF('CALL SHEET'!$G$84="","",'CALL SHEET'!$G$84)</f>
        <v/>
      </c>
      <c r="I84">
        <f>IF('CALL SHEET'!$AT$84="","",'CALL SHEET'!$AT$84)</f>
        <v/>
      </c>
      <c r="J84">
        <f>IF('CALL SHEET'!$AX$84="","",'CALL SHEET'!$AX$84)</f>
        <v/>
      </c>
      <c r="K84">
        <f>IF('CALL SHEET'!$N$84="","",'CALL SHEET'!$N$84)</f>
        <v/>
      </c>
      <c r="L84">
        <f>IF('CALL SHEET'!$AE$84="","",'CALL SHEET'!$AE$84)</f>
        <v/>
      </c>
      <c r="M84" t="inlineStr">
        <is>
          <t>TRADE</t>
        </is>
      </c>
      <c r="N84" t="inlineStr">
        <is>
          <t>CALL SHEET · row 84</t>
        </is>
      </c>
    </row>
    <row r="85">
      <c r="A85">
        <f>IF('CALL SHEET'!$A$85="","",'CALL SHEET'!$A$85)</f>
        <v/>
      </c>
      <c r="B85">
        <f>IF('CALL SHEET'!$C$85="","",'CALL SHEET'!$C$85)</f>
        <v/>
      </c>
      <c r="C85">
        <f>'CALL SHEET'!$U$85</f>
        <v/>
      </c>
      <c r="D85">
        <f>'CALL SHEET'!$Y$85</f>
        <v/>
      </c>
      <c r="E85">
        <f>'CALL SHEET'!$AC$85</f>
        <v/>
      </c>
      <c r="F85">
        <f>IF('CALL SHEET'!$V$85="","",'CALL SHEET'!$V$85)</f>
        <v/>
      </c>
      <c r="G85">
        <f>IF('CALL SHEET'!$D$85="","",'CALL SHEET'!$D$85)</f>
        <v/>
      </c>
      <c r="H85">
        <f>IF('CALL SHEET'!$G$85="","",'CALL SHEET'!$G$85)</f>
        <v/>
      </c>
      <c r="I85">
        <f>IF('CALL SHEET'!$AT$85="","",'CALL SHEET'!$AT$85)</f>
        <v/>
      </c>
      <c r="J85">
        <f>IF('CALL SHEET'!$AX$85="","",'CALL SHEET'!$AX$85)</f>
        <v/>
      </c>
      <c r="K85">
        <f>IF('CALL SHEET'!$N$85="","",'CALL SHEET'!$N$85)</f>
        <v/>
      </c>
      <c r="L85">
        <f>IF('CALL SHEET'!$AE$85="","",'CALL SHEET'!$AE$85)</f>
        <v/>
      </c>
      <c r="M85" t="inlineStr">
        <is>
          <t>TRADE</t>
        </is>
      </c>
      <c r="N85" t="inlineStr">
        <is>
          <t>CALL SHEET · row 85</t>
        </is>
      </c>
    </row>
    <row r="86">
      <c r="A86">
        <f>IF('CALL SHEET'!$A$86="","",'CALL SHEET'!$A$86)</f>
        <v/>
      </c>
      <c r="B86">
        <f>IF('CALL SHEET'!$C$86="","",'CALL SHEET'!$C$86)</f>
        <v/>
      </c>
      <c r="C86">
        <f>'CALL SHEET'!$U$86</f>
        <v/>
      </c>
      <c r="D86">
        <f>'CALL SHEET'!$Y$86</f>
        <v/>
      </c>
      <c r="E86">
        <f>'CALL SHEET'!$AC$86</f>
        <v/>
      </c>
      <c r="F86">
        <f>IF('CALL SHEET'!$V$86="","",'CALL SHEET'!$V$86)</f>
        <v/>
      </c>
      <c r="G86">
        <f>IF('CALL SHEET'!$D$86="","",'CALL SHEET'!$D$86)</f>
        <v/>
      </c>
      <c r="H86">
        <f>IF('CALL SHEET'!$G$86="","",'CALL SHEET'!$G$86)</f>
        <v/>
      </c>
      <c r="I86">
        <f>IF('CALL SHEET'!$AT$86="","",'CALL SHEET'!$AT$86)</f>
        <v/>
      </c>
      <c r="J86">
        <f>IF('CALL SHEET'!$AX$86="","",'CALL SHEET'!$AX$86)</f>
        <v/>
      </c>
      <c r="K86">
        <f>IF('CALL SHEET'!$N$86="","",'CALL SHEET'!$N$86)</f>
        <v/>
      </c>
      <c r="L86">
        <f>IF('CALL SHEET'!$AE$86="","",'CALL SHEET'!$AE$86)</f>
        <v/>
      </c>
      <c r="M86" t="inlineStr">
        <is>
          <t>TRADE</t>
        </is>
      </c>
      <c r="N86" t="inlineStr">
        <is>
          <t>CALL SHEET · row 86</t>
        </is>
      </c>
    </row>
    <row r="87">
      <c r="A87">
        <f>IF('CALL SHEET'!$A$87="","",'CALL SHEET'!$A$87)</f>
        <v/>
      </c>
      <c r="B87">
        <f>IF('CALL SHEET'!$C$87="","",'CALL SHEET'!$C$87)</f>
        <v/>
      </c>
      <c r="C87">
        <f>'CALL SHEET'!$U$87</f>
        <v/>
      </c>
      <c r="D87">
        <f>'CALL SHEET'!$Y$87</f>
        <v/>
      </c>
      <c r="E87">
        <f>'CALL SHEET'!$AC$87</f>
        <v/>
      </c>
      <c r="F87">
        <f>IF('CALL SHEET'!$V$87="","",'CALL SHEET'!$V$87)</f>
        <v/>
      </c>
      <c r="G87">
        <f>IF('CALL SHEET'!$D$87="","",'CALL SHEET'!$D$87)</f>
        <v/>
      </c>
      <c r="H87">
        <f>IF('CALL SHEET'!$G$87="","",'CALL SHEET'!$G$87)</f>
        <v/>
      </c>
      <c r="I87">
        <f>IF('CALL SHEET'!$AT$87="","",'CALL SHEET'!$AT$87)</f>
        <v/>
      </c>
      <c r="J87">
        <f>IF('CALL SHEET'!$AX$87="","",'CALL SHEET'!$AX$87)</f>
        <v/>
      </c>
      <c r="K87">
        <f>IF('CALL SHEET'!$N$87="","",'CALL SHEET'!$N$87)</f>
        <v/>
      </c>
      <c r="L87">
        <f>IF('CALL SHEET'!$AE$87="","",'CALL SHEET'!$AE$87)</f>
        <v/>
      </c>
      <c r="M87" t="inlineStr">
        <is>
          <t>TRADE</t>
        </is>
      </c>
      <c r="N87" t="inlineStr">
        <is>
          <t>CALL SHEET · row 87</t>
        </is>
      </c>
    </row>
    <row r="88">
      <c r="A88">
        <f>IF('CALL SHEET'!$A$88="","",'CALL SHEET'!$A$88)</f>
        <v/>
      </c>
      <c r="B88">
        <f>IF('CALL SHEET'!$C$88="","",'CALL SHEET'!$C$88)</f>
        <v/>
      </c>
      <c r="C88">
        <f>'CALL SHEET'!$U$88</f>
        <v/>
      </c>
      <c r="D88">
        <f>'CALL SHEET'!$Y$88</f>
        <v/>
      </c>
      <c r="E88">
        <f>'CALL SHEET'!$AC$88</f>
        <v/>
      </c>
      <c r="F88">
        <f>IF('CALL SHEET'!$V$88="","",'CALL SHEET'!$V$88)</f>
        <v/>
      </c>
      <c r="G88">
        <f>IF('CALL SHEET'!$D$88="","",'CALL SHEET'!$D$88)</f>
        <v/>
      </c>
      <c r="H88">
        <f>IF('CALL SHEET'!$G$88="","",'CALL SHEET'!$G$88)</f>
        <v/>
      </c>
      <c r="I88">
        <f>IF('CALL SHEET'!$AT$88="","",'CALL SHEET'!$AT$88)</f>
        <v/>
      </c>
      <c r="J88">
        <f>IF('CALL SHEET'!$AX$88="","",'CALL SHEET'!$AX$88)</f>
        <v/>
      </c>
      <c r="K88">
        <f>IF('CALL SHEET'!$N$88="","",'CALL SHEET'!$N$88)</f>
        <v/>
      </c>
      <c r="L88">
        <f>IF('CALL SHEET'!$AE$88="","",'CALL SHEET'!$AE$88)</f>
        <v/>
      </c>
      <c r="M88" t="inlineStr">
        <is>
          <t>TRADE</t>
        </is>
      </c>
      <c r="N88" t="inlineStr">
        <is>
          <t>CALL SHEET · row 88</t>
        </is>
      </c>
    </row>
    <row r="89">
      <c r="A89">
        <f>IF('CALL SHEET'!$A$89="","",'CALL SHEET'!$A$89)</f>
        <v/>
      </c>
      <c r="B89">
        <f>IF('CALL SHEET'!$C$89="","",'CALL SHEET'!$C$89)</f>
        <v/>
      </c>
      <c r="C89">
        <f>'CALL SHEET'!$U$89</f>
        <v/>
      </c>
      <c r="D89">
        <f>'CALL SHEET'!$Y$89</f>
        <v/>
      </c>
      <c r="E89">
        <f>'CALL SHEET'!$AC$89</f>
        <v/>
      </c>
      <c r="F89">
        <f>IF('CALL SHEET'!$V$89="","",'CALL SHEET'!$V$89)</f>
        <v/>
      </c>
      <c r="G89">
        <f>IF('CALL SHEET'!$D$89="","",'CALL SHEET'!$D$89)</f>
        <v/>
      </c>
      <c r="H89">
        <f>IF('CALL SHEET'!$G$89="","",'CALL SHEET'!$G$89)</f>
        <v/>
      </c>
      <c r="I89">
        <f>IF('CALL SHEET'!$AT$89="","",'CALL SHEET'!$AT$89)</f>
        <v/>
      </c>
      <c r="J89">
        <f>IF('CALL SHEET'!$AX$89="","",'CALL SHEET'!$AX$89)</f>
        <v/>
      </c>
      <c r="K89">
        <f>IF('CALL SHEET'!$N$89="","",'CALL SHEET'!$N$89)</f>
        <v/>
      </c>
      <c r="L89">
        <f>IF('CALL SHEET'!$AE$89="","",'CALL SHEET'!$AE$89)</f>
        <v/>
      </c>
      <c r="M89" t="inlineStr">
        <is>
          <t>TRADE</t>
        </is>
      </c>
      <c r="N89" t="inlineStr">
        <is>
          <t>CALL SHEET · row 89</t>
        </is>
      </c>
    </row>
    <row r="90">
      <c r="A90">
        <f>IF('CALL SHEET'!$A$90="","",'CALL SHEET'!$A$90)</f>
        <v/>
      </c>
      <c r="B90">
        <f>IF('CALL SHEET'!$C$90="","",'CALL SHEET'!$C$90)</f>
        <v/>
      </c>
      <c r="C90">
        <f>'CALL SHEET'!$U$90</f>
        <v/>
      </c>
      <c r="D90">
        <f>'CALL SHEET'!$Y$90</f>
        <v/>
      </c>
      <c r="E90">
        <f>'CALL SHEET'!$AC$90</f>
        <v/>
      </c>
      <c r="F90">
        <f>IF('CALL SHEET'!$V$90="","",'CALL SHEET'!$V$90)</f>
        <v/>
      </c>
      <c r="G90">
        <f>IF('CALL SHEET'!$D$90="","",'CALL SHEET'!$D$90)</f>
        <v/>
      </c>
      <c r="H90">
        <f>IF('CALL SHEET'!$G$90="","",'CALL SHEET'!$G$90)</f>
        <v/>
      </c>
      <c r="I90">
        <f>IF('CALL SHEET'!$AT$90="","",'CALL SHEET'!$AT$90)</f>
        <v/>
      </c>
      <c r="J90">
        <f>IF('CALL SHEET'!$AX$90="","",'CALL SHEET'!$AX$90)</f>
        <v/>
      </c>
      <c r="K90">
        <f>IF('CALL SHEET'!$N$90="","",'CALL SHEET'!$N$90)</f>
        <v/>
      </c>
      <c r="L90">
        <f>IF('CALL SHEET'!$AE$90="","",'CALL SHEET'!$AE$90)</f>
        <v/>
      </c>
      <c r="M90" t="inlineStr">
        <is>
          <t>TRADE</t>
        </is>
      </c>
      <c r="N90" t="inlineStr">
        <is>
          <t>CALL SHEET · row 90</t>
        </is>
      </c>
    </row>
    <row r="91">
      <c r="A91">
        <f>IF('CALL SHEET'!$A$91="","",'CALL SHEET'!$A$91)</f>
        <v/>
      </c>
      <c r="B91">
        <f>IF('CALL SHEET'!$C$91="","",'CALL SHEET'!$C$91)</f>
        <v/>
      </c>
      <c r="C91">
        <f>'CALL SHEET'!$U$91</f>
        <v/>
      </c>
      <c r="D91">
        <f>'CALL SHEET'!$Y$91</f>
        <v/>
      </c>
      <c r="E91">
        <f>'CALL SHEET'!$AC$91</f>
        <v/>
      </c>
      <c r="F91">
        <f>IF('CALL SHEET'!$V$91="","",'CALL SHEET'!$V$91)</f>
        <v/>
      </c>
      <c r="G91">
        <f>IF('CALL SHEET'!$D$91="","",'CALL SHEET'!$D$91)</f>
        <v/>
      </c>
      <c r="H91">
        <f>IF('CALL SHEET'!$G$91="","",'CALL SHEET'!$G$91)</f>
        <v/>
      </c>
      <c r="I91">
        <f>IF('CALL SHEET'!$AT$91="","",'CALL SHEET'!$AT$91)</f>
        <v/>
      </c>
      <c r="J91">
        <f>IF('CALL SHEET'!$AX$91="","",'CALL SHEET'!$AX$91)</f>
        <v/>
      </c>
      <c r="K91">
        <f>IF('CALL SHEET'!$N$91="","",'CALL SHEET'!$N$91)</f>
        <v/>
      </c>
      <c r="L91">
        <f>IF('CALL SHEET'!$AE$91="","",'CALL SHEET'!$AE$91)</f>
        <v/>
      </c>
      <c r="M91" t="inlineStr">
        <is>
          <t>TRADE</t>
        </is>
      </c>
      <c r="N91" t="inlineStr">
        <is>
          <t>CALL SHEET · row 91</t>
        </is>
      </c>
    </row>
    <row r="92">
      <c r="A92">
        <f>IF('CALL SHEET'!$A$92="","",'CALL SHEET'!$A$92)</f>
        <v/>
      </c>
      <c r="B92">
        <f>IF('CALL SHEET'!$C$92="","",'CALL SHEET'!$C$92)</f>
        <v/>
      </c>
      <c r="C92">
        <f>'CALL SHEET'!$U$92</f>
        <v/>
      </c>
      <c r="D92">
        <f>'CALL SHEET'!$Y$92</f>
        <v/>
      </c>
      <c r="E92">
        <f>'CALL SHEET'!$AC$92</f>
        <v/>
      </c>
      <c r="F92">
        <f>IF('CALL SHEET'!$V$92="","",'CALL SHEET'!$V$92)</f>
        <v/>
      </c>
      <c r="G92">
        <f>IF('CALL SHEET'!$D$92="","",'CALL SHEET'!$D$92)</f>
        <v/>
      </c>
      <c r="H92">
        <f>IF('CALL SHEET'!$G$92="","",'CALL SHEET'!$G$92)</f>
        <v/>
      </c>
      <c r="I92">
        <f>IF('CALL SHEET'!$AT$92="","",'CALL SHEET'!$AT$92)</f>
        <v/>
      </c>
      <c r="J92">
        <f>IF('CALL SHEET'!$AX$92="","",'CALL SHEET'!$AX$92)</f>
        <v/>
      </c>
      <c r="K92">
        <f>IF('CALL SHEET'!$N$92="","",'CALL SHEET'!$N$92)</f>
        <v/>
      </c>
      <c r="L92">
        <f>IF('CALL SHEET'!$AE$92="","",'CALL SHEET'!$AE$92)</f>
        <v/>
      </c>
      <c r="M92" t="inlineStr">
        <is>
          <t>TRADE</t>
        </is>
      </c>
      <c r="N92" t="inlineStr">
        <is>
          <t>CALL SHEET · row 92</t>
        </is>
      </c>
    </row>
    <row r="93">
      <c r="A93">
        <f>IF('CALL SHEET'!$A$93="","",'CALL SHEET'!$A$93)</f>
        <v/>
      </c>
      <c r="B93">
        <f>IF('CALL SHEET'!$C$93="","",'CALL SHEET'!$C$93)</f>
        <v/>
      </c>
      <c r="C93">
        <f>'CALL SHEET'!$U$93</f>
        <v/>
      </c>
      <c r="D93">
        <f>'CALL SHEET'!$Y$93</f>
        <v/>
      </c>
      <c r="E93">
        <f>'CALL SHEET'!$AC$93</f>
        <v/>
      </c>
      <c r="F93">
        <f>IF('CALL SHEET'!$V$93="","",'CALL SHEET'!$V$93)</f>
        <v/>
      </c>
      <c r="G93">
        <f>IF('CALL SHEET'!$D$93="","",'CALL SHEET'!$D$93)</f>
        <v/>
      </c>
      <c r="H93">
        <f>IF('CALL SHEET'!$G$93="","",'CALL SHEET'!$G$93)</f>
        <v/>
      </c>
      <c r="I93">
        <f>IF('CALL SHEET'!$AT$93="","",'CALL SHEET'!$AT$93)</f>
        <v/>
      </c>
      <c r="J93">
        <f>IF('CALL SHEET'!$AX$93="","",'CALL SHEET'!$AX$93)</f>
        <v/>
      </c>
      <c r="K93">
        <f>IF('CALL SHEET'!$N$93="","",'CALL SHEET'!$N$93)</f>
        <v/>
      </c>
      <c r="L93">
        <f>IF('CALL SHEET'!$AE$93="","",'CALL SHEET'!$AE$93)</f>
        <v/>
      </c>
      <c r="M93" t="inlineStr">
        <is>
          <t>TRADE</t>
        </is>
      </c>
      <c r="N93" t="inlineStr">
        <is>
          <t>CALL SHEET · row 93</t>
        </is>
      </c>
    </row>
    <row r="94">
      <c r="A94">
        <f>IF('CALL SHEET'!$A$94="","",'CALL SHEET'!$A$94)</f>
        <v/>
      </c>
      <c r="B94">
        <f>IF('CALL SHEET'!$C$94="","",'CALL SHEET'!$C$94)</f>
        <v/>
      </c>
      <c r="C94">
        <f>'CALL SHEET'!$U$94</f>
        <v/>
      </c>
      <c r="D94">
        <f>'CALL SHEET'!$Y$94</f>
        <v/>
      </c>
      <c r="E94">
        <f>'CALL SHEET'!$AC$94</f>
        <v/>
      </c>
      <c r="F94">
        <f>IF('CALL SHEET'!$V$94="","",'CALL SHEET'!$V$94)</f>
        <v/>
      </c>
      <c r="G94">
        <f>IF('CALL SHEET'!$D$94="","",'CALL SHEET'!$D$94)</f>
        <v/>
      </c>
      <c r="H94">
        <f>IF('CALL SHEET'!$G$94="","",'CALL SHEET'!$G$94)</f>
        <v/>
      </c>
      <c r="I94">
        <f>IF('CALL SHEET'!$AT$94="","",'CALL SHEET'!$AT$94)</f>
        <v/>
      </c>
      <c r="J94">
        <f>IF('CALL SHEET'!$AX$94="","",'CALL SHEET'!$AX$94)</f>
        <v/>
      </c>
      <c r="K94">
        <f>IF('CALL SHEET'!$N$94="","",'CALL SHEET'!$N$94)</f>
        <v/>
      </c>
      <c r="L94">
        <f>IF('CALL SHEET'!$AE$94="","",'CALL SHEET'!$AE$94)</f>
        <v/>
      </c>
      <c r="M94" t="inlineStr">
        <is>
          <t>TRADE</t>
        </is>
      </c>
      <c r="N94" t="inlineStr">
        <is>
          <t>CALL SHEET · row 94</t>
        </is>
      </c>
    </row>
    <row r="95">
      <c r="A95">
        <f>IF('CALL SHEET'!$A$95="","",'CALL SHEET'!$A$95)</f>
        <v/>
      </c>
      <c r="B95">
        <f>IF('CALL SHEET'!$C$95="","",'CALL SHEET'!$C$95)</f>
        <v/>
      </c>
      <c r="C95">
        <f>'CALL SHEET'!$U$95</f>
        <v/>
      </c>
      <c r="D95">
        <f>'CALL SHEET'!$Y$95</f>
        <v/>
      </c>
      <c r="E95">
        <f>'CALL SHEET'!$AC$95</f>
        <v/>
      </c>
      <c r="F95">
        <f>IF('CALL SHEET'!$V$95="","",'CALL SHEET'!$V$95)</f>
        <v/>
      </c>
      <c r="G95">
        <f>IF('CALL SHEET'!$D$95="","",'CALL SHEET'!$D$95)</f>
        <v/>
      </c>
      <c r="H95">
        <f>IF('CALL SHEET'!$G$95="","",'CALL SHEET'!$G$95)</f>
        <v/>
      </c>
      <c r="I95">
        <f>IF('CALL SHEET'!$AT$95="","",'CALL SHEET'!$AT$95)</f>
        <v/>
      </c>
      <c r="J95">
        <f>IF('CALL SHEET'!$AX$95="","",'CALL SHEET'!$AX$95)</f>
        <v/>
      </c>
      <c r="K95">
        <f>IF('CALL SHEET'!$N$95="","",'CALL SHEET'!$N$95)</f>
        <v/>
      </c>
      <c r="L95">
        <f>IF('CALL SHEET'!$AE$95="","",'CALL SHEET'!$AE$95)</f>
        <v/>
      </c>
      <c r="M95" t="inlineStr">
        <is>
          <t>TRADE</t>
        </is>
      </c>
      <c r="N95" t="inlineStr">
        <is>
          <t>CALL SHEET · row 95</t>
        </is>
      </c>
    </row>
    <row r="96">
      <c r="A96">
        <f>IF('CALL SHEET'!$A$96="","",'CALL SHEET'!$A$96)</f>
        <v/>
      </c>
      <c r="B96">
        <f>IF('CALL SHEET'!$C$96="","",'CALL SHEET'!$C$96)</f>
        <v/>
      </c>
      <c r="C96">
        <f>'CALL SHEET'!$U$96</f>
        <v/>
      </c>
      <c r="D96">
        <f>'CALL SHEET'!$Y$96</f>
        <v/>
      </c>
      <c r="E96">
        <f>'CALL SHEET'!$AC$96</f>
        <v/>
      </c>
      <c r="F96">
        <f>IF('CALL SHEET'!$V$96="","",'CALL SHEET'!$V$96)</f>
        <v/>
      </c>
      <c r="G96">
        <f>IF('CALL SHEET'!$D$96="","",'CALL SHEET'!$D$96)</f>
        <v/>
      </c>
      <c r="H96">
        <f>IF('CALL SHEET'!$G$96="","",'CALL SHEET'!$G$96)</f>
        <v/>
      </c>
      <c r="I96">
        <f>IF('CALL SHEET'!$AT$96="","",'CALL SHEET'!$AT$96)</f>
        <v/>
      </c>
      <c r="J96">
        <f>IF('CALL SHEET'!$AX$96="","",'CALL SHEET'!$AX$96)</f>
        <v/>
      </c>
      <c r="K96">
        <f>IF('CALL SHEET'!$N$96="","",'CALL SHEET'!$N$96)</f>
        <v/>
      </c>
      <c r="L96">
        <f>IF('CALL SHEET'!$AE$96="","",'CALL SHEET'!$AE$96)</f>
        <v/>
      </c>
      <c r="M96" t="inlineStr">
        <is>
          <t>TRADE</t>
        </is>
      </c>
      <c r="N96" t="inlineStr">
        <is>
          <t>CALL SHEET · row 96</t>
        </is>
      </c>
    </row>
    <row r="97">
      <c r="A97">
        <f>IF('CALL SHEET'!$A$97="","",'CALL SHEET'!$A$97)</f>
        <v/>
      </c>
      <c r="B97">
        <f>IF('CALL SHEET'!$C$97="","",'CALL SHEET'!$C$97)</f>
        <v/>
      </c>
      <c r="C97">
        <f>'CALL SHEET'!$U$97</f>
        <v/>
      </c>
      <c r="D97">
        <f>'CALL SHEET'!$Y$97</f>
        <v/>
      </c>
      <c r="E97">
        <f>'CALL SHEET'!$AC$97</f>
        <v/>
      </c>
      <c r="F97">
        <f>IF('CALL SHEET'!$V$97="","",'CALL SHEET'!$V$97)</f>
        <v/>
      </c>
      <c r="G97">
        <f>IF('CALL SHEET'!$D$97="","",'CALL SHEET'!$D$97)</f>
        <v/>
      </c>
      <c r="H97">
        <f>IF('CALL SHEET'!$G$97="","",'CALL SHEET'!$G$97)</f>
        <v/>
      </c>
      <c r="I97">
        <f>IF('CALL SHEET'!$AT$97="","",'CALL SHEET'!$AT$97)</f>
        <v/>
      </c>
      <c r="J97">
        <f>IF('CALL SHEET'!$AX$97="","",'CALL SHEET'!$AX$97)</f>
        <v/>
      </c>
      <c r="K97">
        <f>IF('CALL SHEET'!$N$97="","",'CALL SHEET'!$N$97)</f>
        <v/>
      </c>
      <c r="L97">
        <f>IF('CALL SHEET'!$AE$97="","",'CALL SHEET'!$AE$97)</f>
        <v/>
      </c>
      <c r="M97" t="inlineStr">
        <is>
          <t>TRADE</t>
        </is>
      </c>
      <c r="N97" t="inlineStr">
        <is>
          <t>CALL SHEET · row 97</t>
        </is>
      </c>
    </row>
    <row r="98">
      <c r="A98">
        <f>IF('CALL SHEET'!$A$98="","",'CALL SHEET'!$A$98)</f>
        <v/>
      </c>
      <c r="B98">
        <f>IF('CALL SHEET'!$C$98="","",'CALL SHEET'!$C$98)</f>
        <v/>
      </c>
      <c r="C98">
        <f>'CALL SHEET'!$U$98</f>
        <v/>
      </c>
      <c r="D98">
        <f>'CALL SHEET'!$Y$98</f>
        <v/>
      </c>
      <c r="E98">
        <f>'CALL SHEET'!$AC$98</f>
        <v/>
      </c>
      <c r="F98">
        <f>IF('CALL SHEET'!$V$98="","",'CALL SHEET'!$V$98)</f>
        <v/>
      </c>
      <c r="G98">
        <f>IF('CALL SHEET'!$D$98="","",'CALL SHEET'!$D$98)</f>
        <v/>
      </c>
      <c r="H98">
        <f>IF('CALL SHEET'!$G$98="","",'CALL SHEET'!$G$98)</f>
        <v/>
      </c>
      <c r="I98">
        <f>IF('CALL SHEET'!$AT$98="","",'CALL SHEET'!$AT$98)</f>
        <v/>
      </c>
      <c r="J98">
        <f>IF('CALL SHEET'!$AX$98="","",'CALL SHEET'!$AX$98)</f>
        <v/>
      </c>
      <c r="K98">
        <f>IF('CALL SHEET'!$N$98="","",'CALL SHEET'!$N$98)</f>
        <v/>
      </c>
      <c r="L98">
        <f>IF('CALL SHEET'!$AE$98="","",'CALL SHEET'!$AE$98)</f>
        <v/>
      </c>
      <c r="M98" t="inlineStr">
        <is>
          <t>TRADE</t>
        </is>
      </c>
      <c r="N98" t="inlineStr">
        <is>
          <t>CALL SHEET · row 98</t>
        </is>
      </c>
    </row>
    <row r="99">
      <c r="A99">
        <f>IF('CALL SHEET'!$A$99="","",'CALL SHEET'!$A$99)</f>
        <v/>
      </c>
      <c r="B99">
        <f>IF('CALL SHEET'!$C$99="","",'CALL SHEET'!$C$99)</f>
        <v/>
      </c>
      <c r="C99">
        <f>'CALL SHEET'!$U$99</f>
        <v/>
      </c>
      <c r="D99">
        <f>'CALL SHEET'!$Y$99</f>
        <v/>
      </c>
      <c r="E99">
        <f>'CALL SHEET'!$AC$99</f>
        <v/>
      </c>
      <c r="F99">
        <f>IF('CALL SHEET'!$V$99="","",'CALL SHEET'!$V$99)</f>
        <v/>
      </c>
      <c r="G99">
        <f>IF('CALL SHEET'!$D$99="","",'CALL SHEET'!$D$99)</f>
        <v/>
      </c>
      <c r="H99">
        <f>IF('CALL SHEET'!$G$99="","",'CALL SHEET'!$G$99)</f>
        <v/>
      </c>
      <c r="I99">
        <f>IF('CALL SHEET'!$AT$99="","",'CALL SHEET'!$AT$99)</f>
        <v/>
      </c>
      <c r="J99">
        <f>IF('CALL SHEET'!$AX$99="","",'CALL SHEET'!$AX$99)</f>
        <v/>
      </c>
      <c r="K99">
        <f>IF('CALL SHEET'!$N$99="","",'CALL SHEET'!$N$99)</f>
        <v/>
      </c>
      <c r="L99">
        <f>IF('CALL SHEET'!$AE$99="","",'CALL SHEET'!$AE$99)</f>
        <v/>
      </c>
      <c r="M99" t="inlineStr">
        <is>
          <t>TRADE</t>
        </is>
      </c>
      <c r="N99" t="inlineStr">
        <is>
          <t>CALL SHEET · row 99</t>
        </is>
      </c>
    </row>
    <row r="100">
      <c r="A100">
        <f>IF('CALL SHEET'!$A$100="","",'CALL SHEET'!$A$100)</f>
        <v/>
      </c>
      <c r="B100">
        <f>IF('CALL SHEET'!$C$100="","",'CALL SHEET'!$C$100)</f>
        <v/>
      </c>
      <c r="C100">
        <f>'CALL SHEET'!$U$100</f>
        <v/>
      </c>
      <c r="D100">
        <f>'CALL SHEET'!$Y$100</f>
        <v/>
      </c>
      <c r="E100">
        <f>'CALL SHEET'!$AC$100</f>
        <v/>
      </c>
      <c r="F100">
        <f>IF('CALL SHEET'!$V$100="","",'CALL SHEET'!$V$100)</f>
        <v/>
      </c>
      <c r="G100">
        <f>IF('CALL SHEET'!$D$100="","",'CALL SHEET'!$D$100)</f>
        <v/>
      </c>
      <c r="H100">
        <f>IF('CALL SHEET'!$G$100="","",'CALL SHEET'!$G$100)</f>
        <v/>
      </c>
      <c r="I100">
        <f>IF('CALL SHEET'!$AT$100="","",'CALL SHEET'!$AT$100)</f>
        <v/>
      </c>
      <c r="J100">
        <f>IF('CALL SHEET'!$AX$100="","",'CALL SHEET'!$AX$100)</f>
        <v/>
      </c>
      <c r="K100">
        <f>IF('CALL SHEET'!$N$100="","",'CALL SHEET'!$N$100)</f>
        <v/>
      </c>
      <c r="L100">
        <f>IF('CALL SHEET'!$AE$100="","",'CALL SHEET'!$AE$100)</f>
        <v/>
      </c>
      <c r="M100" t="inlineStr">
        <is>
          <t>TRADE</t>
        </is>
      </c>
      <c r="N100" t="inlineStr">
        <is>
          <t>CALL SHEET · row 100</t>
        </is>
      </c>
    </row>
    <row r="101">
      <c r="A101">
        <f>IF('CALL SHEET'!$A$101="","",'CALL SHEET'!$A$101)</f>
        <v/>
      </c>
      <c r="B101">
        <f>IF('CALL SHEET'!$C$101="","",'CALL SHEET'!$C$101)</f>
        <v/>
      </c>
      <c r="C101">
        <f>'CALL SHEET'!$U$101</f>
        <v/>
      </c>
      <c r="D101">
        <f>'CALL SHEET'!$Y$101</f>
        <v/>
      </c>
      <c r="E101">
        <f>'CALL SHEET'!$AC$101</f>
        <v/>
      </c>
      <c r="F101">
        <f>IF('CALL SHEET'!$V$101="","",'CALL SHEET'!$V$101)</f>
        <v/>
      </c>
      <c r="G101">
        <f>IF('CALL SHEET'!$D$101="","",'CALL SHEET'!$D$101)</f>
        <v/>
      </c>
      <c r="H101">
        <f>IF('CALL SHEET'!$G$101="","",'CALL SHEET'!$G$101)</f>
        <v/>
      </c>
      <c r="I101">
        <f>IF('CALL SHEET'!$AT$101="","",'CALL SHEET'!$AT$101)</f>
        <v/>
      </c>
      <c r="J101">
        <f>IF('CALL SHEET'!$AX$101="","",'CALL SHEET'!$AX$101)</f>
        <v/>
      </c>
      <c r="K101">
        <f>IF('CALL SHEET'!$N$101="","",'CALL SHEET'!$N$101)</f>
        <v/>
      </c>
      <c r="L101">
        <f>IF('CALL SHEET'!$AE$101="","",'CALL SHEET'!$AE$101)</f>
        <v/>
      </c>
      <c r="M101" t="inlineStr">
        <is>
          <t>TRADE</t>
        </is>
      </c>
      <c r="N101" t="inlineStr">
        <is>
          <t>CALL SHEET · row 101</t>
        </is>
      </c>
    </row>
    <row r="102">
      <c r="A102">
        <f>IF('CALL SHEET'!$A$102="","",'CALL SHEET'!$A$102)</f>
        <v/>
      </c>
      <c r="B102">
        <f>IF('CALL SHEET'!$C$102="","",'CALL SHEET'!$C$102)</f>
        <v/>
      </c>
      <c r="C102">
        <f>'CALL SHEET'!$U$102</f>
        <v/>
      </c>
      <c r="D102">
        <f>'CALL SHEET'!$Y$102</f>
        <v/>
      </c>
      <c r="E102">
        <f>'CALL SHEET'!$AC$102</f>
        <v/>
      </c>
      <c r="F102">
        <f>IF('CALL SHEET'!$V$102="","",'CALL SHEET'!$V$102)</f>
        <v/>
      </c>
      <c r="G102">
        <f>IF('CALL SHEET'!$D$102="","",'CALL SHEET'!$D$102)</f>
        <v/>
      </c>
      <c r="H102">
        <f>IF('CALL SHEET'!$G$102="","",'CALL SHEET'!$G$102)</f>
        <v/>
      </c>
      <c r="I102">
        <f>IF('CALL SHEET'!$AT$102="","",'CALL SHEET'!$AT$102)</f>
        <v/>
      </c>
      <c r="J102">
        <f>IF('CALL SHEET'!$AX$102="","",'CALL SHEET'!$AX$102)</f>
        <v/>
      </c>
      <c r="K102">
        <f>IF('CALL SHEET'!$N$102="","",'CALL SHEET'!$N$102)</f>
        <v/>
      </c>
      <c r="L102">
        <f>IF('CALL SHEET'!$AE$102="","",'CALL SHEET'!$AE$102)</f>
        <v/>
      </c>
      <c r="M102" t="inlineStr">
        <is>
          <t>TRADE</t>
        </is>
      </c>
      <c r="N102" t="inlineStr">
        <is>
          <t>CALL SHEET · row 102</t>
        </is>
      </c>
    </row>
    <row r="103">
      <c r="A103">
        <f>IF('CALL SHEET'!$A$103="","",'CALL SHEET'!$A$103)</f>
        <v/>
      </c>
      <c r="B103">
        <f>IF('CALL SHEET'!$C$103="","",'CALL SHEET'!$C$103)</f>
        <v/>
      </c>
      <c r="C103">
        <f>'CALL SHEET'!$U$103</f>
        <v/>
      </c>
      <c r="D103">
        <f>'CALL SHEET'!$Y$103</f>
        <v/>
      </c>
      <c r="E103">
        <f>'CALL SHEET'!$AC$103</f>
        <v/>
      </c>
      <c r="F103">
        <f>IF('CALL SHEET'!$V$103="","",'CALL SHEET'!$V$103)</f>
        <v/>
      </c>
      <c r="G103">
        <f>IF('CALL SHEET'!$D$103="","",'CALL SHEET'!$D$103)</f>
        <v/>
      </c>
      <c r="H103">
        <f>IF('CALL SHEET'!$G$103="","",'CALL SHEET'!$G$103)</f>
        <v/>
      </c>
      <c r="I103">
        <f>IF('CALL SHEET'!$AT$103="","",'CALL SHEET'!$AT$103)</f>
        <v/>
      </c>
      <c r="J103">
        <f>IF('CALL SHEET'!$AX$103="","",'CALL SHEET'!$AX$103)</f>
        <v/>
      </c>
      <c r="K103">
        <f>IF('CALL SHEET'!$N$103="","",'CALL SHEET'!$N$103)</f>
        <v/>
      </c>
      <c r="L103">
        <f>IF('CALL SHEET'!$AE$103="","",'CALL SHEET'!$AE$103)</f>
        <v/>
      </c>
      <c r="M103" t="inlineStr">
        <is>
          <t>TRADE</t>
        </is>
      </c>
      <c r="N103" t="inlineStr">
        <is>
          <t>CALL SHEET · row 103</t>
        </is>
      </c>
    </row>
    <row r="104">
      <c r="A104">
        <f>IF('CALL SHEET'!$A$104="","",'CALL SHEET'!$A$104)</f>
        <v/>
      </c>
      <c r="B104">
        <f>IF('CALL SHEET'!$C$104="","",'CALL SHEET'!$C$104)</f>
        <v/>
      </c>
      <c r="C104">
        <f>'CALL SHEET'!$U$104</f>
        <v/>
      </c>
      <c r="D104">
        <f>'CALL SHEET'!$Y$104</f>
        <v/>
      </c>
      <c r="E104">
        <f>'CALL SHEET'!$AC$104</f>
        <v/>
      </c>
      <c r="F104">
        <f>IF('CALL SHEET'!$V$104="","",'CALL SHEET'!$V$104)</f>
        <v/>
      </c>
      <c r="G104">
        <f>IF('CALL SHEET'!$D$104="","",'CALL SHEET'!$D$104)</f>
        <v/>
      </c>
      <c r="H104">
        <f>IF('CALL SHEET'!$G$104="","",'CALL SHEET'!$G$104)</f>
        <v/>
      </c>
      <c r="I104">
        <f>IF('CALL SHEET'!$AT$104="","",'CALL SHEET'!$AT$104)</f>
        <v/>
      </c>
      <c r="J104">
        <f>IF('CALL SHEET'!$AX$104="","",'CALL SHEET'!$AX$104)</f>
        <v/>
      </c>
      <c r="K104">
        <f>IF('CALL SHEET'!$N$104="","",'CALL SHEET'!$N$104)</f>
        <v/>
      </c>
      <c r="L104">
        <f>IF('CALL SHEET'!$AE$104="","",'CALL SHEET'!$AE$104)</f>
        <v/>
      </c>
      <c r="M104" t="inlineStr">
        <is>
          <t>TRADE</t>
        </is>
      </c>
      <c r="N104" t="inlineStr">
        <is>
          <t>CALL SHEET · row 104</t>
        </is>
      </c>
    </row>
    <row r="105">
      <c r="A105">
        <f>IF('CALL SHEET'!$A$105="","",'CALL SHEET'!$A$105)</f>
        <v/>
      </c>
      <c r="B105">
        <f>IF('CALL SHEET'!$C$105="","",'CALL SHEET'!$C$105)</f>
        <v/>
      </c>
      <c r="C105">
        <f>'CALL SHEET'!$U$105</f>
        <v/>
      </c>
      <c r="D105">
        <f>'CALL SHEET'!$Y$105</f>
        <v/>
      </c>
      <c r="E105">
        <f>'CALL SHEET'!$AC$105</f>
        <v/>
      </c>
      <c r="F105">
        <f>IF('CALL SHEET'!$V$105="","",'CALL SHEET'!$V$105)</f>
        <v/>
      </c>
      <c r="G105">
        <f>IF('CALL SHEET'!$D$105="","",'CALL SHEET'!$D$105)</f>
        <v/>
      </c>
      <c r="H105">
        <f>IF('CALL SHEET'!$G$105="","",'CALL SHEET'!$G$105)</f>
        <v/>
      </c>
      <c r="I105">
        <f>IF('CALL SHEET'!$AT$105="","",'CALL SHEET'!$AT$105)</f>
        <v/>
      </c>
      <c r="J105">
        <f>IF('CALL SHEET'!$AX$105="","",'CALL SHEET'!$AX$105)</f>
        <v/>
      </c>
      <c r="K105">
        <f>IF('CALL SHEET'!$N$105="","",'CALL SHEET'!$N$105)</f>
        <v/>
      </c>
      <c r="L105">
        <f>IF('CALL SHEET'!$AE$105="","",'CALL SHEET'!$AE$105)</f>
        <v/>
      </c>
      <c r="M105" t="inlineStr">
        <is>
          <t>TRADE</t>
        </is>
      </c>
      <c r="N105" t="inlineStr">
        <is>
          <t>CALL SHEET · row 105</t>
        </is>
      </c>
    </row>
    <row r="106">
      <c r="A106">
        <f>IF('CALL SHEET'!$A$106="","",'CALL SHEET'!$A$106)</f>
        <v/>
      </c>
      <c r="B106">
        <f>IF('CALL SHEET'!$C$106="","",'CALL SHEET'!$C$106)</f>
        <v/>
      </c>
      <c r="C106">
        <f>'CALL SHEET'!$U$106</f>
        <v/>
      </c>
      <c r="D106">
        <f>'CALL SHEET'!$Y$106</f>
        <v/>
      </c>
      <c r="E106">
        <f>'CALL SHEET'!$AC$106</f>
        <v/>
      </c>
      <c r="F106">
        <f>IF('CALL SHEET'!$V$106="","",'CALL SHEET'!$V$106)</f>
        <v/>
      </c>
      <c r="G106">
        <f>IF('CALL SHEET'!$D$106="","",'CALL SHEET'!$D$106)</f>
        <v/>
      </c>
      <c r="H106">
        <f>IF('CALL SHEET'!$G$106="","",'CALL SHEET'!$G$106)</f>
        <v/>
      </c>
      <c r="I106">
        <f>IF('CALL SHEET'!$AT$106="","",'CALL SHEET'!$AT$106)</f>
        <v/>
      </c>
      <c r="J106">
        <f>IF('CALL SHEET'!$AX$106="","",'CALL SHEET'!$AX$106)</f>
        <v/>
      </c>
      <c r="K106">
        <f>IF('CALL SHEET'!$N$106="","",'CALL SHEET'!$N$106)</f>
        <v/>
      </c>
      <c r="L106">
        <f>IF('CALL SHEET'!$AE$106="","",'CALL SHEET'!$AE$106)</f>
        <v/>
      </c>
      <c r="M106" t="inlineStr">
        <is>
          <t>TRADE</t>
        </is>
      </c>
      <c r="N106" t="inlineStr">
        <is>
          <t>CALL SHEET · row 106</t>
        </is>
      </c>
    </row>
    <row r="107">
      <c r="A107">
        <f>IF('CALL SHEET'!$A$107="","",'CALL SHEET'!$A$107)</f>
        <v/>
      </c>
      <c r="B107">
        <f>IF('CALL SHEET'!$C$107="","",'CALL SHEET'!$C$107)</f>
        <v/>
      </c>
      <c r="C107">
        <f>'CALL SHEET'!$U$107</f>
        <v/>
      </c>
      <c r="D107">
        <f>'CALL SHEET'!$Y$107</f>
        <v/>
      </c>
      <c r="E107">
        <f>'CALL SHEET'!$AC$107</f>
        <v/>
      </c>
      <c r="F107">
        <f>IF('CALL SHEET'!$V$107="","",'CALL SHEET'!$V$107)</f>
        <v/>
      </c>
      <c r="G107">
        <f>IF('CALL SHEET'!$D$107="","",'CALL SHEET'!$D$107)</f>
        <v/>
      </c>
      <c r="H107">
        <f>IF('CALL SHEET'!$G$107="","",'CALL SHEET'!$G$107)</f>
        <v/>
      </c>
      <c r="I107">
        <f>IF('CALL SHEET'!$AT$107="","",'CALL SHEET'!$AT$107)</f>
        <v/>
      </c>
      <c r="J107">
        <f>IF('CALL SHEET'!$AX$107="","",'CALL SHEET'!$AX$107)</f>
        <v/>
      </c>
      <c r="K107">
        <f>IF('CALL SHEET'!$N$107="","",'CALL SHEET'!$N$107)</f>
        <v/>
      </c>
      <c r="L107">
        <f>IF('CALL SHEET'!$AE$107="","",'CALL SHEET'!$AE$107)</f>
        <v/>
      </c>
      <c r="M107" t="inlineStr">
        <is>
          <t>TRADE</t>
        </is>
      </c>
      <c r="N107" t="inlineStr">
        <is>
          <t>CALL SHEET · row 107</t>
        </is>
      </c>
    </row>
    <row r="108">
      <c r="A108">
        <f>IF('CALL SHEET'!$A$108="","",'CALL SHEET'!$A$108)</f>
        <v/>
      </c>
      <c r="B108">
        <f>IF('CALL SHEET'!$C$108="","",'CALL SHEET'!$C$108)</f>
        <v/>
      </c>
      <c r="C108">
        <f>'CALL SHEET'!$U$108</f>
        <v/>
      </c>
      <c r="D108">
        <f>'CALL SHEET'!$Y$108</f>
        <v/>
      </c>
      <c r="E108">
        <f>'CALL SHEET'!$AC$108</f>
        <v/>
      </c>
      <c r="F108">
        <f>IF('CALL SHEET'!$V$108="","",'CALL SHEET'!$V$108)</f>
        <v/>
      </c>
      <c r="G108">
        <f>IF('CALL SHEET'!$D$108="","",'CALL SHEET'!$D$108)</f>
        <v/>
      </c>
      <c r="H108">
        <f>IF('CALL SHEET'!$G$108="","",'CALL SHEET'!$G$108)</f>
        <v/>
      </c>
      <c r="I108">
        <f>IF('CALL SHEET'!$AT$108="","",'CALL SHEET'!$AT$108)</f>
        <v/>
      </c>
      <c r="J108">
        <f>IF('CALL SHEET'!$AX$108="","",'CALL SHEET'!$AX$108)</f>
        <v/>
      </c>
      <c r="K108">
        <f>IF('CALL SHEET'!$N$108="","",'CALL SHEET'!$N$108)</f>
        <v/>
      </c>
      <c r="L108">
        <f>IF('CALL SHEET'!$AE$108="","",'CALL SHEET'!$AE$108)</f>
        <v/>
      </c>
      <c r="M108" t="inlineStr">
        <is>
          <t>TRADE</t>
        </is>
      </c>
      <c r="N108" t="inlineStr">
        <is>
          <t>CALL SHEET · row 108</t>
        </is>
      </c>
    </row>
    <row r="109">
      <c r="A109">
        <f>IF('CALL SHEET'!$A$109="","",'CALL SHEET'!$A$109)</f>
        <v/>
      </c>
      <c r="B109">
        <f>IF('CALL SHEET'!$C$109="","",'CALL SHEET'!$C$109)</f>
        <v/>
      </c>
      <c r="C109">
        <f>'CALL SHEET'!$U$109</f>
        <v/>
      </c>
      <c r="D109">
        <f>'CALL SHEET'!$Y$109</f>
        <v/>
      </c>
      <c r="E109">
        <f>'CALL SHEET'!$AC$109</f>
        <v/>
      </c>
      <c r="F109">
        <f>IF('CALL SHEET'!$V$109="","",'CALL SHEET'!$V$109)</f>
        <v/>
      </c>
      <c r="G109">
        <f>IF('CALL SHEET'!$D$109="","",'CALL SHEET'!$D$109)</f>
        <v/>
      </c>
      <c r="H109">
        <f>IF('CALL SHEET'!$G$109="","",'CALL SHEET'!$G$109)</f>
        <v/>
      </c>
      <c r="I109">
        <f>IF('CALL SHEET'!$AT$109="","",'CALL SHEET'!$AT$109)</f>
        <v/>
      </c>
      <c r="J109">
        <f>IF('CALL SHEET'!$AX$109="","",'CALL SHEET'!$AX$109)</f>
        <v/>
      </c>
      <c r="K109">
        <f>IF('CALL SHEET'!$N$109="","",'CALL SHEET'!$N$109)</f>
        <v/>
      </c>
      <c r="L109">
        <f>IF('CALL SHEET'!$AE$109="","",'CALL SHEET'!$AE$109)</f>
        <v/>
      </c>
      <c r="M109" t="inlineStr">
        <is>
          <t>TRADE</t>
        </is>
      </c>
      <c r="N109" t="inlineStr">
        <is>
          <t>CALL SHEET · row 109</t>
        </is>
      </c>
    </row>
    <row r="110">
      <c r="A110">
        <f>IF('CALL SHEET'!$A$110="","",'CALL SHEET'!$A$110)</f>
        <v/>
      </c>
      <c r="B110">
        <f>IF('CALL SHEET'!$C$110="","",'CALL SHEET'!$C$110)</f>
        <v/>
      </c>
      <c r="C110">
        <f>'CALL SHEET'!$U$110</f>
        <v/>
      </c>
      <c r="D110">
        <f>'CALL SHEET'!$Y$110</f>
        <v/>
      </c>
      <c r="E110">
        <f>'CALL SHEET'!$AC$110</f>
        <v/>
      </c>
      <c r="F110">
        <f>IF('CALL SHEET'!$V$110="","",'CALL SHEET'!$V$110)</f>
        <v/>
      </c>
      <c r="G110">
        <f>IF('CALL SHEET'!$D$110="","",'CALL SHEET'!$D$110)</f>
        <v/>
      </c>
      <c r="H110">
        <f>IF('CALL SHEET'!$G$110="","",'CALL SHEET'!$G$110)</f>
        <v/>
      </c>
      <c r="I110">
        <f>IF('CALL SHEET'!$AT$110="","",'CALL SHEET'!$AT$110)</f>
        <v/>
      </c>
      <c r="J110">
        <f>IF('CALL SHEET'!$AX$110="","",'CALL SHEET'!$AX$110)</f>
        <v/>
      </c>
      <c r="K110">
        <f>IF('CALL SHEET'!$N$110="","",'CALL SHEET'!$N$110)</f>
        <v/>
      </c>
      <c r="L110">
        <f>IF('CALL SHEET'!$AE$110="","",'CALL SHEET'!$AE$110)</f>
        <v/>
      </c>
      <c r="M110" t="inlineStr">
        <is>
          <t>TRADE</t>
        </is>
      </c>
      <c r="N110" t="inlineStr">
        <is>
          <t>CALL SHEET · row 110</t>
        </is>
      </c>
    </row>
    <row r="111">
      <c r="A111">
        <f>IF('CALL SHEET'!$A$111="","",'CALL SHEET'!$A$111)</f>
        <v/>
      </c>
      <c r="B111">
        <f>IF('CALL SHEET'!$C$111="","",'CALL SHEET'!$C$111)</f>
        <v/>
      </c>
      <c r="C111">
        <f>'CALL SHEET'!$U$111</f>
        <v/>
      </c>
      <c r="D111">
        <f>'CALL SHEET'!$Y$111</f>
        <v/>
      </c>
      <c r="E111">
        <f>'CALL SHEET'!$AC$111</f>
        <v/>
      </c>
      <c r="F111">
        <f>IF('CALL SHEET'!$V$111="","",'CALL SHEET'!$V$111)</f>
        <v/>
      </c>
      <c r="G111">
        <f>IF('CALL SHEET'!$D$111="","",'CALL SHEET'!$D$111)</f>
        <v/>
      </c>
      <c r="H111">
        <f>IF('CALL SHEET'!$G$111="","",'CALL SHEET'!$G$111)</f>
        <v/>
      </c>
      <c r="I111">
        <f>IF('CALL SHEET'!$AT$111="","",'CALL SHEET'!$AT$111)</f>
        <v/>
      </c>
      <c r="J111">
        <f>IF('CALL SHEET'!$AX$111="","",'CALL SHEET'!$AX$111)</f>
        <v/>
      </c>
      <c r="K111">
        <f>IF('CALL SHEET'!$N$111="","",'CALL SHEET'!$N$111)</f>
        <v/>
      </c>
      <c r="L111">
        <f>IF('CALL SHEET'!$AE$111="","",'CALL SHEET'!$AE$111)</f>
        <v/>
      </c>
      <c r="M111" t="inlineStr">
        <is>
          <t>TRADE</t>
        </is>
      </c>
      <c r="N111" t="inlineStr">
        <is>
          <t>CALL SHEET · row 111</t>
        </is>
      </c>
    </row>
    <row r="112">
      <c r="A112">
        <f>IF('CALL SHEET'!$A$112="","",'CALL SHEET'!$A$112)</f>
        <v/>
      </c>
      <c r="B112">
        <f>IF('CALL SHEET'!$C$112="","",'CALL SHEET'!$C$112)</f>
        <v/>
      </c>
      <c r="C112">
        <f>'CALL SHEET'!$U$112</f>
        <v/>
      </c>
      <c r="D112">
        <f>'CALL SHEET'!$Y$112</f>
        <v/>
      </c>
      <c r="E112">
        <f>'CALL SHEET'!$AC$112</f>
        <v/>
      </c>
      <c r="F112">
        <f>IF('CALL SHEET'!$V$112="","",'CALL SHEET'!$V$112)</f>
        <v/>
      </c>
      <c r="G112">
        <f>IF('CALL SHEET'!$D$112="","",'CALL SHEET'!$D$112)</f>
        <v/>
      </c>
      <c r="H112">
        <f>IF('CALL SHEET'!$G$112="","",'CALL SHEET'!$G$112)</f>
        <v/>
      </c>
      <c r="I112">
        <f>IF('CALL SHEET'!$AT$112="","",'CALL SHEET'!$AT$112)</f>
        <v/>
      </c>
      <c r="J112">
        <f>IF('CALL SHEET'!$AX$112="","",'CALL SHEET'!$AX$112)</f>
        <v/>
      </c>
      <c r="K112">
        <f>IF('CALL SHEET'!$N$112="","",'CALL SHEET'!$N$112)</f>
        <v/>
      </c>
      <c r="L112">
        <f>IF('CALL SHEET'!$AE$112="","",'CALL SHEET'!$AE$112)</f>
        <v/>
      </c>
      <c r="M112" t="inlineStr">
        <is>
          <t>TRADE</t>
        </is>
      </c>
      <c r="N112" t="inlineStr">
        <is>
          <t>CALL SHEET · row 112</t>
        </is>
      </c>
    </row>
    <row r="113">
      <c r="A113">
        <f>IF('CALL SHEET'!$A$113="","",'CALL SHEET'!$A$113)</f>
        <v/>
      </c>
      <c r="B113">
        <f>IF('CALL SHEET'!$C$113="","",'CALL SHEET'!$C$113)</f>
        <v/>
      </c>
      <c r="C113">
        <f>'CALL SHEET'!$U$113</f>
        <v/>
      </c>
      <c r="D113">
        <f>'CALL SHEET'!$Y$113</f>
        <v/>
      </c>
      <c r="E113">
        <f>'CALL SHEET'!$AC$113</f>
        <v/>
      </c>
      <c r="F113">
        <f>IF('CALL SHEET'!$V$113="","",'CALL SHEET'!$V$113)</f>
        <v/>
      </c>
      <c r="G113">
        <f>IF('CALL SHEET'!$D$113="","",'CALL SHEET'!$D$113)</f>
        <v/>
      </c>
      <c r="H113">
        <f>IF('CALL SHEET'!$G$113="","",'CALL SHEET'!$G$113)</f>
        <v/>
      </c>
      <c r="I113">
        <f>IF('CALL SHEET'!$AT$113="","",'CALL SHEET'!$AT$113)</f>
        <v/>
      </c>
      <c r="J113">
        <f>IF('CALL SHEET'!$AX$113="","",'CALL SHEET'!$AX$113)</f>
        <v/>
      </c>
      <c r="K113">
        <f>IF('CALL SHEET'!$N$113="","",'CALL SHEET'!$N$113)</f>
        <v/>
      </c>
      <c r="L113">
        <f>IF('CALL SHEET'!$AE$113="","",'CALL SHEET'!$AE$113)</f>
        <v/>
      </c>
      <c r="M113" t="inlineStr">
        <is>
          <t>TRADE</t>
        </is>
      </c>
      <c r="N113" t="inlineStr">
        <is>
          <t>CALL SHEET · row 113</t>
        </is>
      </c>
    </row>
    <row r="114">
      <c r="A114">
        <f>IF('CALL SHEET'!$A$114="","",'CALL SHEET'!$A$114)</f>
        <v/>
      </c>
      <c r="B114">
        <f>IF('CALL SHEET'!$C$114="","",'CALL SHEET'!$C$114)</f>
        <v/>
      </c>
      <c r="C114">
        <f>'CALL SHEET'!$U$114</f>
        <v/>
      </c>
      <c r="D114">
        <f>'CALL SHEET'!$Y$114</f>
        <v/>
      </c>
      <c r="E114">
        <f>'CALL SHEET'!$AC$114</f>
        <v/>
      </c>
      <c r="F114">
        <f>IF('CALL SHEET'!$V$114="","",'CALL SHEET'!$V$114)</f>
        <v/>
      </c>
      <c r="G114">
        <f>IF('CALL SHEET'!$D$114="","",'CALL SHEET'!$D$114)</f>
        <v/>
      </c>
      <c r="H114">
        <f>IF('CALL SHEET'!$G$114="","",'CALL SHEET'!$G$114)</f>
        <v/>
      </c>
      <c r="I114">
        <f>IF('CALL SHEET'!$AT$114="","",'CALL SHEET'!$AT$114)</f>
        <v/>
      </c>
      <c r="J114">
        <f>IF('CALL SHEET'!$AX$114="","",'CALL SHEET'!$AX$114)</f>
        <v/>
      </c>
      <c r="K114">
        <f>IF('CALL SHEET'!$N$114="","",'CALL SHEET'!$N$114)</f>
        <v/>
      </c>
      <c r="L114">
        <f>IF('CALL SHEET'!$AE$114="","",'CALL SHEET'!$AE$114)</f>
        <v/>
      </c>
      <c r="M114" t="inlineStr">
        <is>
          <t>TRADE</t>
        </is>
      </c>
      <c r="N114" t="inlineStr">
        <is>
          <t>CALL SHEET · row 114</t>
        </is>
      </c>
    </row>
    <row r="115">
      <c r="A115">
        <f>IF('CALL SHEET'!$A$115="","",'CALL SHEET'!$A$115)</f>
        <v/>
      </c>
      <c r="B115">
        <f>IF('CALL SHEET'!$C$115="","",'CALL SHEET'!$C$115)</f>
        <v/>
      </c>
      <c r="C115">
        <f>'CALL SHEET'!$U$115</f>
        <v/>
      </c>
      <c r="D115">
        <f>'CALL SHEET'!$Y$115</f>
        <v/>
      </c>
      <c r="E115">
        <f>'CALL SHEET'!$AC$115</f>
        <v/>
      </c>
      <c r="F115">
        <f>IF('CALL SHEET'!$V$115="","",'CALL SHEET'!$V$115)</f>
        <v/>
      </c>
      <c r="G115">
        <f>IF('CALL SHEET'!$D$115="","",'CALL SHEET'!$D$115)</f>
        <v/>
      </c>
      <c r="H115">
        <f>IF('CALL SHEET'!$G$115="","",'CALL SHEET'!$G$115)</f>
        <v/>
      </c>
      <c r="I115">
        <f>IF('CALL SHEET'!$AT$115="","",'CALL SHEET'!$AT$115)</f>
        <v/>
      </c>
      <c r="J115">
        <f>IF('CALL SHEET'!$AX$115="","",'CALL SHEET'!$AX$115)</f>
        <v/>
      </c>
      <c r="K115">
        <f>IF('CALL SHEET'!$N$115="","",'CALL SHEET'!$N$115)</f>
        <v/>
      </c>
      <c r="L115">
        <f>IF('CALL SHEET'!$AE$115="","",'CALL SHEET'!$AE$115)</f>
        <v/>
      </c>
      <c r="M115" t="inlineStr">
        <is>
          <t>TRADE</t>
        </is>
      </c>
      <c r="N115" t="inlineStr">
        <is>
          <t>CALL SHEET · row 115</t>
        </is>
      </c>
    </row>
    <row r="116">
      <c r="A116">
        <f>IF('CALL SHEET'!$A$116="","",'CALL SHEET'!$A$116)</f>
        <v/>
      </c>
      <c r="B116">
        <f>IF('CALL SHEET'!$C$116="","",'CALL SHEET'!$C$116)</f>
        <v/>
      </c>
      <c r="C116">
        <f>'CALL SHEET'!$U$116</f>
        <v/>
      </c>
      <c r="D116">
        <f>'CALL SHEET'!$Y$116</f>
        <v/>
      </c>
      <c r="E116">
        <f>'CALL SHEET'!$AC$116</f>
        <v/>
      </c>
      <c r="F116">
        <f>IF('CALL SHEET'!$V$116="","",'CALL SHEET'!$V$116)</f>
        <v/>
      </c>
      <c r="G116">
        <f>IF('CALL SHEET'!$D$116="","",'CALL SHEET'!$D$116)</f>
        <v/>
      </c>
      <c r="H116">
        <f>IF('CALL SHEET'!$G$116="","",'CALL SHEET'!$G$116)</f>
        <v/>
      </c>
      <c r="I116">
        <f>IF('CALL SHEET'!$AT$116="","",'CALL SHEET'!$AT$116)</f>
        <v/>
      </c>
      <c r="J116">
        <f>IF('CALL SHEET'!$AX$116="","",'CALL SHEET'!$AX$116)</f>
        <v/>
      </c>
      <c r="K116">
        <f>IF('CALL SHEET'!$N$116="","",'CALL SHEET'!$N$116)</f>
        <v/>
      </c>
      <c r="L116">
        <f>IF('CALL SHEET'!$AE$116="","",'CALL SHEET'!$AE$116)</f>
        <v/>
      </c>
      <c r="M116" t="inlineStr">
        <is>
          <t>TRADE</t>
        </is>
      </c>
      <c r="N116" t="inlineStr">
        <is>
          <t>CALL SHEET · row 116</t>
        </is>
      </c>
    </row>
    <row r="117">
      <c r="A117">
        <f>IF('CALL SHEET'!$A$117="","",'CALL SHEET'!$A$117)</f>
        <v/>
      </c>
      <c r="B117">
        <f>IF('CALL SHEET'!$C$117="","",'CALL SHEET'!$C$117)</f>
        <v/>
      </c>
      <c r="C117">
        <f>'CALL SHEET'!$U$117</f>
        <v/>
      </c>
      <c r="D117">
        <f>'CALL SHEET'!$Y$117</f>
        <v/>
      </c>
      <c r="E117">
        <f>'CALL SHEET'!$AC$117</f>
        <v/>
      </c>
      <c r="F117">
        <f>IF('CALL SHEET'!$V$117="","",'CALL SHEET'!$V$117)</f>
        <v/>
      </c>
      <c r="G117">
        <f>IF('CALL SHEET'!$D$117="","",'CALL SHEET'!$D$117)</f>
        <v/>
      </c>
      <c r="H117">
        <f>IF('CALL SHEET'!$G$117="","",'CALL SHEET'!$G$117)</f>
        <v/>
      </c>
      <c r="I117">
        <f>IF('CALL SHEET'!$AT$117="","",'CALL SHEET'!$AT$117)</f>
        <v/>
      </c>
      <c r="J117">
        <f>IF('CALL SHEET'!$AX$117="","",'CALL SHEET'!$AX$117)</f>
        <v/>
      </c>
      <c r="K117">
        <f>IF('CALL SHEET'!$N$117="","",'CALL SHEET'!$N$117)</f>
        <v/>
      </c>
      <c r="L117">
        <f>IF('CALL SHEET'!$AE$117="","",'CALL SHEET'!$AE$117)</f>
        <v/>
      </c>
      <c r="M117" t="inlineStr">
        <is>
          <t>TRADE</t>
        </is>
      </c>
      <c r="N117" t="inlineStr">
        <is>
          <t>CALL SHEET · row 117</t>
        </is>
      </c>
    </row>
    <row r="118">
      <c r="A118">
        <f>IF('CALL SHEET'!$A$118="","",'CALL SHEET'!$A$118)</f>
        <v/>
      </c>
      <c r="B118">
        <f>IF('CALL SHEET'!$C$118="","",'CALL SHEET'!$C$118)</f>
        <v/>
      </c>
      <c r="C118">
        <f>'CALL SHEET'!$U$118</f>
        <v/>
      </c>
      <c r="D118">
        <f>'CALL SHEET'!$Y$118</f>
        <v/>
      </c>
      <c r="E118">
        <f>'CALL SHEET'!$AC$118</f>
        <v/>
      </c>
      <c r="F118">
        <f>IF('CALL SHEET'!$V$118="","",'CALL SHEET'!$V$118)</f>
        <v/>
      </c>
      <c r="G118">
        <f>IF('CALL SHEET'!$D$118="","",'CALL SHEET'!$D$118)</f>
        <v/>
      </c>
      <c r="H118">
        <f>IF('CALL SHEET'!$G$118="","",'CALL SHEET'!$G$118)</f>
        <v/>
      </c>
      <c r="I118">
        <f>IF('CALL SHEET'!$AT$118="","",'CALL SHEET'!$AT$118)</f>
        <v/>
      </c>
      <c r="J118">
        <f>IF('CALL SHEET'!$AX$118="","",'CALL SHEET'!$AX$118)</f>
        <v/>
      </c>
      <c r="K118">
        <f>IF('CALL SHEET'!$N$118="","",'CALL SHEET'!$N$118)</f>
        <v/>
      </c>
      <c r="L118">
        <f>IF('CALL SHEET'!$AE$118="","",'CALL SHEET'!$AE$118)</f>
        <v/>
      </c>
      <c r="M118" t="inlineStr">
        <is>
          <t>TRADE</t>
        </is>
      </c>
      <c r="N118" t="inlineStr">
        <is>
          <t>CALL SHEET · row 118</t>
        </is>
      </c>
    </row>
    <row r="119">
      <c r="A119">
        <f>IF('CALL SHEET'!$A$119="","",'CALL SHEET'!$A$119)</f>
        <v/>
      </c>
      <c r="B119">
        <f>IF('CALL SHEET'!$C$119="","",'CALL SHEET'!$C$119)</f>
        <v/>
      </c>
      <c r="C119">
        <f>'CALL SHEET'!$U$119</f>
        <v/>
      </c>
      <c r="D119">
        <f>'CALL SHEET'!$Y$119</f>
        <v/>
      </c>
      <c r="E119">
        <f>'CALL SHEET'!$AC$119</f>
        <v/>
      </c>
      <c r="F119">
        <f>IF('CALL SHEET'!$V$119="","",'CALL SHEET'!$V$119)</f>
        <v/>
      </c>
      <c r="G119">
        <f>IF('CALL SHEET'!$D$119="","",'CALL SHEET'!$D$119)</f>
        <v/>
      </c>
      <c r="H119">
        <f>IF('CALL SHEET'!$G$119="","",'CALL SHEET'!$G$119)</f>
        <v/>
      </c>
      <c r="I119">
        <f>IF('CALL SHEET'!$AT$119="","",'CALL SHEET'!$AT$119)</f>
        <v/>
      </c>
      <c r="J119">
        <f>IF('CALL SHEET'!$AX$119="","",'CALL SHEET'!$AX$119)</f>
        <v/>
      </c>
      <c r="K119">
        <f>IF('CALL SHEET'!$N$119="","",'CALL SHEET'!$N$119)</f>
        <v/>
      </c>
      <c r="L119">
        <f>IF('CALL SHEET'!$AE$119="","",'CALL SHEET'!$AE$119)</f>
        <v/>
      </c>
      <c r="M119" t="inlineStr">
        <is>
          <t>TRADE</t>
        </is>
      </c>
      <c r="N119" t="inlineStr">
        <is>
          <t>CALL SHEET · row 119</t>
        </is>
      </c>
    </row>
    <row r="120">
      <c r="A120">
        <f>IF('CALL SHEET'!$A$120="","",'CALL SHEET'!$A$120)</f>
        <v/>
      </c>
      <c r="B120">
        <f>IF('CALL SHEET'!$C$120="","",'CALL SHEET'!$C$120)</f>
        <v/>
      </c>
      <c r="C120">
        <f>'CALL SHEET'!$U$120</f>
        <v/>
      </c>
      <c r="D120">
        <f>'CALL SHEET'!$Y$120</f>
        <v/>
      </c>
      <c r="E120">
        <f>'CALL SHEET'!$AC$120</f>
        <v/>
      </c>
      <c r="F120">
        <f>IF('CALL SHEET'!$V$120="","",'CALL SHEET'!$V$120)</f>
        <v/>
      </c>
      <c r="G120">
        <f>IF('CALL SHEET'!$D$120="","",'CALL SHEET'!$D$120)</f>
        <v/>
      </c>
      <c r="H120">
        <f>IF('CALL SHEET'!$G$120="","",'CALL SHEET'!$G$120)</f>
        <v/>
      </c>
      <c r="I120">
        <f>IF('CALL SHEET'!$AT$120="","",'CALL SHEET'!$AT$120)</f>
        <v/>
      </c>
      <c r="J120">
        <f>IF('CALL SHEET'!$AX$120="","",'CALL SHEET'!$AX$120)</f>
        <v/>
      </c>
      <c r="K120">
        <f>IF('CALL SHEET'!$N$120="","",'CALL SHEET'!$N$120)</f>
        <v/>
      </c>
      <c r="L120">
        <f>IF('CALL SHEET'!$AE$120="","",'CALL SHEET'!$AE$120)</f>
        <v/>
      </c>
      <c r="M120" t="inlineStr">
        <is>
          <t>TRADE</t>
        </is>
      </c>
      <c r="N120" t="inlineStr">
        <is>
          <t>CALL SHEET · row 120</t>
        </is>
      </c>
    </row>
    <row r="121">
      <c r="A121">
        <f>IF('CALL SHEET'!$A$121="","",'CALL SHEET'!$A$121)</f>
        <v/>
      </c>
      <c r="B121">
        <f>IF('CALL SHEET'!$C$121="","",'CALL SHEET'!$C$121)</f>
        <v/>
      </c>
      <c r="C121">
        <f>'CALL SHEET'!$U$121</f>
        <v/>
      </c>
      <c r="D121">
        <f>'CALL SHEET'!$Y$121</f>
        <v/>
      </c>
      <c r="E121">
        <f>'CALL SHEET'!$AC$121</f>
        <v/>
      </c>
      <c r="F121">
        <f>IF('CALL SHEET'!$V$121="","",'CALL SHEET'!$V$121)</f>
        <v/>
      </c>
      <c r="G121">
        <f>IF('CALL SHEET'!$D$121="","",'CALL SHEET'!$D$121)</f>
        <v/>
      </c>
      <c r="H121">
        <f>IF('CALL SHEET'!$G$121="","",'CALL SHEET'!$G$121)</f>
        <v/>
      </c>
      <c r="I121">
        <f>IF('CALL SHEET'!$AT$121="","",'CALL SHEET'!$AT$121)</f>
        <v/>
      </c>
      <c r="J121">
        <f>IF('CALL SHEET'!$AX$121="","",'CALL SHEET'!$AX$121)</f>
        <v/>
      </c>
      <c r="K121">
        <f>IF('CALL SHEET'!$N$121="","",'CALL SHEET'!$N$121)</f>
        <v/>
      </c>
      <c r="L121">
        <f>IF('CALL SHEET'!$AE$121="","",'CALL SHEET'!$AE$121)</f>
        <v/>
      </c>
      <c r="M121" t="inlineStr">
        <is>
          <t>TRADE</t>
        </is>
      </c>
      <c r="N121" t="inlineStr">
        <is>
          <t>CALL SHEET · row 121</t>
        </is>
      </c>
    </row>
    <row r="122">
      <c r="A122">
        <f>IF('CALL SHEET'!$A$122="","",'CALL SHEET'!$A$122)</f>
        <v/>
      </c>
      <c r="B122">
        <f>IF('CALL SHEET'!$C$122="","",'CALL SHEET'!$C$122)</f>
        <v/>
      </c>
      <c r="C122">
        <f>'CALL SHEET'!$U$122</f>
        <v/>
      </c>
      <c r="D122">
        <f>'CALL SHEET'!$Y$122</f>
        <v/>
      </c>
      <c r="E122">
        <f>'CALL SHEET'!$AC$122</f>
        <v/>
      </c>
      <c r="F122">
        <f>IF('CALL SHEET'!$V$122="","",'CALL SHEET'!$V$122)</f>
        <v/>
      </c>
      <c r="G122">
        <f>IF('CALL SHEET'!$D$122="","",'CALL SHEET'!$D$122)</f>
        <v/>
      </c>
      <c r="H122">
        <f>IF('CALL SHEET'!$G$122="","",'CALL SHEET'!$G$122)</f>
        <v/>
      </c>
      <c r="I122">
        <f>IF('CALL SHEET'!$AT$122="","",'CALL SHEET'!$AT$122)</f>
        <v/>
      </c>
      <c r="J122">
        <f>IF('CALL SHEET'!$AX$122="","",'CALL SHEET'!$AX$122)</f>
        <v/>
      </c>
      <c r="K122">
        <f>IF('CALL SHEET'!$N$122="","",'CALL SHEET'!$N$122)</f>
        <v/>
      </c>
      <c r="L122">
        <f>IF('CALL SHEET'!$AE$122="","",'CALL SHEET'!$AE$122)</f>
        <v/>
      </c>
      <c r="M122" t="inlineStr">
        <is>
          <t>TRADE</t>
        </is>
      </c>
      <c r="N122" t="inlineStr">
        <is>
          <t>CALL SHEET · row 122</t>
        </is>
      </c>
    </row>
    <row r="123">
      <c r="A123">
        <f>IF('CALL SHEET'!$A$123="","",'CALL SHEET'!$A$123)</f>
        <v/>
      </c>
      <c r="B123">
        <f>IF('CALL SHEET'!$C$123="","",'CALL SHEET'!$C$123)</f>
        <v/>
      </c>
      <c r="C123">
        <f>'CALL SHEET'!$U$123</f>
        <v/>
      </c>
      <c r="D123">
        <f>'CALL SHEET'!$Y$123</f>
        <v/>
      </c>
      <c r="E123">
        <f>'CALL SHEET'!$AC$123</f>
        <v/>
      </c>
      <c r="F123">
        <f>IF('CALL SHEET'!$V$123="","",'CALL SHEET'!$V$123)</f>
        <v/>
      </c>
      <c r="G123">
        <f>IF('CALL SHEET'!$D$123="","",'CALL SHEET'!$D$123)</f>
        <v/>
      </c>
      <c r="H123">
        <f>IF('CALL SHEET'!$G$123="","",'CALL SHEET'!$G$123)</f>
        <v/>
      </c>
      <c r="I123">
        <f>IF('CALL SHEET'!$AT$123="","",'CALL SHEET'!$AT$123)</f>
        <v/>
      </c>
      <c r="J123">
        <f>IF('CALL SHEET'!$AX$123="","",'CALL SHEET'!$AX$123)</f>
        <v/>
      </c>
      <c r="K123">
        <f>IF('CALL SHEET'!$N$123="","",'CALL SHEET'!$N$123)</f>
        <v/>
      </c>
      <c r="L123">
        <f>IF('CALL SHEET'!$AE$123="","",'CALL SHEET'!$AE$123)</f>
        <v/>
      </c>
      <c r="M123" t="inlineStr">
        <is>
          <t>TRADE</t>
        </is>
      </c>
      <c r="N123" t="inlineStr">
        <is>
          <t>CALL SHEET · row 123</t>
        </is>
      </c>
    </row>
    <row r="124">
      <c r="A124">
        <f>IF('CALL SHEET'!$A$124="","",'CALL SHEET'!$A$124)</f>
        <v/>
      </c>
      <c r="B124">
        <f>IF('CALL SHEET'!$C$124="","",'CALL SHEET'!$C$124)</f>
        <v/>
      </c>
      <c r="C124">
        <f>'CALL SHEET'!$U$124</f>
        <v/>
      </c>
      <c r="D124">
        <f>'CALL SHEET'!$Y$124</f>
        <v/>
      </c>
      <c r="E124">
        <f>'CALL SHEET'!$AC$124</f>
        <v/>
      </c>
      <c r="F124">
        <f>IF('CALL SHEET'!$V$124="","",'CALL SHEET'!$V$124)</f>
        <v/>
      </c>
      <c r="G124">
        <f>IF('CALL SHEET'!$D$124="","",'CALL SHEET'!$D$124)</f>
        <v/>
      </c>
      <c r="H124">
        <f>IF('CALL SHEET'!$G$124="","",'CALL SHEET'!$G$124)</f>
        <v/>
      </c>
      <c r="I124">
        <f>IF('CALL SHEET'!$AT$124="","",'CALL SHEET'!$AT$124)</f>
        <v/>
      </c>
      <c r="J124">
        <f>IF('CALL SHEET'!$AX$124="","",'CALL SHEET'!$AX$124)</f>
        <v/>
      </c>
      <c r="K124">
        <f>IF('CALL SHEET'!$N$124="","",'CALL SHEET'!$N$124)</f>
        <v/>
      </c>
      <c r="L124">
        <f>IF('CALL SHEET'!$AE$124="","",'CALL SHEET'!$AE$124)</f>
        <v/>
      </c>
      <c r="M124" t="inlineStr">
        <is>
          <t>TRADE</t>
        </is>
      </c>
      <c r="N124" t="inlineStr">
        <is>
          <t>CALL SHEET · row 124</t>
        </is>
      </c>
    </row>
    <row r="125">
      <c r="A125">
        <f>IF('CALL SHEET'!$A$125="","",'CALL SHEET'!$A$125)</f>
        <v/>
      </c>
      <c r="B125">
        <f>IF('CALL SHEET'!$C$125="","",'CALL SHEET'!$C$125)</f>
        <v/>
      </c>
      <c r="C125">
        <f>'CALL SHEET'!$U$125</f>
        <v/>
      </c>
      <c r="D125">
        <f>'CALL SHEET'!$Y$125</f>
        <v/>
      </c>
      <c r="E125">
        <f>'CALL SHEET'!$AC$125</f>
        <v/>
      </c>
      <c r="F125">
        <f>IF('CALL SHEET'!$V$125="","",'CALL SHEET'!$V$125)</f>
        <v/>
      </c>
      <c r="G125">
        <f>IF('CALL SHEET'!$D$125="","",'CALL SHEET'!$D$125)</f>
        <v/>
      </c>
      <c r="H125">
        <f>IF('CALL SHEET'!$G$125="","",'CALL SHEET'!$G$125)</f>
        <v/>
      </c>
      <c r="I125">
        <f>IF('CALL SHEET'!$AT$125="","",'CALL SHEET'!$AT$125)</f>
        <v/>
      </c>
      <c r="J125">
        <f>IF('CALL SHEET'!$AX$125="","",'CALL SHEET'!$AX$125)</f>
        <v/>
      </c>
      <c r="K125">
        <f>IF('CALL SHEET'!$N$125="","",'CALL SHEET'!$N$125)</f>
        <v/>
      </c>
      <c r="L125">
        <f>IF('CALL SHEET'!$AE$125="","",'CALL SHEET'!$AE$125)</f>
        <v/>
      </c>
      <c r="M125" t="inlineStr">
        <is>
          <t>TRADE</t>
        </is>
      </c>
      <c r="N125" t="inlineStr">
        <is>
          <t>CALL SHEET · row 125</t>
        </is>
      </c>
    </row>
    <row r="126">
      <c r="A126">
        <f>IF('CALL SHEET'!$A$126="","",'CALL SHEET'!$A$126)</f>
        <v/>
      </c>
      <c r="B126">
        <f>IF('CALL SHEET'!$C$126="","",'CALL SHEET'!$C$126)</f>
        <v/>
      </c>
      <c r="C126">
        <f>'CALL SHEET'!$U$126</f>
        <v/>
      </c>
      <c r="D126">
        <f>'CALL SHEET'!$Y$126</f>
        <v/>
      </c>
      <c r="E126">
        <f>'CALL SHEET'!$AC$126</f>
        <v/>
      </c>
      <c r="F126">
        <f>IF('CALL SHEET'!$V$126="","",'CALL SHEET'!$V$126)</f>
        <v/>
      </c>
      <c r="G126">
        <f>IF('CALL SHEET'!$D$126="","",'CALL SHEET'!$D$126)</f>
        <v/>
      </c>
      <c r="H126">
        <f>IF('CALL SHEET'!$G$126="","",'CALL SHEET'!$G$126)</f>
        <v/>
      </c>
      <c r="I126">
        <f>IF('CALL SHEET'!$AT$126="","",'CALL SHEET'!$AT$126)</f>
        <v/>
      </c>
      <c r="J126">
        <f>IF('CALL SHEET'!$AX$126="","",'CALL SHEET'!$AX$126)</f>
        <v/>
      </c>
      <c r="K126">
        <f>IF('CALL SHEET'!$N$126="","",'CALL SHEET'!$N$126)</f>
        <v/>
      </c>
      <c r="L126">
        <f>IF('CALL SHEET'!$AE$126="","",'CALL SHEET'!$AE$126)</f>
        <v/>
      </c>
      <c r="M126" t="inlineStr">
        <is>
          <t>TRADE</t>
        </is>
      </c>
      <c r="N126" t="inlineStr">
        <is>
          <t>CALL SHEET · row 126</t>
        </is>
      </c>
    </row>
    <row r="127">
      <c r="A127">
        <f>IF('CALL SHEET'!$A$127="","",'CALL SHEET'!$A$127)</f>
        <v/>
      </c>
      <c r="B127">
        <f>IF('CALL SHEET'!$C$127="","",'CALL SHEET'!$C$127)</f>
        <v/>
      </c>
      <c r="C127">
        <f>'CALL SHEET'!$U$127</f>
        <v/>
      </c>
      <c r="D127">
        <f>'CALL SHEET'!$Y$127</f>
        <v/>
      </c>
      <c r="E127">
        <f>'CALL SHEET'!$AC$127</f>
        <v/>
      </c>
      <c r="F127">
        <f>IF('CALL SHEET'!$V$127="","",'CALL SHEET'!$V$127)</f>
        <v/>
      </c>
      <c r="G127">
        <f>IF('CALL SHEET'!$D$127="","",'CALL SHEET'!$D$127)</f>
        <v/>
      </c>
      <c r="H127">
        <f>IF('CALL SHEET'!$G$127="","",'CALL SHEET'!$G$127)</f>
        <v/>
      </c>
      <c r="I127">
        <f>IF('CALL SHEET'!$AT$127="","",'CALL SHEET'!$AT$127)</f>
        <v/>
      </c>
      <c r="J127">
        <f>IF('CALL SHEET'!$AX$127="","",'CALL SHEET'!$AX$127)</f>
        <v/>
      </c>
      <c r="K127">
        <f>IF('CALL SHEET'!$N$127="","",'CALL SHEET'!$N$127)</f>
        <v/>
      </c>
      <c r="L127">
        <f>IF('CALL SHEET'!$AE$127="","",'CALL SHEET'!$AE$127)</f>
        <v/>
      </c>
      <c r="M127" t="inlineStr">
        <is>
          <t>TRADE</t>
        </is>
      </c>
      <c r="N127" t="inlineStr">
        <is>
          <t>CALL SHEET · row 127</t>
        </is>
      </c>
    </row>
    <row r="128">
      <c r="A128">
        <f>IF('CALL SHEET'!$A$128="","",'CALL SHEET'!$A$128)</f>
        <v/>
      </c>
      <c r="B128">
        <f>IF('CALL SHEET'!$C$128="","",'CALL SHEET'!$C$128)</f>
        <v/>
      </c>
      <c r="C128">
        <f>'CALL SHEET'!$U$128</f>
        <v/>
      </c>
      <c r="D128">
        <f>'CALL SHEET'!$Y$128</f>
        <v/>
      </c>
      <c r="E128">
        <f>'CALL SHEET'!$AC$128</f>
        <v/>
      </c>
      <c r="F128">
        <f>IF('CALL SHEET'!$V$128="","",'CALL SHEET'!$V$128)</f>
        <v/>
      </c>
      <c r="G128">
        <f>IF('CALL SHEET'!$D$128="","",'CALL SHEET'!$D$128)</f>
        <v/>
      </c>
      <c r="H128">
        <f>IF('CALL SHEET'!$G$128="","",'CALL SHEET'!$G$128)</f>
        <v/>
      </c>
      <c r="I128">
        <f>IF('CALL SHEET'!$AT$128="","",'CALL SHEET'!$AT$128)</f>
        <v/>
      </c>
      <c r="J128">
        <f>IF('CALL SHEET'!$AX$128="","",'CALL SHEET'!$AX$128)</f>
        <v/>
      </c>
      <c r="K128">
        <f>IF('CALL SHEET'!$N$128="","",'CALL SHEET'!$N$128)</f>
        <v/>
      </c>
      <c r="L128">
        <f>IF('CALL SHEET'!$AE$128="","",'CALL SHEET'!$AE$128)</f>
        <v/>
      </c>
      <c r="M128" t="inlineStr">
        <is>
          <t>TRADE</t>
        </is>
      </c>
      <c r="N128" t="inlineStr">
        <is>
          <t>CALL SHEET · row 128</t>
        </is>
      </c>
    </row>
    <row r="129">
      <c r="A129">
        <f>IF('CALL SHEET'!$A$129="","",'CALL SHEET'!$A$129)</f>
        <v/>
      </c>
      <c r="B129">
        <f>IF('CALL SHEET'!$C$129="","",'CALL SHEET'!$C$129)</f>
        <v/>
      </c>
      <c r="C129">
        <f>'CALL SHEET'!$U$129</f>
        <v/>
      </c>
      <c r="D129">
        <f>'CALL SHEET'!$Y$129</f>
        <v/>
      </c>
      <c r="E129">
        <f>'CALL SHEET'!$AC$129</f>
        <v/>
      </c>
      <c r="F129">
        <f>IF('CALL SHEET'!$V$129="","",'CALL SHEET'!$V$129)</f>
        <v/>
      </c>
      <c r="G129">
        <f>IF('CALL SHEET'!$D$129="","",'CALL SHEET'!$D$129)</f>
        <v/>
      </c>
      <c r="H129">
        <f>IF('CALL SHEET'!$G$129="","",'CALL SHEET'!$G$129)</f>
        <v/>
      </c>
      <c r="I129">
        <f>IF('CALL SHEET'!$AT$129="","",'CALL SHEET'!$AT$129)</f>
        <v/>
      </c>
      <c r="J129">
        <f>IF('CALL SHEET'!$AX$129="","",'CALL SHEET'!$AX$129)</f>
        <v/>
      </c>
      <c r="K129">
        <f>IF('CALL SHEET'!$N$129="","",'CALL SHEET'!$N$129)</f>
        <v/>
      </c>
      <c r="L129">
        <f>IF('CALL SHEET'!$AE$129="","",'CALL SHEET'!$AE$129)</f>
        <v/>
      </c>
      <c r="M129" t="inlineStr">
        <is>
          <t>TRADE</t>
        </is>
      </c>
      <c r="N129" t="inlineStr">
        <is>
          <t>CALL SHEET · row 129</t>
        </is>
      </c>
    </row>
    <row r="130">
      <c r="A130">
        <f>IF('CALL SHEET'!$A$130="","",'CALL SHEET'!$A$130)</f>
        <v/>
      </c>
      <c r="B130">
        <f>IF('CALL SHEET'!$C$130="","",'CALL SHEET'!$C$130)</f>
        <v/>
      </c>
      <c r="C130">
        <f>'CALL SHEET'!$U$130</f>
        <v/>
      </c>
      <c r="D130">
        <f>'CALL SHEET'!$Y$130</f>
        <v/>
      </c>
      <c r="E130">
        <f>'CALL SHEET'!$AC$130</f>
        <v/>
      </c>
      <c r="F130">
        <f>IF('CALL SHEET'!$V$130="","",'CALL SHEET'!$V$130)</f>
        <v/>
      </c>
      <c r="G130">
        <f>IF('CALL SHEET'!$D$130="","",'CALL SHEET'!$D$130)</f>
        <v/>
      </c>
      <c r="H130">
        <f>IF('CALL SHEET'!$G$130="","",'CALL SHEET'!$G$130)</f>
        <v/>
      </c>
      <c r="I130">
        <f>IF('CALL SHEET'!$AT$130="","",'CALL SHEET'!$AT$130)</f>
        <v/>
      </c>
      <c r="J130">
        <f>IF('CALL SHEET'!$AX$130="","",'CALL SHEET'!$AX$130)</f>
        <v/>
      </c>
      <c r="K130">
        <f>IF('CALL SHEET'!$N$130="","",'CALL SHEET'!$N$130)</f>
        <v/>
      </c>
      <c r="L130">
        <f>IF('CALL SHEET'!$AE$130="","",'CALL SHEET'!$AE$130)</f>
        <v/>
      </c>
      <c r="M130" t="inlineStr">
        <is>
          <t>TRADE</t>
        </is>
      </c>
      <c r="N130" t="inlineStr">
        <is>
          <t>CALL SHEET · row 130</t>
        </is>
      </c>
    </row>
    <row r="131">
      <c r="A131">
        <f>IF('CALL SHEET'!$A$131="","",'CALL SHEET'!$A$131)</f>
        <v/>
      </c>
      <c r="B131">
        <f>IF('CALL SHEET'!$C$131="","",'CALL SHEET'!$C$131)</f>
        <v/>
      </c>
      <c r="C131">
        <f>'CALL SHEET'!$U$131</f>
        <v/>
      </c>
      <c r="D131">
        <f>'CALL SHEET'!$Y$131</f>
        <v/>
      </c>
      <c r="E131">
        <f>'CALL SHEET'!$AC$131</f>
        <v/>
      </c>
      <c r="F131">
        <f>IF('CALL SHEET'!$V$131="","",'CALL SHEET'!$V$131)</f>
        <v/>
      </c>
      <c r="G131">
        <f>IF('CALL SHEET'!$D$131="","",'CALL SHEET'!$D$131)</f>
        <v/>
      </c>
      <c r="H131">
        <f>IF('CALL SHEET'!$G$131="","",'CALL SHEET'!$G$131)</f>
        <v/>
      </c>
      <c r="I131">
        <f>IF('CALL SHEET'!$AT$131="","",'CALL SHEET'!$AT$131)</f>
        <v/>
      </c>
      <c r="J131">
        <f>IF('CALL SHEET'!$AX$131="","",'CALL SHEET'!$AX$131)</f>
        <v/>
      </c>
      <c r="K131">
        <f>IF('CALL SHEET'!$N$131="","",'CALL SHEET'!$N$131)</f>
        <v/>
      </c>
      <c r="L131">
        <f>IF('CALL SHEET'!$AE$131="","",'CALL SHEET'!$AE$131)</f>
        <v/>
      </c>
      <c r="M131" t="inlineStr">
        <is>
          <t>TRADE</t>
        </is>
      </c>
      <c r="N131" t="inlineStr">
        <is>
          <t>CALL SHEET · row 131</t>
        </is>
      </c>
    </row>
    <row r="132">
      <c r="A132">
        <f>IF('CALL SHEET'!$A$132="","",'CALL SHEET'!$A$132)</f>
        <v/>
      </c>
      <c r="B132">
        <f>IF('CALL SHEET'!$C$132="","",'CALL SHEET'!$C$132)</f>
        <v/>
      </c>
      <c r="C132">
        <f>'CALL SHEET'!$U$132</f>
        <v/>
      </c>
      <c r="D132">
        <f>'CALL SHEET'!$Y$132</f>
        <v/>
      </c>
      <c r="E132">
        <f>'CALL SHEET'!$AC$132</f>
        <v/>
      </c>
      <c r="F132">
        <f>IF('CALL SHEET'!$V$132="","",'CALL SHEET'!$V$132)</f>
        <v/>
      </c>
      <c r="G132">
        <f>IF('CALL SHEET'!$D$132="","",'CALL SHEET'!$D$132)</f>
        <v/>
      </c>
      <c r="H132">
        <f>IF('CALL SHEET'!$G$132="","",'CALL SHEET'!$G$132)</f>
        <v/>
      </c>
      <c r="I132">
        <f>IF('CALL SHEET'!$AT$132="","",'CALL SHEET'!$AT$132)</f>
        <v/>
      </c>
      <c r="J132">
        <f>IF('CALL SHEET'!$AX$132="","",'CALL SHEET'!$AX$132)</f>
        <v/>
      </c>
      <c r="K132">
        <f>IF('CALL SHEET'!$N$132="","",'CALL SHEET'!$N$132)</f>
        <v/>
      </c>
      <c r="L132">
        <f>IF('CALL SHEET'!$AE$132="","",'CALL SHEET'!$AE$132)</f>
        <v/>
      </c>
      <c r="M132" t="inlineStr">
        <is>
          <t>TRADE</t>
        </is>
      </c>
      <c r="N132" t="inlineStr">
        <is>
          <t>CALL SHEET · row 132</t>
        </is>
      </c>
    </row>
    <row r="133">
      <c r="A133">
        <f>IF('CALL SHEET'!$A$133="","",'CALL SHEET'!$A$133)</f>
        <v/>
      </c>
      <c r="B133">
        <f>IF('CALL SHEET'!$C$133="","",'CALL SHEET'!$C$133)</f>
        <v/>
      </c>
      <c r="C133">
        <f>'CALL SHEET'!$U$133</f>
        <v/>
      </c>
      <c r="D133">
        <f>'CALL SHEET'!$Y$133</f>
        <v/>
      </c>
      <c r="E133">
        <f>'CALL SHEET'!$AC$133</f>
        <v/>
      </c>
      <c r="F133">
        <f>IF('CALL SHEET'!$V$133="","",'CALL SHEET'!$V$133)</f>
        <v/>
      </c>
      <c r="G133">
        <f>IF('CALL SHEET'!$D$133="","",'CALL SHEET'!$D$133)</f>
        <v/>
      </c>
      <c r="H133">
        <f>IF('CALL SHEET'!$G$133="","",'CALL SHEET'!$G$133)</f>
        <v/>
      </c>
      <c r="I133">
        <f>IF('CALL SHEET'!$AT$133="","",'CALL SHEET'!$AT$133)</f>
        <v/>
      </c>
      <c r="J133">
        <f>IF('CALL SHEET'!$AX$133="","",'CALL SHEET'!$AX$133)</f>
        <v/>
      </c>
      <c r="K133">
        <f>IF('CALL SHEET'!$N$133="","",'CALL SHEET'!$N$133)</f>
        <v/>
      </c>
      <c r="L133">
        <f>IF('CALL SHEET'!$AE$133="","",'CALL SHEET'!$AE$133)</f>
        <v/>
      </c>
      <c r="M133" t="inlineStr">
        <is>
          <t>TRADE</t>
        </is>
      </c>
      <c r="N133" t="inlineStr">
        <is>
          <t>CALL SHEET · row 133</t>
        </is>
      </c>
    </row>
    <row r="134">
      <c r="A134">
        <f>IF('CALL SHEET'!$A$134="","",'CALL SHEET'!$A$134)</f>
        <v/>
      </c>
      <c r="B134">
        <f>IF('CALL SHEET'!$C$134="","",'CALL SHEET'!$C$134)</f>
        <v/>
      </c>
      <c r="C134">
        <f>'CALL SHEET'!$U$134</f>
        <v/>
      </c>
      <c r="D134">
        <f>'CALL SHEET'!$Y$134</f>
        <v/>
      </c>
      <c r="E134">
        <f>'CALL SHEET'!$AC$134</f>
        <v/>
      </c>
      <c r="F134">
        <f>IF('CALL SHEET'!$V$134="","",'CALL SHEET'!$V$134)</f>
        <v/>
      </c>
      <c r="G134">
        <f>IF('CALL SHEET'!$D$134="","",'CALL SHEET'!$D$134)</f>
        <v/>
      </c>
      <c r="H134">
        <f>IF('CALL SHEET'!$G$134="","",'CALL SHEET'!$G$134)</f>
        <v/>
      </c>
      <c r="I134">
        <f>IF('CALL SHEET'!$AT$134="","",'CALL SHEET'!$AT$134)</f>
        <v/>
      </c>
      <c r="J134">
        <f>IF('CALL SHEET'!$AX$134="","",'CALL SHEET'!$AX$134)</f>
        <v/>
      </c>
      <c r="K134">
        <f>IF('CALL SHEET'!$N$134="","",'CALL SHEET'!$N$134)</f>
        <v/>
      </c>
      <c r="L134">
        <f>IF('CALL SHEET'!$AE$134="","",'CALL SHEET'!$AE$134)</f>
        <v/>
      </c>
      <c r="M134" t="inlineStr">
        <is>
          <t>TRADE</t>
        </is>
      </c>
      <c r="N134" t="inlineStr">
        <is>
          <t>CALL SHEET · row 134</t>
        </is>
      </c>
    </row>
    <row r="135">
      <c r="A135">
        <f>IF('CALL SHEET'!$A$135="","",'CALL SHEET'!$A$135)</f>
        <v/>
      </c>
      <c r="B135">
        <f>IF('CALL SHEET'!$C$135="","",'CALL SHEET'!$C$135)</f>
        <v/>
      </c>
      <c r="C135">
        <f>'CALL SHEET'!$U$135</f>
        <v/>
      </c>
      <c r="D135">
        <f>'CALL SHEET'!$Y$135</f>
        <v/>
      </c>
      <c r="E135">
        <f>'CALL SHEET'!$AC$135</f>
        <v/>
      </c>
      <c r="F135">
        <f>IF('CALL SHEET'!$V$135="","",'CALL SHEET'!$V$135)</f>
        <v/>
      </c>
      <c r="G135">
        <f>IF('CALL SHEET'!$D$135="","",'CALL SHEET'!$D$135)</f>
        <v/>
      </c>
      <c r="H135">
        <f>IF('CALL SHEET'!$G$135="","",'CALL SHEET'!$G$135)</f>
        <v/>
      </c>
      <c r="I135">
        <f>IF('CALL SHEET'!$AT$135="","",'CALL SHEET'!$AT$135)</f>
        <v/>
      </c>
      <c r="J135">
        <f>IF('CALL SHEET'!$AX$135="","",'CALL SHEET'!$AX$135)</f>
        <v/>
      </c>
      <c r="K135">
        <f>IF('CALL SHEET'!$N$135="","",'CALL SHEET'!$N$135)</f>
        <v/>
      </c>
      <c r="L135">
        <f>IF('CALL SHEET'!$AE$135="","",'CALL SHEET'!$AE$135)</f>
        <v/>
      </c>
      <c r="M135" t="inlineStr">
        <is>
          <t>TRADE</t>
        </is>
      </c>
      <c r="N135" t="inlineStr">
        <is>
          <t>CALL SHEET · row 135</t>
        </is>
      </c>
    </row>
    <row r="136">
      <c r="A136">
        <f>IF('CALL SHEET'!$A$136="","",'CALL SHEET'!$A$136)</f>
        <v/>
      </c>
      <c r="B136">
        <f>IF('CALL SHEET'!$C$136="","",'CALL SHEET'!$C$136)</f>
        <v/>
      </c>
      <c r="C136">
        <f>'CALL SHEET'!$U$136</f>
        <v/>
      </c>
      <c r="D136">
        <f>'CALL SHEET'!$Y$136</f>
        <v/>
      </c>
      <c r="E136">
        <f>'CALL SHEET'!$AC$136</f>
        <v/>
      </c>
      <c r="F136">
        <f>IF('CALL SHEET'!$V$136="","",'CALL SHEET'!$V$136)</f>
        <v/>
      </c>
      <c r="G136">
        <f>IF('CALL SHEET'!$D$136="","",'CALL SHEET'!$D$136)</f>
        <v/>
      </c>
      <c r="H136">
        <f>IF('CALL SHEET'!$G$136="","",'CALL SHEET'!$G$136)</f>
        <v/>
      </c>
      <c r="I136">
        <f>IF('CALL SHEET'!$AT$136="","",'CALL SHEET'!$AT$136)</f>
        <v/>
      </c>
      <c r="J136">
        <f>IF('CALL SHEET'!$AX$136="","",'CALL SHEET'!$AX$136)</f>
        <v/>
      </c>
      <c r="K136">
        <f>IF('CALL SHEET'!$N$136="","",'CALL SHEET'!$N$136)</f>
        <v/>
      </c>
      <c r="L136">
        <f>IF('CALL SHEET'!$AE$136="","",'CALL SHEET'!$AE$136)</f>
        <v/>
      </c>
      <c r="M136" t="inlineStr">
        <is>
          <t>TRADE</t>
        </is>
      </c>
      <c r="N136" t="inlineStr">
        <is>
          <t>CALL SHEET · row 136</t>
        </is>
      </c>
    </row>
    <row r="137">
      <c r="A137">
        <f>IF('CALL SHEET'!$A$137="","",'CALL SHEET'!$A$137)</f>
        <v/>
      </c>
      <c r="B137">
        <f>IF('CALL SHEET'!$C$137="","",'CALL SHEET'!$C$137)</f>
        <v/>
      </c>
      <c r="C137">
        <f>'CALL SHEET'!$U$137</f>
        <v/>
      </c>
      <c r="D137">
        <f>'CALL SHEET'!$Y$137</f>
        <v/>
      </c>
      <c r="E137">
        <f>'CALL SHEET'!$AC$137</f>
        <v/>
      </c>
      <c r="F137">
        <f>IF('CALL SHEET'!$V$137="","",'CALL SHEET'!$V$137)</f>
        <v/>
      </c>
      <c r="G137">
        <f>IF('CALL SHEET'!$D$137="","",'CALL SHEET'!$D$137)</f>
        <v/>
      </c>
      <c r="H137">
        <f>IF('CALL SHEET'!$G$137="","",'CALL SHEET'!$G$137)</f>
        <v/>
      </c>
      <c r="I137">
        <f>IF('CALL SHEET'!$AT$137="","",'CALL SHEET'!$AT$137)</f>
        <v/>
      </c>
      <c r="J137">
        <f>IF('CALL SHEET'!$AX$137="","",'CALL SHEET'!$AX$137)</f>
        <v/>
      </c>
      <c r="K137">
        <f>IF('CALL SHEET'!$N$137="","",'CALL SHEET'!$N$137)</f>
        <v/>
      </c>
      <c r="L137">
        <f>IF('CALL SHEET'!$AE$137="","",'CALL SHEET'!$AE$137)</f>
        <v/>
      </c>
      <c r="M137" t="inlineStr">
        <is>
          <t>TRADE</t>
        </is>
      </c>
      <c r="N137" t="inlineStr">
        <is>
          <t>CALL SHEET · row 137</t>
        </is>
      </c>
    </row>
    <row r="138">
      <c r="A138">
        <f>IF('CALL SHEET'!$A$138="","",'CALL SHEET'!$A$138)</f>
        <v/>
      </c>
      <c r="B138">
        <f>IF('CALL SHEET'!$C$138="","",'CALL SHEET'!$C$138)</f>
        <v/>
      </c>
      <c r="C138">
        <f>'CALL SHEET'!$U$138</f>
        <v/>
      </c>
      <c r="D138">
        <f>'CALL SHEET'!$Y$138</f>
        <v/>
      </c>
      <c r="E138">
        <f>'CALL SHEET'!$AC$138</f>
        <v/>
      </c>
      <c r="F138">
        <f>IF('CALL SHEET'!$V$138="","",'CALL SHEET'!$V$138)</f>
        <v/>
      </c>
      <c r="G138">
        <f>IF('CALL SHEET'!$D$138="","",'CALL SHEET'!$D$138)</f>
        <v/>
      </c>
      <c r="H138">
        <f>IF('CALL SHEET'!$G$138="","",'CALL SHEET'!$G$138)</f>
        <v/>
      </c>
      <c r="I138">
        <f>IF('CALL SHEET'!$AT$138="","",'CALL SHEET'!$AT$138)</f>
        <v/>
      </c>
      <c r="J138">
        <f>IF('CALL SHEET'!$AX$138="","",'CALL SHEET'!$AX$138)</f>
        <v/>
      </c>
      <c r="K138">
        <f>IF('CALL SHEET'!$N$138="","",'CALL SHEET'!$N$138)</f>
        <v/>
      </c>
      <c r="L138">
        <f>IF('CALL SHEET'!$AE$138="","",'CALL SHEET'!$AE$138)</f>
        <v/>
      </c>
      <c r="M138" t="inlineStr">
        <is>
          <t>TRADE</t>
        </is>
      </c>
      <c r="N138" t="inlineStr">
        <is>
          <t>CALL SHEET · row 138</t>
        </is>
      </c>
    </row>
    <row r="139">
      <c r="A139">
        <f>IF('CALL SHEET'!$A$139="","",'CALL SHEET'!$A$139)</f>
        <v/>
      </c>
      <c r="B139">
        <f>IF('CALL SHEET'!$C$139="","",'CALL SHEET'!$C$139)</f>
        <v/>
      </c>
      <c r="C139">
        <f>'CALL SHEET'!$U$139</f>
        <v/>
      </c>
      <c r="D139">
        <f>'CALL SHEET'!$Y$139</f>
        <v/>
      </c>
      <c r="E139">
        <f>'CALL SHEET'!$AC$139</f>
        <v/>
      </c>
      <c r="F139">
        <f>IF('CALL SHEET'!$V$139="","",'CALL SHEET'!$V$139)</f>
        <v/>
      </c>
      <c r="G139">
        <f>IF('CALL SHEET'!$D$139="","",'CALL SHEET'!$D$139)</f>
        <v/>
      </c>
      <c r="H139">
        <f>IF('CALL SHEET'!$G$139="","",'CALL SHEET'!$G$139)</f>
        <v/>
      </c>
      <c r="I139">
        <f>IF('CALL SHEET'!$AT$139="","",'CALL SHEET'!$AT$139)</f>
        <v/>
      </c>
      <c r="J139">
        <f>IF('CALL SHEET'!$AX$139="","",'CALL SHEET'!$AX$139)</f>
        <v/>
      </c>
      <c r="K139">
        <f>IF('CALL SHEET'!$N$139="","",'CALL SHEET'!$N$139)</f>
        <v/>
      </c>
      <c r="L139">
        <f>IF('CALL SHEET'!$AE$139="","",'CALL SHEET'!$AE$139)</f>
        <v/>
      </c>
      <c r="M139" t="inlineStr">
        <is>
          <t>TRADE</t>
        </is>
      </c>
      <c r="N139" t="inlineStr">
        <is>
          <t>CALL SHEET · row 139</t>
        </is>
      </c>
    </row>
    <row r="140">
      <c r="A140">
        <f>IF('CALL SHEET'!$A$140="","",'CALL SHEET'!$A$140)</f>
        <v/>
      </c>
      <c r="B140">
        <f>IF('CALL SHEET'!$C$140="","",'CALL SHEET'!$C$140)</f>
        <v/>
      </c>
      <c r="C140">
        <f>'CALL SHEET'!$U$140</f>
        <v/>
      </c>
      <c r="D140">
        <f>'CALL SHEET'!$Y$140</f>
        <v/>
      </c>
      <c r="E140">
        <f>'CALL SHEET'!$AC$140</f>
        <v/>
      </c>
      <c r="F140">
        <f>IF('CALL SHEET'!$V$140="","",'CALL SHEET'!$V$140)</f>
        <v/>
      </c>
      <c r="G140">
        <f>IF('CALL SHEET'!$D$140="","",'CALL SHEET'!$D$140)</f>
        <v/>
      </c>
      <c r="H140">
        <f>IF('CALL SHEET'!$G$140="","",'CALL SHEET'!$G$140)</f>
        <v/>
      </c>
      <c r="I140">
        <f>IF('CALL SHEET'!$AT$140="","",'CALL SHEET'!$AT$140)</f>
        <v/>
      </c>
      <c r="J140">
        <f>IF('CALL SHEET'!$AX$140="","",'CALL SHEET'!$AX$140)</f>
        <v/>
      </c>
      <c r="K140">
        <f>IF('CALL SHEET'!$N$140="","",'CALL SHEET'!$N$140)</f>
        <v/>
      </c>
      <c r="L140">
        <f>IF('CALL SHEET'!$AE$140="","",'CALL SHEET'!$AE$140)</f>
        <v/>
      </c>
      <c r="M140" t="inlineStr">
        <is>
          <t>TRADE</t>
        </is>
      </c>
      <c r="N140" t="inlineStr">
        <is>
          <t>CALL SHEET · row 140</t>
        </is>
      </c>
    </row>
    <row r="141">
      <c r="A141">
        <f>IF('CALL SHEET'!$A$141="","",'CALL SHEET'!$A$141)</f>
        <v/>
      </c>
      <c r="B141">
        <f>IF('CALL SHEET'!$C$141="","",'CALL SHEET'!$C$141)</f>
        <v/>
      </c>
      <c r="C141">
        <f>'CALL SHEET'!$U$141</f>
        <v/>
      </c>
      <c r="D141">
        <f>'CALL SHEET'!$Y$141</f>
        <v/>
      </c>
      <c r="E141">
        <f>'CALL SHEET'!$AC$141</f>
        <v/>
      </c>
      <c r="F141">
        <f>IF('CALL SHEET'!$V$141="","",'CALL SHEET'!$V$141)</f>
        <v/>
      </c>
      <c r="G141">
        <f>IF('CALL SHEET'!$D$141="","",'CALL SHEET'!$D$141)</f>
        <v/>
      </c>
      <c r="H141">
        <f>IF('CALL SHEET'!$G$141="","",'CALL SHEET'!$G$141)</f>
        <v/>
      </c>
      <c r="I141">
        <f>IF('CALL SHEET'!$AT$141="","",'CALL SHEET'!$AT$141)</f>
        <v/>
      </c>
      <c r="J141">
        <f>IF('CALL SHEET'!$AX$141="","",'CALL SHEET'!$AX$141)</f>
        <v/>
      </c>
      <c r="K141">
        <f>IF('CALL SHEET'!$N$141="","",'CALL SHEET'!$N$141)</f>
        <v/>
      </c>
      <c r="L141">
        <f>IF('CALL SHEET'!$AE$141="","",'CALL SHEET'!$AE$141)</f>
        <v/>
      </c>
      <c r="M141" t="inlineStr">
        <is>
          <t>TRADE</t>
        </is>
      </c>
      <c r="N141" t="inlineStr">
        <is>
          <t>CALL SHEET · row 141</t>
        </is>
      </c>
    </row>
    <row r="142">
      <c r="A142">
        <f>IF('CALL SHEET'!$A$142="","",'CALL SHEET'!$A$142)</f>
        <v/>
      </c>
      <c r="B142">
        <f>IF('CALL SHEET'!$C$142="","",'CALL SHEET'!$C$142)</f>
        <v/>
      </c>
      <c r="C142">
        <f>'CALL SHEET'!$U$142</f>
        <v/>
      </c>
      <c r="D142">
        <f>'CALL SHEET'!$Y$142</f>
        <v/>
      </c>
      <c r="E142">
        <f>'CALL SHEET'!$AC$142</f>
        <v/>
      </c>
      <c r="F142">
        <f>IF('CALL SHEET'!$V$142="","",'CALL SHEET'!$V$142)</f>
        <v/>
      </c>
      <c r="G142">
        <f>IF('CALL SHEET'!$D$142="","",'CALL SHEET'!$D$142)</f>
        <v/>
      </c>
      <c r="H142">
        <f>IF('CALL SHEET'!$G$142="","",'CALL SHEET'!$G$142)</f>
        <v/>
      </c>
      <c r="I142">
        <f>IF('CALL SHEET'!$AT$142="","",'CALL SHEET'!$AT$142)</f>
        <v/>
      </c>
      <c r="J142">
        <f>IF('CALL SHEET'!$AX$142="","",'CALL SHEET'!$AX$142)</f>
        <v/>
      </c>
      <c r="K142">
        <f>IF('CALL SHEET'!$N$142="","",'CALL SHEET'!$N$142)</f>
        <v/>
      </c>
      <c r="L142">
        <f>IF('CALL SHEET'!$AE$142="","",'CALL SHEET'!$AE$142)</f>
        <v/>
      </c>
      <c r="M142" t="inlineStr">
        <is>
          <t>TRADE</t>
        </is>
      </c>
      <c r="N142" t="inlineStr">
        <is>
          <t>CALL SHEET · row 142</t>
        </is>
      </c>
    </row>
    <row r="143">
      <c r="A143">
        <f>IF('CALL SHEET'!$A$143="","",'CALL SHEET'!$A$143)</f>
        <v/>
      </c>
      <c r="B143">
        <f>IF('CALL SHEET'!$C$143="","",'CALL SHEET'!$C$143)</f>
        <v/>
      </c>
      <c r="C143">
        <f>'CALL SHEET'!$U$143</f>
        <v/>
      </c>
      <c r="D143">
        <f>'CALL SHEET'!$Y$143</f>
        <v/>
      </c>
      <c r="E143">
        <f>'CALL SHEET'!$AC$143</f>
        <v/>
      </c>
      <c r="F143">
        <f>IF('CALL SHEET'!$V$143="","",'CALL SHEET'!$V$143)</f>
        <v/>
      </c>
      <c r="G143">
        <f>IF('CALL SHEET'!$D$143="","",'CALL SHEET'!$D$143)</f>
        <v/>
      </c>
      <c r="H143">
        <f>IF('CALL SHEET'!$G$143="","",'CALL SHEET'!$G$143)</f>
        <v/>
      </c>
      <c r="I143">
        <f>IF('CALL SHEET'!$AT$143="","",'CALL SHEET'!$AT$143)</f>
        <v/>
      </c>
      <c r="J143">
        <f>IF('CALL SHEET'!$AX$143="","",'CALL SHEET'!$AX$143)</f>
        <v/>
      </c>
      <c r="K143">
        <f>IF('CALL SHEET'!$N$143="","",'CALL SHEET'!$N$143)</f>
        <v/>
      </c>
      <c r="L143">
        <f>IF('CALL SHEET'!$AE$143="","",'CALL SHEET'!$AE$143)</f>
        <v/>
      </c>
      <c r="M143" t="inlineStr">
        <is>
          <t>TRADE</t>
        </is>
      </c>
      <c r="N143" t="inlineStr">
        <is>
          <t>CALL SHEET · row 143</t>
        </is>
      </c>
    </row>
    <row r="144">
      <c r="A144">
        <f>IF('CALL SHEET'!$A$144="","",'CALL SHEET'!$A$144)</f>
        <v/>
      </c>
      <c r="B144">
        <f>IF('CALL SHEET'!$C$144="","",'CALL SHEET'!$C$144)</f>
        <v/>
      </c>
      <c r="C144">
        <f>'CALL SHEET'!$U$144</f>
        <v/>
      </c>
      <c r="D144">
        <f>'CALL SHEET'!$Y$144</f>
        <v/>
      </c>
      <c r="E144">
        <f>'CALL SHEET'!$AC$144</f>
        <v/>
      </c>
      <c r="F144">
        <f>IF('CALL SHEET'!$V$144="","",'CALL SHEET'!$V$144)</f>
        <v/>
      </c>
      <c r="G144">
        <f>IF('CALL SHEET'!$D$144="","",'CALL SHEET'!$D$144)</f>
        <v/>
      </c>
      <c r="H144">
        <f>IF('CALL SHEET'!$G$144="","",'CALL SHEET'!$G$144)</f>
        <v/>
      </c>
      <c r="I144">
        <f>IF('CALL SHEET'!$AT$144="","",'CALL SHEET'!$AT$144)</f>
        <v/>
      </c>
      <c r="J144">
        <f>IF('CALL SHEET'!$AX$144="","",'CALL SHEET'!$AX$144)</f>
        <v/>
      </c>
      <c r="K144">
        <f>IF('CALL SHEET'!$N$144="","",'CALL SHEET'!$N$144)</f>
        <v/>
      </c>
      <c r="L144">
        <f>IF('CALL SHEET'!$AE$144="","",'CALL SHEET'!$AE$144)</f>
        <v/>
      </c>
      <c r="M144" t="inlineStr">
        <is>
          <t>TRADE</t>
        </is>
      </c>
      <c r="N144" t="inlineStr">
        <is>
          <t>CALL SHEET · row 144</t>
        </is>
      </c>
    </row>
    <row r="145">
      <c r="A145">
        <f>IF('CALL SHEET'!$A$145="","",'CALL SHEET'!$A$145)</f>
        <v/>
      </c>
      <c r="B145">
        <f>IF('CALL SHEET'!$C$145="","",'CALL SHEET'!$C$145)</f>
        <v/>
      </c>
      <c r="C145">
        <f>'CALL SHEET'!$U$145</f>
        <v/>
      </c>
      <c r="D145">
        <f>'CALL SHEET'!$Y$145</f>
        <v/>
      </c>
      <c r="E145">
        <f>'CALL SHEET'!$AC$145</f>
        <v/>
      </c>
      <c r="F145">
        <f>IF('CALL SHEET'!$V$145="","",'CALL SHEET'!$V$145)</f>
        <v/>
      </c>
      <c r="G145">
        <f>IF('CALL SHEET'!$D$145="","",'CALL SHEET'!$D$145)</f>
        <v/>
      </c>
      <c r="H145">
        <f>IF('CALL SHEET'!$G$145="","",'CALL SHEET'!$G$145)</f>
        <v/>
      </c>
      <c r="I145">
        <f>IF('CALL SHEET'!$AT$145="","",'CALL SHEET'!$AT$145)</f>
        <v/>
      </c>
      <c r="J145">
        <f>IF('CALL SHEET'!$AX$145="","",'CALL SHEET'!$AX$145)</f>
        <v/>
      </c>
      <c r="K145">
        <f>IF('CALL SHEET'!$N$145="","",'CALL SHEET'!$N$145)</f>
        <v/>
      </c>
      <c r="L145">
        <f>IF('CALL SHEET'!$AE$145="","",'CALL SHEET'!$AE$145)</f>
        <v/>
      </c>
      <c r="M145" t="inlineStr">
        <is>
          <t>TRADE</t>
        </is>
      </c>
      <c r="N145" t="inlineStr">
        <is>
          <t>CALL SHEET · row 145</t>
        </is>
      </c>
    </row>
    <row r="146">
      <c r="A146">
        <f>IF('CALL SHEET'!$A$146="","",'CALL SHEET'!$A$146)</f>
        <v/>
      </c>
      <c r="B146">
        <f>IF('CALL SHEET'!$C$146="","",'CALL SHEET'!$C$146)</f>
        <v/>
      </c>
      <c r="C146">
        <f>'CALL SHEET'!$U$146</f>
        <v/>
      </c>
      <c r="D146">
        <f>'CALL SHEET'!$Y$146</f>
        <v/>
      </c>
      <c r="E146">
        <f>'CALL SHEET'!$AC$146</f>
        <v/>
      </c>
      <c r="F146">
        <f>IF('CALL SHEET'!$V$146="","",'CALL SHEET'!$V$146)</f>
        <v/>
      </c>
      <c r="G146">
        <f>IF('CALL SHEET'!$D$146="","",'CALL SHEET'!$D$146)</f>
        <v/>
      </c>
      <c r="H146">
        <f>IF('CALL SHEET'!$G$146="","",'CALL SHEET'!$G$146)</f>
        <v/>
      </c>
      <c r="I146">
        <f>IF('CALL SHEET'!$AT$146="","",'CALL SHEET'!$AT$146)</f>
        <v/>
      </c>
      <c r="J146">
        <f>IF('CALL SHEET'!$AX$146="","",'CALL SHEET'!$AX$146)</f>
        <v/>
      </c>
      <c r="K146">
        <f>IF('CALL SHEET'!$N$146="","",'CALL SHEET'!$N$146)</f>
        <v/>
      </c>
      <c r="L146">
        <f>IF('CALL SHEET'!$AE$146="","",'CALL SHEET'!$AE$146)</f>
        <v/>
      </c>
      <c r="M146" t="inlineStr">
        <is>
          <t>TRADE</t>
        </is>
      </c>
      <c r="N146" t="inlineStr">
        <is>
          <t>CALL SHEET · row 146</t>
        </is>
      </c>
    </row>
    <row r="147">
      <c r="A147">
        <f>IF('CALL SHEET'!$A$147="","",'CALL SHEET'!$A$147)</f>
        <v/>
      </c>
      <c r="B147">
        <f>IF('CALL SHEET'!$C$147="","",'CALL SHEET'!$C$147)</f>
        <v/>
      </c>
      <c r="C147">
        <f>'CALL SHEET'!$U$147</f>
        <v/>
      </c>
      <c r="D147">
        <f>'CALL SHEET'!$Y$147</f>
        <v/>
      </c>
      <c r="E147">
        <f>'CALL SHEET'!$AC$147</f>
        <v/>
      </c>
      <c r="F147">
        <f>IF('CALL SHEET'!$V$147="","",'CALL SHEET'!$V$147)</f>
        <v/>
      </c>
      <c r="G147">
        <f>IF('CALL SHEET'!$D$147="","",'CALL SHEET'!$D$147)</f>
        <v/>
      </c>
      <c r="H147">
        <f>IF('CALL SHEET'!$G$147="","",'CALL SHEET'!$G$147)</f>
        <v/>
      </c>
      <c r="I147">
        <f>IF('CALL SHEET'!$AT$147="","",'CALL SHEET'!$AT$147)</f>
        <v/>
      </c>
      <c r="J147">
        <f>IF('CALL SHEET'!$AX$147="","",'CALL SHEET'!$AX$147)</f>
        <v/>
      </c>
      <c r="K147">
        <f>IF('CALL SHEET'!$N$147="","",'CALL SHEET'!$N$147)</f>
        <v/>
      </c>
      <c r="L147">
        <f>IF('CALL SHEET'!$AE$147="","",'CALL SHEET'!$AE$147)</f>
        <v/>
      </c>
      <c r="M147" t="inlineStr">
        <is>
          <t>TRADE</t>
        </is>
      </c>
      <c r="N147" t="inlineStr">
        <is>
          <t>CALL SHEET · row 147</t>
        </is>
      </c>
    </row>
    <row r="148">
      <c r="A148">
        <f>IF('CALL SHEET'!$A$148="","",'CALL SHEET'!$A$148)</f>
        <v/>
      </c>
      <c r="B148">
        <f>IF('CALL SHEET'!$C$148="","",'CALL SHEET'!$C$148)</f>
        <v/>
      </c>
      <c r="C148">
        <f>'CALL SHEET'!$U$148</f>
        <v/>
      </c>
      <c r="D148">
        <f>'CALL SHEET'!$Y$148</f>
        <v/>
      </c>
      <c r="E148">
        <f>'CALL SHEET'!$AC$148</f>
        <v/>
      </c>
      <c r="F148">
        <f>IF('CALL SHEET'!$V$148="","",'CALL SHEET'!$V$148)</f>
        <v/>
      </c>
      <c r="G148">
        <f>IF('CALL SHEET'!$D$148="","",'CALL SHEET'!$D$148)</f>
        <v/>
      </c>
      <c r="H148">
        <f>IF('CALL SHEET'!$G$148="","",'CALL SHEET'!$G$148)</f>
        <v/>
      </c>
      <c r="I148">
        <f>IF('CALL SHEET'!$AT$148="","",'CALL SHEET'!$AT$148)</f>
        <v/>
      </c>
      <c r="J148">
        <f>IF('CALL SHEET'!$AX$148="","",'CALL SHEET'!$AX$148)</f>
        <v/>
      </c>
      <c r="K148">
        <f>IF('CALL SHEET'!$N$148="","",'CALL SHEET'!$N$148)</f>
        <v/>
      </c>
      <c r="L148">
        <f>IF('CALL SHEET'!$AE$148="","",'CALL SHEET'!$AE$148)</f>
        <v/>
      </c>
      <c r="M148" t="inlineStr">
        <is>
          <t>TRADE</t>
        </is>
      </c>
      <c r="N148" t="inlineStr">
        <is>
          <t>CALL SHEET · row 148</t>
        </is>
      </c>
    </row>
    <row r="149">
      <c r="A149">
        <f>IF('CALL SHEET'!$A$149="","",'CALL SHEET'!$A$149)</f>
        <v/>
      </c>
      <c r="B149">
        <f>IF('CALL SHEET'!$C$149="","",'CALL SHEET'!$C$149)</f>
        <v/>
      </c>
      <c r="C149">
        <f>'CALL SHEET'!$U$149</f>
        <v/>
      </c>
      <c r="D149">
        <f>'CALL SHEET'!$Y$149</f>
        <v/>
      </c>
      <c r="E149">
        <f>'CALL SHEET'!$AC$149</f>
        <v/>
      </c>
      <c r="F149">
        <f>IF('CALL SHEET'!$V$149="","",'CALL SHEET'!$V$149)</f>
        <v/>
      </c>
      <c r="G149">
        <f>IF('CALL SHEET'!$D$149="","",'CALL SHEET'!$D$149)</f>
        <v/>
      </c>
      <c r="H149">
        <f>IF('CALL SHEET'!$G$149="","",'CALL SHEET'!$G$149)</f>
        <v/>
      </c>
      <c r="I149">
        <f>IF('CALL SHEET'!$AT$149="","",'CALL SHEET'!$AT$149)</f>
        <v/>
      </c>
      <c r="J149">
        <f>IF('CALL SHEET'!$AX$149="","",'CALL SHEET'!$AX$149)</f>
        <v/>
      </c>
      <c r="K149">
        <f>IF('CALL SHEET'!$N$149="","",'CALL SHEET'!$N$149)</f>
        <v/>
      </c>
      <c r="L149">
        <f>IF('CALL SHEET'!$AE$149="","",'CALL SHEET'!$AE$149)</f>
        <v/>
      </c>
      <c r="M149" t="inlineStr">
        <is>
          <t>TRADE</t>
        </is>
      </c>
      <c r="N149" t="inlineStr">
        <is>
          <t>CALL SHEET · row 149</t>
        </is>
      </c>
    </row>
    <row r="150">
      <c r="A150">
        <f>IF('CALL SHEET'!$A$150="","",'CALL SHEET'!$A$150)</f>
        <v/>
      </c>
      <c r="B150">
        <f>IF('CALL SHEET'!$C$150="","",'CALL SHEET'!$C$150)</f>
        <v/>
      </c>
      <c r="C150">
        <f>'CALL SHEET'!$U$150</f>
        <v/>
      </c>
      <c r="D150">
        <f>'CALL SHEET'!$Y$150</f>
        <v/>
      </c>
      <c r="E150">
        <f>'CALL SHEET'!$AC$150</f>
        <v/>
      </c>
      <c r="F150">
        <f>IF('CALL SHEET'!$V$150="","",'CALL SHEET'!$V$150)</f>
        <v/>
      </c>
      <c r="G150">
        <f>IF('CALL SHEET'!$D$150="","",'CALL SHEET'!$D$150)</f>
        <v/>
      </c>
      <c r="H150">
        <f>IF('CALL SHEET'!$G$150="","",'CALL SHEET'!$G$150)</f>
        <v/>
      </c>
      <c r="I150">
        <f>IF('CALL SHEET'!$AT$150="","",'CALL SHEET'!$AT$150)</f>
        <v/>
      </c>
      <c r="J150">
        <f>IF('CALL SHEET'!$AX$150="","",'CALL SHEET'!$AX$150)</f>
        <v/>
      </c>
      <c r="K150">
        <f>IF('CALL SHEET'!$N$150="","",'CALL SHEET'!$N$150)</f>
        <v/>
      </c>
      <c r="L150">
        <f>IF('CALL SHEET'!$AE$150="","",'CALL SHEET'!$AE$150)</f>
        <v/>
      </c>
      <c r="M150" t="inlineStr">
        <is>
          <t>TRADE</t>
        </is>
      </c>
      <c r="N150" t="inlineStr">
        <is>
          <t>CALL SHEET · row 150</t>
        </is>
      </c>
    </row>
    <row r="151">
      <c r="A151">
        <f>IF('CALL SHEET'!$A$151="","",'CALL SHEET'!$A$151)</f>
        <v/>
      </c>
      <c r="B151">
        <f>IF('CALL SHEET'!$C$151="","",'CALL SHEET'!$C$151)</f>
        <v/>
      </c>
      <c r="C151">
        <f>'CALL SHEET'!$U$151</f>
        <v/>
      </c>
      <c r="D151">
        <f>'CALL SHEET'!$Y$151</f>
        <v/>
      </c>
      <c r="E151">
        <f>'CALL SHEET'!$AC$151</f>
        <v/>
      </c>
      <c r="F151">
        <f>IF('CALL SHEET'!$V$151="","",'CALL SHEET'!$V$151)</f>
        <v/>
      </c>
      <c r="G151">
        <f>IF('CALL SHEET'!$D$151="","",'CALL SHEET'!$D$151)</f>
        <v/>
      </c>
      <c r="H151">
        <f>IF('CALL SHEET'!$G$151="","",'CALL SHEET'!$G$151)</f>
        <v/>
      </c>
      <c r="I151">
        <f>IF('CALL SHEET'!$AT$151="","",'CALL SHEET'!$AT$151)</f>
        <v/>
      </c>
      <c r="J151">
        <f>IF('CALL SHEET'!$AX$151="","",'CALL SHEET'!$AX$151)</f>
        <v/>
      </c>
      <c r="K151">
        <f>IF('CALL SHEET'!$N$151="","",'CALL SHEET'!$N$151)</f>
        <v/>
      </c>
      <c r="L151">
        <f>IF('CALL SHEET'!$AE$151="","",'CALL SHEET'!$AE$151)</f>
        <v/>
      </c>
      <c r="M151" t="inlineStr">
        <is>
          <t>TRADE</t>
        </is>
      </c>
      <c r="N151" t="inlineStr">
        <is>
          <t>CALL SHEET · row 151</t>
        </is>
      </c>
    </row>
    <row r="152">
      <c r="A152">
        <f>IF('CALL SHEET'!$A$152="","",'CALL SHEET'!$A$152)</f>
        <v/>
      </c>
      <c r="B152">
        <f>IF('CALL SHEET'!$C$152="","",'CALL SHEET'!$C$152)</f>
        <v/>
      </c>
      <c r="C152">
        <f>'CALL SHEET'!$U$152</f>
        <v/>
      </c>
      <c r="D152">
        <f>'CALL SHEET'!$Y$152</f>
        <v/>
      </c>
      <c r="E152">
        <f>'CALL SHEET'!$AC$152</f>
        <v/>
      </c>
      <c r="F152">
        <f>IF('CALL SHEET'!$V$152="","",'CALL SHEET'!$V$152)</f>
        <v/>
      </c>
      <c r="G152">
        <f>IF('CALL SHEET'!$D$152="","",'CALL SHEET'!$D$152)</f>
        <v/>
      </c>
      <c r="H152">
        <f>IF('CALL SHEET'!$G$152="","",'CALL SHEET'!$G$152)</f>
        <v/>
      </c>
      <c r="I152">
        <f>IF('CALL SHEET'!$AT$152="","",'CALL SHEET'!$AT$152)</f>
        <v/>
      </c>
      <c r="J152">
        <f>IF('CALL SHEET'!$AX$152="","",'CALL SHEET'!$AX$152)</f>
        <v/>
      </c>
      <c r="K152">
        <f>IF('CALL SHEET'!$N$152="","",'CALL SHEET'!$N$152)</f>
        <v/>
      </c>
      <c r="L152">
        <f>IF('CALL SHEET'!$AE$152="","",'CALL SHEET'!$AE$152)</f>
        <v/>
      </c>
      <c r="M152" t="inlineStr">
        <is>
          <t>TRADE</t>
        </is>
      </c>
      <c r="N152" t="inlineStr">
        <is>
          <t>CALL SHEET · row 152</t>
        </is>
      </c>
    </row>
    <row r="153">
      <c r="A153">
        <f>IF('CALL SHEET'!$A$153="","",'CALL SHEET'!$A$153)</f>
        <v/>
      </c>
      <c r="B153">
        <f>IF('CALL SHEET'!$C$153="","",'CALL SHEET'!$C$153)</f>
        <v/>
      </c>
      <c r="C153">
        <f>'CALL SHEET'!$U$153</f>
        <v/>
      </c>
      <c r="D153">
        <f>'CALL SHEET'!$Y$153</f>
        <v/>
      </c>
      <c r="E153">
        <f>'CALL SHEET'!$AC$153</f>
        <v/>
      </c>
      <c r="F153">
        <f>IF('CALL SHEET'!$V$153="","",'CALL SHEET'!$V$153)</f>
        <v/>
      </c>
      <c r="G153">
        <f>IF('CALL SHEET'!$D$153="","",'CALL SHEET'!$D$153)</f>
        <v/>
      </c>
      <c r="H153">
        <f>IF('CALL SHEET'!$G$153="","",'CALL SHEET'!$G$153)</f>
        <v/>
      </c>
      <c r="I153">
        <f>IF('CALL SHEET'!$AT$153="","",'CALL SHEET'!$AT$153)</f>
        <v/>
      </c>
      <c r="J153">
        <f>IF('CALL SHEET'!$AX$153="","",'CALL SHEET'!$AX$153)</f>
        <v/>
      </c>
      <c r="K153">
        <f>IF('CALL SHEET'!$N$153="","",'CALL SHEET'!$N$153)</f>
        <v/>
      </c>
      <c r="L153">
        <f>IF('CALL SHEET'!$AE$153="","",'CALL SHEET'!$AE$153)</f>
        <v/>
      </c>
      <c r="M153" t="inlineStr">
        <is>
          <t>TRADE</t>
        </is>
      </c>
      <c r="N153" t="inlineStr">
        <is>
          <t>CALL SHEET · row 153</t>
        </is>
      </c>
    </row>
    <row r="154">
      <c r="A154">
        <f>IF('CALL SHEET'!$A$154="","",'CALL SHEET'!$A$154)</f>
        <v/>
      </c>
      <c r="B154">
        <f>IF('CALL SHEET'!$C$154="","",'CALL SHEET'!$C$154)</f>
        <v/>
      </c>
      <c r="C154">
        <f>'CALL SHEET'!$U$154</f>
        <v/>
      </c>
      <c r="D154">
        <f>'CALL SHEET'!$Y$154</f>
        <v/>
      </c>
      <c r="E154">
        <f>'CALL SHEET'!$AC$154</f>
        <v/>
      </c>
      <c r="F154">
        <f>IF('CALL SHEET'!$V$154="","",'CALL SHEET'!$V$154)</f>
        <v/>
      </c>
      <c r="G154">
        <f>IF('CALL SHEET'!$D$154="","",'CALL SHEET'!$D$154)</f>
        <v/>
      </c>
      <c r="H154">
        <f>IF('CALL SHEET'!$G$154="","",'CALL SHEET'!$G$154)</f>
        <v/>
      </c>
      <c r="I154">
        <f>IF('CALL SHEET'!$AT$154="","",'CALL SHEET'!$AT$154)</f>
        <v/>
      </c>
      <c r="J154">
        <f>IF('CALL SHEET'!$AX$154="","",'CALL SHEET'!$AX$154)</f>
        <v/>
      </c>
      <c r="K154">
        <f>IF('CALL SHEET'!$N$154="","",'CALL SHEET'!$N$154)</f>
        <v/>
      </c>
      <c r="L154">
        <f>IF('CALL SHEET'!$AE$154="","",'CALL SHEET'!$AE$154)</f>
        <v/>
      </c>
      <c r="M154" t="inlineStr">
        <is>
          <t>TRADE</t>
        </is>
      </c>
      <c r="N154" t="inlineStr">
        <is>
          <t>CALL SHEET · row 154</t>
        </is>
      </c>
    </row>
    <row r="155">
      <c r="A155">
        <f>IF('CALL SHEET'!$A$155="","",'CALL SHEET'!$A$155)</f>
        <v/>
      </c>
      <c r="B155">
        <f>IF('CALL SHEET'!$C$155="","",'CALL SHEET'!$C$155)</f>
        <v/>
      </c>
      <c r="C155">
        <f>'CALL SHEET'!$U$155</f>
        <v/>
      </c>
      <c r="D155">
        <f>'CALL SHEET'!$Y$155</f>
        <v/>
      </c>
      <c r="E155">
        <f>'CALL SHEET'!$AC$155</f>
        <v/>
      </c>
      <c r="F155">
        <f>IF('CALL SHEET'!$V$155="","",'CALL SHEET'!$V$155)</f>
        <v/>
      </c>
      <c r="G155">
        <f>IF('CALL SHEET'!$D$155="","",'CALL SHEET'!$D$155)</f>
        <v/>
      </c>
      <c r="H155">
        <f>IF('CALL SHEET'!$G$155="","",'CALL SHEET'!$G$155)</f>
        <v/>
      </c>
      <c r="I155">
        <f>IF('CALL SHEET'!$AT$155="","",'CALL SHEET'!$AT$155)</f>
        <v/>
      </c>
      <c r="J155">
        <f>IF('CALL SHEET'!$AX$155="","",'CALL SHEET'!$AX$155)</f>
        <v/>
      </c>
      <c r="K155">
        <f>IF('CALL SHEET'!$N$155="","",'CALL SHEET'!$N$155)</f>
        <v/>
      </c>
      <c r="L155">
        <f>IF('CALL SHEET'!$AE$155="","",'CALL SHEET'!$AE$155)</f>
        <v/>
      </c>
      <c r="M155" t="inlineStr">
        <is>
          <t>TRADE</t>
        </is>
      </c>
      <c r="N155" t="inlineStr">
        <is>
          <t>CALL SHEET · row 155</t>
        </is>
      </c>
    </row>
    <row r="156">
      <c r="A156">
        <f>IF('CALL SHEET'!$A$156="","",'CALL SHEET'!$A$156)</f>
        <v/>
      </c>
      <c r="B156">
        <f>IF('CALL SHEET'!$C$156="","",'CALL SHEET'!$C$156)</f>
        <v/>
      </c>
      <c r="C156">
        <f>'CALL SHEET'!$U$156</f>
        <v/>
      </c>
      <c r="D156">
        <f>'CALL SHEET'!$Y$156</f>
        <v/>
      </c>
      <c r="E156">
        <f>'CALL SHEET'!$AC$156</f>
        <v/>
      </c>
      <c r="F156">
        <f>IF('CALL SHEET'!$V$156="","",'CALL SHEET'!$V$156)</f>
        <v/>
      </c>
      <c r="G156">
        <f>IF('CALL SHEET'!$D$156="","",'CALL SHEET'!$D$156)</f>
        <v/>
      </c>
      <c r="H156">
        <f>IF('CALL SHEET'!$G$156="","",'CALL SHEET'!$G$156)</f>
        <v/>
      </c>
      <c r="I156">
        <f>IF('CALL SHEET'!$AT$156="","",'CALL SHEET'!$AT$156)</f>
        <v/>
      </c>
      <c r="J156">
        <f>IF('CALL SHEET'!$AX$156="","",'CALL SHEET'!$AX$156)</f>
        <v/>
      </c>
      <c r="K156">
        <f>IF('CALL SHEET'!$N$156="","",'CALL SHEET'!$N$156)</f>
        <v/>
      </c>
      <c r="L156">
        <f>IF('CALL SHEET'!$AE$156="","",'CALL SHEET'!$AE$156)</f>
        <v/>
      </c>
      <c r="M156" t="inlineStr">
        <is>
          <t>TRADE</t>
        </is>
      </c>
      <c r="N156" t="inlineStr">
        <is>
          <t>CALL SHEET · row 156</t>
        </is>
      </c>
    </row>
    <row r="157">
      <c r="A157">
        <f>IF('CALL SHEET'!$A$157="","",'CALL SHEET'!$A$157)</f>
        <v/>
      </c>
      <c r="B157">
        <f>IF('CALL SHEET'!$C$157="","",'CALL SHEET'!$C$157)</f>
        <v/>
      </c>
      <c r="C157">
        <f>'CALL SHEET'!$U$157</f>
        <v/>
      </c>
      <c r="D157">
        <f>'CALL SHEET'!$Y$157</f>
        <v/>
      </c>
      <c r="E157">
        <f>'CALL SHEET'!$AC$157</f>
        <v/>
      </c>
      <c r="F157">
        <f>IF('CALL SHEET'!$V$157="","",'CALL SHEET'!$V$157)</f>
        <v/>
      </c>
      <c r="G157">
        <f>IF('CALL SHEET'!$D$157="","",'CALL SHEET'!$D$157)</f>
        <v/>
      </c>
      <c r="H157">
        <f>IF('CALL SHEET'!$G$157="","",'CALL SHEET'!$G$157)</f>
        <v/>
      </c>
      <c r="I157">
        <f>IF('CALL SHEET'!$AT$157="","",'CALL SHEET'!$AT$157)</f>
        <v/>
      </c>
      <c r="J157">
        <f>IF('CALL SHEET'!$AX$157="","",'CALL SHEET'!$AX$157)</f>
        <v/>
      </c>
      <c r="K157">
        <f>IF('CALL SHEET'!$N$157="","",'CALL SHEET'!$N$157)</f>
        <v/>
      </c>
      <c r="L157">
        <f>IF('CALL SHEET'!$AE$157="","",'CALL SHEET'!$AE$157)</f>
        <v/>
      </c>
      <c r="M157" t="inlineStr">
        <is>
          <t>TRADE</t>
        </is>
      </c>
      <c r="N157" t="inlineStr">
        <is>
          <t>CALL SHEET · row 157</t>
        </is>
      </c>
    </row>
    <row r="158">
      <c r="A158">
        <f>IF('CALL SHEET'!$A$158="","",'CALL SHEET'!$A$158)</f>
        <v/>
      </c>
      <c r="B158">
        <f>IF('CALL SHEET'!$C$158="","",'CALL SHEET'!$C$158)</f>
        <v/>
      </c>
      <c r="C158">
        <f>'CALL SHEET'!$U$158</f>
        <v/>
      </c>
      <c r="D158">
        <f>'CALL SHEET'!$Y$158</f>
        <v/>
      </c>
      <c r="E158">
        <f>'CALL SHEET'!$AC$158</f>
        <v/>
      </c>
      <c r="F158">
        <f>IF('CALL SHEET'!$V$158="","",'CALL SHEET'!$V$158)</f>
        <v/>
      </c>
      <c r="G158">
        <f>IF('CALL SHEET'!$D$158="","",'CALL SHEET'!$D$158)</f>
        <v/>
      </c>
      <c r="H158">
        <f>IF('CALL SHEET'!$G$158="","",'CALL SHEET'!$G$158)</f>
        <v/>
      </c>
      <c r="I158">
        <f>IF('CALL SHEET'!$AT$158="","",'CALL SHEET'!$AT$158)</f>
        <v/>
      </c>
      <c r="J158">
        <f>IF('CALL SHEET'!$AX$158="","",'CALL SHEET'!$AX$158)</f>
        <v/>
      </c>
      <c r="K158">
        <f>IF('CALL SHEET'!$N$158="","",'CALL SHEET'!$N$158)</f>
        <v/>
      </c>
      <c r="L158">
        <f>IF('CALL SHEET'!$AE$158="","",'CALL SHEET'!$AE$158)</f>
        <v/>
      </c>
      <c r="M158" t="inlineStr">
        <is>
          <t>TRADE</t>
        </is>
      </c>
      <c r="N158" t="inlineStr">
        <is>
          <t>CALL SHEET · row 158</t>
        </is>
      </c>
    </row>
    <row r="159">
      <c r="A159">
        <f>IF('CALL SHEET'!$A$159="","",'CALL SHEET'!$A$159)</f>
        <v/>
      </c>
      <c r="B159">
        <f>IF('CALL SHEET'!$C$159="","",'CALL SHEET'!$C$159)</f>
        <v/>
      </c>
      <c r="C159">
        <f>'CALL SHEET'!$U$159</f>
        <v/>
      </c>
      <c r="D159">
        <f>'CALL SHEET'!$Y$159</f>
        <v/>
      </c>
      <c r="E159">
        <f>'CALL SHEET'!$AC$159</f>
        <v/>
      </c>
      <c r="F159">
        <f>IF('CALL SHEET'!$V$159="","",'CALL SHEET'!$V$159)</f>
        <v/>
      </c>
      <c r="G159">
        <f>IF('CALL SHEET'!$D$159="","",'CALL SHEET'!$D$159)</f>
        <v/>
      </c>
      <c r="H159">
        <f>IF('CALL SHEET'!$G$159="","",'CALL SHEET'!$G$159)</f>
        <v/>
      </c>
      <c r="I159">
        <f>IF('CALL SHEET'!$AT$159="","",'CALL SHEET'!$AT$159)</f>
        <v/>
      </c>
      <c r="J159">
        <f>IF('CALL SHEET'!$AX$159="","",'CALL SHEET'!$AX$159)</f>
        <v/>
      </c>
      <c r="K159">
        <f>IF('CALL SHEET'!$N$159="","",'CALL SHEET'!$N$159)</f>
        <v/>
      </c>
      <c r="L159">
        <f>IF('CALL SHEET'!$AE$159="","",'CALL SHEET'!$AE$159)</f>
        <v/>
      </c>
      <c r="M159" t="inlineStr">
        <is>
          <t>TRADE</t>
        </is>
      </c>
      <c r="N159" t="inlineStr">
        <is>
          <t>CALL SHEET · row 159</t>
        </is>
      </c>
    </row>
    <row r="160">
      <c r="A160">
        <f>IF('CALL SHEET'!$A$160="","",'CALL SHEET'!$A$160)</f>
        <v/>
      </c>
      <c r="B160">
        <f>IF('CALL SHEET'!$C$160="","",'CALL SHEET'!$C$160)</f>
        <v/>
      </c>
      <c r="C160">
        <f>'CALL SHEET'!$U$160</f>
        <v/>
      </c>
      <c r="D160">
        <f>'CALL SHEET'!$Y$160</f>
        <v/>
      </c>
      <c r="E160">
        <f>'CALL SHEET'!$AC$160</f>
        <v/>
      </c>
      <c r="F160">
        <f>IF('CALL SHEET'!$V$160="","",'CALL SHEET'!$V$160)</f>
        <v/>
      </c>
      <c r="G160">
        <f>IF('CALL SHEET'!$D$160="","",'CALL SHEET'!$D$160)</f>
        <v/>
      </c>
      <c r="H160">
        <f>IF('CALL SHEET'!$G$160="","",'CALL SHEET'!$G$160)</f>
        <v/>
      </c>
      <c r="I160">
        <f>IF('CALL SHEET'!$AT$160="","",'CALL SHEET'!$AT$160)</f>
        <v/>
      </c>
      <c r="J160">
        <f>IF('CALL SHEET'!$AX$160="","",'CALL SHEET'!$AX$160)</f>
        <v/>
      </c>
      <c r="K160">
        <f>IF('CALL SHEET'!$N$160="","",'CALL SHEET'!$N$160)</f>
        <v/>
      </c>
      <c r="L160">
        <f>IF('CALL SHEET'!$AE$160="","",'CALL SHEET'!$AE$160)</f>
        <v/>
      </c>
      <c r="M160" t="inlineStr">
        <is>
          <t>TRADE</t>
        </is>
      </c>
      <c r="N160" t="inlineStr">
        <is>
          <t>CALL SHEET · row 160</t>
        </is>
      </c>
    </row>
    <row r="161">
      <c r="A161">
        <f>IF('CALL SHEET'!$A$161="","",'CALL SHEET'!$A$161)</f>
        <v/>
      </c>
      <c r="B161">
        <f>IF('CALL SHEET'!$C$161="","",'CALL SHEET'!$C$161)</f>
        <v/>
      </c>
      <c r="C161">
        <f>'CALL SHEET'!$U$161</f>
        <v/>
      </c>
      <c r="D161">
        <f>'CALL SHEET'!$Y$161</f>
        <v/>
      </c>
      <c r="E161">
        <f>'CALL SHEET'!$AC$161</f>
        <v/>
      </c>
      <c r="F161">
        <f>IF('CALL SHEET'!$V$161="","",'CALL SHEET'!$V$161)</f>
        <v/>
      </c>
      <c r="G161">
        <f>IF('CALL SHEET'!$D$161="","",'CALL SHEET'!$D$161)</f>
        <v/>
      </c>
      <c r="H161">
        <f>IF('CALL SHEET'!$G$161="","",'CALL SHEET'!$G$161)</f>
        <v/>
      </c>
      <c r="I161">
        <f>IF('CALL SHEET'!$AT$161="","",'CALL SHEET'!$AT$161)</f>
        <v/>
      </c>
      <c r="J161">
        <f>IF('CALL SHEET'!$AX$161="","",'CALL SHEET'!$AX$161)</f>
        <v/>
      </c>
      <c r="K161">
        <f>IF('CALL SHEET'!$N$161="","",'CALL SHEET'!$N$161)</f>
        <v/>
      </c>
      <c r="L161">
        <f>IF('CALL SHEET'!$AE$161="","",'CALL SHEET'!$AE$161)</f>
        <v/>
      </c>
      <c r="M161" t="inlineStr">
        <is>
          <t>TRADE</t>
        </is>
      </c>
      <c r="N161" t="inlineStr">
        <is>
          <t>CALL SHEET · row 161</t>
        </is>
      </c>
    </row>
    <row r="162">
      <c r="A162">
        <f>IF('CALL SHEET'!$A$162="","",'CALL SHEET'!$A$162)</f>
        <v/>
      </c>
      <c r="B162">
        <f>IF('CALL SHEET'!$C$162="","",'CALL SHEET'!$C$162)</f>
        <v/>
      </c>
      <c r="C162">
        <f>'CALL SHEET'!$U$162</f>
        <v/>
      </c>
      <c r="D162">
        <f>'CALL SHEET'!$Y$162</f>
        <v/>
      </c>
      <c r="E162">
        <f>'CALL SHEET'!$AC$162</f>
        <v/>
      </c>
      <c r="F162">
        <f>IF('CALL SHEET'!$V$162="","",'CALL SHEET'!$V$162)</f>
        <v/>
      </c>
      <c r="G162">
        <f>IF('CALL SHEET'!$D$162="","",'CALL SHEET'!$D$162)</f>
        <v/>
      </c>
      <c r="H162">
        <f>IF('CALL SHEET'!$G$162="","",'CALL SHEET'!$G$162)</f>
        <v/>
      </c>
      <c r="I162">
        <f>IF('CALL SHEET'!$AT$162="","",'CALL SHEET'!$AT$162)</f>
        <v/>
      </c>
      <c r="J162">
        <f>IF('CALL SHEET'!$AX$162="","",'CALL SHEET'!$AX$162)</f>
        <v/>
      </c>
      <c r="K162">
        <f>IF('CALL SHEET'!$N$162="","",'CALL SHEET'!$N$162)</f>
        <v/>
      </c>
      <c r="L162">
        <f>IF('CALL SHEET'!$AE$162="","",'CALL SHEET'!$AE$162)</f>
        <v/>
      </c>
      <c r="M162" t="inlineStr">
        <is>
          <t>TRADE</t>
        </is>
      </c>
      <c r="N162" t="inlineStr">
        <is>
          <t>CALL SHEET · row 162</t>
        </is>
      </c>
    </row>
    <row r="163">
      <c r="A163">
        <f>IF('CALL SHEET'!$A$163="","",'CALL SHEET'!$A$163)</f>
        <v/>
      </c>
      <c r="B163">
        <f>IF('CALL SHEET'!$C$163="","",'CALL SHEET'!$C$163)</f>
        <v/>
      </c>
      <c r="C163">
        <f>'CALL SHEET'!$U$163</f>
        <v/>
      </c>
      <c r="D163">
        <f>'CALL SHEET'!$Y$163</f>
        <v/>
      </c>
      <c r="E163">
        <f>'CALL SHEET'!$AC$163</f>
        <v/>
      </c>
      <c r="F163">
        <f>IF('CALL SHEET'!$V$163="","",'CALL SHEET'!$V$163)</f>
        <v/>
      </c>
      <c r="G163">
        <f>IF('CALL SHEET'!$D$163="","",'CALL SHEET'!$D$163)</f>
        <v/>
      </c>
      <c r="H163">
        <f>IF('CALL SHEET'!$G$163="","",'CALL SHEET'!$G$163)</f>
        <v/>
      </c>
      <c r="I163">
        <f>IF('CALL SHEET'!$AT$163="","",'CALL SHEET'!$AT$163)</f>
        <v/>
      </c>
      <c r="J163">
        <f>IF('CALL SHEET'!$AX$163="","",'CALL SHEET'!$AX$163)</f>
        <v/>
      </c>
      <c r="K163">
        <f>IF('CALL SHEET'!$N$163="","",'CALL SHEET'!$N$163)</f>
        <v/>
      </c>
      <c r="L163">
        <f>IF('CALL SHEET'!$AE$163="","",'CALL SHEET'!$AE$163)</f>
        <v/>
      </c>
      <c r="M163" t="inlineStr">
        <is>
          <t>TRADE</t>
        </is>
      </c>
      <c r="N163" t="inlineStr">
        <is>
          <t>CALL SHEET · row 163</t>
        </is>
      </c>
    </row>
    <row r="164">
      <c r="A164">
        <f>IF('CALL SHEET'!$A$164="","",'CALL SHEET'!$A$164)</f>
        <v/>
      </c>
      <c r="B164">
        <f>IF('CALL SHEET'!$C$164="","",'CALL SHEET'!$C$164)</f>
        <v/>
      </c>
      <c r="C164">
        <f>'CALL SHEET'!$U$164</f>
        <v/>
      </c>
      <c r="D164">
        <f>'CALL SHEET'!$Y$164</f>
        <v/>
      </c>
      <c r="E164">
        <f>'CALL SHEET'!$AC$164</f>
        <v/>
      </c>
      <c r="F164">
        <f>IF('CALL SHEET'!$V$164="","",'CALL SHEET'!$V$164)</f>
        <v/>
      </c>
      <c r="G164">
        <f>IF('CALL SHEET'!$D$164="","",'CALL SHEET'!$D$164)</f>
        <v/>
      </c>
      <c r="H164">
        <f>IF('CALL SHEET'!$G$164="","",'CALL SHEET'!$G$164)</f>
        <v/>
      </c>
      <c r="I164">
        <f>IF('CALL SHEET'!$AT$164="","",'CALL SHEET'!$AT$164)</f>
        <v/>
      </c>
      <c r="J164">
        <f>IF('CALL SHEET'!$AX$164="","",'CALL SHEET'!$AX$164)</f>
        <v/>
      </c>
      <c r="K164">
        <f>IF('CALL SHEET'!$N$164="","",'CALL SHEET'!$N$164)</f>
        <v/>
      </c>
      <c r="L164">
        <f>IF('CALL SHEET'!$AE$164="","",'CALL SHEET'!$AE$164)</f>
        <v/>
      </c>
      <c r="M164" t="inlineStr">
        <is>
          <t>TRADE</t>
        </is>
      </c>
      <c r="N164" t="inlineStr">
        <is>
          <t>CALL SHEET · row 164</t>
        </is>
      </c>
    </row>
    <row r="165">
      <c r="A165">
        <f>IF('CALL SHEET'!$A$165="","",'CALL SHEET'!$A$165)</f>
        <v/>
      </c>
      <c r="B165">
        <f>IF('CALL SHEET'!$C$165="","",'CALL SHEET'!$C$165)</f>
        <v/>
      </c>
      <c r="C165">
        <f>'CALL SHEET'!$U$165</f>
        <v/>
      </c>
      <c r="D165">
        <f>'CALL SHEET'!$Y$165</f>
        <v/>
      </c>
      <c r="E165">
        <f>'CALL SHEET'!$AC$165</f>
        <v/>
      </c>
      <c r="F165">
        <f>IF('CALL SHEET'!$V$165="","",'CALL SHEET'!$V$165)</f>
        <v/>
      </c>
      <c r="G165">
        <f>IF('CALL SHEET'!$D$165="","",'CALL SHEET'!$D$165)</f>
        <v/>
      </c>
      <c r="H165">
        <f>IF('CALL SHEET'!$G$165="","",'CALL SHEET'!$G$165)</f>
        <v/>
      </c>
      <c r="I165">
        <f>IF('CALL SHEET'!$AT$165="","",'CALL SHEET'!$AT$165)</f>
        <v/>
      </c>
      <c r="J165">
        <f>IF('CALL SHEET'!$AX$165="","",'CALL SHEET'!$AX$165)</f>
        <v/>
      </c>
      <c r="K165">
        <f>IF('CALL SHEET'!$N$165="","",'CALL SHEET'!$N$165)</f>
        <v/>
      </c>
      <c r="L165">
        <f>IF('CALL SHEET'!$AE$165="","",'CALL SHEET'!$AE$165)</f>
        <v/>
      </c>
      <c r="M165" t="inlineStr">
        <is>
          <t>TRADE</t>
        </is>
      </c>
      <c r="N165" t="inlineStr">
        <is>
          <t>CALL SHEET · row 165</t>
        </is>
      </c>
    </row>
    <row r="166">
      <c r="A166">
        <f>IF('CALL SHEET'!$A$166="","",'CALL SHEET'!$A$166)</f>
        <v/>
      </c>
      <c r="B166">
        <f>IF('CALL SHEET'!$C$166="","",'CALL SHEET'!$C$166)</f>
        <v/>
      </c>
      <c r="C166">
        <f>'CALL SHEET'!$U$166</f>
        <v/>
      </c>
      <c r="D166">
        <f>'CALL SHEET'!$Y$166</f>
        <v/>
      </c>
      <c r="E166">
        <f>'CALL SHEET'!$AC$166</f>
        <v/>
      </c>
      <c r="F166">
        <f>IF('CALL SHEET'!$V$166="","",'CALL SHEET'!$V$166)</f>
        <v/>
      </c>
      <c r="G166">
        <f>IF('CALL SHEET'!$D$166="","",'CALL SHEET'!$D$166)</f>
        <v/>
      </c>
      <c r="H166">
        <f>IF('CALL SHEET'!$G$166="","",'CALL SHEET'!$G$166)</f>
        <v/>
      </c>
      <c r="I166">
        <f>IF('CALL SHEET'!$AT$166="","",'CALL SHEET'!$AT$166)</f>
        <v/>
      </c>
      <c r="J166">
        <f>IF('CALL SHEET'!$AX$166="","",'CALL SHEET'!$AX$166)</f>
        <v/>
      </c>
      <c r="K166">
        <f>IF('CALL SHEET'!$N$166="","",'CALL SHEET'!$N$166)</f>
        <v/>
      </c>
      <c r="L166">
        <f>IF('CALL SHEET'!$AE$166="","",'CALL SHEET'!$AE$166)</f>
        <v/>
      </c>
      <c r="M166" t="inlineStr">
        <is>
          <t>TRADE</t>
        </is>
      </c>
      <c r="N166" t="inlineStr">
        <is>
          <t>CALL SHEET · row 166</t>
        </is>
      </c>
    </row>
    <row r="167">
      <c r="A167">
        <f>IF('CALL SHEET'!$A$167="","",'CALL SHEET'!$A$167)</f>
        <v/>
      </c>
      <c r="B167">
        <f>IF('CALL SHEET'!$C$167="","",'CALL SHEET'!$C$167)</f>
        <v/>
      </c>
      <c r="C167">
        <f>'CALL SHEET'!$U$167</f>
        <v/>
      </c>
      <c r="D167">
        <f>'CALL SHEET'!$Y$167</f>
        <v/>
      </c>
      <c r="E167">
        <f>'CALL SHEET'!$AC$167</f>
        <v/>
      </c>
      <c r="F167">
        <f>IF('CALL SHEET'!$V$167="","",'CALL SHEET'!$V$167)</f>
        <v/>
      </c>
      <c r="G167">
        <f>IF('CALL SHEET'!$D$167="","",'CALL SHEET'!$D$167)</f>
        <v/>
      </c>
      <c r="H167">
        <f>IF('CALL SHEET'!$G$167="","",'CALL SHEET'!$G$167)</f>
        <v/>
      </c>
      <c r="I167">
        <f>IF('CALL SHEET'!$AT$167="","",'CALL SHEET'!$AT$167)</f>
        <v/>
      </c>
      <c r="J167">
        <f>IF('CALL SHEET'!$AX$167="","",'CALL SHEET'!$AX$167)</f>
        <v/>
      </c>
      <c r="K167">
        <f>IF('CALL SHEET'!$N$167="","",'CALL SHEET'!$N$167)</f>
        <v/>
      </c>
      <c r="L167">
        <f>IF('CALL SHEET'!$AE$167="","",'CALL SHEET'!$AE$167)</f>
        <v/>
      </c>
      <c r="M167" t="inlineStr">
        <is>
          <t>TRADE</t>
        </is>
      </c>
      <c r="N167" t="inlineStr">
        <is>
          <t>CALL SHEET · row 167</t>
        </is>
      </c>
    </row>
    <row r="168">
      <c r="A168">
        <f>IF('CALL SHEET'!$A$168="","",'CALL SHEET'!$A$168)</f>
        <v/>
      </c>
      <c r="B168">
        <f>IF('CALL SHEET'!$C$168="","",'CALL SHEET'!$C$168)</f>
        <v/>
      </c>
      <c r="C168">
        <f>'CALL SHEET'!$U$168</f>
        <v/>
      </c>
      <c r="D168">
        <f>'CALL SHEET'!$Y$168</f>
        <v/>
      </c>
      <c r="E168">
        <f>'CALL SHEET'!$AC$168</f>
        <v/>
      </c>
      <c r="F168">
        <f>IF('CALL SHEET'!$V$168="","",'CALL SHEET'!$V$168)</f>
        <v/>
      </c>
      <c r="G168">
        <f>IF('CALL SHEET'!$D$168="","",'CALL SHEET'!$D$168)</f>
        <v/>
      </c>
      <c r="H168">
        <f>IF('CALL SHEET'!$G$168="","",'CALL SHEET'!$G$168)</f>
        <v/>
      </c>
      <c r="I168">
        <f>IF('CALL SHEET'!$AT$168="","",'CALL SHEET'!$AT$168)</f>
        <v/>
      </c>
      <c r="J168">
        <f>IF('CALL SHEET'!$AX$168="","",'CALL SHEET'!$AX$168)</f>
        <v/>
      </c>
      <c r="K168">
        <f>IF('CALL SHEET'!$N$168="","",'CALL SHEET'!$N$168)</f>
        <v/>
      </c>
      <c r="L168">
        <f>IF('CALL SHEET'!$AE$168="","",'CALL SHEET'!$AE$168)</f>
        <v/>
      </c>
      <c r="M168" t="inlineStr">
        <is>
          <t>TRADE</t>
        </is>
      </c>
      <c r="N168" t="inlineStr">
        <is>
          <t>CALL SHEET · row 168</t>
        </is>
      </c>
    </row>
    <row r="169">
      <c r="A169">
        <f>IF('CALL SHEET'!$A$169="","",'CALL SHEET'!$A$169)</f>
        <v/>
      </c>
      <c r="B169">
        <f>IF('CALL SHEET'!$C$169="","",'CALL SHEET'!$C$169)</f>
        <v/>
      </c>
      <c r="C169">
        <f>'CALL SHEET'!$U$169</f>
        <v/>
      </c>
      <c r="D169">
        <f>'CALL SHEET'!$Y$169</f>
        <v/>
      </c>
      <c r="E169">
        <f>'CALL SHEET'!$AC$169</f>
        <v/>
      </c>
      <c r="F169">
        <f>IF('CALL SHEET'!$V$169="","",'CALL SHEET'!$V$169)</f>
        <v/>
      </c>
      <c r="G169">
        <f>IF('CALL SHEET'!$D$169="","",'CALL SHEET'!$D$169)</f>
        <v/>
      </c>
      <c r="H169">
        <f>IF('CALL SHEET'!$G$169="","",'CALL SHEET'!$G$169)</f>
        <v/>
      </c>
      <c r="I169">
        <f>IF('CALL SHEET'!$AT$169="","",'CALL SHEET'!$AT$169)</f>
        <v/>
      </c>
      <c r="J169">
        <f>IF('CALL SHEET'!$AX$169="","",'CALL SHEET'!$AX$169)</f>
        <v/>
      </c>
      <c r="K169">
        <f>IF('CALL SHEET'!$N$169="","",'CALL SHEET'!$N$169)</f>
        <v/>
      </c>
      <c r="L169">
        <f>IF('CALL SHEET'!$AE$169="","",'CALL SHEET'!$AE$169)</f>
        <v/>
      </c>
      <c r="M169" t="inlineStr">
        <is>
          <t>TRADE</t>
        </is>
      </c>
      <c r="N169" t="inlineStr">
        <is>
          <t>CALL SHEET · row 169</t>
        </is>
      </c>
    </row>
    <row r="170">
      <c r="A170">
        <f>IF('CALL SHEET'!$A$170="","",'CALL SHEET'!$A$170)</f>
        <v/>
      </c>
      <c r="B170">
        <f>IF('CALL SHEET'!$C$170="","",'CALL SHEET'!$C$170)</f>
        <v/>
      </c>
      <c r="C170">
        <f>'CALL SHEET'!$U$170</f>
        <v/>
      </c>
      <c r="D170">
        <f>'CALL SHEET'!$Y$170</f>
        <v/>
      </c>
      <c r="E170">
        <f>'CALL SHEET'!$AC$170</f>
        <v/>
      </c>
      <c r="F170">
        <f>IF('CALL SHEET'!$V$170="","",'CALL SHEET'!$V$170)</f>
        <v/>
      </c>
      <c r="G170">
        <f>IF('CALL SHEET'!$D$170="","",'CALL SHEET'!$D$170)</f>
        <v/>
      </c>
      <c r="H170">
        <f>IF('CALL SHEET'!$G$170="","",'CALL SHEET'!$G$170)</f>
        <v/>
      </c>
      <c r="I170">
        <f>IF('CALL SHEET'!$AT$170="","",'CALL SHEET'!$AT$170)</f>
        <v/>
      </c>
      <c r="J170">
        <f>IF('CALL SHEET'!$AX$170="","",'CALL SHEET'!$AX$170)</f>
        <v/>
      </c>
      <c r="K170">
        <f>IF('CALL SHEET'!$N$170="","",'CALL SHEET'!$N$170)</f>
        <v/>
      </c>
      <c r="L170">
        <f>IF('CALL SHEET'!$AE$170="","",'CALL SHEET'!$AE$170)</f>
        <v/>
      </c>
      <c r="M170" t="inlineStr">
        <is>
          <t>TRADE</t>
        </is>
      </c>
      <c r="N170" t="inlineStr">
        <is>
          <t>CALL SHEET · row 170</t>
        </is>
      </c>
    </row>
    <row r="171">
      <c r="A171">
        <f>IF('CALL SHEET'!$A$171="","",'CALL SHEET'!$A$171)</f>
        <v/>
      </c>
      <c r="B171">
        <f>IF('CALL SHEET'!$C$171="","",'CALL SHEET'!$C$171)</f>
        <v/>
      </c>
      <c r="C171">
        <f>'CALL SHEET'!$U$171</f>
        <v/>
      </c>
      <c r="D171">
        <f>'CALL SHEET'!$Y$171</f>
        <v/>
      </c>
      <c r="E171">
        <f>'CALL SHEET'!$AC$171</f>
        <v/>
      </c>
      <c r="F171">
        <f>IF('CALL SHEET'!$V$171="","",'CALL SHEET'!$V$171)</f>
        <v/>
      </c>
      <c r="G171">
        <f>IF('CALL SHEET'!$D$171="","",'CALL SHEET'!$D$171)</f>
        <v/>
      </c>
      <c r="H171">
        <f>IF('CALL SHEET'!$G$171="","",'CALL SHEET'!$G$171)</f>
        <v/>
      </c>
      <c r="I171">
        <f>IF('CALL SHEET'!$AT$171="","",'CALL SHEET'!$AT$171)</f>
        <v/>
      </c>
      <c r="J171">
        <f>IF('CALL SHEET'!$AX$171="","",'CALL SHEET'!$AX$171)</f>
        <v/>
      </c>
      <c r="K171">
        <f>IF('CALL SHEET'!$N$171="","",'CALL SHEET'!$N$171)</f>
        <v/>
      </c>
      <c r="L171">
        <f>IF('CALL SHEET'!$AE$171="","",'CALL SHEET'!$AE$171)</f>
        <v/>
      </c>
      <c r="M171" t="inlineStr">
        <is>
          <t>TRADE</t>
        </is>
      </c>
      <c r="N171" t="inlineStr">
        <is>
          <t>CALL SHEET · row 171</t>
        </is>
      </c>
    </row>
    <row r="172">
      <c r="A172">
        <f>IF('CALL SHEET'!$A$172="","",'CALL SHEET'!$A$172)</f>
        <v/>
      </c>
      <c r="B172">
        <f>IF('CALL SHEET'!$C$172="","",'CALL SHEET'!$C$172)</f>
        <v/>
      </c>
      <c r="C172">
        <f>'CALL SHEET'!$U$172</f>
        <v/>
      </c>
      <c r="D172">
        <f>'CALL SHEET'!$Y$172</f>
        <v/>
      </c>
      <c r="E172">
        <f>'CALL SHEET'!$AC$172</f>
        <v/>
      </c>
      <c r="F172">
        <f>IF('CALL SHEET'!$V$172="","",'CALL SHEET'!$V$172)</f>
        <v/>
      </c>
      <c r="G172">
        <f>IF('CALL SHEET'!$D$172="","",'CALL SHEET'!$D$172)</f>
        <v/>
      </c>
      <c r="H172">
        <f>IF('CALL SHEET'!$G$172="","",'CALL SHEET'!$G$172)</f>
        <v/>
      </c>
      <c r="I172">
        <f>IF('CALL SHEET'!$AT$172="","",'CALL SHEET'!$AT$172)</f>
        <v/>
      </c>
      <c r="J172">
        <f>IF('CALL SHEET'!$AX$172="","",'CALL SHEET'!$AX$172)</f>
        <v/>
      </c>
      <c r="K172">
        <f>IF('CALL SHEET'!$N$172="","",'CALL SHEET'!$N$172)</f>
        <v/>
      </c>
      <c r="L172">
        <f>IF('CALL SHEET'!$AE$172="","",'CALL SHEET'!$AE$172)</f>
        <v/>
      </c>
      <c r="M172" t="inlineStr">
        <is>
          <t>TRADE</t>
        </is>
      </c>
      <c r="N172" t="inlineStr">
        <is>
          <t>CALL SHEET · row 172</t>
        </is>
      </c>
    </row>
    <row r="173">
      <c r="A173">
        <f>IF('CALL SHEET'!$A$173="","",'CALL SHEET'!$A$173)</f>
        <v/>
      </c>
      <c r="B173">
        <f>IF('CALL SHEET'!$C$173="","",'CALL SHEET'!$C$173)</f>
        <v/>
      </c>
      <c r="C173">
        <f>'CALL SHEET'!$U$173</f>
        <v/>
      </c>
      <c r="D173">
        <f>'CALL SHEET'!$Y$173</f>
        <v/>
      </c>
      <c r="E173">
        <f>'CALL SHEET'!$AC$173</f>
        <v/>
      </c>
      <c r="F173">
        <f>IF('CALL SHEET'!$V$173="","",'CALL SHEET'!$V$173)</f>
        <v/>
      </c>
      <c r="G173">
        <f>IF('CALL SHEET'!$D$173="","",'CALL SHEET'!$D$173)</f>
        <v/>
      </c>
      <c r="H173">
        <f>IF('CALL SHEET'!$G$173="","",'CALL SHEET'!$G$173)</f>
        <v/>
      </c>
      <c r="I173">
        <f>IF('CALL SHEET'!$AT$173="","",'CALL SHEET'!$AT$173)</f>
        <v/>
      </c>
      <c r="J173">
        <f>IF('CALL SHEET'!$AX$173="","",'CALL SHEET'!$AX$173)</f>
        <v/>
      </c>
      <c r="K173">
        <f>IF('CALL SHEET'!$N$173="","",'CALL SHEET'!$N$173)</f>
        <v/>
      </c>
      <c r="L173">
        <f>IF('CALL SHEET'!$AE$173="","",'CALL SHEET'!$AE$173)</f>
        <v/>
      </c>
      <c r="M173" t="inlineStr">
        <is>
          <t>TRADE</t>
        </is>
      </c>
      <c r="N173" t="inlineStr">
        <is>
          <t>CALL SHEET · row 173</t>
        </is>
      </c>
    </row>
    <row r="174">
      <c r="A174">
        <f>IF('CALL SHEET'!$A$174="","",'CALL SHEET'!$A$174)</f>
        <v/>
      </c>
      <c r="B174">
        <f>IF('CALL SHEET'!$C$174="","",'CALL SHEET'!$C$174)</f>
        <v/>
      </c>
      <c r="C174">
        <f>'CALL SHEET'!$U$174</f>
        <v/>
      </c>
      <c r="D174">
        <f>'CALL SHEET'!$Y$174</f>
        <v/>
      </c>
      <c r="E174">
        <f>'CALL SHEET'!$AC$174</f>
        <v/>
      </c>
      <c r="F174">
        <f>IF('CALL SHEET'!$V$174="","",'CALL SHEET'!$V$174)</f>
        <v/>
      </c>
      <c r="G174">
        <f>IF('CALL SHEET'!$D$174="","",'CALL SHEET'!$D$174)</f>
        <v/>
      </c>
      <c r="H174">
        <f>IF('CALL SHEET'!$G$174="","",'CALL SHEET'!$G$174)</f>
        <v/>
      </c>
      <c r="I174">
        <f>IF('CALL SHEET'!$AT$174="","",'CALL SHEET'!$AT$174)</f>
        <v/>
      </c>
      <c r="J174">
        <f>IF('CALL SHEET'!$AX$174="","",'CALL SHEET'!$AX$174)</f>
        <v/>
      </c>
      <c r="K174">
        <f>IF('CALL SHEET'!$N$174="","",'CALL SHEET'!$N$174)</f>
        <v/>
      </c>
      <c r="L174">
        <f>IF('CALL SHEET'!$AE$174="","",'CALL SHEET'!$AE$174)</f>
        <v/>
      </c>
      <c r="M174" t="inlineStr">
        <is>
          <t>TRADE</t>
        </is>
      </c>
      <c r="N174" t="inlineStr">
        <is>
          <t>CALL SHEET · row 174</t>
        </is>
      </c>
    </row>
    <row r="175">
      <c r="A175">
        <f>IF('CALL SHEET'!$A$175="","",'CALL SHEET'!$A$175)</f>
        <v/>
      </c>
      <c r="B175">
        <f>IF('CALL SHEET'!$C$175="","",'CALL SHEET'!$C$175)</f>
        <v/>
      </c>
      <c r="C175">
        <f>'CALL SHEET'!$U$175</f>
        <v/>
      </c>
      <c r="D175">
        <f>'CALL SHEET'!$Y$175</f>
        <v/>
      </c>
      <c r="E175">
        <f>'CALL SHEET'!$AC$175</f>
        <v/>
      </c>
      <c r="F175">
        <f>IF('CALL SHEET'!$V$175="","",'CALL SHEET'!$V$175)</f>
        <v/>
      </c>
      <c r="G175">
        <f>IF('CALL SHEET'!$D$175="","",'CALL SHEET'!$D$175)</f>
        <v/>
      </c>
      <c r="H175">
        <f>IF('CALL SHEET'!$G$175="","",'CALL SHEET'!$G$175)</f>
        <v/>
      </c>
      <c r="I175">
        <f>IF('CALL SHEET'!$AT$175="","",'CALL SHEET'!$AT$175)</f>
        <v/>
      </c>
      <c r="J175">
        <f>IF('CALL SHEET'!$AX$175="","",'CALL SHEET'!$AX$175)</f>
        <v/>
      </c>
      <c r="K175">
        <f>IF('CALL SHEET'!$N$175="","",'CALL SHEET'!$N$175)</f>
        <v/>
      </c>
      <c r="L175">
        <f>IF('CALL SHEET'!$AE$175="","",'CALL SHEET'!$AE$175)</f>
        <v/>
      </c>
      <c r="M175" t="inlineStr">
        <is>
          <t>TRADE</t>
        </is>
      </c>
      <c r="N175" t="inlineStr">
        <is>
          <t>CALL SHEET · row 175</t>
        </is>
      </c>
    </row>
    <row r="176">
      <c r="A176">
        <f>IF('CALL SHEET'!$A$176="","",'CALL SHEET'!$A$176)</f>
        <v/>
      </c>
      <c r="B176">
        <f>IF('CALL SHEET'!$C$176="","",'CALL SHEET'!$C$176)</f>
        <v/>
      </c>
      <c r="C176">
        <f>'CALL SHEET'!$U$176</f>
        <v/>
      </c>
      <c r="D176">
        <f>'CALL SHEET'!$Y$176</f>
        <v/>
      </c>
      <c r="E176">
        <f>'CALL SHEET'!$AC$176</f>
        <v/>
      </c>
      <c r="F176">
        <f>IF('CALL SHEET'!$V$176="","",'CALL SHEET'!$V$176)</f>
        <v/>
      </c>
      <c r="G176">
        <f>IF('CALL SHEET'!$D$176="","",'CALL SHEET'!$D$176)</f>
        <v/>
      </c>
      <c r="H176">
        <f>IF('CALL SHEET'!$G$176="","",'CALL SHEET'!$G$176)</f>
        <v/>
      </c>
      <c r="I176">
        <f>IF('CALL SHEET'!$AT$176="","",'CALL SHEET'!$AT$176)</f>
        <v/>
      </c>
      <c r="J176">
        <f>IF('CALL SHEET'!$AX$176="","",'CALL SHEET'!$AX$176)</f>
        <v/>
      </c>
      <c r="K176">
        <f>IF('CALL SHEET'!$N$176="","",'CALL SHEET'!$N$176)</f>
        <v/>
      </c>
      <c r="L176">
        <f>IF('CALL SHEET'!$AE$176="","",'CALL SHEET'!$AE$176)</f>
        <v/>
      </c>
      <c r="M176" t="inlineStr">
        <is>
          <t>TRADE</t>
        </is>
      </c>
      <c r="N176" t="inlineStr">
        <is>
          <t>CALL SHEET · row 176</t>
        </is>
      </c>
    </row>
    <row r="177">
      <c r="A177">
        <f>IF('CALL SHEET'!$A$177="","",'CALL SHEET'!$A$177)</f>
        <v/>
      </c>
      <c r="B177">
        <f>IF('CALL SHEET'!$C$177="","",'CALL SHEET'!$C$177)</f>
        <v/>
      </c>
      <c r="C177">
        <f>'CALL SHEET'!$U$177</f>
        <v/>
      </c>
      <c r="D177">
        <f>'CALL SHEET'!$Y$177</f>
        <v/>
      </c>
      <c r="E177">
        <f>'CALL SHEET'!$AC$177</f>
        <v/>
      </c>
      <c r="F177">
        <f>IF('CALL SHEET'!$V$177="","",'CALL SHEET'!$V$177)</f>
        <v/>
      </c>
      <c r="G177">
        <f>IF('CALL SHEET'!$D$177="","",'CALL SHEET'!$D$177)</f>
        <v/>
      </c>
      <c r="H177">
        <f>IF('CALL SHEET'!$G$177="","",'CALL SHEET'!$G$177)</f>
        <v/>
      </c>
      <c r="I177">
        <f>IF('CALL SHEET'!$AT$177="","",'CALL SHEET'!$AT$177)</f>
        <v/>
      </c>
      <c r="J177">
        <f>IF('CALL SHEET'!$AX$177="","",'CALL SHEET'!$AX$177)</f>
        <v/>
      </c>
      <c r="K177">
        <f>IF('CALL SHEET'!$N$177="","",'CALL SHEET'!$N$177)</f>
        <v/>
      </c>
      <c r="L177">
        <f>IF('CALL SHEET'!$AE$177="","",'CALL SHEET'!$AE$177)</f>
        <v/>
      </c>
      <c r="M177" t="inlineStr">
        <is>
          <t>TRADE</t>
        </is>
      </c>
      <c r="N177" t="inlineStr">
        <is>
          <t>CALL SHEET · row 177</t>
        </is>
      </c>
    </row>
    <row r="178">
      <c r="A178">
        <f>IF('CALL SHEET'!$A$178="","",'CALL SHEET'!$A$178)</f>
        <v/>
      </c>
      <c r="B178">
        <f>IF('CALL SHEET'!$C$178="","",'CALL SHEET'!$C$178)</f>
        <v/>
      </c>
      <c r="C178">
        <f>'CALL SHEET'!$U$178</f>
        <v/>
      </c>
      <c r="D178">
        <f>'CALL SHEET'!$Y$178</f>
        <v/>
      </c>
      <c r="E178">
        <f>'CALL SHEET'!$AC$178</f>
        <v/>
      </c>
      <c r="F178">
        <f>IF('CALL SHEET'!$V$178="","",'CALL SHEET'!$V$178)</f>
        <v/>
      </c>
      <c r="G178">
        <f>IF('CALL SHEET'!$D$178="","",'CALL SHEET'!$D$178)</f>
        <v/>
      </c>
      <c r="H178">
        <f>IF('CALL SHEET'!$G$178="","",'CALL SHEET'!$G$178)</f>
        <v/>
      </c>
      <c r="I178">
        <f>IF('CALL SHEET'!$AT$178="","",'CALL SHEET'!$AT$178)</f>
        <v/>
      </c>
      <c r="J178">
        <f>IF('CALL SHEET'!$AX$178="","",'CALL SHEET'!$AX$178)</f>
        <v/>
      </c>
      <c r="K178">
        <f>IF('CALL SHEET'!$N$178="","",'CALL SHEET'!$N$178)</f>
        <v/>
      </c>
      <c r="L178">
        <f>IF('CALL SHEET'!$AE$178="","",'CALL SHEET'!$AE$178)</f>
        <v/>
      </c>
      <c r="M178" t="inlineStr">
        <is>
          <t>TRADE</t>
        </is>
      </c>
      <c r="N178" t="inlineStr">
        <is>
          <t>CALL SHEET · row 178</t>
        </is>
      </c>
    </row>
    <row r="179">
      <c r="A179">
        <f>IF('CALL SHEET'!$A$179="","",'CALL SHEET'!$A$179)</f>
        <v/>
      </c>
      <c r="B179">
        <f>IF('CALL SHEET'!$C$179="","",'CALL SHEET'!$C$179)</f>
        <v/>
      </c>
      <c r="C179">
        <f>'CALL SHEET'!$U$179</f>
        <v/>
      </c>
      <c r="D179">
        <f>'CALL SHEET'!$Y$179</f>
        <v/>
      </c>
      <c r="E179">
        <f>'CALL SHEET'!$AC$179</f>
        <v/>
      </c>
      <c r="F179">
        <f>IF('CALL SHEET'!$V$179="","",'CALL SHEET'!$V$179)</f>
        <v/>
      </c>
      <c r="G179">
        <f>IF('CALL SHEET'!$D$179="","",'CALL SHEET'!$D$179)</f>
        <v/>
      </c>
      <c r="H179">
        <f>IF('CALL SHEET'!$G$179="","",'CALL SHEET'!$G$179)</f>
        <v/>
      </c>
      <c r="I179">
        <f>IF('CALL SHEET'!$AT$179="","",'CALL SHEET'!$AT$179)</f>
        <v/>
      </c>
      <c r="J179">
        <f>IF('CALL SHEET'!$AX$179="","",'CALL SHEET'!$AX$179)</f>
        <v/>
      </c>
      <c r="K179">
        <f>IF('CALL SHEET'!$N$179="","",'CALL SHEET'!$N$179)</f>
        <v/>
      </c>
      <c r="L179">
        <f>IF('CALL SHEET'!$AE$179="","",'CALL SHEET'!$AE$179)</f>
        <v/>
      </c>
      <c r="M179" t="inlineStr">
        <is>
          <t>TRADE</t>
        </is>
      </c>
      <c r="N179" t="inlineStr">
        <is>
          <t>CALL SHEET · row 179</t>
        </is>
      </c>
    </row>
    <row r="180">
      <c r="A180">
        <f>IF('CALL SHEET'!$A$180="","",'CALL SHEET'!$A$180)</f>
        <v/>
      </c>
      <c r="B180">
        <f>IF('CALL SHEET'!$C$180="","",'CALL SHEET'!$C$180)</f>
        <v/>
      </c>
      <c r="C180">
        <f>'CALL SHEET'!$U$180</f>
        <v/>
      </c>
      <c r="D180">
        <f>'CALL SHEET'!$Y$180</f>
        <v/>
      </c>
      <c r="E180">
        <f>'CALL SHEET'!$AC$180</f>
        <v/>
      </c>
      <c r="F180">
        <f>IF('CALL SHEET'!$V$180="","",'CALL SHEET'!$V$180)</f>
        <v/>
      </c>
      <c r="G180">
        <f>IF('CALL SHEET'!$D$180="","",'CALL SHEET'!$D$180)</f>
        <v/>
      </c>
      <c r="H180">
        <f>IF('CALL SHEET'!$G$180="","",'CALL SHEET'!$G$180)</f>
        <v/>
      </c>
      <c r="I180">
        <f>IF('CALL SHEET'!$AT$180="","",'CALL SHEET'!$AT$180)</f>
        <v/>
      </c>
      <c r="J180">
        <f>IF('CALL SHEET'!$AX$180="","",'CALL SHEET'!$AX$180)</f>
        <v/>
      </c>
      <c r="K180">
        <f>IF('CALL SHEET'!$N$180="","",'CALL SHEET'!$N$180)</f>
        <v/>
      </c>
      <c r="L180">
        <f>IF('CALL SHEET'!$AE$180="","",'CALL SHEET'!$AE$180)</f>
        <v/>
      </c>
      <c r="M180" t="inlineStr">
        <is>
          <t>TRADE</t>
        </is>
      </c>
      <c r="N180" t="inlineStr">
        <is>
          <t>CALL SHEET · row 180</t>
        </is>
      </c>
    </row>
    <row r="181">
      <c r="A181">
        <f>IF('CALL SHEET'!$A$181="","",'CALL SHEET'!$A$181)</f>
        <v/>
      </c>
      <c r="B181">
        <f>IF('CALL SHEET'!$C$181="","",'CALL SHEET'!$C$181)</f>
        <v/>
      </c>
      <c r="C181">
        <f>'CALL SHEET'!$U$181</f>
        <v/>
      </c>
      <c r="D181">
        <f>'CALL SHEET'!$Y$181</f>
        <v/>
      </c>
      <c r="E181">
        <f>'CALL SHEET'!$AC$181</f>
        <v/>
      </c>
      <c r="F181">
        <f>IF('CALL SHEET'!$V$181="","",'CALL SHEET'!$V$181)</f>
        <v/>
      </c>
      <c r="G181">
        <f>IF('CALL SHEET'!$D$181="","",'CALL SHEET'!$D$181)</f>
        <v/>
      </c>
      <c r="H181">
        <f>IF('CALL SHEET'!$G$181="","",'CALL SHEET'!$G$181)</f>
        <v/>
      </c>
      <c r="I181">
        <f>IF('CALL SHEET'!$AT$181="","",'CALL SHEET'!$AT$181)</f>
        <v/>
      </c>
      <c r="J181">
        <f>IF('CALL SHEET'!$AX$181="","",'CALL SHEET'!$AX$181)</f>
        <v/>
      </c>
      <c r="K181">
        <f>IF('CALL SHEET'!$N$181="","",'CALL SHEET'!$N$181)</f>
        <v/>
      </c>
      <c r="L181">
        <f>IF('CALL SHEET'!$AE$181="","",'CALL SHEET'!$AE$181)</f>
        <v/>
      </c>
      <c r="M181" t="inlineStr">
        <is>
          <t>TRADE</t>
        </is>
      </c>
      <c r="N181" t="inlineStr">
        <is>
          <t>CALL SHEET · row 181</t>
        </is>
      </c>
    </row>
    <row r="182">
      <c r="A182">
        <f>IF('CALL SHEET'!$A$182="","",'CALL SHEET'!$A$182)</f>
        <v/>
      </c>
      <c r="B182">
        <f>IF('CALL SHEET'!$C$182="","",'CALL SHEET'!$C$182)</f>
        <v/>
      </c>
      <c r="C182">
        <f>'CALL SHEET'!$U$182</f>
        <v/>
      </c>
      <c r="D182">
        <f>'CALL SHEET'!$Y$182</f>
        <v/>
      </c>
      <c r="E182">
        <f>'CALL SHEET'!$AC$182</f>
        <v/>
      </c>
      <c r="F182">
        <f>IF('CALL SHEET'!$V$182="","",'CALL SHEET'!$V$182)</f>
        <v/>
      </c>
      <c r="G182">
        <f>IF('CALL SHEET'!$D$182="","",'CALL SHEET'!$D$182)</f>
        <v/>
      </c>
      <c r="H182">
        <f>IF('CALL SHEET'!$G$182="","",'CALL SHEET'!$G$182)</f>
        <v/>
      </c>
      <c r="I182">
        <f>IF('CALL SHEET'!$AT$182="","",'CALL SHEET'!$AT$182)</f>
        <v/>
      </c>
      <c r="J182">
        <f>IF('CALL SHEET'!$AX$182="","",'CALL SHEET'!$AX$182)</f>
        <v/>
      </c>
      <c r="K182">
        <f>IF('CALL SHEET'!$N$182="","",'CALL SHEET'!$N$182)</f>
        <v/>
      </c>
      <c r="L182">
        <f>IF('CALL SHEET'!$AE$182="","",'CALL SHEET'!$AE$182)</f>
        <v/>
      </c>
      <c r="M182" t="inlineStr">
        <is>
          <t>TRADE</t>
        </is>
      </c>
      <c r="N182" t="inlineStr">
        <is>
          <t>CALL SHEET · row 182</t>
        </is>
      </c>
    </row>
    <row r="183">
      <c r="A183">
        <f>IF('CALL SHEET'!$A$183="","",'CALL SHEET'!$A$183)</f>
        <v/>
      </c>
      <c r="B183">
        <f>IF('CALL SHEET'!$C$183="","",'CALL SHEET'!$C$183)</f>
        <v/>
      </c>
      <c r="C183">
        <f>'CALL SHEET'!$U$183</f>
        <v/>
      </c>
      <c r="D183">
        <f>'CALL SHEET'!$Y$183</f>
        <v/>
      </c>
      <c r="E183">
        <f>'CALL SHEET'!$AC$183</f>
        <v/>
      </c>
      <c r="F183">
        <f>IF('CALL SHEET'!$V$183="","",'CALL SHEET'!$V$183)</f>
        <v/>
      </c>
      <c r="G183">
        <f>IF('CALL SHEET'!$D$183="","",'CALL SHEET'!$D$183)</f>
        <v/>
      </c>
      <c r="H183">
        <f>IF('CALL SHEET'!$G$183="","",'CALL SHEET'!$G$183)</f>
        <v/>
      </c>
      <c r="I183">
        <f>IF('CALL SHEET'!$AT$183="","",'CALL SHEET'!$AT$183)</f>
        <v/>
      </c>
      <c r="J183">
        <f>IF('CALL SHEET'!$AX$183="","",'CALL SHEET'!$AX$183)</f>
        <v/>
      </c>
      <c r="K183">
        <f>IF('CALL SHEET'!$N$183="","",'CALL SHEET'!$N$183)</f>
        <v/>
      </c>
      <c r="L183">
        <f>IF('CALL SHEET'!$AE$183="","",'CALL SHEET'!$AE$183)</f>
        <v/>
      </c>
      <c r="M183" t="inlineStr">
        <is>
          <t>TRADE</t>
        </is>
      </c>
      <c r="N183" t="inlineStr">
        <is>
          <t>CALL SHEET · row 183</t>
        </is>
      </c>
    </row>
    <row r="184">
      <c r="A184">
        <f>IF('CALL SHEET'!$A$184="","",'CALL SHEET'!$A$184)</f>
        <v/>
      </c>
      <c r="B184">
        <f>IF('CALL SHEET'!$C$184="","",'CALL SHEET'!$C$184)</f>
        <v/>
      </c>
      <c r="C184">
        <f>'CALL SHEET'!$U$184</f>
        <v/>
      </c>
      <c r="D184">
        <f>'CALL SHEET'!$Y$184</f>
        <v/>
      </c>
      <c r="E184">
        <f>'CALL SHEET'!$AC$184</f>
        <v/>
      </c>
      <c r="F184">
        <f>IF('CALL SHEET'!$V$184="","",'CALL SHEET'!$V$184)</f>
        <v/>
      </c>
      <c r="G184">
        <f>IF('CALL SHEET'!$D$184="","",'CALL SHEET'!$D$184)</f>
        <v/>
      </c>
      <c r="H184">
        <f>IF('CALL SHEET'!$G$184="","",'CALL SHEET'!$G$184)</f>
        <v/>
      </c>
      <c r="I184">
        <f>IF('CALL SHEET'!$AT$184="","",'CALL SHEET'!$AT$184)</f>
        <v/>
      </c>
      <c r="J184">
        <f>IF('CALL SHEET'!$AX$184="","",'CALL SHEET'!$AX$184)</f>
        <v/>
      </c>
      <c r="K184">
        <f>IF('CALL SHEET'!$N$184="","",'CALL SHEET'!$N$184)</f>
        <v/>
      </c>
      <c r="L184">
        <f>IF('CALL SHEET'!$AE$184="","",'CALL SHEET'!$AE$184)</f>
        <v/>
      </c>
      <c r="M184" t="inlineStr">
        <is>
          <t>TRADE</t>
        </is>
      </c>
      <c r="N184" t="inlineStr">
        <is>
          <t>CALL SHEET · row 184</t>
        </is>
      </c>
    </row>
    <row r="185">
      <c r="A185">
        <f>IF('CALL SHEET'!$A$185="","",'CALL SHEET'!$A$185)</f>
        <v/>
      </c>
      <c r="B185">
        <f>IF('CALL SHEET'!$C$185="","",'CALL SHEET'!$C$185)</f>
        <v/>
      </c>
      <c r="C185">
        <f>'CALL SHEET'!$U$185</f>
        <v/>
      </c>
      <c r="D185">
        <f>'CALL SHEET'!$Y$185</f>
        <v/>
      </c>
      <c r="E185">
        <f>'CALL SHEET'!$AC$185</f>
        <v/>
      </c>
      <c r="F185">
        <f>IF('CALL SHEET'!$V$185="","",'CALL SHEET'!$V$185)</f>
        <v/>
      </c>
      <c r="G185">
        <f>IF('CALL SHEET'!$D$185="","",'CALL SHEET'!$D$185)</f>
        <v/>
      </c>
      <c r="H185">
        <f>IF('CALL SHEET'!$G$185="","",'CALL SHEET'!$G$185)</f>
        <v/>
      </c>
      <c r="I185">
        <f>IF('CALL SHEET'!$AT$185="","",'CALL SHEET'!$AT$185)</f>
        <v/>
      </c>
      <c r="J185">
        <f>IF('CALL SHEET'!$AX$185="","",'CALL SHEET'!$AX$185)</f>
        <v/>
      </c>
      <c r="K185">
        <f>IF('CALL SHEET'!$N$185="","",'CALL SHEET'!$N$185)</f>
        <v/>
      </c>
      <c r="L185">
        <f>IF('CALL SHEET'!$AE$185="","",'CALL SHEET'!$AE$185)</f>
        <v/>
      </c>
      <c r="M185" t="inlineStr">
        <is>
          <t>TRADE</t>
        </is>
      </c>
      <c r="N185" t="inlineStr">
        <is>
          <t>CALL SHEET · row 185</t>
        </is>
      </c>
    </row>
    <row r="186">
      <c r="A186">
        <f>IF('CALL SHEET'!$A$186="","",'CALL SHEET'!$A$186)</f>
        <v/>
      </c>
      <c r="B186">
        <f>IF('CALL SHEET'!$C$186="","",'CALL SHEET'!$C$186)</f>
        <v/>
      </c>
      <c r="C186">
        <f>'CALL SHEET'!$U$186</f>
        <v/>
      </c>
      <c r="D186">
        <f>'CALL SHEET'!$Y$186</f>
        <v/>
      </c>
      <c r="E186">
        <f>'CALL SHEET'!$AC$186</f>
        <v/>
      </c>
      <c r="F186">
        <f>IF('CALL SHEET'!$V$186="","",'CALL SHEET'!$V$186)</f>
        <v/>
      </c>
      <c r="G186">
        <f>IF('CALL SHEET'!$D$186="","",'CALL SHEET'!$D$186)</f>
        <v/>
      </c>
      <c r="H186">
        <f>IF('CALL SHEET'!$G$186="","",'CALL SHEET'!$G$186)</f>
        <v/>
      </c>
      <c r="I186">
        <f>IF('CALL SHEET'!$AT$186="","",'CALL SHEET'!$AT$186)</f>
        <v/>
      </c>
      <c r="J186">
        <f>IF('CALL SHEET'!$AX$186="","",'CALL SHEET'!$AX$186)</f>
        <v/>
      </c>
      <c r="K186">
        <f>IF('CALL SHEET'!$N$186="","",'CALL SHEET'!$N$186)</f>
        <v/>
      </c>
      <c r="L186">
        <f>IF('CALL SHEET'!$AE$186="","",'CALL SHEET'!$AE$186)</f>
        <v/>
      </c>
      <c r="M186" t="inlineStr">
        <is>
          <t>TRADE</t>
        </is>
      </c>
      <c r="N186" t="inlineStr">
        <is>
          <t>CALL SHEET · row 186</t>
        </is>
      </c>
    </row>
    <row r="187">
      <c r="A187">
        <f>IF('CALL SHEET'!$A$187="","",'CALL SHEET'!$A$187)</f>
        <v/>
      </c>
      <c r="B187">
        <f>IF('CALL SHEET'!$C$187="","",'CALL SHEET'!$C$187)</f>
        <v/>
      </c>
      <c r="C187">
        <f>'CALL SHEET'!$U$187</f>
        <v/>
      </c>
      <c r="D187">
        <f>'CALL SHEET'!$Y$187</f>
        <v/>
      </c>
      <c r="E187">
        <f>'CALL SHEET'!$AC$187</f>
        <v/>
      </c>
      <c r="F187">
        <f>IF('CALL SHEET'!$V$187="","",'CALL SHEET'!$V$187)</f>
        <v/>
      </c>
      <c r="G187">
        <f>IF('CALL SHEET'!$D$187="","",'CALL SHEET'!$D$187)</f>
        <v/>
      </c>
      <c r="H187">
        <f>IF('CALL SHEET'!$G$187="","",'CALL SHEET'!$G$187)</f>
        <v/>
      </c>
      <c r="I187">
        <f>IF('CALL SHEET'!$AT$187="","",'CALL SHEET'!$AT$187)</f>
        <v/>
      </c>
      <c r="J187">
        <f>IF('CALL SHEET'!$AX$187="","",'CALL SHEET'!$AX$187)</f>
        <v/>
      </c>
      <c r="K187">
        <f>IF('CALL SHEET'!$N$187="","",'CALL SHEET'!$N$187)</f>
        <v/>
      </c>
      <c r="L187">
        <f>IF('CALL SHEET'!$AE$187="","",'CALL SHEET'!$AE$187)</f>
        <v/>
      </c>
      <c r="M187" t="inlineStr">
        <is>
          <t>TRADE</t>
        </is>
      </c>
      <c r="N187" t="inlineStr">
        <is>
          <t>CALL SHEET · row 187</t>
        </is>
      </c>
    </row>
    <row r="188">
      <c r="A188">
        <f>IF('CALL SHEET'!$A$188="","",'CALL SHEET'!$A$188)</f>
        <v/>
      </c>
      <c r="B188">
        <f>IF('CALL SHEET'!$C$188="","",'CALL SHEET'!$C$188)</f>
        <v/>
      </c>
      <c r="C188">
        <f>'CALL SHEET'!$U$188</f>
        <v/>
      </c>
      <c r="D188">
        <f>'CALL SHEET'!$Y$188</f>
        <v/>
      </c>
      <c r="E188">
        <f>'CALL SHEET'!$AC$188</f>
        <v/>
      </c>
      <c r="F188">
        <f>IF('CALL SHEET'!$V$188="","",'CALL SHEET'!$V$188)</f>
        <v/>
      </c>
      <c r="G188">
        <f>IF('CALL SHEET'!$D$188="","",'CALL SHEET'!$D$188)</f>
        <v/>
      </c>
      <c r="H188">
        <f>IF('CALL SHEET'!$G$188="","",'CALL SHEET'!$G$188)</f>
        <v/>
      </c>
      <c r="I188">
        <f>IF('CALL SHEET'!$AT$188="","",'CALL SHEET'!$AT$188)</f>
        <v/>
      </c>
      <c r="J188">
        <f>IF('CALL SHEET'!$AX$188="","",'CALL SHEET'!$AX$188)</f>
        <v/>
      </c>
      <c r="K188">
        <f>IF('CALL SHEET'!$N$188="","",'CALL SHEET'!$N$188)</f>
        <v/>
      </c>
      <c r="L188">
        <f>IF('CALL SHEET'!$AE$188="","",'CALL SHEET'!$AE$188)</f>
        <v/>
      </c>
      <c r="M188" t="inlineStr">
        <is>
          <t>TRADE</t>
        </is>
      </c>
      <c r="N188" t="inlineStr">
        <is>
          <t>CALL SHEET · row 188</t>
        </is>
      </c>
    </row>
    <row r="189">
      <c r="A189">
        <f>IF('CALL SHEET'!$A$189="","",'CALL SHEET'!$A$189)</f>
        <v/>
      </c>
      <c r="B189">
        <f>IF('CALL SHEET'!$C$189="","",'CALL SHEET'!$C$189)</f>
        <v/>
      </c>
      <c r="C189">
        <f>'CALL SHEET'!$U$189</f>
        <v/>
      </c>
      <c r="D189">
        <f>'CALL SHEET'!$Y$189</f>
        <v/>
      </c>
      <c r="E189">
        <f>'CALL SHEET'!$AC$189</f>
        <v/>
      </c>
      <c r="F189">
        <f>IF('CALL SHEET'!$V$189="","",'CALL SHEET'!$V$189)</f>
        <v/>
      </c>
      <c r="G189">
        <f>IF('CALL SHEET'!$D$189="","",'CALL SHEET'!$D$189)</f>
        <v/>
      </c>
      <c r="H189">
        <f>IF('CALL SHEET'!$G$189="","",'CALL SHEET'!$G$189)</f>
        <v/>
      </c>
      <c r="I189">
        <f>IF('CALL SHEET'!$AT$189="","",'CALL SHEET'!$AT$189)</f>
        <v/>
      </c>
      <c r="J189">
        <f>IF('CALL SHEET'!$AX$189="","",'CALL SHEET'!$AX$189)</f>
        <v/>
      </c>
      <c r="K189">
        <f>IF('CALL SHEET'!$N$189="","",'CALL SHEET'!$N$189)</f>
        <v/>
      </c>
      <c r="L189">
        <f>IF('CALL SHEET'!$AE$189="","",'CALL SHEET'!$AE$189)</f>
        <v/>
      </c>
      <c r="M189" t="inlineStr">
        <is>
          <t>TRADE</t>
        </is>
      </c>
      <c r="N189" t="inlineStr">
        <is>
          <t>CALL SHEET · row 189</t>
        </is>
      </c>
    </row>
    <row r="190">
      <c r="A190">
        <f>IF('CALL SHEET'!$A$190="","",'CALL SHEET'!$A$190)</f>
        <v/>
      </c>
      <c r="B190">
        <f>IF('CALL SHEET'!$C$190="","",'CALL SHEET'!$C$190)</f>
        <v/>
      </c>
      <c r="C190">
        <f>'CALL SHEET'!$U$190</f>
        <v/>
      </c>
      <c r="D190">
        <f>'CALL SHEET'!$Y$190</f>
        <v/>
      </c>
      <c r="E190">
        <f>'CALL SHEET'!$AC$190</f>
        <v/>
      </c>
      <c r="F190">
        <f>IF('CALL SHEET'!$V$190="","",'CALL SHEET'!$V$190)</f>
        <v/>
      </c>
      <c r="G190">
        <f>IF('CALL SHEET'!$D$190="","",'CALL SHEET'!$D$190)</f>
        <v/>
      </c>
      <c r="H190">
        <f>IF('CALL SHEET'!$G$190="","",'CALL SHEET'!$G$190)</f>
        <v/>
      </c>
      <c r="I190">
        <f>IF('CALL SHEET'!$AT$190="","",'CALL SHEET'!$AT$190)</f>
        <v/>
      </c>
      <c r="J190">
        <f>IF('CALL SHEET'!$AX$190="","",'CALL SHEET'!$AX$190)</f>
        <v/>
      </c>
      <c r="K190">
        <f>IF('CALL SHEET'!$N$190="","",'CALL SHEET'!$N$190)</f>
        <v/>
      </c>
      <c r="L190">
        <f>IF('CALL SHEET'!$AE$190="","",'CALL SHEET'!$AE$190)</f>
        <v/>
      </c>
      <c r="M190" t="inlineStr">
        <is>
          <t>TRADE</t>
        </is>
      </c>
      <c r="N190" t="inlineStr">
        <is>
          <t>CALL SHEET · row 190</t>
        </is>
      </c>
    </row>
    <row r="191">
      <c r="A191">
        <f>IF('CALL SHEET'!$A$191="","",'CALL SHEET'!$A$191)</f>
        <v/>
      </c>
      <c r="B191">
        <f>IF('CALL SHEET'!$C$191="","",'CALL SHEET'!$C$191)</f>
        <v/>
      </c>
      <c r="C191">
        <f>'CALL SHEET'!$U$191</f>
        <v/>
      </c>
      <c r="D191">
        <f>'CALL SHEET'!$Y$191</f>
        <v/>
      </c>
      <c r="E191">
        <f>'CALL SHEET'!$AC$191</f>
        <v/>
      </c>
      <c r="F191">
        <f>IF('CALL SHEET'!$V$191="","",'CALL SHEET'!$V$191)</f>
        <v/>
      </c>
      <c r="G191">
        <f>IF('CALL SHEET'!$D$191="","",'CALL SHEET'!$D$191)</f>
        <v/>
      </c>
      <c r="H191">
        <f>IF('CALL SHEET'!$G$191="","",'CALL SHEET'!$G$191)</f>
        <v/>
      </c>
      <c r="I191">
        <f>IF('CALL SHEET'!$AT$191="","",'CALL SHEET'!$AT$191)</f>
        <v/>
      </c>
      <c r="J191">
        <f>IF('CALL SHEET'!$AX$191="","",'CALL SHEET'!$AX$191)</f>
        <v/>
      </c>
      <c r="K191">
        <f>IF('CALL SHEET'!$N$191="","",'CALL SHEET'!$N$191)</f>
        <v/>
      </c>
      <c r="L191">
        <f>IF('CALL SHEET'!$AE$191="","",'CALL SHEET'!$AE$191)</f>
        <v/>
      </c>
      <c r="M191" t="inlineStr">
        <is>
          <t>TRADE</t>
        </is>
      </c>
      <c r="N191" t="inlineStr">
        <is>
          <t>CALL SHEET · row 191</t>
        </is>
      </c>
    </row>
    <row r="192">
      <c r="A192">
        <f>IF('CALL SHEET'!$A$192="","",'CALL SHEET'!$A$192)</f>
        <v/>
      </c>
      <c r="B192">
        <f>IF('CALL SHEET'!$C$192="","",'CALL SHEET'!$C$192)</f>
        <v/>
      </c>
      <c r="C192">
        <f>'CALL SHEET'!$U$192</f>
        <v/>
      </c>
      <c r="D192">
        <f>'CALL SHEET'!$Y$192</f>
        <v/>
      </c>
      <c r="E192">
        <f>'CALL SHEET'!$AC$192</f>
        <v/>
      </c>
      <c r="F192">
        <f>IF('CALL SHEET'!$V$192="","",'CALL SHEET'!$V$192)</f>
        <v/>
      </c>
      <c r="G192">
        <f>IF('CALL SHEET'!$D$192="","",'CALL SHEET'!$D$192)</f>
        <v/>
      </c>
      <c r="H192">
        <f>IF('CALL SHEET'!$G$192="","",'CALL SHEET'!$G$192)</f>
        <v/>
      </c>
      <c r="I192">
        <f>IF('CALL SHEET'!$AT$192="","",'CALL SHEET'!$AT$192)</f>
        <v/>
      </c>
      <c r="J192">
        <f>IF('CALL SHEET'!$AX$192="","",'CALL SHEET'!$AX$192)</f>
        <v/>
      </c>
      <c r="K192">
        <f>IF('CALL SHEET'!$N$192="","",'CALL SHEET'!$N$192)</f>
        <v/>
      </c>
      <c r="L192">
        <f>IF('CALL SHEET'!$AE$192="","",'CALL SHEET'!$AE$192)</f>
        <v/>
      </c>
      <c r="M192" t="inlineStr">
        <is>
          <t>TRADE</t>
        </is>
      </c>
      <c r="N192" t="inlineStr">
        <is>
          <t>CALL SHEET · row 192</t>
        </is>
      </c>
    </row>
    <row r="193">
      <c r="A193">
        <f>IF('CALL SHEET'!$A$193="","",'CALL SHEET'!$A$193)</f>
        <v/>
      </c>
      <c r="B193">
        <f>IF('CALL SHEET'!$C$193="","",'CALL SHEET'!$C$193)</f>
        <v/>
      </c>
      <c r="C193">
        <f>'CALL SHEET'!$U$193</f>
        <v/>
      </c>
      <c r="D193">
        <f>'CALL SHEET'!$Y$193</f>
        <v/>
      </c>
      <c r="E193">
        <f>'CALL SHEET'!$AC$193</f>
        <v/>
      </c>
      <c r="F193">
        <f>IF('CALL SHEET'!$V$193="","",'CALL SHEET'!$V$193)</f>
        <v/>
      </c>
      <c r="G193">
        <f>IF('CALL SHEET'!$D$193="","",'CALL SHEET'!$D$193)</f>
        <v/>
      </c>
      <c r="H193">
        <f>IF('CALL SHEET'!$G$193="","",'CALL SHEET'!$G$193)</f>
        <v/>
      </c>
      <c r="I193">
        <f>IF('CALL SHEET'!$AT$193="","",'CALL SHEET'!$AT$193)</f>
        <v/>
      </c>
      <c r="J193">
        <f>IF('CALL SHEET'!$AX$193="","",'CALL SHEET'!$AX$193)</f>
        <v/>
      </c>
      <c r="K193">
        <f>IF('CALL SHEET'!$N$193="","",'CALL SHEET'!$N$193)</f>
        <v/>
      </c>
      <c r="L193">
        <f>IF('CALL SHEET'!$AE$193="","",'CALL SHEET'!$AE$193)</f>
        <v/>
      </c>
      <c r="M193" t="inlineStr">
        <is>
          <t>TRADE</t>
        </is>
      </c>
      <c r="N193" t="inlineStr">
        <is>
          <t>CALL SHEET · row 193</t>
        </is>
      </c>
    </row>
    <row r="194">
      <c r="A194">
        <f>IF('CALL SHEET'!$A$194="","",'CALL SHEET'!$A$194)</f>
        <v/>
      </c>
      <c r="B194">
        <f>IF('CALL SHEET'!$C$194="","",'CALL SHEET'!$C$194)</f>
        <v/>
      </c>
      <c r="C194">
        <f>'CALL SHEET'!$U$194</f>
        <v/>
      </c>
      <c r="D194">
        <f>'CALL SHEET'!$Y$194</f>
        <v/>
      </c>
      <c r="E194">
        <f>'CALL SHEET'!$AC$194</f>
        <v/>
      </c>
      <c r="F194">
        <f>IF('CALL SHEET'!$V$194="","",'CALL SHEET'!$V$194)</f>
        <v/>
      </c>
      <c r="G194">
        <f>IF('CALL SHEET'!$D$194="","",'CALL SHEET'!$D$194)</f>
        <v/>
      </c>
      <c r="H194">
        <f>IF('CALL SHEET'!$G$194="","",'CALL SHEET'!$G$194)</f>
        <v/>
      </c>
      <c r="I194">
        <f>IF('CALL SHEET'!$AT$194="","",'CALL SHEET'!$AT$194)</f>
        <v/>
      </c>
      <c r="J194">
        <f>IF('CALL SHEET'!$AX$194="","",'CALL SHEET'!$AX$194)</f>
        <v/>
      </c>
      <c r="K194">
        <f>IF('CALL SHEET'!$N$194="","",'CALL SHEET'!$N$194)</f>
        <v/>
      </c>
      <c r="L194">
        <f>IF('CALL SHEET'!$AE$194="","",'CALL SHEET'!$AE$194)</f>
        <v/>
      </c>
      <c r="M194" t="inlineStr">
        <is>
          <t>TRADE</t>
        </is>
      </c>
      <c r="N194" t="inlineStr">
        <is>
          <t>CALL SHEET · row 194</t>
        </is>
      </c>
    </row>
    <row r="195">
      <c r="A195">
        <f>IF('CALL SHEET'!$A$195="","",'CALL SHEET'!$A$195)</f>
        <v/>
      </c>
      <c r="B195">
        <f>IF('CALL SHEET'!$C$195="","",'CALL SHEET'!$C$195)</f>
        <v/>
      </c>
      <c r="C195">
        <f>'CALL SHEET'!$U$195</f>
        <v/>
      </c>
      <c r="D195">
        <f>'CALL SHEET'!$Y$195</f>
        <v/>
      </c>
      <c r="E195">
        <f>'CALL SHEET'!$AC$195</f>
        <v/>
      </c>
      <c r="F195">
        <f>IF('CALL SHEET'!$V$195="","",'CALL SHEET'!$V$195)</f>
        <v/>
      </c>
      <c r="G195">
        <f>IF('CALL SHEET'!$D$195="","",'CALL SHEET'!$D$195)</f>
        <v/>
      </c>
      <c r="H195">
        <f>IF('CALL SHEET'!$G$195="","",'CALL SHEET'!$G$195)</f>
        <v/>
      </c>
      <c r="I195">
        <f>IF('CALL SHEET'!$AT$195="","",'CALL SHEET'!$AT$195)</f>
        <v/>
      </c>
      <c r="J195">
        <f>IF('CALL SHEET'!$AX$195="","",'CALL SHEET'!$AX$195)</f>
        <v/>
      </c>
      <c r="K195">
        <f>IF('CALL SHEET'!$N$195="","",'CALL SHEET'!$N$195)</f>
        <v/>
      </c>
      <c r="L195">
        <f>IF('CALL SHEET'!$AE$195="","",'CALL SHEET'!$AE$195)</f>
        <v/>
      </c>
      <c r="M195" t="inlineStr">
        <is>
          <t>TRADE</t>
        </is>
      </c>
      <c r="N195" t="inlineStr">
        <is>
          <t>CALL SHEET · row 195</t>
        </is>
      </c>
    </row>
    <row r="196">
      <c r="A196">
        <f>IF('CALL SHEET'!$A$196="","",'CALL SHEET'!$A$196)</f>
        <v/>
      </c>
      <c r="B196">
        <f>IF('CALL SHEET'!$C$196="","",'CALL SHEET'!$C$196)</f>
        <v/>
      </c>
      <c r="C196">
        <f>'CALL SHEET'!$U$196</f>
        <v/>
      </c>
      <c r="D196">
        <f>'CALL SHEET'!$Y$196</f>
        <v/>
      </c>
      <c r="E196">
        <f>'CALL SHEET'!$AC$196</f>
        <v/>
      </c>
      <c r="F196">
        <f>IF('CALL SHEET'!$V$196="","",'CALL SHEET'!$V$196)</f>
        <v/>
      </c>
      <c r="G196">
        <f>IF('CALL SHEET'!$D$196="","",'CALL SHEET'!$D$196)</f>
        <v/>
      </c>
      <c r="H196">
        <f>IF('CALL SHEET'!$G$196="","",'CALL SHEET'!$G$196)</f>
        <v/>
      </c>
      <c r="I196">
        <f>IF('CALL SHEET'!$AT$196="","",'CALL SHEET'!$AT$196)</f>
        <v/>
      </c>
      <c r="J196">
        <f>IF('CALL SHEET'!$AX$196="","",'CALL SHEET'!$AX$196)</f>
        <v/>
      </c>
      <c r="K196">
        <f>IF('CALL SHEET'!$N$196="","",'CALL SHEET'!$N$196)</f>
        <v/>
      </c>
      <c r="L196">
        <f>IF('CALL SHEET'!$AE$196="","",'CALL SHEET'!$AE$196)</f>
        <v/>
      </c>
      <c r="M196" t="inlineStr">
        <is>
          <t>TRADE</t>
        </is>
      </c>
      <c r="N196" t="inlineStr">
        <is>
          <t>CALL SHEET · row 196</t>
        </is>
      </c>
    </row>
    <row r="197">
      <c r="A197">
        <f>IF('CALL SHEET'!$A$197="","",'CALL SHEET'!$A$197)</f>
        <v/>
      </c>
      <c r="B197">
        <f>IF('CALL SHEET'!$C$197="","",'CALL SHEET'!$C$197)</f>
        <v/>
      </c>
      <c r="C197">
        <f>'CALL SHEET'!$U$197</f>
        <v/>
      </c>
      <c r="D197">
        <f>'CALL SHEET'!$Y$197</f>
        <v/>
      </c>
      <c r="E197">
        <f>'CALL SHEET'!$AC$197</f>
        <v/>
      </c>
      <c r="F197">
        <f>IF('CALL SHEET'!$V$197="","",'CALL SHEET'!$V$197)</f>
        <v/>
      </c>
      <c r="G197">
        <f>IF('CALL SHEET'!$D$197="","",'CALL SHEET'!$D$197)</f>
        <v/>
      </c>
      <c r="H197">
        <f>IF('CALL SHEET'!$G$197="","",'CALL SHEET'!$G$197)</f>
        <v/>
      </c>
      <c r="I197">
        <f>IF('CALL SHEET'!$AT$197="","",'CALL SHEET'!$AT$197)</f>
        <v/>
      </c>
      <c r="J197">
        <f>IF('CALL SHEET'!$AX$197="","",'CALL SHEET'!$AX$197)</f>
        <v/>
      </c>
      <c r="K197">
        <f>IF('CALL SHEET'!$N$197="","",'CALL SHEET'!$N$197)</f>
        <v/>
      </c>
      <c r="L197">
        <f>IF('CALL SHEET'!$AE$197="","",'CALL SHEET'!$AE$197)</f>
        <v/>
      </c>
      <c r="M197" t="inlineStr">
        <is>
          <t>TRADE</t>
        </is>
      </c>
      <c r="N197" t="inlineStr">
        <is>
          <t>CALL SHEET · row 197</t>
        </is>
      </c>
    </row>
    <row r="198">
      <c r="A198">
        <f>IF('CALL SHEET'!$A$198="","",'CALL SHEET'!$A$198)</f>
        <v/>
      </c>
      <c r="B198">
        <f>IF('CALL SHEET'!$C$198="","",'CALL SHEET'!$C$198)</f>
        <v/>
      </c>
      <c r="C198">
        <f>'CALL SHEET'!$U$198</f>
        <v/>
      </c>
      <c r="D198">
        <f>'CALL SHEET'!$Y$198</f>
        <v/>
      </c>
      <c r="E198">
        <f>'CALL SHEET'!$AC$198</f>
        <v/>
      </c>
      <c r="F198">
        <f>IF('CALL SHEET'!$V$198="","",'CALL SHEET'!$V$198)</f>
        <v/>
      </c>
      <c r="G198">
        <f>IF('CALL SHEET'!$D$198="","",'CALL SHEET'!$D$198)</f>
        <v/>
      </c>
      <c r="H198">
        <f>IF('CALL SHEET'!$G$198="","",'CALL SHEET'!$G$198)</f>
        <v/>
      </c>
      <c r="I198">
        <f>IF('CALL SHEET'!$AT$198="","",'CALL SHEET'!$AT$198)</f>
        <v/>
      </c>
      <c r="J198">
        <f>IF('CALL SHEET'!$AX$198="","",'CALL SHEET'!$AX$198)</f>
        <v/>
      </c>
      <c r="K198">
        <f>IF('CALL SHEET'!$N$198="","",'CALL SHEET'!$N$198)</f>
        <v/>
      </c>
      <c r="L198">
        <f>IF('CALL SHEET'!$AE$198="","",'CALL SHEET'!$AE$198)</f>
        <v/>
      </c>
      <c r="M198" t="inlineStr">
        <is>
          <t>TRADE</t>
        </is>
      </c>
      <c r="N198" t="inlineStr">
        <is>
          <t>CALL SHEET · row 198</t>
        </is>
      </c>
    </row>
    <row r="199">
      <c r="A199">
        <f>IF('CALL SHEET'!$A$199="","",'CALL SHEET'!$A$199)</f>
        <v/>
      </c>
      <c r="B199">
        <f>IF('CALL SHEET'!$C$199="","",'CALL SHEET'!$C$199)</f>
        <v/>
      </c>
      <c r="C199">
        <f>'CALL SHEET'!$U$199</f>
        <v/>
      </c>
      <c r="D199">
        <f>'CALL SHEET'!$Y$199</f>
        <v/>
      </c>
      <c r="E199">
        <f>'CALL SHEET'!$AC$199</f>
        <v/>
      </c>
      <c r="F199">
        <f>IF('CALL SHEET'!$V$199="","",'CALL SHEET'!$V$199)</f>
        <v/>
      </c>
      <c r="G199">
        <f>IF('CALL SHEET'!$D$199="","",'CALL SHEET'!$D$199)</f>
        <v/>
      </c>
      <c r="H199">
        <f>IF('CALL SHEET'!$G$199="","",'CALL SHEET'!$G$199)</f>
        <v/>
      </c>
      <c r="I199">
        <f>IF('CALL SHEET'!$AT$199="","",'CALL SHEET'!$AT$199)</f>
        <v/>
      </c>
      <c r="J199">
        <f>IF('CALL SHEET'!$AX$199="","",'CALL SHEET'!$AX$199)</f>
        <v/>
      </c>
      <c r="K199">
        <f>IF('CALL SHEET'!$N$199="","",'CALL SHEET'!$N$199)</f>
        <v/>
      </c>
      <c r="L199">
        <f>IF('CALL SHEET'!$AE$199="","",'CALL SHEET'!$AE$199)</f>
        <v/>
      </c>
      <c r="M199" t="inlineStr">
        <is>
          <t>TRADE</t>
        </is>
      </c>
      <c r="N199" t="inlineStr">
        <is>
          <t>CALL SHEET · row 199</t>
        </is>
      </c>
    </row>
    <row r="200">
      <c r="A200">
        <f>IF('CALL SHEET'!$A$200="","",'CALL SHEET'!$A$200)</f>
        <v/>
      </c>
      <c r="B200">
        <f>IF('CALL SHEET'!$C$200="","",'CALL SHEET'!$C$200)</f>
        <v/>
      </c>
      <c r="C200">
        <f>'CALL SHEET'!$U$200</f>
        <v/>
      </c>
      <c r="D200">
        <f>'CALL SHEET'!$Y$200</f>
        <v/>
      </c>
      <c r="E200">
        <f>'CALL SHEET'!$AC$200</f>
        <v/>
      </c>
      <c r="F200">
        <f>IF('CALL SHEET'!$V$200="","",'CALL SHEET'!$V$200)</f>
        <v/>
      </c>
      <c r="G200">
        <f>IF('CALL SHEET'!$D$200="","",'CALL SHEET'!$D$200)</f>
        <v/>
      </c>
      <c r="H200">
        <f>IF('CALL SHEET'!$G$200="","",'CALL SHEET'!$G$200)</f>
        <v/>
      </c>
      <c r="I200">
        <f>IF('CALL SHEET'!$AT$200="","",'CALL SHEET'!$AT$200)</f>
        <v/>
      </c>
      <c r="J200">
        <f>IF('CALL SHEET'!$AX$200="","",'CALL SHEET'!$AX$200)</f>
        <v/>
      </c>
      <c r="K200">
        <f>IF('CALL SHEET'!$N$200="","",'CALL SHEET'!$N$200)</f>
        <v/>
      </c>
      <c r="L200">
        <f>IF('CALL SHEET'!$AE$200="","",'CALL SHEET'!$AE$200)</f>
        <v/>
      </c>
      <c r="M200" t="inlineStr">
        <is>
          <t>TRADE</t>
        </is>
      </c>
      <c r="N200" t="inlineStr">
        <is>
          <t>CALL SHEET · row 200</t>
        </is>
      </c>
    </row>
    <row r="201">
      <c r="A201">
        <f>IF('CALL SHEET'!$A$201="","",'CALL SHEET'!$A$201)</f>
        <v/>
      </c>
      <c r="B201">
        <f>IF('CALL SHEET'!$C$201="","",'CALL SHEET'!$C$201)</f>
        <v/>
      </c>
      <c r="C201">
        <f>'CALL SHEET'!$U$201</f>
        <v/>
      </c>
      <c r="D201">
        <f>'CALL SHEET'!$Y$201</f>
        <v/>
      </c>
      <c r="E201">
        <f>'CALL SHEET'!$AC$201</f>
        <v/>
      </c>
      <c r="F201">
        <f>IF('CALL SHEET'!$V$201="","",'CALL SHEET'!$V$201)</f>
        <v/>
      </c>
      <c r="G201">
        <f>IF('CALL SHEET'!$D$201="","",'CALL SHEET'!$D$201)</f>
        <v/>
      </c>
      <c r="H201">
        <f>IF('CALL SHEET'!$G$201="","",'CALL SHEET'!$G$201)</f>
        <v/>
      </c>
      <c r="I201">
        <f>IF('CALL SHEET'!$AT$201="","",'CALL SHEET'!$AT$201)</f>
        <v/>
      </c>
      <c r="J201">
        <f>IF('CALL SHEET'!$AX$201="","",'CALL SHEET'!$AX$201)</f>
        <v/>
      </c>
      <c r="K201">
        <f>IF('CALL SHEET'!$N$201="","",'CALL SHEET'!$N$201)</f>
        <v/>
      </c>
      <c r="L201">
        <f>IF('CALL SHEET'!$AE$201="","",'CALL SHEET'!$AE$201)</f>
        <v/>
      </c>
      <c r="M201" t="inlineStr">
        <is>
          <t>TRADE</t>
        </is>
      </c>
      <c r="N201" t="inlineStr">
        <is>
          <t>CALL SHEET · row 201</t>
        </is>
      </c>
    </row>
    <row r="202">
      <c r="A202">
        <f>IF('CALL SHEET'!$A$202="","",'CALL SHEET'!$A$202)</f>
        <v/>
      </c>
      <c r="B202">
        <f>IF('CALL SHEET'!$C$202="","",'CALL SHEET'!$C$202)</f>
        <v/>
      </c>
      <c r="C202">
        <f>'CALL SHEET'!$U$202</f>
        <v/>
      </c>
      <c r="D202">
        <f>'CALL SHEET'!$Y$202</f>
        <v/>
      </c>
      <c r="E202">
        <f>'CALL SHEET'!$AC$202</f>
        <v/>
      </c>
      <c r="F202">
        <f>IF('CALL SHEET'!$V$202="","",'CALL SHEET'!$V$202)</f>
        <v/>
      </c>
      <c r="G202">
        <f>IF('CALL SHEET'!$D$202="","",'CALL SHEET'!$D$202)</f>
        <v/>
      </c>
      <c r="H202">
        <f>IF('CALL SHEET'!$G$202="","",'CALL SHEET'!$G$202)</f>
        <v/>
      </c>
      <c r="I202">
        <f>IF('CALL SHEET'!$AT$202="","",'CALL SHEET'!$AT$202)</f>
        <v/>
      </c>
      <c r="J202">
        <f>IF('CALL SHEET'!$AX$202="","",'CALL SHEET'!$AX$202)</f>
        <v/>
      </c>
      <c r="K202">
        <f>IF('CALL SHEET'!$N$202="","",'CALL SHEET'!$N$202)</f>
        <v/>
      </c>
      <c r="L202">
        <f>IF('CALL SHEET'!$AE$202="","",'CALL SHEET'!$AE$202)</f>
        <v/>
      </c>
      <c r="M202" t="inlineStr">
        <is>
          <t>TRADE</t>
        </is>
      </c>
      <c r="N202" t="inlineStr">
        <is>
          <t>CALL SHEET · row 202</t>
        </is>
      </c>
    </row>
    <row r="203">
      <c r="A203">
        <f>IF('CALL SHEET'!$A$203="","",'CALL SHEET'!$A$203)</f>
        <v/>
      </c>
      <c r="B203">
        <f>IF('CALL SHEET'!$C$203="","",'CALL SHEET'!$C$203)</f>
        <v/>
      </c>
      <c r="C203">
        <f>'CALL SHEET'!$U$203</f>
        <v/>
      </c>
      <c r="D203">
        <f>'CALL SHEET'!$Y$203</f>
        <v/>
      </c>
      <c r="E203">
        <f>'CALL SHEET'!$AC$203</f>
        <v/>
      </c>
      <c r="F203">
        <f>IF('CALL SHEET'!$V$203="","",'CALL SHEET'!$V$203)</f>
        <v/>
      </c>
      <c r="G203">
        <f>IF('CALL SHEET'!$D$203="","",'CALL SHEET'!$D$203)</f>
        <v/>
      </c>
      <c r="H203">
        <f>IF('CALL SHEET'!$G$203="","",'CALL SHEET'!$G$203)</f>
        <v/>
      </c>
      <c r="I203">
        <f>IF('CALL SHEET'!$AT$203="","",'CALL SHEET'!$AT$203)</f>
        <v/>
      </c>
      <c r="J203">
        <f>IF('CALL SHEET'!$AX$203="","",'CALL SHEET'!$AX$203)</f>
        <v/>
      </c>
      <c r="K203">
        <f>IF('CALL SHEET'!$N$203="","",'CALL SHEET'!$N$203)</f>
        <v/>
      </c>
      <c r="L203">
        <f>IF('CALL SHEET'!$AE$203="","",'CALL SHEET'!$AE$203)</f>
        <v/>
      </c>
      <c r="M203" t="inlineStr">
        <is>
          <t>TRADE</t>
        </is>
      </c>
      <c r="N203" t="inlineStr">
        <is>
          <t>CALL SHEET · row 203</t>
        </is>
      </c>
    </row>
    <row r="204">
      <c r="A204">
        <f>IF('CALL SHEET'!$A$204="","",'CALL SHEET'!$A$204)</f>
        <v/>
      </c>
      <c r="B204">
        <f>IF('CALL SHEET'!$C$204="","",'CALL SHEET'!$C$204)</f>
        <v/>
      </c>
      <c r="C204">
        <f>'CALL SHEET'!$U$204</f>
        <v/>
      </c>
      <c r="D204">
        <f>'CALL SHEET'!$Y$204</f>
        <v/>
      </c>
      <c r="E204">
        <f>'CALL SHEET'!$AC$204</f>
        <v/>
      </c>
      <c r="F204">
        <f>IF('CALL SHEET'!$V$204="","",'CALL SHEET'!$V$204)</f>
        <v/>
      </c>
      <c r="G204">
        <f>IF('CALL SHEET'!$D$204="","",'CALL SHEET'!$D$204)</f>
        <v/>
      </c>
      <c r="H204">
        <f>IF('CALL SHEET'!$G$204="","",'CALL SHEET'!$G$204)</f>
        <v/>
      </c>
      <c r="I204">
        <f>IF('CALL SHEET'!$AT$204="","",'CALL SHEET'!$AT$204)</f>
        <v/>
      </c>
      <c r="J204">
        <f>IF('CALL SHEET'!$AX$204="","",'CALL SHEET'!$AX$204)</f>
        <v/>
      </c>
      <c r="K204">
        <f>IF('CALL SHEET'!$N$204="","",'CALL SHEET'!$N$204)</f>
        <v/>
      </c>
      <c r="L204">
        <f>IF('CALL SHEET'!$AE$204="","",'CALL SHEET'!$AE$204)</f>
        <v/>
      </c>
      <c r="M204" t="inlineStr">
        <is>
          <t>TRADE</t>
        </is>
      </c>
      <c r="N204" t="inlineStr">
        <is>
          <t>CALL SHEET · row 204</t>
        </is>
      </c>
    </row>
    <row r="205">
      <c r="A205">
        <f>IF('CALL SHEET'!$A$205="","",'CALL SHEET'!$A$205)</f>
        <v/>
      </c>
      <c r="B205">
        <f>IF('CALL SHEET'!$C$205="","",'CALL SHEET'!$C$205)</f>
        <v/>
      </c>
      <c r="C205">
        <f>'CALL SHEET'!$U$205</f>
        <v/>
      </c>
      <c r="D205">
        <f>'CALL SHEET'!$Y$205</f>
        <v/>
      </c>
      <c r="E205">
        <f>'CALL SHEET'!$AC$205</f>
        <v/>
      </c>
      <c r="F205">
        <f>IF('CALL SHEET'!$V$205="","",'CALL SHEET'!$V$205)</f>
        <v/>
      </c>
      <c r="G205">
        <f>IF('CALL SHEET'!$D$205="","",'CALL SHEET'!$D$205)</f>
        <v/>
      </c>
      <c r="H205">
        <f>IF('CALL SHEET'!$G$205="","",'CALL SHEET'!$G$205)</f>
        <v/>
      </c>
      <c r="I205">
        <f>IF('CALL SHEET'!$AT$205="","",'CALL SHEET'!$AT$205)</f>
        <v/>
      </c>
      <c r="J205">
        <f>IF('CALL SHEET'!$AX$205="","",'CALL SHEET'!$AX$205)</f>
        <v/>
      </c>
      <c r="K205">
        <f>IF('CALL SHEET'!$N$205="","",'CALL SHEET'!$N$205)</f>
        <v/>
      </c>
      <c r="L205">
        <f>IF('CALL SHEET'!$AE$205="","",'CALL SHEET'!$AE$205)</f>
        <v/>
      </c>
      <c r="M205" t="inlineStr">
        <is>
          <t>TRADE</t>
        </is>
      </c>
      <c r="N205" t="inlineStr">
        <is>
          <t>CALL SHEET · row 205</t>
        </is>
      </c>
    </row>
    <row r="206">
      <c r="A206">
        <f>IF('CALL SHEET'!$A$206="","",'CALL SHEET'!$A$206)</f>
        <v/>
      </c>
      <c r="B206">
        <f>IF('CALL SHEET'!$C$206="","",'CALL SHEET'!$C$206)</f>
        <v/>
      </c>
      <c r="C206">
        <f>'CALL SHEET'!$U$206</f>
        <v/>
      </c>
      <c r="D206">
        <f>'CALL SHEET'!$Y$206</f>
        <v/>
      </c>
      <c r="E206">
        <f>'CALL SHEET'!$AC$206</f>
        <v/>
      </c>
      <c r="F206">
        <f>IF('CALL SHEET'!$V$206="","",'CALL SHEET'!$V$206)</f>
        <v/>
      </c>
      <c r="G206">
        <f>IF('CALL SHEET'!$D$206="","",'CALL SHEET'!$D$206)</f>
        <v/>
      </c>
      <c r="H206">
        <f>IF('CALL SHEET'!$G$206="","",'CALL SHEET'!$G$206)</f>
        <v/>
      </c>
      <c r="I206">
        <f>IF('CALL SHEET'!$AT$206="","",'CALL SHEET'!$AT$206)</f>
        <v/>
      </c>
      <c r="J206">
        <f>IF('CALL SHEET'!$AX$206="","",'CALL SHEET'!$AX$206)</f>
        <v/>
      </c>
      <c r="K206">
        <f>IF('CALL SHEET'!$N$206="","",'CALL SHEET'!$N$206)</f>
        <v/>
      </c>
      <c r="L206">
        <f>IF('CALL SHEET'!$AE$206="","",'CALL SHEET'!$AE$206)</f>
        <v/>
      </c>
      <c r="M206" t="inlineStr">
        <is>
          <t>TRADE</t>
        </is>
      </c>
      <c r="N206" t="inlineStr">
        <is>
          <t>CALL SHEET · row 206</t>
        </is>
      </c>
    </row>
    <row r="207">
      <c r="A207">
        <f>IF('CALL SHEET'!$A$207="","",'CALL SHEET'!$A$207)</f>
        <v/>
      </c>
      <c r="B207">
        <f>IF('CALL SHEET'!$C$207="","",'CALL SHEET'!$C$207)</f>
        <v/>
      </c>
      <c r="C207">
        <f>'CALL SHEET'!$U$207</f>
        <v/>
      </c>
      <c r="D207">
        <f>'CALL SHEET'!$Y$207</f>
        <v/>
      </c>
      <c r="E207">
        <f>'CALL SHEET'!$AC$207</f>
        <v/>
      </c>
      <c r="F207">
        <f>IF('CALL SHEET'!$V$207="","",'CALL SHEET'!$V$207)</f>
        <v/>
      </c>
      <c r="G207">
        <f>IF('CALL SHEET'!$D$207="","",'CALL SHEET'!$D$207)</f>
        <v/>
      </c>
      <c r="H207">
        <f>IF('CALL SHEET'!$G$207="","",'CALL SHEET'!$G$207)</f>
        <v/>
      </c>
      <c r="I207">
        <f>IF('CALL SHEET'!$AT$207="","",'CALL SHEET'!$AT$207)</f>
        <v/>
      </c>
      <c r="J207">
        <f>IF('CALL SHEET'!$AX$207="","",'CALL SHEET'!$AX$207)</f>
        <v/>
      </c>
      <c r="K207">
        <f>IF('CALL SHEET'!$N$207="","",'CALL SHEET'!$N$207)</f>
        <v/>
      </c>
      <c r="L207">
        <f>IF('CALL SHEET'!$AE$207="","",'CALL SHEET'!$AE$207)</f>
        <v/>
      </c>
      <c r="M207" t="inlineStr">
        <is>
          <t>TRADE</t>
        </is>
      </c>
      <c r="N207" t="inlineStr">
        <is>
          <t>CALL SHEET · row 207</t>
        </is>
      </c>
    </row>
    <row r="208">
      <c r="A208">
        <f>IF('CALL SHEET'!$A$208="","",'CALL SHEET'!$A$208)</f>
        <v/>
      </c>
      <c r="B208">
        <f>IF('CALL SHEET'!$C$208="","",'CALL SHEET'!$C$208)</f>
        <v/>
      </c>
      <c r="C208">
        <f>'CALL SHEET'!$U$208</f>
        <v/>
      </c>
      <c r="D208">
        <f>'CALL SHEET'!$Y$208</f>
        <v/>
      </c>
      <c r="E208">
        <f>'CALL SHEET'!$AC$208</f>
        <v/>
      </c>
      <c r="F208">
        <f>IF('CALL SHEET'!$V$208="","",'CALL SHEET'!$V$208)</f>
        <v/>
      </c>
      <c r="G208">
        <f>IF('CALL SHEET'!$D$208="","",'CALL SHEET'!$D$208)</f>
        <v/>
      </c>
      <c r="H208">
        <f>IF('CALL SHEET'!$G$208="","",'CALL SHEET'!$G$208)</f>
        <v/>
      </c>
      <c r="I208">
        <f>IF('CALL SHEET'!$AT$208="","",'CALL SHEET'!$AT$208)</f>
        <v/>
      </c>
      <c r="J208">
        <f>IF('CALL SHEET'!$AX$208="","",'CALL SHEET'!$AX$208)</f>
        <v/>
      </c>
      <c r="K208">
        <f>IF('CALL SHEET'!$N$208="","",'CALL SHEET'!$N$208)</f>
        <v/>
      </c>
      <c r="L208">
        <f>IF('CALL SHEET'!$AE$208="","",'CALL SHEET'!$AE$208)</f>
        <v/>
      </c>
      <c r="M208" t="inlineStr">
        <is>
          <t>TRADE</t>
        </is>
      </c>
      <c r="N208" t="inlineStr">
        <is>
          <t>CALL SHEET · row 208</t>
        </is>
      </c>
    </row>
    <row r="209">
      <c r="A209">
        <f>IF('CALL SHEET'!$A$209="","",'CALL SHEET'!$A$209)</f>
        <v/>
      </c>
      <c r="B209">
        <f>IF('CALL SHEET'!$C$209="","",'CALL SHEET'!$C$209)</f>
        <v/>
      </c>
      <c r="C209">
        <f>'CALL SHEET'!$U$209</f>
        <v/>
      </c>
      <c r="D209">
        <f>'CALL SHEET'!$Y$209</f>
        <v/>
      </c>
      <c r="E209">
        <f>'CALL SHEET'!$AC$209</f>
        <v/>
      </c>
      <c r="F209">
        <f>IF('CALL SHEET'!$V$209="","",'CALL SHEET'!$V$209)</f>
        <v/>
      </c>
      <c r="G209">
        <f>IF('CALL SHEET'!$D$209="","",'CALL SHEET'!$D$209)</f>
        <v/>
      </c>
      <c r="H209">
        <f>IF('CALL SHEET'!$G$209="","",'CALL SHEET'!$G$209)</f>
        <v/>
      </c>
      <c r="I209">
        <f>IF('CALL SHEET'!$AT$209="","",'CALL SHEET'!$AT$209)</f>
        <v/>
      </c>
      <c r="J209">
        <f>IF('CALL SHEET'!$AX$209="","",'CALL SHEET'!$AX$209)</f>
        <v/>
      </c>
      <c r="K209">
        <f>IF('CALL SHEET'!$N$209="","",'CALL SHEET'!$N$209)</f>
        <v/>
      </c>
      <c r="L209">
        <f>IF('CALL SHEET'!$AE$209="","",'CALL SHEET'!$AE$209)</f>
        <v/>
      </c>
      <c r="M209" t="inlineStr">
        <is>
          <t>TRADE</t>
        </is>
      </c>
      <c r="N209" t="inlineStr">
        <is>
          <t>CALL SHEET · row 209</t>
        </is>
      </c>
    </row>
    <row r="210">
      <c r="A210">
        <f>IF('CALL SHEET'!$A$210="","",'CALL SHEET'!$A$210)</f>
        <v/>
      </c>
      <c r="B210">
        <f>IF('CALL SHEET'!$C$210="","",'CALL SHEET'!$C$210)</f>
        <v/>
      </c>
      <c r="C210">
        <f>'CALL SHEET'!$U$210</f>
        <v/>
      </c>
      <c r="D210">
        <f>'CALL SHEET'!$Y$210</f>
        <v/>
      </c>
      <c r="E210">
        <f>'CALL SHEET'!$AC$210</f>
        <v/>
      </c>
      <c r="F210">
        <f>IF('CALL SHEET'!$V$210="","",'CALL SHEET'!$V$210)</f>
        <v/>
      </c>
      <c r="G210">
        <f>IF('CALL SHEET'!$D$210="","",'CALL SHEET'!$D$210)</f>
        <v/>
      </c>
      <c r="H210">
        <f>IF('CALL SHEET'!$G$210="","",'CALL SHEET'!$G$210)</f>
        <v/>
      </c>
      <c r="I210">
        <f>IF('CALL SHEET'!$AT$210="","",'CALL SHEET'!$AT$210)</f>
        <v/>
      </c>
      <c r="J210">
        <f>IF('CALL SHEET'!$AX$210="","",'CALL SHEET'!$AX$210)</f>
        <v/>
      </c>
      <c r="K210">
        <f>IF('CALL SHEET'!$N$210="","",'CALL SHEET'!$N$210)</f>
        <v/>
      </c>
      <c r="L210">
        <f>IF('CALL SHEET'!$AE$210="","",'CALL SHEET'!$AE$210)</f>
        <v/>
      </c>
      <c r="M210" t="inlineStr">
        <is>
          <t>TRADE</t>
        </is>
      </c>
      <c r="N210" t="inlineStr">
        <is>
          <t>CALL SHEET · row 210</t>
        </is>
      </c>
    </row>
    <row r="211">
      <c r="A211">
        <f>IF('CALL SHEET'!$A$211="","",'CALL SHEET'!$A$211)</f>
        <v/>
      </c>
      <c r="B211">
        <f>IF('CALL SHEET'!$C$211="","",'CALL SHEET'!$C$211)</f>
        <v/>
      </c>
      <c r="C211">
        <f>'CALL SHEET'!$U$211</f>
        <v/>
      </c>
      <c r="D211">
        <f>'CALL SHEET'!$Y$211</f>
        <v/>
      </c>
      <c r="E211">
        <f>'CALL SHEET'!$AC$211</f>
        <v/>
      </c>
      <c r="F211">
        <f>IF('CALL SHEET'!$V$211="","",'CALL SHEET'!$V$211)</f>
        <v/>
      </c>
      <c r="G211">
        <f>IF('CALL SHEET'!$D$211="","",'CALL SHEET'!$D$211)</f>
        <v/>
      </c>
      <c r="H211">
        <f>IF('CALL SHEET'!$G$211="","",'CALL SHEET'!$G$211)</f>
        <v/>
      </c>
      <c r="I211">
        <f>IF('CALL SHEET'!$AT$211="","",'CALL SHEET'!$AT$211)</f>
        <v/>
      </c>
      <c r="J211">
        <f>IF('CALL SHEET'!$AX$211="","",'CALL SHEET'!$AX$211)</f>
        <v/>
      </c>
      <c r="K211">
        <f>IF('CALL SHEET'!$N$211="","",'CALL SHEET'!$N$211)</f>
        <v/>
      </c>
      <c r="L211">
        <f>IF('CALL SHEET'!$AE$211="","",'CALL SHEET'!$AE$211)</f>
        <v/>
      </c>
      <c r="M211" t="inlineStr">
        <is>
          <t>TRADE</t>
        </is>
      </c>
      <c r="N211" t="inlineStr">
        <is>
          <t>CALL SHEET · row 211</t>
        </is>
      </c>
    </row>
    <row r="212">
      <c r="A212">
        <f>IF('CALL SHEET'!$A$212="","",'CALL SHEET'!$A$212)</f>
        <v/>
      </c>
      <c r="B212">
        <f>IF('CALL SHEET'!$C$212="","",'CALL SHEET'!$C$212)</f>
        <v/>
      </c>
      <c r="C212">
        <f>'CALL SHEET'!$U$212</f>
        <v/>
      </c>
      <c r="D212">
        <f>'CALL SHEET'!$Y$212</f>
        <v/>
      </c>
      <c r="E212">
        <f>'CALL SHEET'!$AC$212</f>
        <v/>
      </c>
      <c r="F212">
        <f>IF('CALL SHEET'!$V$212="","",'CALL SHEET'!$V$212)</f>
        <v/>
      </c>
      <c r="G212">
        <f>IF('CALL SHEET'!$D$212="","",'CALL SHEET'!$D$212)</f>
        <v/>
      </c>
      <c r="H212">
        <f>IF('CALL SHEET'!$G$212="","",'CALL SHEET'!$G$212)</f>
        <v/>
      </c>
      <c r="I212">
        <f>IF('CALL SHEET'!$AT$212="","",'CALL SHEET'!$AT$212)</f>
        <v/>
      </c>
      <c r="J212">
        <f>IF('CALL SHEET'!$AX$212="","",'CALL SHEET'!$AX$212)</f>
        <v/>
      </c>
      <c r="K212">
        <f>IF('CALL SHEET'!$N$212="","",'CALL SHEET'!$N$212)</f>
        <v/>
      </c>
      <c r="L212">
        <f>IF('CALL SHEET'!$AE$212="","",'CALL SHEET'!$AE$212)</f>
        <v/>
      </c>
      <c r="M212" t="inlineStr">
        <is>
          <t>TRADE</t>
        </is>
      </c>
      <c r="N212" t="inlineStr">
        <is>
          <t>CALL SHEET · row 212</t>
        </is>
      </c>
    </row>
    <row r="213">
      <c r="A213">
        <f>IF('CALL SHEET'!$A$213="","",'CALL SHEET'!$A$213)</f>
        <v/>
      </c>
      <c r="B213">
        <f>IF('CALL SHEET'!$C$213="","",'CALL SHEET'!$C$213)</f>
        <v/>
      </c>
      <c r="C213">
        <f>'CALL SHEET'!$U$213</f>
        <v/>
      </c>
      <c r="D213">
        <f>'CALL SHEET'!$Y$213</f>
        <v/>
      </c>
      <c r="E213">
        <f>'CALL SHEET'!$AC$213</f>
        <v/>
      </c>
      <c r="F213">
        <f>IF('CALL SHEET'!$V$213="","",'CALL SHEET'!$V$213)</f>
        <v/>
      </c>
      <c r="G213">
        <f>IF('CALL SHEET'!$D$213="","",'CALL SHEET'!$D$213)</f>
        <v/>
      </c>
      <c r="H213">
        <f>IF('CALL SHEET'!$G$213="","",'CALL SHEET'!$G$213)</f>
        <v/>
      </c>
      <c r="I213">
        <f>IF('CALL SHEET'!$AT$213="","",'CALL SHEET'!$AT$213)</f>
        <v/>
      </c>
      <c r="J213">
        <f>IF('CALL SHEET'!$AX$213="","",'CALL SHEET'!$AX$213)</f>
        <v/>
      </c>
      <c r="K213">
        <f>IF('CALL SHEET'!$N$213="","",'CALL SHEET'!$N$213)</f>
        <v/>
      </c>
      <c r="L213">
        <f>IF('CALL SHEET'!$AE$213="","",'CALL SHEET'!$AE$213)</f>
        <v/>
      </c>
      <c r="M213" t="inlineStr">
        <is>
          <t>TRADE</t>
        </is>
      </c>
      <c r="N213" t="inlineStr">
        <is>
          <t>CALL SHEET · row 213</t>
        </is>
      </c>
    </row>
    <row r="214">
      <c r="A214">
        <f>IF('CALL SHEET'!$A$214="","",'CALL SHEET'!$A$214)</f>
        <v/>
      </c>
      <c r="B214">
        <f>IF('CALL SHEET'!$C$214="","",'CALL SHEET'!$C$214)</f>
        <v/>
      </c>
      <c r="C214">
        <f>'CALL SHEET'!$U$214</f>
        <v/>
      </c>
      <c r="D214">
        <f>'CALL SHEET'!$Y$214</f>
        <v/>
      </c>
      <c r="E214">
        <f>'CALL SHEET'!$AC$214</f>
        <v/>
      </c>
      <c r="F214">
        <f>IF('CALL SHEET'!$V$214="","",'CALL SHEET'!$V$214)</f>
        <v/>
      </c>
      <c r="G214">
        <f>IF('CALL SHEET'!$D$214="","",'CALL SHEET'!$D$214)</f>
        <v/>
      </c>
      <c r="H214">
        <f>IF('CALL SHEET'!$G$214="","",'CALL SHEET'!$G$214)</f>
        <v/>
      </c>
      <c r="I214">
        <f>IF('CALL SHEET'!$AT$214="","",'CALL SHEET'!$AT$214)</f>
        <v/>
      </c>
      <c r="J214">
        <f>IF('CALL SHEET'!$AX$214="","",'CALL SHEET'!$AX$214)</f>
        <v/>
      </c>
      <c r="K214">
        <f>IF('CALL SHEET'!$N$214="","",'CALL SHEET'!$N$214)</f>
        <v/>
      </c>
      <c r="L214">
        <f>IF('CALL SHEET'!$AE$214="","",'CALL SHEET'!$AE$214)</f>
        <v/>
      </c>
      <c r="M214" t="inlineStr">
        <is>
          <t>TRADE</t>
        </is>
      </c>
      <c r="N214" t="inlineStr">
        <is>
          <t>CALL SHEET · row 214</t>
        </is>
      </c>
    </row>
    <row r="215">
      <c r="A215">
        <f>IF('CALL SHEET'!$A$215="","",'CALL SHEET'!$A$215)</f>
        <v/>
      </c>
      <c r="B215">
        <f>IF('CALL SHEET'!$C$215="","",'CALL SHEET'!$C$215)</f>
        <v/>
      </c>
      <c r="C215">
        <f>'CALL SHEET'!$U$215</f>
        <v/>
      </c>
      <c r="D215">
        <f>'CALL SHEET'!$Y$215</f>
        <v/>
      </c>
      <c r="E215">
        <f>'CALL SHEET'!$AC$215</f>
        <v/>
      </c>
      <c r="F215">
        <f>IF('CALL SHEET'!$V$215="","",'CALL SHEET'!$V$215)</f>
        <v/>
      </c>
      <c r="G215">
        <f>IF('CALL SHEET'!$D$215="","",'CALL SHEET'!$D$215)</f>
        <v/>
      </c>
      <c r="H215">
        <f>IF('CALL SHEET'!$G$215="","",'CALL SHEET'!$G$215)</f>
        <v/>
      </c>
      <c r="I215">
        <f>IF('CALL SHEET'!$AT$215="","",'CALL SHEET'!$AT$215)</f>
        <v/>
      </c>
      <c r="J215">
        <f>IF('CALL SHEET'!$AX$215="","",'CALL SHEET'!$AX$215)</f>
        <v/>
      </c>
      <c r="K215">
        <f>IF('CALL SHEET'!$N$215="","",'CALL SHEET'!$N$215)</f>
        <v/>
      </c>
      <c r="L215">
        <f>IF('CALL SHEET'!$AE$215="","",'CALL SHEET'!$AE$215)</f>
        <v/>
      </c>
      <c r="M215" t="inlineStr">
        <is>
          <t>TRADE</t>
        </is>
      </c>
      <c r="N215" t="inlineStr">
        <is>
          <t>CALL SHEET · row 215</t>
        </is>
      </c>
    </row>
    <row r="216">
      <c r="A216">
        <f>IF('CALL SHEET'!$A$216="","",'CALL SHEET'!$A$216)</f>
        <v/>
      </c>
      <c r="B216">
        <f>IF('CALL SHEET'!$C$216="","",'CALL SHEET'!$C$216)</f>
        <v/>
      </c>
      <c r="C216">
        <f>'CALL SHEET'!$U$216</f>
        <v/>
      </c>
      <c r="D216">
        <f>'CALL SHEET'!$Y$216</f>
        <v/>
      </c>
      <c r="E216">
        <f>'CALL SHEET'!$AC$216</f>
        <v/>
      </c>
      <c r="F216">
        <f>IF('CALL SHEET'!$V$216="","",'CALL SHEET'!$V$216)</f>
        <v/>
      </c>
      <c r="G216">
        <f>IF('CALL SHEET'!$D$216="","",'CALL SHEET'!$D$216)</f>
        <v/>
      </c>
      <c r="H216">
        <f>IF('CALL SHEET'!$G$216="","",'CALL SHEET'!$G$216)</f>
        <v/>
      </c>
      <c r="I216">
        <f>IF('CALL SHEET'!$AT$216="","",'CALL SHEET'!$AT$216)</f>
        <v/>
      </c>
      <c r="J216">
        <f>IF('CALL SHEET'!$AX$216="","",'CALL SHEET'!$AX$216)</f>
        <v/>
      </c>
      <c r="K216">
        <f>IF('CALL SHEET'!$N$216="","",'CALL SHEET'!$N$216)</f>
        <v/>
      </c>
      <c r="L216">
        <f>IF('CALL SHEET'!$AE$216="","",'CALL SHEET'!$AE$216)</f>
        <v/>
      </c>
      <c r="M216" t="inlineStr">
        <is>
          <t>TRADE</t>
        </is>
      </c>
      <c r="N216" t="inlineStr">
        <is>
          <t>CALL SHEET · row 216</t>
        </is>
      </c>
    </row>
    <row r="217">
      <c r="A217">
        <f>IF('CALL SHEET'!$A$217="","",'CALL SHEET'!$A$217)</f>
        <v/>
      </c>
      <c r="B217">
        <f>IF('CALL SHEET'!$C$217="","",'CALL SHEET'!$C$217)</f>
        <v/>
      </c>
      <c r="C217">
        <f>'CALL SHEET'!$U$217</f>
        <v/>
      </c>
      <c r="D217">
        <f>'CALL SHEET'!$Y$217</f>
        <v/>
      </c>
      <c r="E217">
        <f>'CALL SHEET'!$AC$217</f>
        <v/>
      </c>
      <c r="F217">
        <f>IF('CALL SHEET'!$V$217="","",'CALL SHEET'!$V$217)</f>
        <v/>
      </c>
      <c r="G217">
        <f>IF('CALL SHEET'!$D$217="","",'CALL SHEET'!$D$217)</f>
        <v/>
      </c>
      <c r="H217">
        <f>IF('CALL SHEET'!$G$217="","",'CALL SHEET'!$G$217)</f>
        <v/>
      </c>
      <c r="I217">
        <f>IF('CALL SHEET'!$AT$217="","",'CALL SHEET'!$AT$217)</f>
        <v/>
      </c>
      <c r="J217">
        <f>IF('CALL SHEET'!$AX$217="","",'CALL SHEET'!$AX$217)</f>
        <v/>
      </c>
      <c r="K217">
        <f>IF('CALL SHEET'!$N$217="","",'CALL SHEET'!$N$217)</f>
        <v/>
      </c>
      <c r="L217">
        <f>IF('CALL SHEET'!$AE$217="","",'CALL SHEET'!$AE$217)</f>
        <v/>
      </c>
      <c r="M217" t="inlineStr">
        <is>
          <t>TRADE</t>
        </is>
      </c>
      <c r="N217" t="inlineStr">
        <is>
          <t>CALL SHEET · row 217</t>
        </is>
      </c>
    </row>
    <row r="218">
      <c r="A218">
        <f>IF('CALL SHEET'!$A$218="","",'CALL SHEET'!$A$218)</f>
        <v/>
      </c>
      <c r="B218">
        <f>IF('CALL SHEET'!$C$218="","",'CALL SHEET'!$C$218)</f>
        <v/>
      </c>
      <c r="C218">
        <f>'CALL SHEET'!$U$218</f>
        <v/>
      </c>
      <c r="D218">
        <f>'CALL SHEET'!$Y$218</f>
        <v/>
      </c>
      <c r="E218">
        <f>'CALL SHEET'!$AC$218</f>
        <v/>
      </c>
      <c r="F218">
        <f>IF('CALL SHEET'!$V$218="","",'CALL SHEET'!$V$218)</f>
        <v/>
      </c>
      <c r="G218">
        <f>IF('CALL SHEET'!$D$218="","",'CALL SHEET'!$D$218)</f>
        <v/>
      </c>
      <c r="H218">
        <f>IF('CALL SHEET'!$G$218="","",'CALL SHEET'!$G$218)</f>
        <v/>
      </c>
      <c r="I218">
        <f>IF('CALL SHEET'!$AT$218="","",'CALL SHEET'!$AT$218)</f>
        <v/>
      </c>
      <c r="J218">
        <f>IF('CALL SHEET'!$AX$218="","",'CALL SHEET'!$AX$218)</f>
        <v/>
      </c>
      <c r="K218">
        <f>IF('CALL SHEET'!$N$218="","",'CALL SHEET'!$N$218)</f>
        <v/>
      </c>
      <c r="L218">
        <f>IF('CALL SHEET'!$AE$218="","",'CALL SHEET'!$AE$218)</f>
        <v/>
      </c>
      <c r="M218" t="inlineStr">
        <is>
          <t>TRADE</t>
        </is>
      </c>
      <c r="N218" t="inlineStr">
        <is>
          <t>CALL SHEET · row 218</t>
        </is>
      </c>
    </row>
    <row r="219">
      <c r="A219">
        <f>IF('CALL SHEET'!$A$219="","",'CALL SHEET'!$A$219)</f>
        <v/>
      </c>
      <c r="B219">
        <f>IF('CALL SHEET'!$C$219="","",'CALL SHEET'!$C$219)</f>
        <v/>
      </c>
      <c r="C219">
        <f>'CALL SHEET'!$U$219</f>
        <v/>
      </c>
      <c r="D219">
        <f>'CALL SHEET'!$Y$219</f>
        <v/>
      </c>
      <c r="E219">
        <f>'CALL SHEET'!$AC$219</f>
        <v/>
      </c>
      <c r="F219">
        <f>IF('CALL SHEET'!$V$219="","",'CALL SHEET'!$V$219)</f>
        <v/>
      </c>
      <c r="G219">
        <f>IF('CALL SHEET'!$D$219="","",'CALL SHEET'!$D$219)</f>
        <v/>
      </c>
      <c r="H219">
        <f>IF('CALL SHEET'!$G$219="","",'CALL SHEET'!$G$219)</f>
        <v/>
      </c>
      <c r="I219">
        <f>IF('CALL SHEET'!$AT$219="","",'CALL SHEET'!$AT$219)</f>
        <v/>
      </c>
      <c r="J219">
        <f>IF('CALL SHEET'!$AX$219="","",'CALL SHEET'!$AX$219)</f>
        <v/>
      </c>
      <c r="K219">
        <f>IF('CALL SHEET'!$N$219="","",'CALL SHEET'!$N$219)</f>
        <v/>
      </c>
      <c r="L219">
        <f>IF('CALL SHEET'!$AE$219="","",'CALL SHEET'!$AE$219)</f>
        <v/>
      </c>
      <c r="M219" t="inlineStr">
        <is>
          <t>TRADE</t>
        </is>
      </c>
      <c r="N219" t="inlineStr">
        <is>
          <t>CALL SHEET · row 219</t>
        </is>
      </c>
    </row>
    <row r="220">
      <c r="A220">
        <f>IF('CALL SHEET'!$A$220="","",'CALL SHEET'!$A$220)</f>
        <v/>
      </c>
      <c r="B220">
        <f>IF('CALL SHEET'!$C$220="","",'CALL SHEET'!$C$220)</f>
        <v/>
      </c>
      <c r="C220">
        <f>'CALL SHEET'!$U$220</f>
        <v/>
      </c>
      <c r="D220">
        <f>'CALL SHEET'!$Y$220</f>
        <v/>
      </c>
      <c r="E220">
        <f>'CALL SHEET'!$AC$220</f>
        <v/>
      </c>
      <c r="F220">
        <f>IF('CALL SHEET'!$V$220="","",'CALL SHEET'!$V$220)</f>
        <v/>
      </c>
      <c r="G220">
        <f>IF('CALL SHEET'!$D$220="","",'CALL SHEET'!$D$220)</f>
        <v/>
      </c>
      <c r="H220">
        <f>IF('CALL SHEET'!$G$220="","",'CALL SHEET'!$G$220)</f>
        <v/>
      </c>
      <c r="I220">
        <f>IF('CALL SHEET'!$AT$220="","",'CALL SHEET'!$AT$220)</f>
        <v/>
      </c>
      <c r="J220">
        <f>IF('CALL SHEET'!$AX$220="","",'CALL SHEET'!$AX$220)</f>
        <v/>
      </c>
      <c r="K220">
        <f>IF('CALL SHEET'!$N$220="","",'CALL SHEET'!$N$220)</f>
        <v/>
      </c>
      <c r="L220">
        <f>IF('CALL SHEET'!$AE$220="","",'CALL SHEET'!$AE$220)</f>
        <v/>
      </c>
      <c r="M220" t="inlineStr">
        <is>
          <t>TRADE</t>
        </is>
      </c>
      <c r="N220" t="inlineStr">
        <is>
          <t>CALL SHEET · row 220</t>
        </is>
      </c>
    </row>
    <row r="221">
      <c r="A221">
        <f>IF('CALL SHEET'!$A$221="","",'CALL SHEET'!$A$221)</f>
        <v/>
      </c>
      <c r="B221">
        <f>IF('CALL SHEET'!$C$221="","",'CALL SHEET'!$C$221)</f>
        <v/>
      </c>
      <c r="C221">
        <f>'CALL SHEET'!$U$221</f>
        <v/>
      </c>
      <c r="D221">
        <f>'CALL SHEET'!$Y$221</f>
        <v/>
      </c>
      <c r="E221">
        <f>'CALL SHEET'!$AC$221</f>
        <v/>
      </c>
      <c r="F221">
        <f>IF('CALL SHEET'!$V$221="","",'CALL SHEET'!$V$221)</f>
        <v/>
      </c>
      <c r="G221">
        <f>IF('CALL SHEET'!$D$221="","",'CALL SHEET'!$D$221)</f>
        <v/>
      </c>
      <c r="H221">
        <f>IF('CALL SHEET'!$G$221="","",'CALL SHEET'!$G$221)</f>
        <v/>
      </c>
      <c r="I221">
        <f>IF('CALL SHEET'!$AT$221="","",'CALL SHEET'!$AT$221)</f>
        <v/>
      </c>
      <c r="J221">
        <f>IF('CALL SHEET'!$AX$221="","",'CALL SHEET'!$AX$221)</f>
        <v/>
      </c>
      <c r="K221">
        <f>IF('CALL SHEET'!$N$221="","",'CALL SHEET'!$N$221)</f>
        <v/>
      </c>
      <c r="L221">
        <f>IF('CALL SHEET'!$AE$221="","",'CALL SHEET'!$AE$221)</f>
        <v/>
      </c>
      <c r="M221" t="inlineStr">
        <is>
          <t>TRADE</t>
        </is>
      </c>
      <c r="N221" t="inlineStr">
        <is>
          <t>CALL SHEET · row 221</t>
        </is>
      </c>
    </row>
    <row r="222">
      <c r="A222">
        <f>IF('CALL SHEET'!$A$222="","",'CALL SHEET'!$A$222)</f>
        <v/>
      </c>
      <c r="B222">
        <f>IF('CALL SHEET'!$C$222="","",'CALL SHEET'!$C$222)</f>
        <v/>
      </c>
      <c r="C222">
        <f>'CALL SHEET'!$U$222</f>
        <v/>
      </c>
      <c r="D222">
        <f>'CALL SHEET'!$Y$222</f>
        <v/>
      </c>
      <c r="E222">
        <f>'CALL SHEET'!$AC$222</f>
        <v/>
      </c>
      <c r="F222">
        <f>IF('CALL SHEET'!$V$222="","",'CALL SHEET'!$V$222)</f>
        <v/>
      </c>
      <c r="G222">
        <f>IF('CALL SHEET'!$D$222="","",'CALL SHEET'!$D$222)</f>
        <v/>
      </c>
      <c r="H222">
        <f>IF('CALL SHEET'!$G$222="","",'CALL SHEET'!$G$222)</f>
        <v/>
      </c>
      <c r="I222">
        <f>IF('CALL SHEET'!$AT$222="","",'CALL SHEET'!$AT$222)</f>
        <v/>
      </c>
      <c r="J222">
        <f>IF('CALL SHEET'!$AX$222="","",'CALL SHEET'!$AX$222)</f>
        <v/>
      </c>
      <c r="K222">
        <f>IF('CALL SHEET'!$N$222="","",'CALL SHEET'!$N$222)</f>
        <v/>
      </c>
      <c r="L222">
        <f>IF('CALL SHEET'!$AE$222="","",'CALL SHEET'!$AE$222)</f>
        <v/>
      </c>
      <c r="M222" t="inlineStr">
        <is>
          <t>TRADE</t>
        </is>
      </c>
      <c r="N222" t="inlineStr">
        <is>
          <t>CALL SHEET · row 222</t>
        </is>
      </c>
    </row>
    <row r="223">
      <c r="A223">
        <f>IF('CALL SHEET'!$A$223="","",'CALL SHEET'!$A$223)</f>
        <v/>
      </c>
      <c r="B223">
        <f>IF('CALL SHEET'!$C$223="","",'CALL SHEET'!$C$223)</f>
        <v/>
      </c>
      <c r="C223">
        <f>'CALL SHEET'!$U$223</f>
        <v/>
      </c>
      <c r="D223">
        <f>'CALL SHEET'!$Y$223</f>
        <v/>
      </c>
      <c r="E223">
        <f>'CALL SHEET'!$AC$223</f>
        <v/>
      </c>
      <c r="F223">
        <f>IF('CALL SHEET'!$V$223="","",'CALL SHEET'!$V$223)</f>
        <v/>
      </c>
      <c r="G223">
        <f>IF('CALL SHEET'!$D$223="","",'CALL SHEET'!$D$223)</f>
        <v/>
      </c>
      <c r="H223">
        <f>IF('CALL SHEET'!$G$223="","",'CALL SHEET'!$G$223)</f>
        <v/>
      </c>
      <c r="I223">
        <f>IF('CALL SHEET'!$AT$223="","",'CALL SHEET'!$AT$223)</f>
        <v/>
      </c>
      <c r="J223">
        <f>IF('CALL SHEET'!$AX$223="","",'CALL SHEET'!$AX$223)</f>
        <v/>
      </c>
      <c r="K223">
        <f>IF('CALL SHEET'!$N$223="","",'CALL SHEET'!$N$223)</f>
        <v/>
      </c>
      <c r="L223">
        <f>IF('CALL SHEET'!$AE$223="","",'CALL SHEET'!$AE$223)</f>
        <v/>
      </c>
      <c r="M223" t="inlineStr">
        <is>
          <t>TRADE</t>
        </is>
      </c>
      <c r="N223" t="inlineStr">
        <is>
          <t>CALL SHEET · row 223</t>
        </is>
      </c>
    </row>
    <row r="224">
      <c r="A224">
        <f>IF('CALL SHEET'!$A$224="","",'CALL SHEET'!$A$224)</f>
        <v/>
      </c>
      <c r="B224">
        <f>IF('CALL SHEET'!$C$224="","",'CALL SHEET'!$C$224)</f>
        <v/>
      </c>
      <c r="C224">
        <f>'CALL SHEET'!$U$224</f>
        <v/>
      </c>
      <c r="D224">
        <f>'CALL SHEET'!$Y$224</f>
        <v/>
      </c>
      <c r="E224">
        <f>'CALL SHEET'!$AC$224</f>
        <v/>
      </c>
      <c r="F224">
        <f>IF('CALL SHEET'!$V$224="","",'CALL SHEET'!$V$224)</f>
        <v/>
      </c>
      <c r="G224">
        <f>IF('CALL SHEET'!$D$224="","",'CALL SHEET'!$D$224)</f>
        <v/>
      </c>
      <c r="H224">
        <f>IF('CALL SHEET'!$G$224="","",'CALL SHEET'!$G$224)</f>
        <v/>
      </c>
      <c r="I224">
        <f>IF('CALL SHEET'!$AT$224="","",'CALL SHEET'!$AT$224)</f>
        <v/>
      </c>
      <c r="J224">
        <f>IF('CALL SHEET'!$AX$224="","",'CALL SHEET'!$AX$224)</f>
        <v/>
      </c>
      <c r="K224">
        <f>IF('CALL SHEET'!$N$224="","",'CALL SHEET'!$N$224)</f>
        <v/>
      </c>
      <c r="L224">
        <f>IF('CALL SHEET'!$AE$224="","",'CALL SHEET'!$AE$224)</f>
        <v/>
      </c>
      <c r="M224" t="inlineStr">
        <is>
          <t>TRADE</t>
        </is>
      </c>
      <c r="N224" t="inlineStr">
        <is>
          <t>CALL SHEET · row 224</t>
        </is>
      </c>
    </row>
    <row r="225">
      <c r="A225">
        <f>IF('CALL SHEET'!$A$225="","",'CALL SHEET'!$A$225)</f>
        <v/>
      </c>
      <c r="B225">
        <f>IF('CALL SHEET'!$C$225="","",'CALL SHEET'!$C$225)</f>
        <v/>
      </c>
      <c r="C225">
        <f>'CALL SHEET'!$U$225</f>
        <v/>
      </c>
      <c r="D225">
        <f>'CALL SHEET'!$Y$225</f>
        <v/>
      </c>
      <c r="E225">
        <f>'CALL SHEET'!$AC$225</f>
        <v/>
      </c>
      <c r="F225">
        <f>IF('CALL SHEET'!$V$225="","",'CALL SHEET'!$V$225)</f>
        <v/>
      </c>
      <c r="G225">
        <f>IF('CALL SHEET'!$D$225="","",'CALL SHEET'!$D$225)</f>
        <v/>
      </c>
      <c r="H225">
        <f>IF('CALL SHEET'!$G$225="","",'CALL SHEET'!$G$225)</f>
        <v/>
      </c>
      <c r="I225">
        <f>IF('CALL SHEET'!$AT$225="","",'CALL SHEET'!$AT$225)</f>
        <v/>
      </c>
      <c r="J225">
        <f>IF('CALL SHEET'!$AX$225="","",'CALL SHEET'!$AX$225)</f>
        <v/>
      </c>
      <c r="K225">
        <f>IF('CALL SHEET'!$N$225="","",'CALL SHEET'!$N$225)</f>
        <v/>
      </c>
      <c r="L225">
        <f>IF('CALL SHEET'!$AE$225="","",'CALL SHEET'!$AE$225)</f>
        <v/>
      </c>
      <c r="M225" t="inlineStr">
        <is>
          <t>TRADE</t>
        </is>
      </c>
      <c r="N225" t="inlineStr">
        <is>
          <t>CALL SHEET · row 225</t>
        </is>
      </c>
    </row>
    <row r="226">
      <c r="A226">
        <f>IF('CALL SHEET'!$A$226="","",'CALL SHEET'!$A$226)</f>
        <v/>
      </c>
      <c r="B226">
        <f>IF('CALL SHEET'!$C$226="","",'CALL SHEET'!$C$226)</f>
        <v/>
      </c>
      <c r="C226">
        <f>'CALL SHEET'!$U$226</f>
        <v/>
      </c>
      <c r="D226">
        <f>'CALL SHEET'!$Y$226</f>
        <v/>
      </c>
      <c r="E226">
        <f>'CALL SHEET'!$AC$226</f>
        <v/>
      </c>
      <c r="F226">
        <f>IF('CALL SHEET'!$V$226="","",'CALL SHEET'!$V$226)</f>
        <v/>
      </c>
      <c r="G226">
        <f>IF('CALL SHEET'!$D$226="","",'CALL SHEET'!$D$226)</f>
        <v/>
      </c>
      <c r="H226">
        <f>IF('CALL SHEET'!$G$226="","",'CALL SHEET'!$G$226)</f>
        <v/>
      </c>
      <c r="I226">
        <f>IF('CALL SHEET'!$AT$226="","",'CALL SHEET'!$AT$226)</f>
        <v/>
      </c>
      <c r="J226">
        <f>IF('CALL SHEET'!$AX$226="","",'CALL SHEET'!$AX$226)</f>
        <v/>
      </c>
      <c r="K226">
        <f>IF('CALL SHEET'!$N$226="","",'CALL SHEET'!$N$226)</f>
        <v/>
      </c>
      <c r="L226">
        <f>IF('CALL SHEET'!$AE$226="","",'CALL SHEET'!$AE$226)</f>
        <v/>
      </c>
      <c r="M226" t="inlineStr">
        <is>
          <t>TRADE</t>
        </is>
      </c>
      <c r="N226" t="inlineStr">
        <is>
          <t>CALL SHEET · row 226</t>
        </is>
      </c>
    </row>
    <row r="227">
      <c r="A227">
        <f>IF('CALL SHEET'!$A$227="","",'CALL SHEET'!$A$227)</f>
        <v/>
      </c>
      <c r="B227">
        <f>IF('CALL SHEET'!$C$227="","",'CALL SHEET'!$C$227)</f>
        <v/>
      </c>
      <c r="C227">
        <f>'CALL SHEET'!$U$227</f>
        <v/>
      </c>
      <c r="D227">
        <f>'CALL SHEET'!$Y$227</f>
        <v/>
      </c>
      <c r="E227">
        <f>'CALL SHEET'!$AC$227</f>
        <v/>
      </c>
      <c r="F227">
        <f>IF('CALL SHEET'!$V$227="","",'CALL SHEET'!$V$227)</f>
        <v/>
      </c>
      <c r="G227">
        <f>IF('CALL SHEET'!$D$227="","",'CALL SHEET'!$D$227)</f>
        <v/>
      </c>
      <c r="H227">
        <f>IF('CALL SHEET'!$G$227="","",'CALL SHEET'!$G$227)</f>
        <v/>
      </c>
      <c r="I227">
        <f>IF('CALL SHEET'!$AT$227="","",'CALL SHEET'!$AT$227)</f>
        <v/>
      </c>
      <c r="J227">
        <f>IF('CALL SHEET'!$AX$227="","",'CALL SHEET'!$AX$227)</f>
        <v/>
      </c>
      <c r="K227">
        <f>IF('CALL SHEET'!$N$227="","",'CALL SHEET'!$N$227)</f>
        <v/>
      </c>
      <c r="L227">
        <f>IF('CALL SHEET'!$AE$227="","",'CALL SHEET'!$AE$227)</f>
        <v/>
      </c>
      <c r="M227" t="inlineStr">
        <is>
          <t>TRADE</t>
        </is>
      </c>
      <c r="N227" t="inlineStr">
        <is>
          <t>CALL SHEET · row 227</t>
        </is>
      </c>
    </row>
    <row r="228">
      <c r="A228">
        <f>IF('CALL SHEET'!$A$228="","",'CALL SHEET'!$A$228)</f>
        <v/>
      </c>
      <c r="B228">
        <f>IF('CALL SHEET'!$C$228="","",'CALL SHEET'!$C$228)</f>
        <v/>
      </c>
      <c r="C228">
        <f>'CALL SHEET'!$U$228</f>
        <v/>
      </c>
      <c r="D228">
        <f>'CALL SHEET'!$Y$228</f>
        <v/>
      </c>
      <c r="E228">
        <f>'CALL SHEET'!$AC$228</f>
        <v/>
      </c>
      <c r="F228">
        <f>IF('CALL SHEET'!$V$228="","",'CALL SHEET'!$V$228)</f>
        <v/>
      </c>
      <c r="G228">
        <f>IF('CALL SHEET'!$D$228="","",'CALL SHEET'!$D$228)</f>
        <v/>
      </c>
      <c r="H228">
        <f>IF('CALL SHEET'!$G$228="","",'CALL SHEET'!$G$228)</f>
        <v/>
      </c>
      <c r="I228">
        <f>IF('CALL SHEET'!$AT$228="","",'CALL SHEET'!$AT$228)</f>
        <v/>
      </c>
      <c r="J228">
        <f>IF('CALL SHEET'!$AX$228="","",'CALL SHEET'!$AX$228)</f>
        <v/>
      </c>
      <c r="K228">
        <f>IF('CALL SHEET'!$N$228="","",'CALL SHEET'!$N$228)</f>
        <v/>
      </c>
      <c r="L228">
        <f>IF('CALL SHEET'!$AE$228="","",'CALL SHEET'!$AE$228)</f>
        <v/>
      </c>
      <c r="M228" t="inlineStr">
        <is>
          <t>TRADE</t>
        </is>
      </c>
      <c r="N228" t="inlineStr">
        <is>
          <t>CALL SHEET · row 228</t>
        </is>
      </c>
    </row>
    <row r="229">
      <c r="A229">
        <f>IF('CALL SHEET'!$A$229="","",'CALL SHEET'!$A$229)</f>
        <v/>
      </c>
      <c r="B229">
        <f>IF('CALL SHEET'!$C$229="","",'CALL SHEET'!$C$229)</f>
        <v/>
      </c>
      <c r="C229">
        <f>'CALL SHEET'!$U$229</f>
        <v/>
      </c>
      <c r="D229">
        <f>'CALL SHEET'!$Y$229</f>
        <v/>
      </c>
      <c r="E229">
        <f>'CALL SHEET'!$AC$229</f>
        <v/>
      </c>
      <c r="F229">
        <f>IF('CALL SHEET'!$V$229="","",'CALL SHEET'!$V$229)</f>
        <v/>
      </c>
      <c r="G229">
        <f>IF('CALL SHEET'!$D$229="","",'CALL SHEET'!$D$229)</f>
        <v/>
      </c>
      <c r="H229">
        <f>IF('CALL SHEET'!$G$229="","",'CALL SHEET'!$G$229)</f>
        <v/>
      </c>
      <c r="I229">
        <f>IF('CALL SHEET'!$AT$229="","",'CALL SHEET'!$AT$229)</f>
        <v/>
      </c>
      <c r="J229">
        <f>IF('CALL SHEET'!$AX$229="","",'CALL SHEET'!$AX$229)</f>
        <v/>
      </c>
      <c r="K229">
        <f>IF('CALL SHEET'!$N$229="","",'CALL SHEET'!$N$229)</f>
        <v/>
      </c>
      <c r="L229">
        <f>IF('CALL SHEET'!$AE$229="","",'CALL SHEET'!$AE$229)</f>
        <v/>
      </c>
      <c r="M229" t="inlineStr">
        <is>
          <t>TRADE</t>
        </is>
      </c>
      <c r="N229" t="inlineStr">
        <is>
          <t>CALL SHEET · row 229</t>
        </is>
      </c>
    </row>
    <row r="230">
      <c r="A230">
        <f>IF('CALL SHEET'!$A$230="","",'CALL SHEET'!$A$230)</f>
        <v/>
      </c>
      <c r="B230">
        <f>IF('CALL SHEET'!$C$230="","",'CALL SHEET'!$C$230)</f>
        <v/>
      </c>
      <c r="C230">
        <f>'CALL SHEET'!$U$230</f>
        <v/>
      </c>
      <c r="D230">
        <f>'CALL SHEET'!$Y$230</f>
        <v/>
      </c>
      <c r="E230">
        <f>'CALL SHEET'!$AC$230</f>
        <v/>
      </c>
      <c r="F230">
        <f>IF('CALL SHEET'!$V$230="","",'CALL SHEET'!$V$230)</f>
        <v/>
      </c>
      <c r="G230">
        <f>IF('CALL SHEET'!$D$230="","",'CALL SHEET'!$D$230)</f>
        <v/>
      </c>
      <c r="H230">
        <f>IF('CALL SHEET'!$G$230="","",'CALL SHEET'!$G$230)</f>
        <v/>
      </c>
      <c r="I230">
        <f>IF('CALL SHEET'!$AT$230="","",'CALL SHEET'!$AT$230)</f>
        <v/>
      </c>
      <c r="J230">
        <f>IF('CALL SHEET'!$AX$230="","",'CALL SHEET'!$AX$230)</f>
        <v/>
      </c>
      <c r="K230">
        <f>IF('CALL SHEET'!$N$230="","",'CALL SHEET'!$N$230)</f>
        <v/>
      </c>
      <c r="L230">
        <f>IF('CALL SHEET'!$AE$230="","",'CALL SHEET'!$AE$230)</f>
        <v/>
      </c>
      <c r="M230" t="inlineStr">
        <is>
          <t>TRADE</t>
        </is>
      </c>
      <c r="N230" t="inlineStr">
        <is>
          <t>CALL SHEET · row 230</t>
        </is>
      </c>
    </row>
    <row r="231">
      <c r="A231">
        <f>IF('CALL SHEET'!$A$231="","",'CALL SHEET'!$A$231)</f>
        <v/>
      </c>
      <c r="B231">
        <f>IF('CALL SHEET'!$C$231="","",'CALL SHEET'!$C$231)</f>
        <v/>
      </c>
      <c r="C231">
        <f>'CALL SHEET'!$U$231</f>
        <v/>
      </c>
      <c r="D231">
        <f>'CALL SHEET'!$Y$231</f>
        <v/>
      </c>
      <c r="E231">
        <f>'CALL SHEET'!$AC$231</f>
        <v/>
      </c>
      <c r="F231">
        <f>IF('CALL SHEET'!$V$231="","",'CALL SHEET'!$V$231)</f>
        <v/>
      </c>
      <c r="G231">
        <f>IF('CALL SHEET'!$D$231="","",'CALL SHEET'!$D$231)</f>
        <v/>
      </c>
      <c r="H231">
        <f>IF('CALL SHEET'!$G$231="","",'CALL SHEET'!$G$231)</f>
        <v/>
      </c>
      <c r="I231">
        <f>IF('CALL SHEET'!$AT$231="","",'CALL SHEET'!$AT$231)</f>
        <v/>
      </c>
      <c r="J231">
        <f>IF('CALL SHEET'!$AX$231="","",'CALL SHEET'!$AX$231)</f>
        <v/>
      </c>
      <c r="K231">
        <f>IF('CALL SHEET'!$N$231="","",'CALL SHEET'!$N$231)</f>
        <v/>
      </c>
      <c r="L231">
        <f>IF('CALL SHEET'!$AE$231="","",'CALL SHEET'!$AE$231)</f>
        <v/>
      </c>
      <c r="M231" t="inlineStr">
        <is>
          <t>TRADE</t>
        </is>
      </c>
      <c r="N231" t="inlineStr">
        <is>
          <t>CALL SHEET · row 231</t>
        </is>
      </c>
    </row>
    <row r="232">
      <c r="A232">
        <f>IF('CALL SHEET'!$A$232="","",'CALL SHEET'!$A$232)</f>
        <v/>
      </c>
      <c r="B232">
        <f>IF('CALL SHEET'!$C$232="","",'CALL SHEET'!$C$232)</f>
        <v/>
      </c>
      <c r="C232">
        <f>'CALL SHEET'!$U$232</f>
        <v/>
      </c>
      <c r="D232">
        <f>'CALL SHEET'!$Y$232</f>
        <v/>
      </c>
      <c r="E232">
        <f>'CALL SHEET'!$AC$232</f>
        <v/>
      </c>
      <c r="F232">
        <f>IF('CALL SHEET'!$V$232="","",'CALL SHEET'!$V$232)</f>
        <v/>
      </c>
      <c r="G232">
        <f>IF('CALL SHEET'!$D$232="","",'CALL SHEET'!$D$232)</f>
        <v/>
      </c>
      <c r="H232">
        <f>IF('CALL SHEET'!$G$232="","",'CALL SHEET'!$G$232)</f>
        <v/>
      </c>
      <c r="I232">
        <f>IF('CALL SHEET'!$AT$232="","",'CALL SHEET'!$AT$232)</f>
        <v/>
      </c>
      <c r="J232">
        <f>IF('CALL SHEET'!$AX$232="","",'CALL SHEET'!$AX$232)</f>
        <v/>
      </c>
      <c r="K232">
        <f>IF('CALL SHEET'!$N$232="","",'CALL SHEET'!$N$232)</f>
        <v/>
      </c>
      <c r="L232">
        <f>IF('CALL SHEET'!$AE$232="","",'CALL SHEET'!$AE$232)</f>
        <v/>
      </c>
      <c r="M232" t="inlineStr">
        <is>
          <t>TRADE</t>
        </is>
      </c>
      <c r="N232" t="inlineStr">
        <is>
          <t>CALL SHEET · row 232</t>
        </is>
      </c>
    </row>
    <row r="233">
      <c r="A233">
        <f>IF('CALL SHEET'!$A$233="","",'CALL SHEET'!$A$233)</f>
        <v/>
      </c>
      <c r="B233">
        <f>IF('CALL SHEET'!$C$233="","",'CALL SHEET'!$C$233)</f>
        <v/>
      </c>
      <c r="C233">
        <f>'CALL SHEET'!$U$233</f>
        <v/>
      </c>
      <c r="D233">
        <f>'CALL SHEET'!$Y$233</f>
        <v/>
      </c>
      <c r="E233">
        <f>'CALL SHEET'!$AC$233</f>
        <v/>
      </c>
      <c r="F233">
        <f>IF('CALL SHEET'!$V$233="","",'CALL SHEET'!$V$233)</f>
        <v/>
      </c>
      <c r="G233">
        <f>IF('CALL SHEET'!$D$233="","",'CALL SHEET'!$D$233)</f>
        <v/>
      </c>
      <c r="H233">
        <f>IF('CALL SHEET'!$G$233="","",'CALL SHEET'!$G$233)</f>
        <v/>
      </c>
      <c r="I233">
        <f>IF('CALL SHEET'!$AT$233="","",'CALL SHEET'!$AT$233)</f>
        <v/>
      </c>
      <c r="J233">
        <f>IF('CALL SHEET'!$AX$233="","",'CALL SHEET'!$AX$233)</f>
        <v/>
      </c>
      <c r="K233">
        <f>IF('CALL SHEET'!$N$233="","",'CALL SHEET'!$N$233)</f>
        <v/>
      </c>
      <c r="L233">
        <f>IF('CALL SHEET'!$AE$233="","",'CALL SHEET'!$AE$233)</f>
        <v/>
      </c>
      <c r="M233" t="inlineStr">
        <is>
          <t>TRADE</t>
        </is>
      </c>
      <c r="N233" t="inlineStr">
        <is>
          <t>CALL SHEET · row 233</t>
        </is>
      </c>
    </row>
    <row r="234">
      <c r="A234">
        <f>IF('CALL SHEET'!$A$234="","",'CALL SHEET'!$A$234)</f>
        <v/>
      </c>
      <c r="B234">
        <f>IF('CALL SHEET'!$C$234="","",'CALL SHEET'!$C$234)</f>
        <v/>
      </c>
      <c r="C234">
        <f>'CALL SHEET'!$U$234</f>
        <v/>
      </c>
      <c r="D234">
        <f>'CALL SHEET'!$Y$234</f>
        <v/>
      </c>
      <c r="E234">
        <f>'CALL SHEET'!$AC$234</f>
        <v/>
      </c>
      <c r="F234">
        <f>IF('CALL SHEET'!$V$234="","",'CALL SHEET'!$V$234)</f>
        <v/>
      </c>
      <c r="G234">
        <f>IF('CALL SHEET'!$D$234="","",'CALL SHEET'!$D$234)</f>
        <v/>
      </c>
      <c r="H234">
        <f>IF('CALL SHEET'!$G$234="","",'CALL SHEET'!$G$234)</f>
        <v/>
      </c>
      <c r="I234">
        <f>IF('CALL SHEET'!$AT$234="","",'CALL SHEET'!$AT$234)</f>
        <v/>
      </c>
      <c r="J234">
        <f>IF('CALL SHEET'!$AX$234="","",'CALL SHEET'!$AX$234)</f>
        <v/>
      </c>
      <c r="K234">
        <f>IF('CALL SHEET'!$N$234="","",'CALL SHEET'!$N$234)</f>
        <v/>
      </c>
      <c r="L234">
        <f>IF('CALL SHEET'!$AE$234="","",'CALL SHEET'!$AE$234)</f>
        <v/>
      </c>
      <c r="M234" t="inlineStr">
        <is>
          <t>TRADE</t>
        </is>
      </c>
      <c r="N234" t="inlineStr">
        <is>
          <t>CALL SHEET · row 234</t>
        </is>
      </c>
    </row>
    <row r="235">
      <c r="A235">
        <f>IF('CALL SHEET'!$A$235="","",'CALL SHEET'!$A$235)</f>
        <v/>
      </c>
      <c r="B235">
        <f>IF('CALL SHEET'!$C$235="","",'CALL SHEET'!$C$235)</f>
        <v/>
      </c>
      <c r="C235">
        <f>'CALL SHEET'!$U$235</f>
        <v/>
      </c>
      <c r="D235">
        <f>'CALL SHEET'!$Y$235</f>
        <v/>
      </c>
      <c r="E235">
        <f>'CALL SHEET'!$AC$235</f>
        <v/>
      </c>
      <c r="F235">
        <f>IF('CALL SHEET'!$V$235="","",'CALL SHEET'!$V$235)</f>
        <v/>
      </c>
      <c r="G235">
        <f>IF('CALL SHEET'!$D$235="","",'CALL SHEET'!$D$235)</f>
        <v/>
      </c>
      <c r="H235">
        <f>IF('CALL SHEET'!$G$235="","",'CALL SHEET'!$G$235)</f>
        <v/>
      </c>
      <c r="I235">
        <f>IF('CALL SHEET'!$AT$235="","",'CALL SHEET'!$AT$235)</f>
        <v/>
      </c>
      <c r="J235">
        <f>IF('CALL SHEET'!$AX$235="","",'CALL SHEET'!$AX$235)</f>
        <v/>
      </c>
      <c r="K235">
        <f>IF('CALL SHEET'!$N$235="","",'CALL SHEET'!$N$235)</f>
        <v/>
      </c>
      <c r="L235">
        <f>IF('CALL SHEET'!$AE$235="","",'CALL SHEET'!$AE$235)</f>
        <v/>
      </c>
      <c r="M235" t="inlineStr">
        <is>
          <t>TRADE</t>
        </is>
      </c>
      <c r="N235" t="inlineStr">
        <is>
          <t>CALL SHEET · row 235</t>
        </is>
      </c>
    </row>
    <row r="236">
      <c r="A236">
        <f>IF('CALL SHEET'!$A$236="","",'CALL SHEET'!$A$236)</f>
        <v/>
      </c>
      <c r="B236">
        <f>IF('CALL SHEET'!$C$236="","",'CALL SHEET'!$C$236)</f>
        <v/>
      </c>
      <c r="C236">
        <f>'CALL SHEET'!$U$236</f>
        <v/>
      </c>
      <c r="D236">
        <f>'CALL SHEET'!$Y$236</f>
        <v/>
      </c>
      <c r="E236">
        <f>'CALL SHEET'!$AC$236</f>
        <v/>
      </c>
      <c r="F236">
        <f>IF('CALL SHEET'!$V$236="","",'CALL SHEET'!$V$236)</f>
        <v/>
      </c>
      <c r="G236">
        <f>IF('CALL SHEET'!$D$236="","",'CALL SHEET'!$D$236)</f>
        <v/>
      </c>
      <c r="H236">
        <f>IF('CALL SHEET'!$G$236="","",'CALL SHEET'!$G$236)</f>
        <v/>
      </c>
      <c r="I236">
        <f>IF('CALL SHEET'!$AT$236="","",'CALL SHEET'!$AT$236)</f>
        <v/>
      </c>
      <c r="J236">
        <f>IF('CALL SHEET'!$AX$236="","",'CALL SHEET'!$AX$236)</f>
        <v/>
      </c>
      <c r="K236">
        <f>IF('CALL SHEET'!$N$236="","",'CALL SHEET'!$N$236)</f>
        <v/>
      </c>
      <c r="L236">
        <f>IF('CALL SHEET'!$AE$236="","",'CALL SHEET'!$AE$236)</f>
        <v/>
      </c>
      <c r="M236" t="inlineStr">
        <is>
          <t>TRADE</t>
        </is>
      </c>
      <c r="N236" t="inlineStr">
        <is>
          <t>CALL SHEET · row 236</t>
        </is>
      </c>
    </row>
    <row r="237">
      <c r="A237">
        <f>IF('CALL SHEET'!$A$237="","",'CALL SHEET'!$A$237)</f>
        <v/>
      </c>
      <c r="B237">
        <f>IF('CALL SHEET'!$C$237="","",'CALL SHEET'!$C$237)</f>
        <v/>
      </c>
      <c r="C237">
        <f>'CALL SHEET'!$U$237</f>
        <v/>
      </c>
      <c r="D237">
        <f>'CALL SHEET'!$Y$237</f>
        <v/>
      </c>
      <c r="E237">
        <f>'CALL SHEET'!$AC$237</f>
        <v/>
      </c>
      <c r="F237">
        <f>IF('CALL SHEET'!$V$237="","",'CALL SHEET'!$V$237)</f>
        <v/>
      </c>
      <c r="G237">
        <f>IF('CALL SHEET'!$D$237="","",'CALL SHEET'!$D$237)</f>
        <v/>
      </c>
      <c r="H237">
        <f>IF('CALL SHEET'!$G$237="","",'CALL SHEET'!$G$237)</f>
        <v/>
      </c>
      <c r="I237">
        <f>IF('CALL SHEET'!$AT$237="","",'CALL SHEET'!$AT$237)</f>
        <v/>
      </c>
      <c r="J237">
        <f>IF('CALL SHEET'!$AX$237="","",'CALL SHEET'!$AX$237)</f>
        <v/>
      </c>
      <c r="K237">
        <f>IF('CALL SHEET'!$N$237="","",'CALL SHEET'!$N$237)</f>
        <v/>
      </c>
      <c r="L237">
        <f>IF('CALL SHEET'!$AE$237="","",'CALL SHEET'!$AE$237)</f>
        <v/>
      </c>
      <c r="M237" t="inlineStr">
        <is>
          <t>TRADE</t>
        </is>
      </c>
      <c r="N237" t="inlineStr">
        <is>
          <t>CALL SHEET · row 237</t>
        </is>
      </c>
    </row>
    <row r="238">
      <c r="A238">
        <f>IF('CALL SHEET'!$A$238="","",'CALL SHEET'!$A$238)</f>
        <v/>
      </c>
      <c r="B238">
        <f>IF('CALL SHEET'!$C$238="","",'CALL SHEET'!$C$238)</f>
        <v/>
      </c>
      <c r="C238">
        <f>'CALL SHEET'!$U$238</f>
        <v/>
      </c>
      <c r="D238">
        <f>'CALL SHEET'!$Y$238</f>
        <v/>
      </c>
      <c r="E238">
        <f>'CALL SHEET'!$AC$238</f>
        <v/>
      </c>
      <c r="F238">
        <f>IF('CALL SHEET'!$V$238="","",'CALL SHEET'!$V$238)</f>
        <v/>
      </c>
      <c r="G238">
        <f>IF('CALL SHEET'!$D$238="","",'CALL SHEET'!$D$238)</f>
        <v/>
      </c>
      <c r="H238">
        <f>IF('CALL SHEET'!$G$238="","",'CALL SHEET'!$G$238)</f>
        <v/>
      </c>
      <c r="I238">
        <f>IF('CALL SHEET'!$AT$238="","",'CALL SHEET'!$AT$238)</f>
        <v/>
      </c>
      <c r="J238">
        <f>IF('CALL SHEET'!$AX$238="","",'CALL SHEET'!$AX$238)</f>
        <v/>
      </c>
      <c r="K238">
        <f>IF('CALL SHEET'!$N$238="","",'CALL SHEET'!$N$238)</f>
        <v/>
      </c>
      <c r="L238">
        <f>IF('CALL SHEET'!$AE$238="","",'CALL SHEET'!$AE$238)</f>
        <v/>
      </c>
      <c r="M238" t="inlineStr">
        <is>
          <t>TRADE</t>
        </is>
      </c>
      <c r="N238" t="inlineStr">
        <is>
          <t>CALL SHEET · row 238</t>
        </is>
      </c>
    </row>
    <row r="239">
      <c r="A239">
        <f>IF('CALL SHEET'!$A$239="","",'CALL SHEET'!$A$239)</f>
        <v/>
      </c>
      <c r="B239">
        <f>IF('CALL SHEET'!$C$239="","",'CALL SHEET'!$C$239)</f>
        <v/>
      </c>
      <c r="C239">
        <f>'CALL SHEET'!$U$239</f>
        <v/>
      </c>
      <c r="D239">
        <f>'CALL SHEET'!$Y$239</f>
        <v/>
      </c>
      <c r="E239">
        <f>'CALL SHEET'!$AC$239</f>
        <v/>
      </c>
      <c r="F239">
        <f>IF('CALL SHEET'!$V$239="","",'CALL SHEET'!$V$239)</f>
        <v/>
      </c>
      <c r="G239">
        <f>IF('CALL SHEET'!$D$239="","",'CALL SHEET'!$D$239)</f>
        <v/>
      </c>
      <c r="H239">
        <f>IF('CALL SHEET'!$G$239="","",'CALL SHEET'!$G$239)</f>
        <v/>
      </c>
      <c r="I239">
        <f>IF('CALL SHEET'!$AT$239="","",'CALL SHEET'!$AT$239)</f>
        <v/>
      </c>
      <c r="J239">
        <f>IF('CALL SHEET'!$AX$239="","",'CALL SHEET'!$AX$239)</f>
        <v/>
      </c>
      <c r="K239">
        <f>IF('CALL SHEET'!$N$239="","",'CALL SHEET'!$N$239)</f>
        <v/>
      </c>
      <c r="L239">
        <f>IF('CALL SHEET'!$AE$239="","",'CALL SHEET'!$AE$239)</f>
        <v/>
      </c>
      <c r="M239" t="inlineStr">
        <is>
          <t>TRADE</t>
        </is>
      </c>
      <c r="N239" t="inlineStr">
        <is>
          <t>CALL SHEET · row 239</t>
        </is>
      </c>
    </row>
    <row r="240">
      <c r="A240">
        <f>IF('CALL SHEET'!$A$240="","",'CALL SHEET'!$A$240)</f>
        <v/>
      </c>
      <c r="B240">
        <f>IF('CALL SHEET'!$C$240="","",'CALL SHEET'!$C$240)</f>
        <v/>
      </c>
      <c r="C240">
        <f>'CALL SHEET'!$U$240</f>
        <v/>
      </c>
      <c r="D240">
        <f>'CALL SHEET'!$Y$240</f>
        <v/>
      </c>
      <c r="E240">
        <f>'CALL SHEET'!$AC$240</f>
        <v/>
      </c>
      <c r="F240">
        <f>IF('CALL SHEET'!$V$240="","",'CALL SHEET'!$V$240)</f>
        <v/>
      </c>
      <c r="G240">
        <f>IF('CALL SHEET'!$D$240="","",'CALL SHEET'!$D$240)</f>
        <v/>
      </c>
      <c r="H240">
        <f>IF('CALL SHEET'!$G$240="","",'CALL SHEET'!$G$240)</f>
        <v/>
      </c>
      <c r="I240">
        <f>IF('CALL SHEET'!$AT$240="","",'CALL SHEET'!$AT$240)</f>
        <v/>
      </c>
      <c r="J240">
        <f>IF('CALL SHEET'!$AX$240="","",'CALL SHEET'!$AX$240)</f>
        <v/>
      </c>
      <c r="K240">
        <f>IF('CALL SHEET'!$N$240="","",'CALL SHEET'!$N$240)</f>
        <v/>
      </c>
      <c r="L240">
        <f>IF('CALL SHEET'!$AE$240="","",'CALL SHEET'!$AE$240)</f>
        <v/>
      </c>
      <c r="M240" t="inlineStr">
        <is>
          <t>TRADE</t>
        </is>
      </c>
      <c r="N240" t="inlineStr">
        <is>
          <t>CALL SHEET · row 240</t>
        </is>
      </c>
    </row>
    <row r="241">
      <c r="A241">
        <f>IF('CALL SHEET'!$A$241="","",'CALL SHEET'!$A$241)</f>
        <v/>
      </c>
      <c r="B241">
        <f>IF('CALL SHEET'!$C$241="","",'CALL SHEET'!$C$241)</f>
        <v/>
      </c>
      <c r="C241">
        <f>'CALL SHEET'!$U$241</f>
        <v/>
      </c>
      <c r="D241">
        <f>'CALL SHEET'!$Y$241</f>
        <v/>
      </c>
      <c r="E241">
        <f>'CALL SHEET'!$AC$241</f>
        <v/>
      </c>
      <c r="F241">
        <f>IF('CALL SHEET'!$V$241="","",'CALL SHEET'!$V$241)</f>
        <v/>
      </c>
      <c r="G241">
        <f>IF('CALL SHEET'!$D$241="","",'CALL SHEET'!$D$241)</f>
        <v/>
      </c>
      <c r="H241">
        <f>IF('CALL SHEET'!$G$241="","",'CALL SHEET'!$G$241)</f>
        <v/>
      </c>
      <c r="I241">
        <f>IF('CALL SHEET'!$AT$241="","",'CALL SHEET'!$AT$241)</f>
        <v/>
      </c>
      <c r="J241">
        <f>IF('CALL SHEET'!$AX$241="","",'CALL SHEET'!$AX$241)</f>
        <v/>
      </c>
      <c r="K241">
        <f>IF('CALL SHEET'!$N$241="","",'CALL SHEET'!$N$241)</f>
        <v/>
      </c>
      <c r="L241">
        <f>IF('CALL SHEET'!$AE$241="","",'CALL SHEET'!$AE$241)</f>
        <v/>
      </c>
      <c r="M241" t="inlineStr">
        <is>
          <t>TRADE</t>
        </is>
      </c>
      <c r="N241" t="inlineStr">
        <is>
          <t>CALL SHEET · row 241</t>
        </is>
      </c>
    </row>
    <row r="242">
      <c r="A242">
        <f>IF('CALL SHEET'!$A$242="","",'CALL SHEET'!$A$242)</f>
        <v/>
      </c>
      <c r="B242">
        <f>IF('CALL SHEET'!$C$242="","",'CALL SHEET'!$C$242)</f>
        <v/>
      </c>
      <c r="C242">
        <f>'CALL SHEET'!$U$242</f>
        <v/>
      </c>
      <c r="D242">
        <f>'CALL SHEET'!$Y$242</f>
        <v/>
      </c>
      <c r="E242">
        <f>'CALL SHEET'!$AC$242</f>
        <v/>
      </c>
      <c r="F242">
        <f>IF('CALL SHEET'!$V$242="","",'CALL SHEET'!$V$242)</f>
        <v/>
      </c>
      <c r="G242">
        <f>IF('CALL SHEET'!$D$242="","",'CALL SHEET'!$D$242)</f>
        <v/>
      </c>
      <c r="H242">
        <f>IF('CALL SHEET'!$G$242="","",'CALL SHEET'!$G$242)</f>
        <v/>
      </c>
      <c r="I242">
        <f>IF('CALL SHEET'!$AT$242="","",'CALL SHEET'!$AT$242)</f>
        <v/>
      </c>
      <c r="J242">
        <f>IF('CALL SHEET'!$AX$242="","",'CALL SHEET'!$AX$242)</f>
        <v/>
      </c>
      <c r="K242">
        <f>IF('CALL SHEET'!$N$242="","",'CALL SHEET'!$N$242)</f>
        <v/>
      </c>
      <c r="L242">
        <f>IF('CALL SHEET'!$AE$242="","",'CALL SHEET'!$AE$242)</f>
        <v/>
      </c>
      <c r="M242" t="inlineStr">
        <is>
          <t>TRADE</t>
        </is>
      </c>
      <c r="N242" t="inlineStr">
        <is>
          <t>CALL SHEET · row 242</t>
        </is>
      </c>
    </row>
    <row r="243">
      <c r="A243">
        <f>IF('CALL SHEET'!$A$243="","",'CALL SHEET'!$A$243)</f>
        <v/>
      </c>
      <c r="B243">
        <f>IF('CALL SHEET'!$C$243="","",'CALL SHEET'!$C$243)</f>
        <v/>
      </c>
      <c r="C243">
        <f>'CALL SHEET'!$U$243</f>
        <v/>
      </c>
      <c r="D243">
        <f>'CALL SHEET'!$Y$243</f>
        <v/>
      </c>
      <c r="E243">
        <f>'CALL SHEET'!$AC$243</f>
        <v/>
      </c>
      <c r="F243">
        <f>IF('CALL SHEET'!$V$243="","",'CALL SHEET'!$V$243)</f>
        <v/>
      </c>
      <c r="G243">
        <f>IF('CALL SHEET'!$D$243="","",'CALL SHEET'!$D$243)</f>
        <v/>
      </c>
      <c r="H243">
        <f>IF('CALL SHEET'!$G$243="","",'CALL SHEET'!$G$243)</f>
        <v/>
      </c>
      <c r="I243">
        <f>IF('CALL SHEET'!$AT$243="","",'CALL SHEET'!$AT$243)</f>
        <v/>
      </c>
      <c r="J243">
        <f>IF('CALL SHEET'!$AX$243="","",'CALL SHEET'!$AX$243)</f>
        <v/>
      </c>
      <c r="K243">
        <f>IF('CALL SHEET'!$N$243="","",'CALL SHEET'!$N$243)</f>
        <v/>
      </c>
      <c r="L243">
        <f>IF('CALL SHEET'!$AE$243="","",'CALL SHEET'!$AE$243)</f>
        <v/>
      </c>
      <c r="M243" t="inlineStr">
        <is>
          <t>TRADE</t>
        </is>
      </c>
      <c r="N243" t="inlineStr">
        <is>
          <t>CALL SHEET · row 243</t>
        </is>
      </c>
    </row>
    <row r="244">
      <c r="A244">
        <f>IF('CALL SHEET'!$A$244="","",'CALL SHEET'!$A$244)</f>
        <v/>
      </c>
      <c r="B244">
        <f>IF('CALL SHEET'!$C$244="","",'CALL SHEET'!$C$244)</f>
        <v/>
      </c>
      <c r="C244">
        <f>'CALL SHEET'!$U$244</f>
        <v/>
      </c>
      <c r="D244">
        <f>'CALL SHEET'!$Y$244</f>
        <v/>
      </c>
      <c r="E244">
        <f>'CALL SHEET'!$AC$244</f>
        <v/>
      </c>
      <c r="F244">
        <f>IF('CALL SHEET'!$V$244="","",'CALL SHEET'!$V$244)</f>
        <v/>
      </c>
      <c r="G244">
        <f>IF('CALL SHEET'!$D$244="","",'CALL SHEET'!$D$244)</f>
        <v/>
      </c>
      <c r="H244">
        <f>IF('CALL SHEET'!$G$244="","",'CALL SHEET'!$G$244)</f>
        <v/>
      </c>
      <c r="I244">
        <f>IF('CALL SHEET'!$AT$244="","",'CALL SHEET'!$AT$244)</f>
        <v/>
      </c>
      <c r="J244">
        <f>IF('CALL SHEET'!$AX$244="","",'CALL SHEET'!$AX$244)</f>
        <v/>
      </c>
      <c r="K244">
        <f>IF('CALL SHEET'!$N$244="","",'CALL SHEET'!$N$244)</f>
        <v/>
      </c>
      <c r="L244">
        <f>IF('CALL SHEET'!$AE$244="","",'CALL SHEET'!$AE$244)</f>
        <v/>
      </c>
      <c r="M244" t="inlineStr">
        <is>
          <t>TRADE</t>
        </is>
      </c>
      <c r="N244" t="inlineStr">
        <is>
          <t>CALL SHEET · row 244</t>
        </is>
      </c>
    </row>
    <row r="245">
      <c r="A245">
        <f>IF('CALL SHEET'!$A$245="","",'CALL SHEET'!$A$245)</f>
        <v/>
      </c>
      <c r="B245">
        <f>IF('CALL SHEET'!$C$245="","",'CALL SHEET'!$C$245)</f>
        <v/>
      </c>
      <c r="C245">
        <f>'CALL SHEET'!$U$245</f>
        <v/>
      </c>
      <c r="D245">
        <f>'CALL SHEET'!$Y$245</f>
        <v/>
      </c>
      <c r="E245">
        <f>'CALL SHEET'!$AC$245</f>
        <v/>
      </c>
      <c r="F245">
        <f>IF('CALL SHEET'!$V$245="","",'CALL SHEET'!$V$245)</f>
        <v/>
      </c>
      <c r="G245">
        <f>IF('CALL SHEET'!$D$245="","",'CALL SHEET'!$D$245)</f>
        <v/>
      </c>
      <c r="H245">
        <f>IF('CALL SHEET'!$G$245="","",'CALL SHEET'!$G$245)</f>
        <v/>
      </c>
      <c r="I245">
        <f>IF('CALL SHEET'!$AT$245="","",'CALL SHEET'!$AT$245)</f>
        <v/>
      </c>
      <c r="J245">
        <f>IF('CALL SHEET'!$AX$245="","",'CALL SHEET'!$AX$245)</f>
        <v/>
      </c>
      <c r="K245">
        <f>IF('CALL SHEET'!$N$245="","",'CALL SHEET'!$N$245)</f>
        <v/>
      </c>
      <c r="L245">
        <f>IF('CALL SHEET'!$AE$245="","",'CALL SHEET'!$AE$245)</f>
        <v/>
      </c>
      <c r="M245" t="inlineStr">
        <is>
          <t>TRADE</t>
        </is>
      </c>
      <c r="N245" t="inlineStr">
        <is>
          <t>CALL SHEET · row 245</t>
        </is>
      </c>
    </row>
    <row r="246">
      <c r="A246">
        <f>IF('CALL SHEET'!$A$246="","",'CALL SHEET'!$A$246)</f>
        <v/>
      </c>
      <c r="B246">
        <f>IF('CALL SHEET'!$C$246="","",'CALL SHEET'!$C$246)</f>
        <v/>
      </c>
      <c r="C246">
        <f>'CALL SHEET'!$U$246</f>
        <v/>
      </c>
      <c r="D246">
        <f>'CALL SHEET'!$Y$246</f>
        <v/>
      </c>
      <c r="E246">
        <f>'CALL SHEET'!$AC$246</f>
        <v/>
      </c>
      <c r="F246">
        <f>IF('CALL SHEET'!$V$246="","",'CALL SHEET'!$V$246)</f>
        <v/>
      </c>
      <c r="G246">
        <f>IF('CALL SHEET'!$D$246="","",'CALL SHEET'!$D$246)</f>
        <v/>
      </c>
      <c r="H246">
        <f>IF('CALL SHEET'!$G$246="","",'CALL SHEET'!$G$246)</f>
        <v/>
      </c>
      <c r="I246">
        <f>IF('CALL SHEET'!$AT$246="","",'CALL SHEET'!$AT$246)</f>
        <v/>
      </c>
      <c r="J246">
        <f>IF('CALL SHEET'!$AX$246="","",'CALL SHEET'!$AX$246)</f>
        <v/>
      </c>
      <c r="K246">
        <f>IF('CALL SHEET'!$N$246="","",'CALL SHEET'!$N$246)</f>
        <v/>
      </c>
      <c r="L246">
        <f>IF('CALL SHEET'!$AE$246="","",'CALL SHEET'!$AE$246)</f>
        <v/>
      </c>
      <c r="M246" t="inlineStr">
        <is>
          <t>TRADE</t>
        </is>
      </c>
      <c r="N246" t="inlineStr">
        <is>
          <t>CALL SHEET · row 246</t>
        </is>
      </c>
    </row>
    <row r="247">
      <c r="A247">
        <f>IF('CALL SHEET'!$A$247="","",'CALL SHEET'!$A$247)</f>
        <v/>
      </c>
      <c r="B247">
        <f>IF('CALL SHEET'!$C$247="","",'CALL SHEET'!$C$247)</f>
        <v/>
      </c>
      <c r="C247">
        <f>'CALL SHEET'!$U$247</f>
        <v/>
      </c>
      <c r="D247">
        <f>'CALL SHEET'!$Y$247</f>
        <v/>
      </c>
      <c r="E247">
        <f>'CALL SHEET'!$AC$247</f>
        <v/>
      </c>
      <c r="F247">
        <f>IF('CALL SHEET'!$V$247="","",'CALL SHEET'!$V$247)</f>
        <v/>
      </c>
      <c r="G247">
        <f>IF('CALL SHEET'!$D$247="","",'CALL SHEET'!$D$247)</f>
        <v/>
      </c>
      <c r="H247">
        <f>IF('CALL SHEET'!$G$247="","",'CALL SHEET'!$G$247)</f>
        <v/>
      </c>
      <c r="I247">
        <f>IF('CALL SHEET'!$AT$247="","",'CALL SHEET'!$AT$247)</f>
        <v/>
      </c>
      <c r="J247">
        <f>IF('CALL SHEET'!$AX$247="","",'CALL SHEET'!$AX$247)</f>
        <v/>
      </c>
      <c r="K247">
        <f>IF('CALL SHEET'!$N$247="","",'CALL SHEET'!$N$247)</f>
        <v/>
      </c>
      <c r="L247">
        <f>IF('CALL SHEET'!$AE$247="","",'CALL SHEET'!$AE$247)</f>
        <v/>
      </c>
      <c r="M247" t="inlineStr">
        <is>
          <t>TRADE</t>
        </is>
      </c>
      <c r="N247" t="inlineStr">
        <is>
          <t>CALL SHEET · row 247</t>
        </is>
      </c>
    </row>
    <row r="248">
      <c r="A248">
        <f>IF('CALL SHEET'!$A$248="","",'CALL SHEET'!$A$248)</f>
        <v/>
      </c>
      <c r="B248">
        <f>IF('CALL SHEET'!$C$248="","",'CALL SHEET'!$C$248)</f>
        <v/>
      </c>
      <c r="C248">
        <f>'CALL SHEET'!$U$248</f>
        <v/>
      </c>
      <c r="D248">
        <f>'CALL SHEET'!$Y$248</f>
        <v/>
      </c>
      <c r="E248">
        <f>'CALL SHEET'!$AC$248</f>
        <v/>
      </c>
      <c r="F248">
        <f>IF('CALL SHEET'!$V$248="","",'CALL SHEET'!$V$248)</f>
        <v/>
      </c>
      <c r="G248">
        <f>IF('CALL SHEET'!$D$248="","",'CALL SHEET'!$D$248)</f>
        <v/>
      </c>
      <c r="H248">
        <f>IF('CALL SHEET'!$G$248="","",'CALL SHEET'!$G$248)</f>
        <v/>
      </c>
      <c r="I248">
        <f>IF('CALL SHEET'!$AT$248="","",'CALL SHEET'!$AT$248)</f>
        <v/>
      </c>
      <c r="J248">
        <f>IF('CALL SHEET'!$AX$248="","",'CALL SHEET'!$AX$248)</f>
        <v/>
      </c>
      <c r="K248">
        <f>IF('CALL SHEET'!$N$248="","",'CALL SHEET'!$N$248)</f>
        <v/>
      </c>
      <c r="L248">
        <f>IF('CALL SHEET'!$AE$248="","",'CALL SHEET'!$AE$248)</f>
        <v/>
      </c>
      <c r="M248" t="inlineStr">
        <is>
          <t>TRADE</t>
        </is>
      </c>
      <c r="N248" t="inlineStr">
        <is>
          <t>CALL SHEET · row 248</t>
        </is>
      </c>
    </row>
    <row r="249">
      <c r="A249">
        <f>IF('CALL SHEET'!$A$249="","",'CALL SHEET'!$A$249)</f>
        <v/>
      </c>
      <c r="B249">
        <f>IF('CALL SHEET'!$C$249="","",'CALL SHEET'!$C$249)</f>
        <v/>
      </c>
      <c r="C249">
        <f>'CALL SHEET'!$U$249</f>
        <v/>
      </c>
      <c r="D249">
        <f>'CALL SHEET'!$Y$249</f>
        <v/>
      </c>
      <c r="E249">
        <f>'CALL SHEET'!$AC$249</f>
        <v/>
      </c>
      <c r="F249">
        <f>IF('CALL SHEET'!$V$249="","",'CALL SHEET'!$V$249)</f>
        <v/>
      </c>
      <c r="G249">
        <f>IF('CALL SHEET'!$D$249="","",'CALL SHEET'!$D$249)</f>
        <v/>
      </c>
      <c r="H249">
        <f>IF('CALL SHEET'!$G$249="","",'CALL SHEET'!$G$249)</f>
        <v/>
      </c>
      <c r="I249">
        <f>IF('CALL SHEET'!$AT$249="","",'CALL SHEET'!$AT$249)</f>
        <v/>
      </c>
      <c r="J249">
        <f>IF('CALL SHEET'!$AX$249="","",'CALL SHEET'!$AX$249)</f>
        <v/>
      </c>
      <c r="K249">
        <f>IF('CALL SHEET'!$N$249="","",'CALL SHEET'!$N$249)</f>
        <v/>
      </c>
      <c r="L249">
        <f>IF('CALL SHEET'!$AE$249="","",'CALL SHEET'!$AE$249)</f>
        <v/>
      </c>
      <c r="M249" t="inlineStr">
        <is>
          <t>TRADE</t>
        </is>
      </c>
      <c r="N249" t="inlineStr">
        <is>
          <t>CALL SHEET · row 249</t>
        </is>
      </c>
    </row>
    <row r="250">
      <c r="A250">
        <f>IF('CALL SHEET'!$A$250="","",'CALL SHEET'!$A$250)</f>
        <v/>
      </c>
      <c r="B250">
        <f>IF('CALL SHEET'!$C$250="","",'CALL SHEET'!$C$250)</f>
        <v/>
      </c>
      <c r="C250">
        <f>'CALL SHEET'!$U$250</f>
        <v/>
      </c>
      <c r="D250">
        <f>'CALL SHEET'!$Y$250</f>
        <v/>
      </c>
      <c r="E250">
        <f>'CALL SHEET'!$AC$250</f>
        <v/>
      </c>
      <c r="F250">
        <f>IF('CALL SHEET'!$V$250="","",'CALL SHEET'!$V$250)</f>
        <v/>
      </c>
      <c r="G250">
        <f>IF('CALL SHEET'!$D$250="","",'CALL SHEET'!$D$250)</f>
        <v/>
      </c>
      <c r="H250">
        <f>IF('CALL SHEET'!$G$250="","",'CALL SHEET'!$G$250)</f>
        <v/>
      </c>
      <c r="I250">
        <f>IF('CALL SHEET'!$AT$250="","",'CALL SHEET'!$AT$250)</f>
        <v/>
      </c>
      <c r="J250">
        <f>IF('CALL SHEET'!$AX$250="","",'CALL SHEET'!$AX$250)</f>
        <v/>
      </c>
      <c r="K250">
        <f>IF('CALL SHEET'!$N$250="","",'CALL SHEET'!$N$250)</f>
        <v/>
      </c>
      <c r="L250">
        <f>IF('CALL SHEET'!$AE$250="","",'CALL SHEET'!$AE$250)</f>
        <v/>
      </c>
      <c r="M250" t="inlineStr">
        <is>
          <t>TRADE</t>
        </is>
      </c>
      <c r="N250" t="inlineStr">
        <is>
          <t>CALL SHEET · row 250</t>
        </is>
      </c>
    </row>
    <row r="251">
      <c r="A251">
        <f>IF('CALL SHEET'!$A$251="","",'CALL SHEET'!$A$251)</f>
        <v/>
      </c>
      <c r="B251">
        <f>IF('CALL SHEET'!$C$251="","",'CALL SHEET'!$C$251)</f>
        <v/>
      </c>
      <c r="C251">
        <f>'CALL SHEET'!$U$251</f>
        <v/>
      </c>
      <c r="D251">
        <f>'CALL SHEET'!$Y$251</f>
        <v/>
      </c>
      <c r="E251">
        <f>'CALL SHEET'!$AC$251</f>
        <v/>
      </c>
      <c r="F251">
        <f>IF('CALL SHEET'!$V$251="","",'CALL SHEET'!$V$251)</f>
        <v/>
      </c>
      <c r="G251">
        <f>IF('CALL SHEET'!$D$251="","",'CALL SHEET'!$D$251)</f>
        <v/>
      </c>
      <c r="H251">
        <f>IF('CALL SHEET'!$G$251="","",'CALL SHEET'!$G$251)</f>
        <v/>
      </c>
      <c r="I251">
        <f>IF('CALL SHEET'!$AT$251="","",'CALL SHEET'!$AT$251)</f>
        <v/>
      </c>
      <c r="J251">
        <f>IF('CALL SHEET'!$AX$251="","",'CALL SHEET'!$AX$251)</f>
        <v/>
      </c>
      <c r="K251">
        <f>IF('CALL SHEET'!$N$251="","",'CALL SHEET'!$N$251)</f>
        <v/>
      </c>
      <c r="L251">
        <f>IF('CALL SHEET'!$AE$251="","",'CALL SHEET'!$AE$251)</f>
        <v/>
      </c>
      <c r="M251" t="inlineStr">
        <is>
          <t>TRADE</t>
        </is>
      </c>
      <c r="N251" t="inlineStr">
        <is>
          <t>CALL SHEET · row 251</t>
        </is>
      </c>
    </row>
    <row r="252">
      <c r="A252">
        <f>IF('CALL SHEET'!$A$252="","",'CALL SHEET'!$A$252)</f>
        <v/>
      </c>
      <c r="B252">
        <f>IF('CALL SHEET'!$C$252="","",'CALL SHEET'!$C$252)</f>
        <v/>
      </c>
      <c r="C252">
        <f>'CALL SHEET'!$U$252</f>
        <v/>
      </c>
      <c r="D252">
        <f>'CALL SHEET'!$Y$252</f>
        <v/>
      </c>
      <c r="E252">
        <f>'CALL SHEET'!$AC$252</f>
        <v/>
      </c>
      <c r="F252">
        <f>IF('CALL SHEET'!$V$252="","",'CALL SHEET'!$V$252)</f>
        <v/>
      </c>
      <c r="G252">
        <f>IF('CALL SHEET'!$D$252="","",'CALL SHEET'!$D$252)</f>
        <v/>
      </c>
      <c r="H252">
        <f>IF('CALL SHEET'!$G$252="","",'CALL SHEET'!$G$252)</f>
        <v/>
      </c>
      <c r="I252">
        <f>IF('CALL SHEET'!$AT$252="","",'CALL SHEET'!$AT$252)</f>
        <v/>
      </c>
      <c r="J252">
        <f>IF('CALL SHEET'!$AX$252="","",'CALL SHEET'!$AX$252)</f>
        <v/>
      </c>
      <c r="K252">
        <f>IF('CALL SHEET'!$N$252="","",'CALL SHEET'!$N$252)</f>
        <v/>
      </c>
      <c r="L252">
        <f>IF('CALL SHEET'!$AE$252="","",'CALL SHEET'!$AE$252)</f>
        <v/>
      </c>
      <c r="M252" t="inlineStr">
        <is>
          <t>TRADE</t>
        </is>
      </c>
      <c r="N252" t="inlineStr">
        <is>
          <t>CALL SHEET · row 252</t>
        </is>
      </c>
    </row>
    <row r="253">
      <c r="A253">
        <f>IF('CALL SHEET'!$A$253="","",'CALL SHEET'!$A$253)</f>
        <v/>
      </c>
      <c r="B253">
        <f>IF('CALL SHEET'!$C$253="","",'CALL SHEET'!$C$253)</f>
        <v/>
      </c>
      <c r="C253">
        <f>'CALL SHEET'!$U$253</f>
        <v/>
      </c>
      <c r="D253">
        <f>'CALL SHEET'!$Y$253</f>
        <v/>
      </c>
      <c r="E253">
        <f>'CALL SHEET'!$AC$253</f>
        <v/>
      </c>
      <c r="F253">
        <f>IF('CALL SHEET'!$V$253="","",'CALL SHEET'!$V$253)</f>
        <v/>
      </c>
      <c r="G253">
        <f>IF('CALL SHEET'!$D$253="","",'CALL SHEET'!$D$253)</f>
        <v/>
      </c>
      <c r="H253">
        <f>IF('CALL SHEET'!$G$253="","",'CALL SHEET'!$G$253)</f>
        <v/>
      </c>
      <c r="I253">
        <f>IF('CALL SHEET'!$AT$253="","",'CALL SHEET'!$AT$253)</f>
        <v/>
      </c>
      <c r="J253">
        <f>IF('CALL SHEET'!$AX$253="","",'CALL SHEET'!$AX$253)</f>
        <v/>
      </c>
      <c r="K253">
        <f>IF('CALL SHEET'!$N$253="","",'CALL SHEET'!$N$253)</f>
        <v/>
      </c>
      <c r="L253">
        <f>IF('CALL SHEET'!$AE$253="","",'CALL SHEET'!$AE$253)</f>
        <v/>
      </c>
      <c r="M253" t="inlineStr">
        <is>
          <t>TRADE</t>
        </is>
      </c>
      <c r="N253" t="inlineStr">
        <is>
          <t>CALL SHEET · row 253</t>
        </is>
      </c>
    </row>
    <row r="254">
      <c r="A254">
        <f>IF('CALL SHEET'!$A$254="","",'CALL SHEET'!$A$254)</f>
        <v/>
      </c>
      <c r="B254">
        <f>IF('CALL SHEET'!$C$254="","",'CALL SHEET'!$C$254)</f>
        <v/>
      </c>
      <c r="C254">
        <f>'CALL SHEET'!$U$254</f>
        <v/>
      </c>
      <c r="D254">
        <f>'CALL SHEET'!$Y$254</f>
        <v/>
      </c>
      <c r="E254">
        <f>'CALL SHEET'!$AC$254</f>
        <v/>
      </c>
      <c r="F254">
        <f>IF('CALL SHEET'!$V$254="","",'CALL SHEET'!$V$254)</f>
        <v/>
      </c>
      <c r="G254">
        <f>IF('CALL SHEET'!$D$254="","",'CALL SHEET'!$D$254)</f>
        <v/>
      </c>
      <c r="H254">
        <f>IF('CALL SHEET'!$G$254="","",'CALL SHEET'!$G$254)</f>
        <v/>
      </c>
      <c r="I254">
        <f>IF('CALL SHEET'!$AT$254="","",'CALL SHEET'!$AT$254)</f>
        <v/>
      </c>
      <c r="J254">
        <f>IF('CALL SHEET'!$AX$254="","",'CALL SHEET'!$AX$254)</f>
        <v/>
      </c>
      <c r="K254">
        <f>IF('CALL SHEET'!$N$254="","",'CALL SHEET'!$N$254)</f>
        <v/>
      </c>
      <c r="L254">
        <f>IF('CALL SHEET'!$AE$254="","",'CALL SHEET'!$AE$254)</f>
        <v/>
      </c>
      <c r="M254" t="inlineStr">
        <is>
          <t>TRADE</t>
        </is>
      </c>
      <c r="N254" t="inlineStr">
        <is>
          <t>CALL SHEET · row 254</t>
        </is>
      </c>
    </row>
    <row r="255">
      <c r="A255">
        <f>IF('CALL SHEET'!$A$255="","",'CALL SHEET'!$A$255)</f>
        <v/>
      </c>
      <c r="B255">
        <f>IF('CALL SHEET'!$C$255="","",'CALL SHEET'!$C$255)</f>
        <v/>
      </c>
      <c r="C255">
        <f>'CALL SHEET'!$U$255</f>
        <v/>
      </c>
      <c r="D255">
        <f>'CALL SHEET'!$Y$255</f>
        <v/>
      </c>
      <c r="E255">
        <f>'CALL SHEET'!$AC$255</f>
        <v/>
      </c>
      <c r="F255">
        <f>IF('CALL SHEET'!$V$255="","",'CALL SHEET'!$V$255)</f>
        <v/>
      </c>
      <c r="G255">
        <f>IF('CALL SHEET'!$D$255="","",'CALL SHEET'!$D$255)</f>
        <v/>
      </c>
      <c r="H255">
        <f>IF('CALL SHEET'!$G$255="","",'CALL SHEET'!$G$255)</f>
        <v/>
      </c>
      <c r="I255">
        <f>IF('CALL SHEET'!$AT$255="","",'CALL SHEET'!$AT$255)</f>
        <v/>
      </c>
      <c r="J255">
        <f>IF('CALL SHEET'!$AX$255="","",'CALL SHEET'!$AX$255)</f>
        <v/>
      </c>
      <c r="K255">
        <f>IF('CALL SHEET'!$N$255="","",'CALL SHEET'!$N$255)</f>
        <v/>
      </c>
      <c r="L255">
        <f>IF('CALL SHEET'!$AE$255="","",'CALL SHEET'!$AE$255)</f>
        <v/>
      </c>
      <c r="M255" t="inlineStr">
        <is>
          <t>TRADE</t>
        </is>
      </c>
      <c r="N255" t="inlineStr">
        <is>
          <t>CALL SHEET · row 255</t>
        </is>
      </c>
    </row>
    <row r="256">
      <c r="A256">
        <f>IF('CALL SHEET'!$A$256="","",'CALL SHEET'!$A$256)</f>
        <v/>
      </c>
      <c r="B256">
        <f>IF('CALL SHEET'!$C$256="","",'CALL SHEET'!$C$256)</f>
        <v/>
      </c>
      <c r="C256">
        <f>'CALL SHEET'!$U$256</f>
        <v/>
      </c>
      <c r="D256">
        <f>'CALL SHEET'!$Y$256</f>
        <v/>
      </c>
      <c r="E256">
        <f>'CALL SHEET'!$AC$256</f>
        <v/>
      </c>
      <c r="F256">
        <f>IF('CALL SHEET'!$V$256="","",'CALL SHEET'!$V$256)</f>
        <v/>
      </c>
      <c r="G256">
        <f>IF('CALL SHEET'!$D$256="","",'CALL SHEET'!$D$256)</f>
        <v/>
      </c>
      <c r="H256">
        <f>IF('CALL SHEET'!$G$256="","",'CALL SHEET'!$G$256)</f>
        <v/>
      </c>
      <c r="I256">
        <f>IF('CALL SHEET'!$AT$256="","",'CALL SHEET'!$AT$256)</f>
        <v/>
      </c>
      <c r="J256">
        <f>IF('CALL SHEET'!$AX$256="","",'CALL SHEET'!$AX$256)</f>
        <v/>
      </c>
      <c r="K256">
        <f>IF('CALL SHEET'!$N$256="","",'CALL SHEET'!$N$256)</f>
        <v/>
      </c>
      <c r="L256">
        <f>IF('CALL SHEET'!$AE$256="","",'CALL SHEET'!$AE$256)</f>
        <v/>
      </c>
      <c r="M256" t="inlineStr">
        <is>
          <t>TRADE</t>
        </is>
      </c>
      <c r="N256" t="inlineStr">
        <is>
          <t>CALL SHEET · row 256</t>
        </is>
      </c>
    </row>
    <row r="257">
      <c r="A257">
        <f>IF('CALL SHEET'!$A$257="","",'CALL SHEET'!$A$257)</f>
        <v/>
      </c>
      <c r="B257">
        <f>IF('CALL SHEET'!$C$257="","",'CALL SHEET'!$C$257)</f>
        <v/>
      </c>
      <c r="C257">
        <f>'CALL SHEET'!$U$257</f>
        <v/>
      </c>
      <c r="D257">
        <f>'CALL SHEET'!$Y$257</f>
        <v/>
      </c>
      <c r="E257">
        <f>'CALL SHEET'!$AC$257</f>
        <v/>
      </c>
      <c r="F257">
        <f>IF('CALL SHEET'!$V$257="","",'CALL SHEET'!$V$257)</f>
        <v/>
      </c>
      <c r="G257">
        <f>IF('CALL SHEET'!$D$257="","",'CALL SHEET'!$D$257)</f>
        <v/>
      </c>
      <c r="H257">
        <f>IF('CALL SHEET'!$G$257="","",'CALL SHEET'!$G$257)</f>
        <v/>
      </c>
      <c r="I257">
        <f>IF('CALL SHEET'!$AT$257="","",'CALL SHEET'!$AT$257)</f>
        <v/>
      </c>
      <c r="J257">
        <f>IF('CALL SHEET'!$AX$257="","",'CALL SHEET'!$AX$257)</f>
        <v/>
      </c>
      <c r="K257">
        <f>IF('CALL SHEET'!$N$257="","",'CALL SHEET'!$N$257)</f>
        <v/>
      </c>
      <c r="L257">
        <f>IF('CALL SHEET'!$AE$257="","",'CALL SHEET'!$AE$257)</f>
        <v/>
      </c>
      <c r="M257" t="inlineStr">
        <is>
          <t>TRADE</t>
        </is>
      </c>
      <c r="N257" t="inlineStr">
        <is>
          <t>CALL SHEET · row 257</t>
        </is>
      </c>
    </row>
    <row r="258">
      <c r="A258">
        <f>IF('CALL SHEET'!$A$258="","",'CALL SHEET'!$A$258)</f>
        <v/>
      </c>
      <c r="B258">
        <f>IF('CALL SHEET'!$C$258="","",'CALL SHEET'!$C$258)</f>
        <v/>
      </c>
      <c r="C258">
        <f>'CALL SHEET'!$U$258</f>
        <v/>
      </c>
      <c r="D258">
        <f>'CALL SHEET'!$Y$258</f>
        <v/>
      </c>
      <c r="E258">
        <f>'CALL SHEET'!$AC$258</f>
        <v/>
      </c>
      <c r="F258">
        <f>IF('CALL SHEET'!$V$258="","",'CALL SHEET'!$V$258)</f>
        <v/>
      </c>
      <c r="G258">
        <f>IF('CALL SHEET'!$D$258="","",'CALL SHEET'!$D$258)</f>
        <v/>
      </c>
      <c r="H258">
        <f>IF('CALL SHEET'!$G$258="","",'CALL SHEET'!$G$258)</f>
        <v/>
      </c>
      <c r="I258">
        <f>IF('CALL SHEET'!$AT$258="","",'CALL SHEET'!$AT$258)</f>
        <v/>
      </c>
      <c r="J258">
        <f>IF('CALL SHEET'!$AX$258="","",'CALL SHEET'!$AX$258)</f>
        <v/>
      </c>
      <c r="K258">
        <f>IF('CALL SHEET'!$N$258="","",'CALL SHEET'!$N$258)</f>
        <v/>
      </c>
      <c r="L258">
        <f>IF('CALL SHEET'!$AE$258="","",'CALL SHEET'!$AE$258)</f>
        <v/>
      </c>
      <c r="M258" t="inlineStr">
        <is>
          <t>TRADE</t>
        </is>
      </c>
      <c r="N258" t="inlineStr">
        <is>
          <t>CALL SHEET · row 258</t>
        </is>
      </c>
    </row>
    <row r="259">
      <c r="A259">
        <f>IF('CALL SHEET'!$A$259="","",'CALL SHEET'!$A$259)</f>
        <v/>
      </c>
      <c r="B259">
        <f>IF('CALL SHEET'!$C$259="","",'CALL SHEET'!$C$259)</f>
        <v/>
      </c>
      <c r="C259">
        <f>'CALL SHEET'!$U$259</f>
        <v/>
      </c>
      <c r="D259">
        <f>'CALL SHEET'!$Y$259</f>
        <v/>
      </c>
      <c r="E259">
        <f>'CALL SHEET'!$AC$259</f>
        <v/>
      </c>
      <c r="F259">
        <f>IF('CALL SHEET'!$V$259="","",'CALL SHEET'!$V$259)</f>
        <v/>
      </c>
      <c r="G259">
        <f>IF('CALL SHEET'!$D$259="","",'CALL SHEET'!$D$259)</f>
        <v/>
      </c>
      <c r="H259">
        <f>IF('CALL SHEET'!$G$259="","",'CALL SHEET'!$G$259)</f>
        <v/>
      </c>
      <c r="I259">
        <f>IF('CALL SHEET'!$AT$259="","",'CALL SHEET'!$AT$259)</f>
        <v/>
      </c>
      <c r="J259">
        <f>IF('CALL SHEET'!$AX$259="","",'CALL SHEET'!$AX$259)</f>
        <v/>
      </c>
      <c r="K259">
        <f>IF('CALL SHEET'!$N$259="","",'CALL SHEET'!$N$259)</f>
        <v/>
      </c>
      <c r="L259">
        <f>IF('CALL SHEET'!$AE$259="","",'CALL SHEET'!$AE$259)</f>
        <v/>
      </c>
      <c r="M259" t="inlineStr">
        <is>
          <t>TRADE</t>
        </is>
      </c>
      <c r="N259" t="inlineStr">
        <is>
          <t>CALL SHEET · row 259</t>
        </is>
      </c>
    </row>
    <row r="260">
      <c r="A260">
        <f>IF('CALL SHEET'!$A$260="","",'CALL SHEET'!$A$260)</f>
        <v/>
      </c>
      <c r="B260">
        <f>IF('CALL SHEET'!$C$260="","",'CALL SHEET'!$C$260)</f>
        <v/>
      </c>
      <c r="C260">
        <f>'CALL SHEET'!$U$260</f>
        <v/>
      </c>
      <c r="D260">
        <f>'CALL SHEET'!$Y$260</f>
        <v/>
      </c>
      <c r="E260">
        <f>'CALL SHEET'!$AC$260</f>
        <v/>
      </c>
      <c r="F260">
        <f>IF('CALL SHEET'!$V$260="","",'CALL SHEET'!$V$260)</f>
        <v/>
      </c>
      <c r="G260">
        <f>IF('CALL SHEET'!$D$260="","",'CALL SHEET'!$D$260)</f>
        <v/>
      </c>
      <c r="H260">
        <f>IF('CALL SHEET'!$G$260="","",'CALL SHEET'!$G$260)</f>
        <v/>
      </c>
      <c r="I260">
        <f>IF('CALL SHEET'!$AT$260="","",'CALL SHEET'!$AT$260)</f>
        <v/>
      </c>
      <c r="J260">
        <f>IF('CALL SHEET'!$AX$260="","",'CALL SHEET'!$AX$260)</f>
        <v/>
      </c>
      <c r="K260">
        <f>IF('CALL SHEET'!$N$260="","",'CALL SHEET'!$N$260)</f>
        <v/>
      </c>
      <c r="L260">
        <f>IF('CALL SHEET'!$AE$260="","",'CALL SHEET'!$AE$260)</f>
        <v/>
      </c>
      <c r="M260" t="inlineStr">
        <is>
          <t>TRADE</t>
        </is>
      </c>
      <c r="N260" t="inlineStr">
        <is>
          <t>CALL SHEET · row 260</t>
        </is>
      </c>
    </row>
    <row r="261">
      <c r="A261">
        <f>IF('CALL SHEET'!$A$261="","",'CALL SHEET'!$A$261)</f>
        <v/>
      </c>
      <c r="B261">
        <f>IF('CALL SHEET'!$C$261="","",'CALL SHEET'!$C$261)</f>
        <v/>
      </c>
      <c r="C261">
        <f>'CALL SHEET'!$U$261</f>
        <v/>
      </c>
      <c r="D261">
        <f>'CALL SHEET'!$Y$261</f>
        <v/>
      </c>
      <c r="E261">
        <f>'CALL SHEET'!$AC$261</f>
        <v/>
      </c>
      <c r="F261">
        <f>IF('CALL SHEET'!$V$261="","",'CALL SHEET'!$V$261)</f>
        <v/>
      </c>
      <c r="G261">
        <f>IF('CALL SHEET'!$D$261="","",'CALL SHEET'!$D$261)</f>
        <v/>
      </c>
      <c r="H261">
        <f>IF('CALL SHEET'!$G$261="","",'CALL SHEET'!$G$261)</f>
        <v/>
      </c>
      <c r="I261">
        <f>IF('CALL SHEET'!$AT$261="","",'CALL SHEET'!$AT$261)</f>
        <v/>
      </c>
      <c r="J261">
        <f>IF('CALL SHEET'!$AX$261="","",'CALL SHEET'!$AX$261)</f>
        <v/>
      </c>
      <c r="K261">
        <f>IF('CALL SHEET'!$N$261="","",'CALL SHEET'!$N$261)</f>
        <v/>
      </c>
      <c r="L261">
        <f>IF('CALL SHEET'!$AE$261="","",'CALL SHEET'!$AE$261)</f>
        <v/>
      </c>
      <c r="M261" t="inlineStr">
        <is>
          <t>TRADE</t>
        </is>
      </c>
      <c r="N261" t="inlineStr">
        <is>
          <t>CALL SHEET · row 261</t>
        </is>
      </c>
    </row>
    <row r="262">
      <c r="A262">
        <f>IF('CALL SHEET'!$A$262="","",'CALL SHEET'!$A$262)</f>
        <v/>
      </c>
      <c r="B262">
        <f>IF('CALL SHEET'!$C$262="","",'CALL SHEET'!$C$262)</f>
        <v/>
      </c>
      <c r="C262">
        <f>'CALL SHEET'!$U$262</f>
        <v/>
      </c>
      <c r="D262">
        <f>'CALL SHEET'!$Y$262</f>
        <v/>
      </c>
      <c r="E262">
        <f>'CALL SHEET'!$AC$262</f>
        <v/>
      </c>
      <c r="F262">
        <f>IF('CALL SHEET'!$V$262="","",'CALL SHEET'!$V$262)</f>
        <v/>
      </c>
      <c r="G262">
        <f>IF('CALL SHEET'!$D$262="","",'CALL SHEET'!$D$262)</f>
        <v/>
      </c>
      <c r="H262">
        <f>IF('CALL SHEET'!$G$262="","",'CALL SHEET'!$G$262)</f>
        <v/>
      </c>
      <c r="I262">
        <f>IF('CALL SHEET'!$AT$262="","",'CALL SHEET'!$AT$262)</f>
        <v/>
      </c>
      <c r="J262">
        <f>IF('CALL SHEET'!$AX$262="","",'CALL SHEET'!$AX$262)</f>
        <v/>
      </c>
      <c r="K262">
        <f>IF('CALL SHEET'!$N$262="","",'CALL SHEET'!$N$262)</f>
        <v/>
      </c>
      <c r="L262">
        <f>IF('CALL SHEET'!$AE$262="","",'CALL SHEET'!$AE$262)</f>
        <v/>
      </c>
      <c r="M262" t="inlineStr">
        <is>
          <t>TRADE</t>
        </is>
      </c>
      <c r="N262" t="inlineStr">
        <is>
          <t>CALL SHEET · row 262</t>
        </is>
      </c>
    </row>
    <row r="263">
      <c r="A263">
        <f>IF('CALL SHEET'!$A$263="","",'CALL SHEET'!$A$263)</f>
        <v/>
      </c>
      <c r="B263">
        <f>IF('CALL SHEET'!$C$263="","",'CALL SHEET'!$C$263)</f>
        <v/>
      </c>
      <c r="C263">
        <f>'CALL SHEET'!$U$263</f>
        <v/>
      </c>
      <c r="D263">
        <f>'CALL SHEET'!$Y$263</f>
        <v/>
      </c>
      <c r="E263">
        <f>'CALL SHEET'!$AC$263</f>
        <v/>
      </c>
      <c r="F263">
        <f>IF('CALL SHEET'!$V$263="","",'CALL SHEET'!$V$263)</f>
        <v/>
      </c>
      <c r="G263">
        <f>IF('CALL SHEET'!$D$263="","",'CALL SHEET'!$D$263)</f>
        <v/>
      </c>
      <c r="H263">
        <f>IF('CALL SHEET'!$G$263="","",'CALL SHEET'!$G$263)</f>
        <v/>
      </c>
      <c r="I263">
        <f>IF('CALL SHEET'!$AT$263="","",'CALL SHEET'!$AT$263)</f>
        <v/>
      </c>
      <c r="J263">
        <f>IF('CALL SHEET'!$AX$263="","",'CALL SHEET'!$AX$263)</f>
        <v/>
      </c>
      <c r="K263">
        <f>IF('CALL SHEET'!$N$263="","",'CALL SHEET'!$N$263)</f>
        <v/>
      </c>
      <c r="L263">
        <f>IF('CALL SHEET'!$AE$263="","",'CALL SHEET'!$AE$263)</f>
        <v/>
      </c>
      <c r="M263" t="inlineStr">
        <is>
          <t>TRADE</t>
        </is>
      </c>
      <c r="N263" t="inlineStr">
        <is>
          <t>CALL SHEET · row 263</t>
        </is>
      </c>
    </row>
    <row r="264">
      <c r="A264">
        <f>IF('CALL SHEET'!$A$264="","",'CALL SHEET'!$A$264)</f>
        <v/>
      </c>
      <c r="B264">
        <f>IF('CALL SHEET'!$C$264="","",'CALL SHEET'!$C$264)</f>
        <v/>
      </c>
      <c r="C264">
        <f>'CALL SHEET'!$U$264</f>
        <v/>
      </c>
      <c r="D264">
        <f>'CALL SHEET'!$Y$264</f>
        <v/>
      </c>
      <c r="E264">
        <f>'CALL SHEET'!$AC$264</f>
        <v/>
      </c>
      <c r="F264">
        <f>IF('CALL SHEET'!$V$264="","",'CALL SHEET'!$V$264)</f>
        <v/>
      </c>
      <c r="G264">
        <f>IF('CALL SHEET'!$D$264="","",'CALL SHEET'!$D$264)</f>
        <v/>
      </c>
      <c r="H264">
        <f>IF('CALL SHEET'!$G$264="","",'CALL SHEET'!$G$264)</f>
        <v/>
      </c>
      <c r="I264">
        <f>IF('CALL SHEET'!$AT$264="","",'CALL SHEET'!$AT$264)</f>
        <v/>
      </c>
      <c r="J264">
        <f>IF('CALL SHEET'!$AX$264="","",'CALL SHEET'!$AX$264)</f>
        <v/>
      </c>
      <c r="K264">
        <f>IF('CALL SHEET'!$N$264="","",'CALL SHEET'!$N$264)</f>
        <v/>
      </c>
      <c r="L264">
        <f>IF('CALL SHEET'!$AE$264="","",'CALL SHEET'!$AE$264)</f>
        <v/>
      </c>
      <c r="M264" t="inlineStr">
        <is>
          <t>TRADE</t>
        </is>
      </c>
      <c r="N264" t="inlineStr">
        <is>
          <t>CALL SHEET · row 264</t>
        </is>
      </c>
    </row>
    <row r="265">
      <c r="A265">
        <f>IF('CALL SHEET'!$A$265="","",'CALL SHEET'!$A$265)</f>
        <v/>
      </c>
      <c r="B265">
        <f>IF('CALL SHEET'!$C$265="","",'CALL SHEET'!$C$265)</f>
        <v/>
      </c>
      <c r="C265">
        <f>'CALL SHEET'!$U$265</f>
        <v/>
      </c>
      <c r="D265">
        <f>'CALL SHEET'!$Y$265</f>
        <v/>
      </c>
      <c r="E265">
        <f>'CALL SHEET'!$AC$265</f>
        <v/>
      </c>
      <c r="F265">
        <f>IF('CALL SHEET'!$V$265="","",'CALL SHEET'!$V$265)</f>
        <v/>
      </c>
      <c r="G265">
        <f>IF('CALL SHEET'!$D$265="","",'CALL SHEET'!$D$265)</f>
        <v/>
      </c>
      <c r="H265">
        <f>IF('CALL SHEET'!$G$265="","",'CALL SHEET'!$G$265)</f>
        <v/>
      </c>
      <c r="I265">
        <f>IF('CALL SHEET'!$AT$265="","",'CALL SHEET'!$AT$265)</f>
        <v/>
      </c>
      <c r="J265">
        <f>IF('CALL SHEET'!$AX$265="","",'CALL SHEET'!$AX$265)</f>
        <v/>
      </c>
      <c r="K265">
        <f>IF('CALL SHEET'!$N$265="","",'CALL SHEET'!$N$265)</f>
        <v/>
      </c>
      <c r="L265">
        <f>IF('CALL SHEET'!$AE$265="","",'CALL SHEET'!$AE$265)</f>
        <v/>
      </c>
      <c r="M265" t="inlineStr">
        <is>
          <t>TRADE</t>
        </is>
      </c>
      <c r="N265" t="inlineStr">
        <is>
          <t>CALL SHEET · row 265</t>
        </is>
      </c>
    </row>
    <row r="266">
      <c r="A266">
        <f>IF('CALL SHEET'!$A$266="","",'CALL SHEET'!$A$266)</f>
        <v/>
      </c>
      <c r="B266">
        <f>IF('CALL SHEET'!$C$266="","",'CALL SHEET'!$C$266)</f>
        <v/>
      </c>
      <c r="C266">
        <f>'CALL SHEET'!$U$266</f>
        <v/>
      </c>
      <c r="D266">
        <f>'CALL SHEET'!$Y$266</f>
        <v/>
      </c>
      <c r="E266">
        <f>'CALL SHEET'!$AC$266</f>
        <v/>
      </c>
      <c r="F266">
        <f>IF('CALL SHEET'!$V$266="","",'CALL SHEET'!$V$266)</f>
        <v/>
      </c>
      <c r="G266">
        <f>IF('CALL SHEET'!$D$266="","",'CALL SHEET'!$D$266)</f>
        <v/>
      </c>
      <c r="H266">
        <f>IF('CALL SHEET'!$G$266="","",'CALL SHEET'!$G$266)</f>
        <v/>
      </c>
      <c r="I266">
        <f>IF('CALL SHEET'!$AT$266="","",'CALL SHEET'!$AT$266)</f>
        <v/>
      </c>
      <c r="J266">
        <f>IF('CALL SHEET'!$AX$266="","",'CALL SHEET'!$AX$266)</f>
        <v/>
      </c>
      <c r="K266">
        <f>IF('CALL SHEET'!$N$266="","",'CALL SHEET'!$N$266)</f>
        <v/>
      </c>
      <c r="L266">
        <f>IF('CALL SHEET'!$AE$266="","",'CALL SHEET'!$AE$266)</f>
        <v/>
      </c>
      <c r="M266" t="inlineStr">
        <is>
          <t>TRADE</t>
        </is>
      </c>
      <c r="N266" t="inlineStr">
        <is>
          <t>CALL SHEET · row 266</t>
        </is>
      </c>
    </row>
    <row r="267">
      <c r="A267">
        <f>IF('CALL SHEET'!$A$267="","",'CALL SHEET'!$A$267)</f>
        <v/>
      </c>
      <c r="B267">
        <f>IF('CALL SHEET'!$C$267="","",'CALL SHEET'!$C$267)</f>
        <v/>
      </c>
      <c r="C267">
        <f>'CALL SHEET'!$U$267</f>
        <v/>
      </c>
      <c r="D267">
        <f>'CALL SHEET'!$Y$267</f>
        <v/>
      </c>
      <c r="E267">
        <f>'CALL SHEET'!$AC$267</f>
        <v/>
      </c>
      <c r="F267">
        <f>IF('CALL SHEET'!$V$267="","",'CALL SHEET'!$V$267)</f>
        <v/>
      </c>
      <c r="G267">
        <f>IF('CALL SHEET'!$D$267="","",'CALL SHEET'!$D$267)</f>
        <v/>
      </c>
      <c r="H267">
        <f>IF('CALL SHEET'!$G$267="","",'CALL SHEET'!$G$267)</f>
        <v/>
      </c>
      <c r="I267">
        <f>IF('CALL SHEET'!$AT$267="","",'CALL SHEET'!$AT$267)</f>
        <v/>
      </c>
      <c r="J267">
        <f>IF('CALL SHEET'!$AX$267="","",'CALL SHEET'!$AX$267)</f>
        <v/>
      </c>
      <c r="K267">
        <f>IF('CALL SHEET'!$N$267="","",'CALL SHEET'!$N$267)</f>
        <v/>
      </c>
      <c r="L267">
        <f>IF('CALL SHEET'!$AE$267="","",'CALL SHEET'!$AE$267)</f>
        <v/>
      </c>
      <c r="M267" t="inlineStr">
        <is>
          <t>TRADE</t>
        </is>
      </c>
      <c r="N267" t="inlineStr">
        <is>
          <t>CALL SHEET · row 267</t>
        </is>
      </c>
    </row>
    <row r="268">
      <c r="A268">
        <f>IF('CALL SHEET'!$A$268="","",'CALL SHEET'!$A$268)</f>
        <v/>
      </c>
      <c r="B268">
        <f>IF('CALL SHEET'!$C$268="","",'CALL SHEET'!$C$268)</f>
        <v/>
      </c>
      <c r="C268">
        <f>'CALL SHEET'!$U$268</f>
        <v/>
      </c>
      <c r="D268">
        <f>'CALL SHEET'!$Y$268</f>
        <v/>
      </c>
      <c r="E268">
        <f>'CALL SHEET'!$AC$268</f>
        <v/>
      </c>
      <c r="F268">
        <f>IF('CALL SHEET'!$V$268="","",'CALL SHEET'!$V$268)</f>
        <v/>
      </c>
      <c r="G268">
        <f>IF('CALL SHEET'!$D$268="","",'CALL SHEET'!$D$268)</f>
        <v/>
      </c>
      <c r="H268">
        <f>IF('CALL SHEET'!$G$268="","",'CALL SHEET'!$G$268)</f>
        <v/>
      </c>
      <c r="I268">
        <f>IF('CALL SHEET'!$AT$268="","",'CALL SHEET'!$AT$268)</f>
        <v/>
      </c>
      <c r="J268">
        <f>IF('CALL SHEET'!$AX$268="","",'CALL SHEET'!$AX$268)</f>
        <v/>
      </c>
      <c r="K268">
        <f>IF('CALL SHEET'!$N$268="","",'CALL SHEET'!$N$268)</f>
        <v/>
      </c>
      <c r="L268">
        <f>IF('CALL SHEET'!$AE$268="","",'CALL SHEET'!$AE$268)</f>
        <v/>
      </c>
      <c r="M268" t="inlineStr">
        <is>
          <t>TRADE</t>
        </is>
      </c>
      <c r="N268" t="inlineStr">
        <is>
          <t>CALL SHEET · row 268</t>
        </is>
      </c>
    </row>
    <row r="269">
      <c r="A269">
        <f>IF('CALL SHEET'!$A$269="","",'CALL SHEET'!$A$269)</f>
        <v/>
      </c>
      <c r="B269">
        <f>IF('CALL SHEET'!$C$269="","",'CALL SHEET'!$C$269)</f>
        <v/>
      </c>
      <c r="C269">
        <f>'CALL SHEET'!$U$269</f>
        <v/>
      </c>
      <c r="D269">
        <f>'CALL SHEET'!$Y$269</f>
        <v/>
      </c>
      <c r="E269">
        <f>'CALL SHEET'!$AC$269</f>
        <v/>
      </c>
      <c r="F269">
        <f>IF('CALL SHEET'!$V$269="","",'CALL SHEET'!$V$269)</f>
        <v/>
      </c>
      <c r="G269">
        <f>IF('CALL SHEET'!$D$269="","",'CALL SHEET'!$D$269)</f>
        <v/>
      </c>
      <c r="H269">
        <f>IF('CALL SHEET'!$G$269="","",'CALL SHEET'!$G$269)</f>
        <v/>
      </c>
      <c r="I269">
        <f>IF('CALL SHEET'!$AT$269="","",'CALL SHEET'!$AT$269)</f>
        <v/>
      </c>
      <c r="J269">
        <f>IF('CALL SHEET'!$AX$269="","",'CALL SHEET'!$AX$269)</f>
        <v/>
      </c>
      <c r="K269">
        <f>IF('CALL SHEET'!$N$269="","",'CALL SHEET'!$N$269)</f>
        <v/>
      </c>
      <c r="L269">
        <f>IF('CALL SHEET'!$AE$269="","",'CALL SHEET'!$AE$269)</f>
        <v/>
      </c>
      <c r="M269" t="inlineStr">
        <is>
          <t>TRADE</t>
        </is>
      </c>
      <c r="N269" t="inlineStr">
        <is>
          <t>CALL SHEET · row 269</t>
        </is>
      </c>
    </row>
    <row r="270">
      <c r="A270">
        <f>IF('CALL SHEET'!$A$270="","",'CALL SHEET'!$A$270)</f>
        <v/>
      </c>
      <c r="B270">
        <f>IF('CALL SHEET'!$C$270="","",'CALL SHEET'!$C$270)</f>
        <v/>
      </c>
      <c r="C270">
        <f>'CALL SHEET'!$U$270</f>
        <v/>
      </c>
      <c r="D270">
        <f>'CALL SHEET'!$Y$270</f>
        <v/>
      </c>
      <c r="E270">
        <f>'CALL SHEET'!$AC$270</f>
        <v/>
      </c>
      <c r="F270">
        <f>IF('CALL SHEET'!$V$270="","",'CALL SHEET'!$V$270)</f>
        <v/>
      </c>
      <c r="G270">
        <f>IF('CALL SHEET'!$D$270="","",'CALL SHEET'!$D$270)</f>
        <v/>
      </c>
      <c r="H270">
        <f>IF('CALL SHEET'!$G$270="","",'CALL SHEET'!$G$270)</f>
        <v/>
      </c>
      <c r="I270">
        <f>IF('CALL SHEET'!$AT$270="","",'CALL SHEET'!$AT$270)</f>
        <v/>
      </c>
      <c r="J270">
        <f>IF('CALL SHEET'!$AX$270="","",'CALL SHEET'!$AX$270)</f>
        <v/>
      </c>
      <c r="K270">
        <f>IF('CALL SHEET'!$N$270="","",'CALL SHEET'!$N$270)</f>
        <v/>
      </c>
      <c r="L270">
        <f>IF('CALL SHEET'!$AE$270="","",'CALL SHEET'!$AE$270)</f>
        <v/>
      </c>
      <c r="M270" t="inlineStr">
        <is>
          <t>TRADE</t>
        </is>
      </c>
      <c r="N270" t="inlineStr">
        <is>
          <t>CALL SHEET · row 270</t>
        </is>
      </c>
    </row>
    <row r="271">
      <c r="A271">
        <f>IF('CALL SHEET'!$A$271="","",'CALL SHEET'!$A$271)</f>
        <v/>
      </c>
      <c r="B271">
        <f>IF('CALL SHEET'!$C$271="","",'CALL SHEET'!$C$271)</f>
        <v/>
      </c>
      <c r="C271">
        <f>'CALL SHEET'!$U$271</f>
        <v/>
      </c>
      <c r="D271">
        <f>'CALL SHEET'!$Y$271</f>
        <v/>
      </c>
      <c r="E271">
        <f>'CALL SHEET'!$AC$271</f>
        <v/>
      </c>
      <c r="F271">
        <f>IF('CALL SHEET'!$V$271="","",'CALL SHEET'!$V$271)</f>
        <v/>
      </c>
      <c r="G271">
        <f>IF('CALL SHEET'!$D$271="","",'CALL SHEET'!$D$271)</f>
        <v/>
      </c>
      <c r="H271">
        <f>IF('CALL SHEET'!$G$271="","",'CALL SHEET'!$G$271)</f>
        <v/>
      </c>
      <c r="I271">
        <f>IF('CALL SHEET'!$AT$271="","",'CALL SHEET'!$AT$271)</f>
        <v/>
      </c>
      <c r="J271">
        <f>IF('CALL SHEET'!$AX$271="","",'CALL SHEET'!$AX$271)</f>
        <v/>
      </c>
      <c r="K271">
        <f>IF('CALL SHEET'!$N$271="","",'CALL SHEET'!$N$271)</f>
        <v/>
      </c>
      <c r="L271">
        <f>IF('CALL SHEET'!$AE$271="","",'CALL SHEET'!$AE$271)</f>
        <v/>
      </c>
      <c r="M271" t="inlineStr">
        <is>
          <t>TRADE</t>
        </is>
      </c>
      <c r="N271" t="inlineStr">
        <is>
          <t>CALL SHEET · row 271</t>
        </is>
      </c>
    </row>
    <row r="272">
      <c r="A272">
        <f>IF('CALL SHEET'!$A$272="","",'CALL SHEET'!$A$272)</f>
        <v/>
      </c>
      <c r="B272">
        <f>IF('CALL SHEET'!$C$272="","",'CALL SHEET'!$C$272)</f>
        <v/>
      </c>
      <c r="C272">
        <f>'CALL SHEET'!$U$272</f>
        <v/>
      </c>
      <c r="D272">
        <f>'CALL SHEET'!$Y$272</f>
        <v/>
      </c>
      <c r="E272">
        <f>'CALL SHEET'!$AC$272</f>
        <v/>
      </c>
      <c r="F272">
        <f>IF('CALL SHEET'!$V$272="","",'CALL SHEET'!$V$272)</f>
        <v/>
      </c>
      <c r="G272">
        <f>IF('CALL SHEET'!$D$272="","",'CALL SHEET'!$D$272)</f>
        <v/>
      </c>
      <c r="H272">
        <f>IF('CALL SHEET'!$G$272="","",'CALL SHEET'!$G$272)</f>
        <v/>
      </c>
      <c r="I272">
        <f>IF('CALL SHEET'!$AT$272="","",'CALL SHEET'!$AT$272)</f>
        <v/>
      </c>
      <c r="J272">
        <f>IF('CALL SHEET'!$AX$272="","",'CALL SHEET'!$AX$272)</f>
        <v/>
      </c>
      <c r="K272">
        <f>IF('CALL SHEET'!$N$272="","",'CALL SHEET'!$N$272)</f>
        <v/>
      </c>
      <c r="L272">
        <f>IF('CALL SHEET'!$AE$272="","",'CALL SHEET'!$AE$272)</f>
        <v/>
      </c>
      <c r="M272" t="inlineStr">
        <is>
          <t>TRADE</t>
        </is>
      </c>
      <c r="N272" t="inlineStr">
        <is>
          <t>CALL SHEET · row 272</t>
        </is>
      </c>
    </row>
    <row r="273">
      <c r="A273">
        <f>IF('CALL SHEET'!$A$273="","",'CALL SHEET'!$A$273)</f>
        <v/>
      </c>
      <c r="B273">
        <f>IF('CALL SHEET'!$C$273="","",'CALL SHEET'!$C$273)</f>
        <v/>
      </c>
      <c r="C273">
        <f>'CALL SHEET'!$U$273</f>
        <v/>
      </c>
      <c r="D273">
        <f>'CALL SHEET'!$Y$273</f>
        <v/>
      </c>
      <c r="E273">
        <f>'CALL SHEET'!$AC$273</f>
        <v/>
      </c>
      <c r="F273">
        <f>IF('CALL SHEET'!$V$273="","",'CALL SHEET'!$V$273)</f>
        <v/>
      </c>
      <c r="G273">
        <f>IF('CALL SHEET'!$D$273="","",'CALL SHEET'!$D$273)</f>
        <v/>
      </c>
      <c r="H273">
        <f>IF('CALL SHEET'!$G$273="","",'CALL SHEET'!$G$273)</f>
        <v/>
      </c>
      <c r="I273">
        <f>IF('CALL SHEET'!$AT$273="","",'CALL SHEET'!$AT$273)</f>
        <v/>
      </c>
      <c r="J273">
        <f>IF('CALL SHEET'!$AX$273="","",'CALL SHEET'!$AX$273)</f>
        <v/>
      </c>
      <c r="K273">
        <f>IF('CALL SHEET'!$N$273="","",'CALL SHEET'!$N$273)</f>
        <v/>
      </c>
      <c r="L273">
        <f>IF('CALL SHEET'!$AE$273="","",'CALL SHEET'!$AE$273)</f>
        <v/>
      </c>
      <c r="M273" t="inlineStr">
        <is>
          <t>TRADE</t>
        </is>
      </c>
      <c r="N273" t="inlineStr">
        <is>
          <t>CALL SHEET · row 273</t>
        </is>
      </c>
    </row>
    <row r="274">
      <c r="A274">
        <f>IF('CALL SHEET'!$A$274="","",'CALL SHEET'!$A$274)</f>
        <v/>
      </c>
      <c r="B274">
        <f>IF('CALL SHEET'!$C$274="","",'CALL SHEET'!$C$274)</f>
        <v/>
      </c>
      <c r="C274">
        <f>'CALL SHEET'!$U$274</f>
        <v/>
      </c>
      <c r="D274">
        <f>'CALL SHEET'!$Y$274</f>
        <v/>
      </c>
      <c r="E274">
        <f>'CALL SHEET'!$AC$274</f>
        <v/>
      </c>
      <c r="F274">
        <f>IF('CALL SHEET'!$V$274="","",'CALL SHEET'!$V$274)</f>
        <v/>
      </c>
      <c r="G274">
        <f>IF('CALL SHEET'!$D$274="","",'CALL SHEET'!$D$274)</f>
        <v/>
      </c>
      <c r="H274">
        <f>IF('CALL SHEET'!$G$274="","",'CALL SHEET'!$G$274)</f>
        <v/>
      </c>
      <c r="I274">
        <f>IF('CALL SHEET'!$AT$274="","",'CALL SHEET'!$AT$274)</f>
        <v/>
      </c>
      <c r="J274">
        <f>IF('CALL SHEET'!$AX$274="","",'CALL SHEET'!$AX$274)</f>
        <v/>
      </c>
      <c r="K274">
        <f>IF('CALL SHEET'!$N$274="","",'CALL SHEET'!$N$274)</f>
        <v/>
      </c>
      <c r="L274">
        <f>IF('CALL SHEET'!$AE$274="","",'CALL SHEET'!$AE$274)</f>
        <v/>
      </c>
      <c r="M274" t="inlineStr">
        <is>
          <t>TRADE</t>
        </is>
      </c>
      <c r="N274" t="inlineStr">
        <is>
          <t>CALL SHEET · row 274</t>
        </is>
      </c>
    </row>
    <row r="275">
      <c r="A275">
        <f>IF('CALL SHEET'!$A$275="","",'CALL SHEET'!$A$275)</f>
        <v/>
      </c>
      <c r="B275">
        <f>IF('CALL SHEET'!$C$275="","",'CALL SHEET'!$C$275)</f>
        <v/>
      </c>
      <c r="C275">
        <f>'CALL SHEET'!$U$275</f>
        <v/>
      </c>
      <c r="D275">
        <f>'CALL SHEET'!$Y$275</f>
        <v/>
      </c>
      <c r="E275">
        <f>'CALL SHEET'!$AC$275</f>
        <v/>
      </c>
      <c r="F275">
        <f>IF('CALL SHEET'!$V$275="","",'CALL SHEET'!$V$275)</f>
        <v/>
      </c>
      <c r="G275">
        <f>IF('CALL SHEET'!$D$275="","",'CALL SHEET'!$D$275)</f>
        <v/>
      </c>
      <c r="H275">
        <f>IF('CALL SHEET'!$G$275="","",'CALL SHEET'!$G$275)</f>
        <v/>
      </c>
      <c r="I275">
        <f>IF('CALL SHEET'!$AT$275="","",'CALL SHEET'!$AT$275)</f>
        <v/>
      </c>
      <c r="J275">
        <f>IF('CALL SHEET'!$AX$275="","",'CALL SHEET'!$AX$275)</f>
        <v/>
      </c>
      <c r="K275">
        <f>IF('CALL SHEET'!$N$275="","",'CALL SHEET'!$N$275)</f>
        <v/>
      </c>
      <c r="L275">
        <f>IF('CALL SHEET'!$AE$275="","",'CALL SHEET'!$AE$275)</f>
        <v/>
      </c>
      <c r="M275" t="inlineStr">
        <is>
          <t>TRADE</t>
        </is>
      </c>
      <c r="N275" t="inlineStr">
        <is>
          <t>CALL SHEET · row 275</t>
        </is>
      </c>
    </row>
    <row r="276">
      <c r="A276">
        <f>IF('CALL SHEET'!$A$276="","",'CALL SHEET'!$A$276)</f>
        <v/>
      </c>
      <c r="B276">
        <f>IF('CALL SHEET'!$C$276="","",'CALL SHEET'!$C$276)</f>
        <v/>
      </c>
      <c r="C276">
        <f>'CALL SHEET'!$U$276</f>
        <v/>
      </c>
      <c r="D276">
        <f>'CALL SHEET'!$Y$276</f>
        <v/>
      </c>
      <c r="E276">
        <f>'CALL SHEET'!$AC$276</f>
        <v/>
      </c>
      <c r="F276">
        <f>IF('CALL SHEET'!$V$276="","",'CALL SHEET'!$V$276)</f>
        <v/>
      </c>
      <c r="G276">
        <f>IF('CALL SHEET'!$D$276="","",'CALL SHEET'!$D$276)</f>
        <v/>
      </c>
      <c r="H276">
        <f>IF('CALL SHEET'!$G$276="","",'CALL SHEET'!$G$276)</f>
        <v/>
      </c>
      <c r="I276">
        <f>IF('CALL SHEET'!$AT$276="","",'CALL SHEET'!$AT$276)</f>
        <v/>
      </c>
      <c r="J276">
        <f>IF('CALL SHEET'!$AX$276="","",'CALL SHEET'!$AX$276)</f>
        <v/>
      </c>
      <c r="K276">
        <f>IF('CALL SHEET'!$N$276="","",'CALL SHEET'!$N$276)</f>
        <v/>
      </c>
      <c r="L276">
        <f>IF('CALL SHEET'!$AE$276="","",'CALL SHEET'!$AE$276)</f>
        <v/>
      </c>
      <c r="M276" t="inlineStr">
        <is>
          <t>TRADE</t>
        </is>
      </c>
      <c r="N276" t="inlineStr">
        <is>
          <t>CALL SHEET · row 276</t>
        </is>
      </c>
    </row>
    <row r="277">
      <c r="A277">
        <f>IF('CALL SHEET'!$A$277="","",'CALL SHEET'!$A$277)</f>
        <v/>
      </c>
      <c r="B277">
        <f>IF('CALL SHEET'!$C$277="","",'CALL SHEET'!$C$277)</f>
        <v/>
      </c>
      <c r="C277">
        <f>'CALL SHEET'!$U$277</f>
        <v/>
      </c>
      <c r="D277">
        <f>'CALL SHEET'!$Y$277</f>
        <v/>
      </c>
      <c r="E277">
        <f>'CALL SHEET'!$AC$277</f>
        <v/>
      </c>
      <c r="F277">
        <f>IF('CALL SHEET'!$V$277="","",'CALL SHEET'!$V$277)</f>
        <v/>
      </c>
      <c r="G277">
        <f>IF('CALL SHEET'!$D$277="","",'CALL SHEET'!$D$277)</f>
        <v/>
      </c>
      <c r="H277">
        <f>IF('CALL SHEET'!$G$277="","",'CALL SHEET'!$G$277)</f>
        <v/>
      </c>
      <c r="I277">
        <f>IF('CALL SHEET'!$AT$277="","",'CALL SHEET'!$AT$277)</f>
        <v/>
      </c>
      <c r="J277">
        <f>IF('CALL SHEET'!$AX$277="","",'CALL SHEET'!$AX$277)</f>
        <v/>
      </c>
      <c r="K277">
        <f>IF('CALL SHEET'!$N$277="","",'CALL SHEET'!$N$277)</f>
        <v/>
      </c>
      <c r="L277">
        <f>IF('CALL SHEET'!$AE$277="","",'CALL SHEET'!$AE$277)</f>
        <v/>
      </c>
      <c r="M277" t="inlineStr">
        <is>
          <t>TRADE</t>
        </is>
      </c>
      <c r="N277" t="inlineStr">
        <is>
          <t>CALL SHEET · row 277</t>
        </is>
      </c>
    </row>
    <row r="278">
      <c r="A278">
        <f>IF('CALL SHEET'!$A$278="","",'CALL SHEET'!$A$278)</f>
        <v/>
      </c>
      <c r="B278">
        <f>IF('CALL SHEET'!$C$278="","",'CALL SHEET'!$C$278)</f>
        <v/>
      </c>
      <c r="C278">
        <f>'CALL SHEET'!$U$278</f>
        <v/>
      </c>
      <c r="D278">
        <f>'CALL SHEET'!$Y$278</f>
        <v/>
      </c>
      <c r="E278">
        <f>'CALL SHEET'!$AC$278</f>
        <v/>
      </c>
      <c r="F278">
        <f>IF('CALL SHEET'!$V$278="","",'CALL SHEET'!$V$278)</f>
        <v/>
      </c>
      <c r="G278">
        <f>IF('CALL SHEET'!$D$278="","",'CALL SHEET'!$D$278)</f>
        <v/>
      </c>
      <c r="H278">
        <f>IF('CALL SHEET'!$G$278="","",'CALL SHEET'!$G$278)</f>
        <v/>
      </c>
      <c r="I278">
        <f>IF('CALL SHEET'!$AT$278="","",'CALL SHEET'!$AT$278)</f>
        <v/>
      </c>
      <c r="J278">
        <f>IF('CALL SHEET'!$AX$278="","",'CALL SHEET'!$AX$278)</f>
        <v/>
      </c>
      <c r="K278">
        <f>IF('CALL SHEET'!$N$278="","",'CALL SHEET'!$N$278)</f>
        <v/>
      </c>
      <c r="L278">
        <f>IF('CALL SHEET'!$AE$278="","",'CALL SHEET'!$AE$278)</f>
        <v/>
      </c>
      <c r="M278" t="inlineStr">
        <is>
          <t>TRADE</t>
        </is>
      </c>
      <c r="N278" t="inlineStr">
        <is>
          <t>CALL SHEET · row 278</t>
        </is>
      </c>
    </row>
    <row r="279">
      <c r="A279">
        <f>IF('CALL SHEET'!$A$279="","",'CALL SHEET'!$A$279)</f>
        <v/>
      </c>
      <c r="B279">
        <f>IF('CALL SHEET'!$C$279="","",'CALL SHEET'!$C$279)</f>
        <v/>
      </c>
      <c r="C279">
        <f>'CALL SHEET'!$U$279</f>
        <v/>
      </c>
      <c r="D279">
        <f>'CALL SHEET'!$Y$279</f>
        <v/>
      </c>
      <c r="E279">
        <f>'CALL SHEET'!$AC$279</f>
        <v/>
      </c>
      <c r="F279">
        <f>IF('CALL SHEET'!$V$279="","",'CALL SHEET'!$V$279)</f>
        <v/>
      </c>
      <c r="G279">
        <f>IF('CALL SHEET'!$D$279="","",'CALL SHEET'!$D$279)</f>
        <v/>
      </c>
      <c r="H279">
        <f>IF('CALL SHEET'!$G$279="","",'CALL SHEET'!$G$279)</f>
        <v/>
      </c>
      <c r="I279">
        <f>IF('CALL SHEET'!$AT$279="","",'CALL SHEET'!$AT$279)</f>
        <v/>
      </c>
      <c r="J279">
        <f>IF('CALL SHEET'!$AX$279="","",'CALL SHEET'!$AX$279)</f>
        <v/>
      </c>
      <c r="K279">
        <f>IF('CALL SHEET'!$N$279="","",'CALL SHEET'!$N$279)</f>
        <v/>
      </c>
      <c r="L279">
        <f>IF('CALL SHEET'!$AE$279="","",'CALL SHEET'!$AE$279)</f>
        <v/>
      </c>
      <c r="M279" t="inlineStr">
        <is>
          <t>TRADE</t>
        </is>
      </c>
      <c r="N279" t="inlineStr">
        <is>
          <t>CALL SHEET · row 279</t>
        </is>
      </c>
    </row>
    <row r="280">
      <c r="A280">
        <f>IF('CALL SHEET'!$A$280="","",'CALL SHEET'!$A$280)</f>
        <v/>
      </c>
      <c r="B280">
        <f>IF('CALL SHEET'!$C$280="","",'CALL SHEET'!$C$280)</f>
        <v/>
      </c>
      <c r="C280">
        <f>'CALL SHEET'!$U$280</f>
        <v/>
      </c>
      <c r="D280">
        <f>'CALL SHEET'!$Y$280</f>
        <v/>
      </c>
      <c r="E280">
        <f>'CALL SHEET'!$AC$280</f>
        <v/>
      </c>
      <c r="F280">
        <f>IF('CALL SHEET'!$V$280="","",'CALL SHEET'!$V$280)</f>
        <v/>
      </c>
      <c r="G280">
        <f>IF('CALL SHEET'!$D$280="","",'CALL SHEET'!$D$280)</f>
        <v/>
      </c>
      <c r="H280">
        <f>IF('CALL SHEET'!$G$280="","",'CALL SHEET'!$G$280)</f>
        <v/>
      </c>
      <c r="I280">
        <f>IF('CALL SHEET'!$AT$280="","",'CALL SHEET'!$AT$280)</f>
        <v/>
      </c>
      <c r="J280">
        <f>IF('CALL SHEET'!$AX$280="","",'CALL SHEET'!$AX$280)</f>
        <v/>
      </c>
      <c r="K280">
        <f>IF('CALL SHEET'!$N$280="","",'CALL SHEET'!$N$280)</f>
        <v/>
      </c>
      <c r="L280">
        <f>IF('CALL SHEET'!$AE$280="","",'CALL SHEET'!$AE$280)</f>
        <v/>
      </c>
      <c r="M280" t="inlineStr">
        <is>
          <t>TRADE</t>
        </is>
      </c>
      <c r="N280" t="inlineStr">
        <is>
          <t>CALL SHEET · row 280</t>
        </is>
      </c>
    </row>
    <row r="281">
      <c r="A281">
        <f>IF('CALL SHEET'!$A$281="","",'CALL SHEET'!$A$281)</f>
        <v/>
      </c>
      <c r="B281">
        <f>IF('CALL SHEET'!$C$281="","",'CALL SHEET'!$C$281)</f>
        <v/>
      </c>
      <c r="C281">
        <f>'CALL SHEET'!$U$281</f>
        <v/>
      </c>
      <c r="D281">
        <f>'CALL SHEET'!$Y$281</f>
        <v/>
      </c>
      <c r="E281">
        <f>'CALL SHEET'!$AC$281</f>
        <v/>
      </c>
      <c r="F281">
        <f>IF('CALL SHEET'!$V$281="","",'CALL SHEET'!$V$281)</f>
        <v/>
      </c>
      <c r="G281">
        <f>IF('CALL SHEET'!$D$281="","",'CALL SHEET'!$D$281)</f>
        <v/>
      </c>
      <c r="H281">
        <f>IF('CALL SHEET'!$G$281="","",'CALL SHEET'!$G$281)</f>
        <v/>
      </c>
      <c r="I281">
        <f>IF('CALL SHEET'!$AT$281="","",'CALL SHEET'!$AT$281)</f>
        <v/>
      </c>
      <c r="J281">
        <f>IF('CALL SHEET'!$AX$281="","",'CALL SHEET'!$AX$281)</f>
        <v/>
      </c>
      <c r="K281">
        <f>IF('CALL SHEET'!$N$281="","",'CALL SHEET'!$N$281)</f>
        <v/>
      </c>
      <c r="L281">
        <f>IF('CALL SHEET'!$AE$281="","",'CALL SHEET'!$AE$281)</f>
        <v/>
      </c>
      <c r="M281" t="inlineStr">
        <is>
          <t>TRADE</t>
        </is>
      </c>
      <c r="N281" t="inlineStr">
        <is>
          <t>CALL SHEET · row 281</t>
        </is>
      </c>
    </row>
    <row r="282">
      <c r="A282">
        <f>IF('CALL SHEET'!$A$282="","",'CALL SHEET'!$A$282)</f>
        <v/>
      </c>
      <c r="B282">
        <f>IF('CALL SHEET'!$C$282="","",'CALL SHEET'!$C$282)</f>
        <v/>
      </c>
      <c r="C282">
        <f>'CALL SHEET'!$U$282</f>
        <v/>
      </c>
      <c r="D282">
        <f>'CALL SHEET'!$Y$282</f>
        <v/>
      </c>
      <c r="E282">
        <f>'CALL SHEET'!$AC$282</f>
        <v/>
      </c>
      <c r="F282">
        <f>IF('CALL SHEET'!$V$282="","",'CALL SHEET'!$V$282)</f>
        <v/>
      </c>
      <c r="G282">
        <f>IF('CALL SHEET'!$D$282="","",'CALL SHEET'!$D$282)</f>
        <v/>
      </c>
      <c r="H282">
        <f>IF('CALL SHEET'!$G$282="","",'CALL SHEET'!$G$282)</f>
        <v/>
      </c>
      <c r="I282">
        <f>IF('CALL SHEET'!$AT$282="","",'CALL SHEET'!$AT$282)</f>
        <v/>
      </c>
      <c r="J282">
        <f>IF('CALL SHEET'!$AX$282="","",'CALL SHEET'!$AX$282)</f>
        <v/>
      </c>
      <c r="K282">
        <f>IF('CALL SHEET'!$N$282="","",'CALL SHEET'!$N$282)</f>
        <v/>
      </c>
      <c r="L282">
        <f>IF('CALL SHEET'!$AE$282="","",'CALL SHEET'!$AE$282)</f>
        <v/>
      </c>
      <c r="M282" t="inlineStr">
        <is>
          <t>TRADE</t>
        </is>
      </c>
      <c r="N282" t="inlineStr">
        <is>
          <t>CALL SHEET · row 282</t>
        </is>
      </c>
    </row>
    <row r="283">
      <c r="A283">
        <f>IF('CALL SHEET'!$A$283="","",'CALL SHEET'!$A$283)</f>
        <v/>
      </c>
      <c r="B283">
        <f>IF('CALL SHEET'!$C$283="","",'CALL SHEET'!$C$283)</f>
        <v/>
      </c>
      <c r="C283">
        <f>'CALL SHEET'!$U$283</f>
        <v/>
      </c>
      <c r="D283">
        <f>'CALL SHEET'!$Y$283</f>
        <v/>
      </c>
      <c r="E283">
        <f>'CALL SHEET'!$AC$283</f>
        <v/>
      </c>
      <c r="F283">
        <f>IF('CALL SHEET'!$V$283="","",'CALL SHEET'!$V$283)</f>
        <v/>
      </c>
      <c r="G283">
        <f>IF('CALL SHEET'!$D$283="","",'CALL SHEET'!$D$283)</f>
        <v/>
      </c>
      <c r="H283">
        <f>IF('CALL SHEET'!$G$283="","",'CALL SHEET'!$G$283)</f>
        <v/>
      </c>
      <c r="I283">
        <f>IF('CALL SHEET'!$AT$283="","",'CALL SHEET'!$AT$283)</f>
        <v/>
      </c>
      <c r="J283">
        <f>IF('CALL SHEET'!$AX$283="","",'CALL SHEET'!$AX$283)</f>
        <v/>
      </c>
      <c r="K283">
        <f>IF('CALL SHEET'!$N$283="","",'CALL SHEET'!$N$283)</f>
        <v/>
      </c>
      <c r="L283">
        <f>IF('CALL SHEET'!$AE$283="","",'CALL SHEET'!$AE$283)</f>
        <v/>
      </c>
      <c r="M283" t="inlineStr">
        <is>
          <t>TRADE</t>
        </is>
      </c>
      <c r="N283" t="inlineStr">
        <is>
          <t>CALL SHEET · row 283</t>
        </is>
      </c>
    </row>
    <row r="284">
      <c r="A284">
        <f>IF('CALL SHEET'!$A$284="","",'CALL SHEET'!$A$284)</f>
        <v/>
      </c>
      <c r="B284">
        <f>IF('CALL SHEET'!$C$284="","",'CALL SHEET'!$C$284)</f>
        <v/>
      </c>
      <c r="C284">
        <f>'CALL SHEET'!$U$284</f>
        <v/>
      </c>
      <c r="D284">
        <f>'CALL SHEET'!$Y$284</f>
        <v/>
      </c>
      <c r="E284">
        <f>'CALL SHEET'!$AC$284</f>
        <v/>
      </c>
      <c r="F284">
        <f>IF('CALL SHEET'!$V$284="","",'CALL SHEET'!$V$284)</f>
        <v/>
      </c>
      <c r="G284">
        <f>IF('CALL SHEET'!$D$284="","",'CALL SHEET'!$D$284)</f>
        <v/>
      </c>
      <c r="H284">
        <f>IF('CALL SHEET'!$G$284="","",'CALL SHEET'!$G$284)</f>
        <v/>
      </c>
      <c r="I284">
        <f>IF('CALL SHEET'!$AT$284="","",'CALL SHEET'!$AT$284)</f>
        <v/>
      </c>
      <c r="J284">
        <f>IF('CALL SHEET'!$AX$284="","",'CALL SHEET'!$AX$284)</f>
        <v/>
      </c>
      <c r="K284">
        <f>IF('CALL SHEET'!$N$284="","",'CALL SHEET'!$N$284)</f>
        <v/>
      </c>
      <c r="L284">
        <f>IF('CALL SHEET'!$AE$284="","",'CALL SHEET'!$AE$284)</f>
        <v/>
      </c>
      <c r="M284" t="inlineStr">
        <is>
          <t>TRADE</t>
        </is>
      </c>
      <c r="N284" t="inlineStr">
        <is>
          <t>CALL SHEET · row 284</t>
        </is>
      </c>
    </row>
    <row r="285">
      <c r="A285">
        <f>IF('CALL SHEET'!$A$285="","",'CALL SHEET'!$A$285)</f>
        <v/>
      </c>
      <c r="B285">
        <f>IF('CALL SHEET'!$C$285="","",'CALL SHEET'!$C$285)</f>
        <v/>
      </c>
      <c r="C285">
        <f>'CALL SHEET'!$U$285</f>
        <v/>
      </c>
      <c r="D285">
        <f>'CALL SHEET'!$Y$285</f>
        <v/>
      </c>
      <c r="E285">
        <f>'CALL SHEET'!$AC$285</f>
        <v/>
      </c>
      <c r="F285">
        <f>IF('CALL SHEET'!$V$285="","",'CALL SHEET'!$V$285)</f>
        <v/>
      </c>
      <c r="G285">
        <f>IF('CALL SHEET'!$D$285="","",'CALL SHEET'!$D$285)</f>
        <v/>
      </c>
      <c r="H285">
        <f>IF('CALL SHEET'!$G$285="","",'CALL SHEET'!$G$285)</f>
        <v/>
      </c>
      <c r="I285">
        <f>IF('CALL SHEET'!$AT$285="","",'CALL SHEET'!$AT$285)</f>
        <v/>
      </c>
      <c r="J285">
        <f>IF('CALL SHEET'!$AX$285="","",'CALL SHEET'!$AX$285)</f>
        <v/>
      </c>
      <c r="K285">
        <f>IF('CALL SHEET'!$N$285="","",'CALL SHEET'!$N$285)</f>
        <v/>
      </c>
      <c r="L285">
        <f>IF('CALL SHEET'!$AE$285="","",'CALL SHEET'!$AE$285)</f>
        <v/>
      </c>
      <c r="M285" t="inlineStr">
        <is>
          <t>TRADE</t>
        </is>
      </c>
      <c r="N285" t="inlineStr">
        <is>
          <t>CALL SHEET · row 285</t>
        </is>
      </c>
    </row>
    <row r="286">
      <c r="A286">
        <f>IF('CALL SHEET'!$A$286="","",'CALL SHEET'!$A$286)</f>
        <v/>
      </c>
      <c r="B286">
        <f>IF('CALL SHEET'!$C$286="","",'CALL SHEET'!$C$286)</f>
        <v/>
      </c>
      <c r="C286">
        <f>'CALL SHEET'!$U$286</f>
        <v/>
      </c>
      <c r="D286">
        <f>'CALL SHEET'!$Y$286</f>
        <v/>
      </c>
      <c r="E286">
        <f>'CALL SHEET'!$AC$286</f>
        <v/>
      </c>
      <c r="F286">
        <f>IF('CALL SHEET'!$V$286="","",'CALL SHEET'!$V$286)</f>
        <v/>
      </c>
      <c r="G286">
        <f>IF('CALL SHEET'!$D$286="","",'CALL SHEET'!$D$286)</f>
        <v/>
      </c>
      <c r="H286">
        <f>IF('CALL SHEET'!$G$286="","",'CALL SHEET'!$G$286)</f>
        <v/>
      </c>
      <c r="I286">
        <f>IF('CALL SHEET'!$AT$286="","",'CALL SHEET'!$AT$286)</f>
        <v/>
      </c>
      <c r="J286">
        <f>IF('CALL SHEET'!$AX$286="","",'CALL SHEET'!$AX$286)</f>
        <v/>
      </c>
      <c r="K286">
        <f>IF('CALL SHEET'!$N$286="","",'CALL SHEET'!$N$286)</f>
        <v/>
      </c>
      <c r="L286">
        <f>IF('CALL SHEET'!$AE$286="","",'CALL SHEET'!$AE$286)</f>
        <v/>
      </c>
      <c r="M286" t="inlineStr">
        <is>
          <t>TRADE</t>
        </is>
      </c>
      <c r="N286" t="inlineStr">
        <is>
          <t>CALL SHEET · row 286</t>
        </is>
      </c>
    </row>
    <row r="287">
      <c r="A287">
        <f>IF('CALL SHEET'!$A$287="","",'CALL SHEET'!$A$287)</f>
        <v/>
      </c>
      <c r="B287">
        <f>IF('CALL SHEET'!$C$287="","",'CALL SHEET'!$C$287)</f>
        <v/>
      </c>
      <c r="C287">
        <f>'CALL SHEET'!$U$287</f>
        <v/>
      </c>
      <c r="D287">
        <f>'CALL SHEET'!$Y$287</f>
        <v/>
      </c>
      <c r="E287">
        <f>'CALL SHEET'!$AC$287</f>
        <v/>
      </c>
      <c r="F287">
        <f>IF('CALL SHEET'!$V$287="","",'CALL SHEET'!$V$287)</f>
        <v/>
      </c>
      <c r="G287">
        <f>IF('CALL SHEET'!$D$287="","",'CALL SHEET'!$D$287)</f>
        <v/>
      </c>
      <c r="H287">
        <f>IF('CALL SHEET'!$G$287="","",'CALL SHEET'!$G$287)</f>
        <v/>
      </c>
      <c r="I287">
        <f>IF('CALL SHEET'!$AT$287="","",'CALL SHEET'!$AT$287)</f>
        <v/>
      </c>
      <c r="J287">
        <f>IF('CALL SHEET'!$AX$287="","",'CALL SHEET'!$AX$287)</f>
        <v/>
      </c>
      <c r="K287">
        <f>IF('CALL SHEET'!$N$287="","",'CALL SHEET'!$N$287)</f>
        <v/>
      </c>
      <c r="L287">
        <f>IF('CALL SHEET'!$AE$287="","",'CALL SHEET'!$AE$287)</f>
        <v/>
      </c>
      <c r="M287" t="inlineStr">
        <is>
          <t>TRADE</t>
        </is>
      </c>
      <c r="N287" t="inlineStr">
        <is>
          <t>CALL SHEET · row 287</t>
        </is>
      </c>
    </row>
    <row r="288">
      <c r="A288">
        <f>IF('CALL SHEET'!$A$288="","",'CALL SHEET'!$A$288)</f>
        <v/>
      </c>
      <c r="B288">
        <f>IF('CALL SHEET'!$C$288="","",'CALL SHEET'!$C$288)</f>
        <v/>
      </c>
      <c r="C288">
        <f>'CALL SHEET'!$U$288</f>
        <v/>
      </c>
      <c r="D288">
        <f>'CALL SHEET'!$Y$288</f>
        <v/>
      </c>
      <c r="E288">
        <f>'CALL SHEET'!$AC$288</f>
        <v/>
      </c>
      <c r="F288">
        <f>IF('CALL SHEET'!$V$288="","",'CALL SHEET'!$V$288)</f>
        <v/>
      </c>
      <c r="G288">
        <f>IF('CALL SHEET'!$D$288="","",'CALL SHEET'!$D$288)</f>
        <v/>
      </c>
      <c r="H288">
        <f>IF('CALL SHEET'!$G$288="","",'CALL SHEET'!$G$288)</f>
        <v/>
      </c>
      <c r="I288">
        <f>IF('CALL SHEET'!$AT$288="","",'CALL SHEET'!$AT$288)</f>
        <v/>
      </c>
      <c r="J288">
        <f>IF('CALL SHEET'!$AX$288="","",'CALL SHEET'!$AX$288)</f>
        <v/>
      </c>
      <c r="K288">
        <f>IF('CALL SHEET'!$N$288="","",'CALL SHEET'!$N$288)</f>
        <v/>
      </c>
      <c r="L288">
        <f>IF('CALL SHEET'!$AE$288="","",'CALL SHEET'!$AE$288)</f>
        <v/>
      </c>
      <c r="M288" t="inlineStr">
        <is>
          <t>TRADE</t>
        </is>
      </c>
      <c r="N288" t="inlineStr">
        <is>
          <t>CALL SHEET · row 288</t>
        </is>
      </c>
    </row>
    <row r="289">
      <c r="A289">
        <f>IF('CALL SHEET'!$A$289="","",'CALL SHEET'!$A$289)</f>
        <v/>
      </c>
      <c r="B289">
        <f>IF('CALL SHEET'!$C$289="","",'CALL SHEET'!$C$289)</f>
        <v/>
      </c>
      <c r="C289">
        <f>'CALL SHEET'!$U$289</f>
        <v/>
      </c>
      <c r="D289">
        <f>'CALL SHEET'!$Y$289</f>
        <v/>
      </c>
      <c r="E289">
        <f>'CALL SHEET'!$AC$289</f>
        <v/>
      </c>
      <c r="F289">
        <f>IF('CALL SHEET'!$V$289="","",'CALL SHEET'!$V$289)</f>
        <v/>
      </c>
      <c r="G289">
        <f>IF('CALL SHEET'!$D$289="","",'CALL SHEET'!$D$289)</f>
        <v/>
      </c>
      <c r="H289">
        <f>IF('CALL SHEET'!$G$289="","",'CALL SHEET'!$G$289)</f>
        <v/>
      </c>
      <c r="I289">
        <f>IF('CALL SHEET'!$AT$289="","",'CALL SHEET'!$AT$289)</f>
        <v/>
      </c>
      <c r="J289">
        <f>IF('CALL SHEET'!$AX$289="","",'CALL SHEET'!$AX$289)</f>
        <v/>
      </c>
      <c r="K289">
        <f>IF('CALL SHEET'!$N$289="","",'CALL SHEET'!$N$289)</f>
        <v/>
      </c>
      <c r="L289">
        <f>IF('CALL SHEET'!$AE$289="","",'CALL SHEET'!$AE$289)</f>
        <v/>
      </c>
      <c r="M289" t="inlineStr">
        <is>
          <t>TRADE</t>
        </is>
      </c>
      <c r="N289" t="inlineStr">
        <is>
          <t>CALL SHEET · row 289</t>
        </is>
      </c>
    </row>
    <row r="290">
      <c r="A290">
        <f>IF('CALL SHEET'!$A$290="","",'CALL SHEET'!$A$290)</f>
        <v/>
      </c>
      <c r="B290">
        <f>IF('CALL SHEET'!$C$290="","",'CALL SHEET'!$C$290)</f>
        <v/>
      </c>
      <c r="C290">
        <f>'CALL SHEET'!$U$290</f>
        <v/>
      </c>
      <c r="D290">
        <f>'CALL SHEET'!$Y$290</f>
        <v/>
      </c>
      <c r="E290">
        <f>'CALL SHEET'!$AC$290</f>
        <v/>
      </c>
      <c r="F290">
        <f>IF('CALL SHEET'!$V$290="","",'CALL SHEET'!$V$290)</f>
        <v/>
      </c>
      <c r="G290">
        <f>IF('CALL SHEET'!$D$290="","",'CALL SHEET'!$D$290)</f>
        <v/>
      </c>
      <c r="H290">
        <f>IF('CALL SHEET'!$G$290="","",'CALL SHEET'!$G$290)</f>
        <v/>
      </c>
      <c r="I290">
        <f>IF('CALL SHEET'!$AT$290="","",'CALL SHEET'!$AT$290)</f>
        <v/>
      </c>
      <c r="J290">
        <f>IF('CALL SHEET'!$AX$290="","",'CALL SHEET'!$AX$290)</f>
        <v/>
      </c>
      <c r="K290">
        <f>IF('CALL SHEET'!$N$290="","",'CALL SHEET'!$N$290)</f>
        <v/>
      </c>
      <c r="L290">
        <f>IF('CALL SHEET'!$AE$290="","",'CALL SHEET'!$AE$290)</f>
        <v/>
      </c>
      <c r="M290" t="inlineStr">
        <is>
          <t>TRADE</t>
        </is>
      </c>
      <c r="N290" t="inlineStr">
        <is>
          <t>CALL SHEET · row 290</t>
        </is>
      </c>
    </row>
    <row r="291">
      <c r="A291">
        <f>IF('CALL SHEET'!$A$291="","",'CALL SHEET'!$A$291)</f>
        <v/>
      </c>
      <c r="B291">
        <f>IF('CALL SHEET'!$C$291="","",'CALL SHEET'!$C$291)</f>
        <v/>
      </c>
      <c r="C291">
        <f>'CALL SHEET'!$U$291</f>
        <v/>
      </c>
      <c r="D291">
        <f>'CALL SHEET'!$Y$291</f>
        <v/>
      </c>
      <c r="E291">
        <f>'CALL SHEET'!$AC$291</f>
        <v/>
      </c>
      <c r="F291">
        <f>IF('CALL SHEET'!$V$291="","",'CALL SHEET'!$V$291)</f>
        <v/>
      </c>
      <c r="G291">
        <f>IF('CALL SHEET'!$D$291="","",'CALL SHEET'!$D$291)</f>
        <v/>
      </c>
      <c r="H291">
        <f>IF('CALL SHEET'!$G$291="","",'CALL SHEET'!$G$291)</f>
        <v/>
      </c>
      <c r="I291">
        <f>IF('CALL SHEET'!$AT$291="","",'CALL SHEET'!$AT$291)</f>
        <v/>
      </c>
      <c r="J291">
        <f>IF('CALL SHEET'!$AX$291="","",'CALL SHEET'!$AX$291)</f>
        <v/>
      </c>
      <c r="K291">
        <f>IF('CALL SHEET'!$N$291="","",'CALL SHEET'!$N$291)</f>
        <v/>
      </c>
      <c r="L291">
        <f>IF('CALL SHEET'!$AE$291="","",'CALL SHEET'!$AE$291)</f>
        <v/>
      </c>
      <c r="M291" t="inlineStr">
        <is>
          <t>TRADE</t>
        </is>
      </c>
      <c r="N291" t="inlineStr">
        <is>
          <t>CALL SHEET · row 291</t>
        </is>
      </c>
    </row>
    <row r="292">
      <c r="A292">
        <f>IF('CALL SHEET'!$A$292="","",'CALL SHEET'!$A$292)</f>
        <v/>
      </c>
      <c r="B292">
        <f>IF('CALL SHEET'!$C$292="","",'CALL SHEET'!$C$292)</f>
        <v/>
      </c>
      <c r="C292">
        <f>'CALL SHEET'!$U$292</f>
        <v/>
      </c>
      <c r="D292">
        <f>'CALL SHEET'!$Y$292</f>
        <v/>
      </c>
      <c r="E292">
        <f>'CALL SHEET'!$AC$292</f>
        <v/>
      </c>
      <c r="F292">
        <f>IF('CALL SHEET'!$V$292="","",'CALL SHEET'!$V$292)</f>
        <v/>
      </c>
      <c r="G292">
        <f>IF('CALL SHEET'!$D$292="","",'CALL SHEET'!$D$292)</f>
        <v/>
      </c>
      <c r="H292">
        <f>IF('CALL SHEET'!$G$292="","",'CALL SHEET'!$G$292)</f>
        <v/>
      </c>
      <c r="I292">
        <f>IF('CALL SHEET'!$AT$292="","",'CALL SHEET'!$AT$292)</f>
        <v/>
      </c>
      <c r="J292">
        <f>IF('CALL SHEET'!$AX$292="","",'CALL SHEET'!$AX$292)</f>
        <v/>
      </c>
      <c r="K292">
        <f>IF('CALL SHEET'!$N$292="","",'CALL SHEET'!$N$292)</f>
        <v/>
      </c>
      <c r="L292">
        <f>IF('CALL SHEET'!$AE$292="","",'CALL SHEET'!$AE$292)</f>
        <v/>
      </c>
      <c r="M292" t="inlineStr">
        <is>
          <t>TRADE</t>
        </is>
      </c>
      <c r="N292" t="inlineStr">
        <is>
          <t>CALL SHEET · row 292</t>
        </is>
      </c>
    </row>
    <row r="293">
      <c r="A293">
        <f>IF('CALL SHEET'!$A$293="","",'CALL SHEET'!$A$293)</f>
        <v/>
      </c>
      <c r="B293">
        <f>IF('CALL SHEET'!$C$293="","",'CALL SHEET'!$C$293)</f>
        <v/>
      </c>
      <c r="C293">
        <f>'CALL SHEET'!$U$293</f>
        <v/>
      </c>
      <c r="D293">
        <f>'CALL SHEET'!$Y$293</f>
        <v/>
      </c>
      <c r="E293">
        <f>'CALL SHEET'!$AC$293</f>
        <v/>
      </c>
      <c r="F293">
        <f>IF('CALL SHEET'!$V$293="","",'CALL SHEET'!$V$293)</f>
        <v/>
      </c>
      <c r="G293">
        <f>IF('CALL SHEET'!$D$293="","",'CALL SHEET'!$D$293)</f>
        <v/>
      </c>
      <c r="H293">
        <f>IF('CALL SHEET'!$G$293="","",'CALL SHEET'!$G$293)</f>
        <v/>
      </c>
      <c r="I293">
        <f>IF('CALL SHEET'!$AT$293="","",'CALL SHEET'!$AT$293)</f>
        <v/>
      </c>
      <c r="J293">
        <f>IF('CALL SHEET'!$AX$293="","",'CALL SHEET'!$AX$293)</f>
        <v/>
      </c>
      <c r="K293">
        <f>IF('CALL SHEET'!$N$293="","",'CALL SHEET'!$N$293)</f>
        <v/>
      </c>
      <c r="L293">
        <f>IF('CALL SHEET'!$AE$293="","",'CALL SHEET'!$AE$293)</f>
        <v/>
      </c>
      <c r="M293" t="inlineStr">
        <is>
          <t>TRADE</t>
        </is>
      </c>
      <c r="N293" t="inlineStr">
        <is>
          <t>CALL SHEET · row 293</t>
        </is>
      </c>
    </row>
    <row r="294">
      <c r="A294">
        <f>IF('CALL SHEET'!$A$294="","",'CALL SHEET'!$A$294)</f>
        <v/>
      </c>
      <c r="B294">
        <f>IF('CALL SHEET'!$C$294="","",'CALL SHEET'!$C$294)</f>
        <v/>
      </c>
      <c r="C294">
        <f>'CALL SHEET'!$U$294</f>
        <v/>
      </c>
      <c r="D294">
        <f>'CALL SHEET'!$Y$294</f>
        <v/>
      </c>
      <c r="E294">
        <f>'CALL SHEET'!$AC$294</f>
        <v/>
      </c>
      <c r="F294">
        <f>IF('CALL SHEET'!$V$294="","",'CALL SHEET'!$V$294)</f>
        <v/>
      </c>
      <c r="G294">
        <f>IF('CALL SHEET'!$D$294="","",'CALL SHEET'!$D$294)</f>
        <v/>
      </c>
      <c r="H294">
        <f>IF('CALL SHEET'!$G$294="","",'CALL SHEET'!$G$294)</f>
        <v/>
      </c>
      <c r="I294">
        <f>IF('CALL SHEET'!$AT$294="","",'CALL SHEET'!$AT$294)</f>
        <v/>
      </c>
      <c r="J294">
        <f>IF('CALL SHEET'!$AX$294="","",'CALL SHEET'!$AX$294)</f>
        <v/>
      </c>
      <c r="K294">
        <f>IF('CALL SHEET'!$N$294="","",'CALL SHEET'!$N$294)</f>
        <v/>
      </c>
      <c r="L294">
        <f>IF('CALL SHEET'!$AE$294="","",'CALL SHEET'!$AE$294)</f>
        <v/>
      </c>
      <c r="M294" t="inlineStr">
        <is>
          <t>TRADE</t>
        </is>
      </c>
      <c r="N294" t="inlineStr">
        <is>
          <t>CALL SHEET · row 294</t>
        </is>
      </c>
    </row>
    <row r="295">
      <c r="A295">
        <f>IF('CALL SHEET'!$A$295="","",'CALL SHEET'!$A$295)</f>
        <v/>
      </c>
      <c r="B295">
        <f>IF('CALL SHEET'!$C$295="","",'CALL SHEET'!$C$295)</f>
        <v/>
      </c>
      <c r="C295">
        <f>'CALL SHEET'!$U$295</f>
        <v/>
      </c>
      <c r="D295">
        <f>'CALL SHEET'!$Y$295</f>
        <v/>
      </c>
      <c r="E295">
        <f>'CALL SHEET'!$AC$295</f>
        <v/>
      </c>
      <c r="F295">
        <f>IF('CALL SHEET'!$V$295="","",'CALL SHEET'!$V$295)</f>
        <v/>
      </c>
      <c r="G295">
        <f>IF('CALL SHEET'!$D$295="","",'CALL SHEET'!$D$295)</f>
        <v/>
      </c>
      <c r="H295">
        <f>IF('CALL SHEET'!$G$295="","",'CALL SHEET'!$G$295)</f>
        <v/>
      </c>
      <c r="I295">
        <f>IF('CALL SHEET'!$AT$295="","",'CALL SHEET'!$AT$295)</f>
        <v/>
      </c>
      <c r="J295">
        <f>IF('CALL SHEET'!$AX$295="","",'CALL SHEET'!$AX$295)</f>
        <v/>
      </c>
      <c r="K295">
        <f>IF('CALL SHEET'!$N$295="","",'CALL SHEET'!$N$295)</f>
        <v/>
      </c>
      <c r="L295">
        <f>IF('CALL SHEET'!$AE$295="","",'CALL SHEET'!$AE$295)</f>
        <v/>
      </c>
      <c r="M295" t="inlineStr">
        <is>
          <t>TRADE</t>
        </is>
      </c>
      <c r="N295" t="inlineStr">
        <is>
          <t>CALL SHEET · row 295</t>
        </is>
      </c>
    </row>
    <row r="296">
      <c r="A296">
        <f>IF('CALL SHEET'!$A$296="","",'CALL SHEET'!$A$296)</f>
        <v/>
      </c>
      <c r="B296">
        <f>IF('CALL SHEET'!$C$296="","",'CALL SHEET'!$C$296)</f>
        <v/>
      </c>
      <c r="C296">
        <f>'CALL SHEET'!$U$296</f>
        <v/>
      </c>
      <c r="D296">
        <f>'CALL SHEET'!$Y$296</f>
        <v/>
      </c>
      <c r="E296">
        <f>'CALL SHEET'!$AC$296</f>
        <v/>
      </c>
      <c r="F296">
        <f>IF('CALL SHEET'!$V$296="","",'CALL SHEET'!$V$296)</f>
        <v/>
      </c>
      <c r="G296">
        <f>IF('CALL SHEET'!$D$296="","",'CALL SHEET'!$D$296)</f>
        <v/>
      </c>
      <c r="H296">
        <f>IF('CALL SHEET'!$G$296="","",'CALL SHEET'!$G$296)</f>
        <v/>
      </c>
      <c r="I296">
        <f>IF('CALL SHEET'!$AT$296="","",'CALL SHEET'!$AT$296)</f>
        <v/>
      </c>
      <c r="J296">
        <f>IF('CALL SHEET'!$AX$296="","",'CALL SHEET'!$AX$296)</f>
        <v/>
      </c>
      <c r="K296">
        <f>IF('CALL SHEET'!$N$296="","",'CALL SHEET'!$N$296)</f>
        <v/>
      </c>
      <c r="L296">
        <f>IF('CALL SHEET'!$AE$296="","",'CALL SHEET'!$AE$296)</f>
        <v/>
      </c>
      <c r="M296" t="inlineStr">
        <is>
          <t>TRADE</t>
        </is>
      </c>
      <c r="N296" t="inlineStr">
        <is>
          <t>CALL SHEET · row 296</t>
        </is>
      </c>
    </row>
    <row r="297">
      <c r="A297">
        <f>IF('CALL SHEET'!$A$297="","",'CALL SHEET'!$A$297)</f>
        <v/>
      </c>
      <c r="B297">
        <f>IF('CALL SHEET'!$C$297="","",'CALL SHEET'!$C$297)</f>
        <v/>
      </c>
      <c r="C297">
        <f>'CALL SHEET'!$U$297</f>
        <v/>
      </c>
      <c r="D297">
        <f>'CALL SHEET'!$Y$297</f>
        <v/>
      </c>
      <c r="E297">
        <f>'CALL SHEET'!$AC$297</f>
        <v/>
      </c>
      <c r="F297">
        <f>IF('CALL SHEET'!$V$297="","",'CALL SHEET'!$V$297)</f>
        <v/>
      </c>
      <c r="G297">
        <f>IF('CALL SHEET'!$D$297="","",'CALL SHEET'!$D$297)</f>
        <v/>
      </c>
      <c r="H297">
        <f>IF('CALL SHEET'!$G$297="","",'CALL SHEET'!$G$297)</f>
        <v/>
      </c>
      <c r="I297">
        <f>IF('CALL SHEET'!$AT$297="","",'CALL SHEET'!$AT$297)</f>
        <v/>
      </c>
      <c r="J297">
        <f>IF('CALL SHEET'!$AX$297="","",'CALL SHEET'!$AX$297)</f>
        <v/>
      </c>
      <c r="K297">
        <f>IF('CALL SHEET'!$N$297="","",'CALL SHEET'!$N$297)</f>
        <v/>
      </c>
      <c r="L297">
        <f>IF('CALL SHEET'!$AE$297="","",'CALL SHEET'!$AE$297)</f>
        <v/>
      </c>
      <c r="M297" t="inlineStr">
        <is>
          <t>TRADE</t>
        </is>
      </c>
      <c r="N297" t="inlineStr">
        <is>
          <t>CALL SHEET · row 297</t>
        </is>
      </c>
    </row>
    <row r="298">
      <c r="A298">
        <f>IF('CALL SHEET'!$A$298="","",'CALL SHEET'!$A$298)</f>
        <v/>
      </c>
      <c r="B298">
        <f>IF('CALL SHEET'!$C$298="","",'CALL SHEET'!$C$298)</f>
        <v/>
      </c>
      <c r="C298">
        <f>'CALL SHEET'!$U$298</f>
        <v/>
      </c>
      <c r="D298">
        <f>'CALL SHEET'!$Y$298</f>
        <v/>
      </c>
      <c r="E298">
        <f>'CALL SHEET'!$AC$298</f>
        <v/>
      </c>
      <c r="F298">
        <f>IF('CALL SHEET'!$V$298="","",'CALL SHEET'!$V$298)</f>
        <v/>
      </c>
      <c r="G298">
        <f>IF('CALL SHEET'!$D$298="","",'CALL SHEET'!$D$298)</f>
        <v/>
      </c>
      <c r="H298">
        <f>IF('CALL SHEET'!$G$298="","",'CALL SHEET'!$G$298)</f>
        <v/>
      </c>
      <c r="I298">
        <f>IF('CALL SHEET'!$AT$298="","",'CALL SHEET'!$AT$298)</f>
        <v/>
      </c>
      <c r="J298">
        <f>IF('CALL SHEET'!$AX$298="","",'CALL SHEET'!$AX$298)</f>
        <v/>
      </c>
      <c r="K298">
        <f>IF('CALL SHEET'!$N$298="","",'CALL SHEET'!$N$298)</f>
        <v/>
      </c>
      <c r="L298">
        <f>IF('CALL SHEET'!$AE$298="","",'CALL SHEET'!$AE$298)</f>
        <v/>
      </c>
      <c r="M298" t="inlineStr">
        <is>
          <t>TRADE</t>
        </is>
      </c>
      <c r="N298" t="inlineStr">
        <is>
          <t>CALL SHEET · row 298</t>
        </is>
      </c>
    </row>
    <row r="299">
      <c r="A299">
        <f>IF('CALL SHEET'!$A$299="","",'CALL SHEET'!$A$299)</f>
        <v/>
      </c>
      <c r="B299">
        <f>IF('CALL SHEET'!$C$299="","",'CALL SHEET'!$C$299)</f>
        <v/>
      </c>
      <c r="C299">
        <f>'CALL SHEET'!$U$299</f>
        <v/>
      </c>
      <c r="D299">
        <f>'CALL SHEET'!$Y$299</f>
        <v/>
      </c>
      <c r="E299">
        <f>'CALL SHEET'!$AC$299</f>
        <v/>
      </c>
      <c r="F299">
        <f>IF('CALL SHEET'!$V$299="","",'CALL SHEET'!$V$299)</f>
        <v/>
      </c>
      <c r="G299">
        <f>IF('CALL SHEET'!$D$299="","",'CALL SHEET'!$D$299)</f>
        <v/>
      </c>
      <c r="H299">
        <f>IF('CALL SHEET'!$G$299="","",'CALL SHEET'!$G$299)</f>
        <v/>
      </c>
      <c r="I299">
        <f>IF('CALL SHEET'!$AT$299="","",'CALL SHEET'!$AT$299)</f>
        <v/>
      </c>
      <c r="J299">
        <f>IF('CALL SHEET'!$AX$299="","",'CALL SHEET'!$AX$299)</f>
        <v/>
      </c>
      <c r="K299">
        <f>IF('CALL SHEET'!$N$299="","",'CALL SHEET'!$N$299)</f>
        <v/>
      </c>
      <c r="L299">
        <f>IF('CALL SHEET'!$AE$299="","",'CALL SHEET'!$AE$299)</f>
        <v/>
      </c>
      <c r="M299" t="inlineStr">
        <is>
          <t>TRADE</t>
        </is>
      </c>
      <c r="N299" t="inlineStr">
        <is>
          <t>CALL SHEET · row 299</t>
        </is>
      </c>
    </row>
    <row r="300">
      <c r="A300">
        <f>IF('CALL SHEET'!$A$300="","",'CALL SHEET'!$A$300)</f>
        <v/>
      </c>
      <c r="B300">
        <f>IF('CALL SHEET'!$C$300="","",'CALL SHEET'!$C$300)</f>
        <v/>
      </c>
      <c r="C300">
        <f>'CALL SHEET'!$U$300</f>
        <v/>
      </c>
      <c r="D300">
        <f>'CALL SHEET'!$Y$300</f>
        <v/>
      </c>
      <c r="E300">
        <f>'CALL SHEET'!$AC$300</f>
        <v/>
      </c>
      <c r="F300">
        <f>IF('CALL SHEET'!$V$300="","",'CALL SHEET'!$V$300)</f>
        <v/>
      </c>
      <c r="G300">
        <f>IF('CALL SHEET'!$D$300="","",'CALL SHEET'!$D$300)</f>
        <v/>
      </c>
      <c r="H300">
        <f>IF('CALL SHEET'!$G$300="","",'CALL SHEET'!$G$300)</f>
        <v/>
      </c>
      <c r="I300">
        <f>IF('CALL SHEET'!$AT$300="","",'CALL SHEET'!$AT$300)</f>
        <v/>
      </c>
      <c r="J300">
        <f>IF('CALL SHEET'!$AX$300="","",'CALL SHEET'!$AX$300)</f>
        <v/>
      </c>
      <c r="K300">
        <f>IF('CALL SHEET'!$N$300="","",'CALL SHEET'!$N$300)</f>
        <v/>
      </c>
      <c r="L300">
        <f>IF('CALL SHEET'!$AE$300="","",'CALL SHEET'!$AE$300)</f>
        <v/>
      </c>
      <c r="M300" t="inlineStr">
        <is>
          <t>TRADE</t>
        </is>
      </c>
      <c r="N300" t="inlineStr">
        <is>
          <t>CALL SHEET · row 300</t>
        </is>
      </c>
    </row>
    <row r="301">
      <c r="A301">
        <f>IF('CALL SHEET'!$A$301="","",'CALL SHEET'!$A$301)</f>
        <v/>
      </c>
      <c r="B301">
        <f>IF('CALL SHEET'!$C$301="","",'CALL SHEET'!$C$301)</f>
        <v/>
      </c>
      <c r="C301">
        <f>'CALL SHEET'!$U$301</f>
        <v/>
      </c>
      <c r="D301">
        <f>'CALL SHEET'!$Y$301</f>
        <v/>
      </c>
      <c r="E301">
        <f>'CALL SHEET'!$AC$301</f>
        <v/>
      </c>
      <c r="F301">
        <f>IF('CALL SHEET'!$V$301="","",'CALL SHEET'!$V$301)</f>
        <v/>
      </c>
      <c r="G301">
        <f>IF('CALL SHEET'!$D$301="","",'CALL SHEET'!$D$301)</f>
        <v/>
      </c>
      <c r="H301">
        <f>IF('CALL SHEET'!$G$301="","",'CALL SHEET'!$G$301)</f>
        <v/>
      </c>
      <c r="I301">
        <f>IF('CALL SHEET'!$AT$301="","",'CALL SHEET'!$AT$301)</f>
        <v/>
      </c>
      <c r="J301">
        <f>IF('CALL SHEET'!$AX$301="","",'CALL SHEET'!$AX$301)</f>
        <v/>
      </c>
      <c r="K301">
        <f>IF('CALL SHEET'!$N$301="","",'CALL SHEET'!$N$301)</f>
        <v/>
      </c>
      <c r="L301">
        <f>IF('CALL SHEET'!$AE$301="","",'CALL SHEET'!$AE$301)</f>
        <v/>
      </c>
      <c r="M301" t="inlineStr">
        <is>
          <t>TRADE</t>
        </is>
      </c>
      <c r="N301" t="inlineStr">
        <is>
          <t>CALL SHEET · row 301</t>
        </is>
      </c>
    </row>
    <row r="302">
      <c r="A302">
        <f>IF('CALL SHEET'!$A$302="","",'CALL SHEET'!$A$302)</f>
        <v/>
      </c>
      <c r="B302">
        <f>IF('CALL SHEET'!$C$302="","",'CALL SHEET'!$C$302)</f>
        <v/>
      </c>
      <c r="C302">
        <f>'CALL SHEET'!$U$302</f>
        <v/>
      </c>
      <c r="D302">
        <f>'CALL SHEET'!$Y$302</f>
        <v/>
      </c>
      <c r="E302">
        <f>'CALL SHEET'!$AC$302</f>
        <v/>
      </c>
      <c r="F302">
        <f>IF('CALL SHEET'!$V$302="","",'CALL SHEET'!$V$302)</f>
        <v/>
      </c>
      <c r="G302">
        <f>IF('CALL SHEET'!$D$302="","",'CALL SHEET'!$D$302)</f>
        <v/>
      </c>
      <c r="H302">
        <f>IF('CALL SHEET'!$G$302="","",'CALL SHEET'!$G$302)</f>
        <v/>
      </c>
      <c r="I302">
        <f>IF('CALL SHEET'!$AT$302="","",'CALL SHEET'!$AT$302)</f>
        <v/>
      </c>
      <c r="J302">
        <f>IF('CALL SHEET'!$AX$302="","",'CALL SHEET'!$AX$302)</f>
        <v/>
      </c>
      <c r="K302">
        <f>IF('CALL SHEET'!$N$302="","",'CALL SHEET'!$N$302)</f>
        <v/>
      </c>
      <c r="L302">
        <f>IF('CALL SHEET'!$AE$302="","",'CALL SHEET'!$AE$302)</f>
        <v/>
      </c>
      <c r="M302" t="inlineStr">
        <is>
          <t>TRADE</t>
        </is>
      </c>
      <c r="N302" t="inlineStr">
        <is>
          <t>CALL SHEET · row 302</t>
        </is>
      </c>
    </row>
    <row r="303">
      <c r="A303">
        <f>IF('CALL SHEET'!$A$303="","",'CALL SHEET'!$A$303)</f>
        <v/>
      </c>
      <c r="B303">
        <f>IF('CALL SHEET'!$C$303="","",'CALL SHEET'!$C$303)</f>
        <v/>
      </c>
      <c r="C303">
        <f>'CALL SHEET'!$U$303</f>
        <v/>
      </c>
      <c r="D303">
        <f>'CALL SHEET'!$Y$303</f>
        <v/>
      </c>
      <c r="E303">
        <f>'CALL SHEET'!$AC$303</f>
        <v/>
      </c>
      <c r="F303">
        <f>IF('CALL SHEET'!$V$303="","",'CALL SHEET'!$V$303)</f>
        <v/>
      </c>
      <c r="G303">
        <f>IF('CALL SHEET'!$D$303="","",'CALL SHEET'!$D$303)</f>
        <v/>
      </c>
      <c r="H303">
        <f>IF('CALL SHEET'!$G$303="","",'CALL SHEET'!$G$303)</f>
        <v/>
      </c>
      <c r="I303">
        <f>IF('CALL SHEET'!$AT$303="","",'CALL SHEET'!$AT$303)</f>
        <v/>
      </c>
      <c r="J303">
        <f>IF('CALL SHEET'!$AX$303="","",'CALL SHEET'!$AX$303)</f>
        <v/>
      </c>
      <c r="K303">
        <f>IF('CALL SHEET'!$N$303="","",'CALL SHEET'!$N$303)</f>
        <v/>
      </c>
      <c r="L303">
        <f>IF('CALL SHEET'!$AE$303="","",'CALL SHEET'!$AE$303)</f>
        <v/>
      </c>
      <c r="M303" t="inlineStr">
        <is>
          <t>TRADE</t>
        </is>
      </c>
      <c r="N303" t="inlineStr">
        <is>
          <t>CALL SHEET · row 303</t>
        </is>
      </c>
    </row>
    <row r="304">
      <c r="A304">
        <f>IF('CALL SHEET'!$A$304="","",'CALL SHEET'!$A$304)</f>
        <v/>
      </c>
      <c r="B304">
        <f>IF('CALL SHEET'!$C$304="","",'CALL SHEET'!$C$304)</f>
        <v/>
      </c>
      <c r="C304">
        <f>'CALL SHEET'!$U$304</f>
        <v/>
      </c>
      <c r="D304">
        <f>'CALL SHEET'!$Y$304</f>
        <v/>
      </c>
      <c r="E304">
        <f>'CALL SHEET'!$AC$304</f>
        <v/>
      </c>
      <c r="F304">
        <f>IF('CALL SHEET'!$V$304="","",'CALL SHEET'!$V$304)</f>
        <v/>
      </c>
      <c r="G304">
        <f>IF('CALL SHEET'!$D$304="","",'CALL SHEET'!$D$304)</f>
        <v/>
      </c>
      <c r="H304">
        <f>IF('CALL SHEET'!$G$304="","",'CALL SHEET'!$G$304)</f>
        <v/>
      </c>
      <c r="I304">
        <f>IF('CALL SHEET'!$AT$304="","",'CALL SHEET'!$AT$304)</f>
        <v/>
      </c>
      <c r="J304">
        <f>IF('CALL SHEET'!$AX$304="","",'CALL SHEET'!$AX$304)</f>
        <v/>
      </c>
      <c r="K304">
        <f>IF('CALL SHEET'!$N$304="","",'CALL SHEET'!$N$304)</f>
        <v/>
      </c>
      <c r="L304">
        <f>IF('CALL SHEET'!$AE$304="","",'CALL SHEET'!$AE$304)</f>
        <v/>
      </c>
      <c r="M304" t="inlineStr">
        <is>
          <t>TRADE</t>
        </is>
      </c>
      <c r="N304" t="inlineStr">
        <is>
          <t>CALL SHEET · row 304</t>
        </is>
      </c>
    </row>
    <row r="305">
      <c r="A305">
        <f>IF('CALL SHEET'!$A$305="","",'CALL SHEET'!$A$305)</f>
        <v/>
      </c>
      <c r="B305">
        <f>IF('CALL SHEET'!$C$305="","",'CALL SHEET'!$C$305)</f>
        <v/>
      </c>
      <c r="C305">
        <f>'CALL SHEET'!$U$305</f>
        <v/>
      </c>
      <c r="D305">
        <f>'CALL SHEET'!$Y$305</f>
        <v/>
      </c>
      <c r="E305">
        <f>'CALL SHEET'!$AC$305</f>
        <v/>
      </c>
      <c r="F305">
        <f>IF('CALL SHEET'!$V$305="","",'CALL SHEET'!$V$305)</f>
        <v/>
      </c>
      <c r="G305">
        <f>IF('CALL SHEET'!$D$305="","",'CALL SHEET'!$D$305)</f>
        <v/>
      </c>
      <c r="H305">
        <f>IF('CALL SHEET'!$G$305="","",'CALL SHEET'!$G$305)</f>
        <v/>
      </c>
      <c r="I305">
        <f>IF('CALL SHEET'!$AT$305="","",'CALL SHEET'!$AT$305)</f>
        <v/>
      </c>
      <c r="J305">
        <f>IF('CALL SHEET'!$AX$305="","",'CALL SHEET'!$AX$305)</f>
        <v/>
      </c>
      <c r="K305">
        <f>IF('CALL SHEET'!$N$305="","",'CALL SHEET'!$N$305)</f>
        <v/>
      </c>
      <c r="L305">
        <f>IF('CALL SHEET'!$AE$305="","",'CALL SHEET'!$AE$305)</f>
        <v/>
      </c>
      <c r="M305" t="inlineStr">
        <is>
          <t>TRADE</t>
        </is>
      </c>
      <c r="N305" t="inlineStr">
        <is>
          <t>CALL SHEET · row 305</t>
        </is>
      </c>
    </row>
    <row r="306">
      <c r="A306">
        <f>IF('CALL SHEET'!$A$306="","",'CALL SHEET'!$A$306)</f>
        <v/>
      </c>
      <c r="B306">
        <f>IF('CALL SHEET'!$C$306="","",'CALL SHEET'!$C$306)</f>
        <v/>
      </c>
      <c r="C306">
        <f>'CALL SHEET'!$U$306</f>
        <v/>
      </c>
      <c r="D306">
        <f>'CALL SHEET'!$Y$306</f>
        <v/>
      </c>
      <c r="E306">
        <f>'CALL SHEET'!$AC$306</f>
        <v/>
      </c>
      <c r="F306">
        <f>IF('CALL SHEET'!$V$306="","",'CALL SHEET'!$V$306)</f>
        <v/>
      </c>
      <c r="G306">
        <f>IF('CALL SHEET'!$D$306="","",'CALL SHEET'!$D$306)</f>
        <v/>
      </c>
      <c r="H306">
        <f>IF('CALL SHEET'!$G$306="","",'CALL SHEET'!$G$306)</f>
        <v/>
      </c>
      <c r="I306">
        <f>IF('CALL SHEET'!$AT$306="","",'CALL SHEET'!$AT$306)</f>
        <v/>
      </c>
      <c r="J306">
        <f>IF('CALL SHEET'!$AX$306="","",'CALL SHEET'!$AX$306)</f>
        <v/>
      </c>
      <c r="K306">
        <f>IF('CALL SHEET'!$N$306="","",'CALL SHEET'!$N$306)</f>
        <v/>
      </c>
      <c r="L306">
        <f>IF('CALL SHEET'!$AE$306="","",'CALL SHEET'!$AE$306)</f>
        <v/>
      </c>
      <c r="M306" t="inlineStr">
        <is>
          <t>TRADE</t>
        </is>
      </c>
      <c r="N306" t="inlineStr">
        <is>
          <t>CALL SHEET · row 306</t>
        </is>
      </c>
    </row>
    <row r="307">
      <c r="A307">
        <f>IF('CALL SHEET'!$A$307="","",'CALL SHEET'!$A$307)</f>
        <v/>
      </c>
      <c r="B307">
        <f>IF('CALL SHEET'!$C$307="","",'CALL SHEET'!$C$307)</f>
        <v/>
      </c>
      <c r="C307">
        <f>'CALL SHEET'!$U$307</f>
        <v/>
      </c>
      <c r="D307">
        <f>'CALL SHEET'!$Y$307</f>
        <v/>
      </c>
      <c r="E307">
        <f>'CALL SHEET'!$AC$307</f>
        <v/>
      </c>
      <c r="F307">
        <f>IF('CALL SHEET'!$V$307="","",'CALL SHEET'!$V$307)</f>
        <v/>
      </c>
      <c r="G307">
        <f>IF('CALL SHEET'!$D$307="","",'CALL SHEET'!$D$307)</f>
        <v/>
      </c>
      <c r="H307">
        <f>IF('CALL SHEET'!$G$307="","",'CALL SHEET'!$G$307)</f>
        <v/>
      </c>
      <c r="I307">
        <f>IF('CALL SHEET'!$AT$307="","",'CALL SHEET'!$AT$307)</f>
        <v/>
      </c>
      <c r="J307">
        <f>IF('CALL SHEET'!$AX$307="","",'CALL SHEET'!$AX$307)</f>
        <v/>
      </c>
      <c r="K307">
        <f>IF('CALL SHEET'!$N$307="","",'CALL SHEET'!$N$307)</f>
        <v/>
      </c>
      <c r="L307">
        <f>IF('CALL SHEET'!$AE$307="","",'CALL SHEET'!$AE$307)</f>
        <v/>
      </c>
      <c r="M307" t="inlineStr">
        <is>
          <t>TRADE</t>
        </is>
      </c>
      <c r="N307" t="inlineStr">
        <is>
          <t>CALL SHEET · row 307</t>
        </is>
      </c>
    </row>
    <row r="308">
      <c r="A308">
        <f>IF('CALL SHEET'!$A$308="","",'CALL SHEET'!$A$308)</f>
        <v/>
      </c>
      <c r="B308">
        <f>IF('CALL SHEET'!$C$308="","",'CALL SHEET'!$C$308)</f>
        <v/>
      </c>
      <c r="C308">
        <f>'CALL SHEET'!$U$308</f>
        <v/>
      </c>
      <c r="D308">
        <f>'CALL SHEET'!$Y$308</f>
        <v/>
      </c>
      <c r="E308">
        <f>'CALL SHEET'!$AC$308</f>
        <v/>
      </c>
      <c r="F308">
        <f>IF('CALL SHEET'!$V$308="","",'CALL SHEET'!$V$308)</f>
        <v/>
      </c>
      <c r="G308">
        <f>IF('CALL SHEET'!$D$308="","",'CALL SHEET'!$D$308)</f>
        <v/>
      </c>
      <c r="H308">
        <f>IF('CALL SHEET'!$G$308="","",'CALL SHEET'!$G$308)</f>
        <v/>
      </c>
      <c r="I308">
        <f>IF('CALL SHEET'!$AT$308="","",'CALL SHEET'!$AT$308)</f>
        <v/>
      </c>
      <c r="J308">
        <f>IF('CALL SHEET'!$AX$308="","",'CALL SHEET'!$AX$308)</f>
        <v/>
      </c>
      <c r="K308">
        <f>IF('CALL SHEET'!$N$308="","",'CALL SHEET'!$N$308)</f>
        <v/>
      </c>
      <c r="L308">
        <f>IF('CALL SHEET'!$AE$308="","",'CALL SHEET'!$AE$308)</f>
        <v/>
      </c>
      <c r="M308" t="inlineStr">
        <is>
          <t>TRADE</t>
        </is>
      </c>
      <c r="N308" t="inlineStr">
        <is>
          <t>CALL SHEET · row 308</t>
        </is>
      </c>
    </row>
    <row r="309">
      <c r="A309">
        <f>IF('CALL SHEET'!$A$309="","",'CALL SHEET'!$A$309)</f>
        <v/>
      </c>
      <c r="B309">
        <f>IF('CALL SHEET'!$C$309="","",'CALL SHEET'!$C$309)</f>
        <v/>
      </c>
      <c r="C309">
        <f>'CALL SHEET'!$U$309</f>
        <v/>
      </c>
      <c r="D309">
        <f>'CALL SHEET'!$Y$309</f>
        <v/>
      </c>
      <c r="E309">
        <f>'CALL SHEET'!$AC$309</f>
        <v/>
      </c>
      <c r="F309">
        <f>IF('CALL SHEET'!$V$309="","",'CALL SHEET'!$V$309)</f>
        <v/>
      </c>
      <c r="G309">
        <f>IF('CALL SHEET'!$D$309="","",'CALL SHEET'!$D$309)</f>
        <v/>
      </c>
      <c r="H309">
        <f>IF('CALL SHEET'!$G$309="","",'CALL SHEET'!$G$309)</f>
        <v/>
      </c>
      <c r="I309">
        <f>IF('CALL SHEET'!$AT$309="","",'CALL SHEET'!$AT$309)</f>
        <v/>
      </c>
      <c r="J309">
        <f>IF('CALL SHEET'!$AX$309="","",'CALL SHEET'!$AX$309)</f>
        <v/>
      </c>
      <c r="K309">
        <f>IF('CALL SHEET'!$N$309="","",'CALL SHEET'!$N$309)</f>
        <v/>
      </c>
      <c r="L309">
        <f>IF('CALL SHEET'!$AE$309="","",'CALL SHEET'!$AE$309)</f>
        <v/>
      </c>
      <c r="M309" t="inlineStr">
        <is>
          <t>TRADE</t>
        </is>
      </c>
      <c r="N309" t="inlineStr">
        <is>
          <t>CALL SHEET · row 309</t>
        </is>
      </c>
    </row>
    <row r="310">
      <c r="A310">
        <f>IF('CALL SHEET'!$A$310="","",'CALL SHEET'!$A$310)</f>
        <v/>
      </c>
      <c r="B310">
        <f>IF('CALL SHEET'!$C$310="","",'CALL SHEET'!$C$310)</f>
        <v/>
      </c>
      <c r="C310">
        <f>'CALL SHEET'!$U$310</f>
        <v/>
      </c>
      <c r="D310">
        <f>'CALL SHEET'!$Y$310</f>
        <v/>
      </c>
      <c r="E310">
        <f>'CALL SHEET'!$AC$310</f>
        <v/>
      </c>
      <c r="F310">
        <f>IF('CALL SHEET'!$V$310="","",'CALL SHEET'!$V$310)</f>
        <v/>
      </c>
      <c r="G310">
        <f>IF('CALL SHEET'!$D$310="","",'CALL SHEET'!$D$310)</f>
        <v/>
      </c>
      <c r="H310">
        <f>IF('CALL SHEET'!$G$310="","",'CALL SHEET'!$G$310)</f>
        <v/>
      </c>
      <c r="I310">
        <f>IF('CALL SHEET'!$AT$310="","",'CALL SHEET'!$AT$310)</f>
        <v/>
      </c>
      <c r="J310">
        <f>IF('CALL SHEET'!$AX$310="","",'CALL SHEET'!$AX$310)</f>
        <v/>
      </c>
      <c r="K310">
        <f>IF('CALL SHEET'!$N$310="","",'CALL SHEET'!$N$310)</f>
        <v/>
      </c>
      <c r="L310">
        <f>IF('CALL SHEET'!$AE$310="","",'CALL SHEET'!$AE$310)</f>
        <v/>
      </c>
      <c r="M310" t="inlineStr">
        <is>
          <t>TRADE</t>
        </is>
      </c>
      <c r="N310" t="inlineStr">
        <is>
          <t>CALL SHEET · row 310</t>
        </is>
      </c>
    </row>
    <row r="311">
      <c r="A311">
        <f>IF('CALL SHEET'!$A$311="","",'CALL SHEET'!$A$311)</f>
        <v/>
      </c>
      <c r="B311">
        <f>IF('CALL SHEET'!$C$311="","",'CALL SHEET'!$C$311)</f>
        <v/>
      </c>
      <c r="C311">
        <f>'CALL SHEET'!$U$311</f>
        <v/>
      </c>
      <c r="D311">
        <f>'CALL SHEET'!$Y$311</f>
        <v/>
      </c>
      <c r="E311">
        <f>'CALL SHEET'!$AC$311</f>
        <v/>
      </c>
      <c r="F311">
        <f>IF('CALL SHEET'!$V$311="","",'CALL SHEET'!$V$311)</f>
        <v/>
      </c>
      <c r="G311">
        <f>IF('CALL SHEET'!$D$311="","",'CALL SHEET'!$D$311)</f>
        <v/>
      </c>
      <c r="H311">
        <f>IF('CALL SHEET'!$G$311="","",'CALL SHEET'!$G$311)</f>
        <v/>
      </c>
      <c r="I311">
        <f>IF('CALL SHEET'!$AT$311="","",'CALL SHEET'!$AT$311)</f>
        <v/>
      </c>
      <c r="J311">
        <f>IF('CALL SHEET'!$AX$311="","",'CALL SHEET'!$AX$311)</f>
        <v/>
      </c>
      <c r="K311">
        <f>IF('CALL SHEET'!$N$311="","",'CALL SHEET'!$N$311)</f>
        <v/>
      </c>
      <c r="L311">
        <f>IF('CALL SHEET'!$AE$311="","",'CALL SHEET'!$AE$311)</f>
        <v/>
      </c>
      <c r="M311" t="inlineStr">
        <is>
          <t>TRADE</t>
        </is>
      </c>
      <c r="N311" t="inlineStr">
        <is>
          <t>CALL SHEET · row 311</t>
        </is>
      </c>
    </row>
    <row r="312">
      <c r="A312">
        <f>IF('CALL SHEET'!$A$312="","",'CALL SHEET'!$A$312)</f>
        <v/>
      </c>
      <c r="B312">
        <f>IF('CALL SHEET'!$C$312="","",'CALL SHEET'!$C$312)</f>
        <v/>
      </c>
      <c r="C312">
        <f>'CALL SHEET'!$U$312</f>
        <v/>
      </c>
      <c r="D312">
        <f>'CALL SHEET'!$Y$312</f>
        <v/>
      </c>
      <c r="E312">
        <f>'CALL SHEET'!$AC$312</f>
        <v/>
      </c>
      <c r="F312">
        <f>IF('CALL SHEET'!$V$312="","",'CALL SHEET'!$V$312)</f>
        <v/>
      </c>
      <c r="G312">
        <f>IF('CALL SHEET'!$D$312="","",'CALL SHEET'!$D$312)</f>
        <v/>
      </c>
      <c r="H312">
        <f>IF('CALL SHEET'!$G$312="","",'CALL SHEET'!$G$312)</f>
        <v/>
      </c>
      <c r="I312">
        <f>IF('CALL SHEET'!$AT$312="","",'CALL SHEET'!$AT$312)</f>
        <v/>
      </c>
      <c r="J312">
        <f>IF('CALL SHEET'!$AX$312="","",'CALL SHEET'!$AX$312)</f>
        <v/>
      </c>
      <c r="K312">
        <f>IF('CALL SHEET'!$N$312="","",'CALL SHEET'!$N$312)</f>
        <v/>
      </c>
      <c r="L312">
        <f>IF('CALL SHEET'!$AE$312="","",'CALL SHEET'!$AE$312)</f>
        <v/>
      </c>
      <c r="M312" t="inlineStr">
        <is>
          <t>TRADE</t>
        </is>
      </c>
      <c r="N312" t="inlineStr">
        <is>
          <t>CALL SHEET · row 312</t>
        </is>
      </c>
    </row>
    <row r="313">
      <c r="A313">
        <f>IF('CALL SHEET'!$A$313="","",'CALL SHEET'!$A$313)</f>
        <v/>
      </c>
      <c r="B313">
        <f>IF('CALL SHEET'!$C$313="","",'CALL SHEET'!$C$313)</f>
        <v/>
      </c>
      <c r="C313">
        <f>'CALL SHEET'!$U$313</f>
        <v/>
      </c>
      <c r="D313">
        <f>'CALL SHEET'!$Y$313</f>
        <v/>
      </c>
      <c r="E313">
        <f>'CALL SHEET'!$AC$313</f>
        <v/>
      </c>
      <c r="F313">
        <f>IF('CALL SHEET'!$V$313="","",'CALL SHEET'!$V$313)</f>
        <v/>
      </c>
      <c r="G313">
        <f>IF('CALL SHEET'!$D$313="","",'CALL SHEET'!$D$313)</f>
        <v/>
      </c>
      <c r="H313">
        <f>IF('CALL SHEET'!$G$313="","",'CALL SHEET'!$G$313)</f>
        <v/>
      </c>
      <c r="I313">
        <f>IF('CALL SHEET'!$AT$313="","",'CALL SHEET'!$AT$313)</f>
        <v/>
      </c>
      <c r="J313">
        <f>IF('CALL SHEET'!$AX$313="","",'CALL SHEET'!$AX$313)</f>
        <v/>
      </c>
      <c r="K313">
        <f>IF('CALL SHEET'!$N$313="","",'CALL SHEET'!$N$313)</f>
        <v/>
      </c>
      <c r="L313">
        <f>IF('CALL SHEET'!$AE$313="","",'CALL SHEET'!$AE$313)</f>
        <v/>
      </c>
      <c r="M313" t="inlineStr">
        <is>
          <t>TRADE</t>
        </is>
      </c>
      <c r="N313" t="inlineStr">
        <is>
          <t>CALL SHEET · row 313</t>
        </is>
      </c>
    </row>
    <row r="314">
      <c r="A314">
        <f>IF('CALL SHEET'!$A$314="","",'CALL SHEET'!$A$314)</f>
        <v/>
      </c>
      <c r="B314">
        <f>IF('CALL SHEET'!$C$314="","",'CALL SHEET'!$C$314)</f>
        <v/>
      </c>
      <c r="C314">
        <f>'CALL SHEET'!$U$314</f>
        <v/>
      </c>
      <c r="D314">
        <f>'CALL SHEET'!$Y$314</f>
        <v/>
      </c>
      <c r="E314">
        <f>'CALL SHEET'!$AC$314</f>
        <v/>
      </c>
      <c r="F314">
        <f>IF('CALL SHEET'!$V$314="","",'CALL SHEET'!$V$314)</f>
        <v/>
      </c>
      <c r="G314">
        <f>IF('CALL SHEET'!$D$314="","",'CALL SHEET'!$D$314)</f>
        <v/>
      </c>
      <c r="H314">
        <f>IF('CALL SHEET'!$G$314="","",'CALL SHEET'!$G$314)</f>
        <v/>
      </c>
      <c r="I314">
        <f>IF('CALL SHEET'!$AT$314="","",'CALL SHEET'!$AT$314)</f>
        <v/>
      </c>
      <c r="J314">
        <f>IF('CALL SHEET'!$AX$314="","",'CALL SHEET'!$AX$314)</f>
        <v/>
      </c>
      <c r="K314">
        <f>IF('CALL SHEET'!$N$314="","",'CALL SHEET'!$N$314)</f>
        <v/>
      </c>
      <c r="L314">
        <f>IF('CALL SHEET'!$AE$314="","",'CALL SHEET'!$AE$314)</f>
        <v/>
      </c>
      <c r="M314" t="inlineStr">
        <is>
          <t>TRADE</t>
        </is>
      </c>
      <c r="N314" t="inlineStr">
        <is>
          <t>CALL SHEET · row 314</t>
        </is>
      </c>
    </row>
    <row r="315">
      <c r="A315">
        <f>IF('CALL SHEET'!$A$315="","",'CALL SHEET'!$A$315)</f>
        <v/>
      </c>
      <c r="B315">
        <f>IF('CALL SHEET'!$C$315="","",'CALL SHEET'!$C$315)</f>
        <v/>
      </c>
      <c r="C315">
        <f>'CALL SHEET'!$U$315</f>
        <v/>
      </c>
      <c r="D315">
        <f>'CALL SHEET'!$Y$315</f>
        <v/>
      </c>
      <c r="E315">
        <f>'CALL SHEET'!$AC$315</f>
        <v/>
      </c>
      <c r="F315">
        <f>IF('CALL SHEET'!$V$315="","",'CALL SHEET'!$V$315)</f>
        <v/>
      </c>
      <c r="G315">
        <f>IF('CALL SHEET'!$D$315="","",'CALL SHEET'!$D$315)</f>
        <v/>
      </c>
      <c r="H315">
        <f>IF('CALL SHEET'!$G$315="","",'CALL SHEET'!$G$315)</f>
        <v/>
      </c>
      <c r="I315">
        <f>IF('CALL SHEET'!$AT$315="","",'CALL SHEET'!$AT$315)</f>
        <v/>
      </c>
      <c r="J315">
        <f>IF('CALL SHEET'!$AX$315="","",'CALL SHEET'!$AX$315)</f>
        <v/>
      </c>
      <c r="K315">
        <f>IF('CALL SHEET'!$N$315="","",'CALL SHEET'!$N$315)</f>
        <v/>
      </c>
      <c r="L315">
        <f>IF('CALL SHEET'!$AE$315="","",'CALL SHEET'!$AE$315)</f>
        <v/>
      </c>
      <c r="M315" t="inlineStr">
        <is>
          <t>TRADE</t>
        </is>
      </c>
      <c r="N315" t="inlineStr">
        <is>
          <t>CALL SHEET · row 315</t>
        </is>
      </c>
    </row>
    <row r="316">
      <c r="A316">
        <f>IF('CALL SHEET'!$A$316="","",'CALL SHEET'!$A$316)</f>
        <v/>
      </c>
      <c r="B316">
        <f>IF('CALL SHEET'!$C$316="","",'CALL SHEET'!$C$316)</f>
        <v/>
      </c>
      <c r="C316">
        <f>'CALL SHEET'!$U$316</f>
        <v/>
      </c>
      <c r="D316">
        <f>'CALL SHEET'!$Y$316</f>
        <v/>
      </c>
      <c r="E316">
        <f>'CALL SHEET'!$AC$316</f>
        <v/>
      </c>
      <c r="F316">
        <f>IF('CALL SHEET'!$V$316="","",'CALL SHEET'!$V$316)</f>
        <v/>
      </c>
      <c r="G316">
        <f>IF('CALL SHEET'!$D$316="","",'CALL SHEET'!$D$316)</f>
        <v/>
      </c>
      <c r="H316">
        <f>IF('CALL SHEET'!$G$316="","",'CALL SHEET'!$G$316)</f>
        <v/>
      </c>
      <c r="I316">
        <f>IF('CALL SHEET'!$AT$316="","",'CALL SHEET'!$AT$316)</f>
        <v/>
      </c>
      <c r="J316">
        <f>IF('CALL SHEET'!$AX$316="","",'CALL SHEET'!$AX$316)</f>
        <v/>
      </c>
      <c r="K316">
        <f>IF('CALL SHEET'!$N$316="","",'CALL SHEET'!$N$316)</f>
        <v/>
      </c>
      <c r="L316">
        <f>IF('CALL SHEET'!$AE$316="","",'CALL SHEET'!$AE$316)</f>
        <v/>
      </c>
      <c r="M316" t="inlineStr">
        <is>
          <t>TRADE</t>
        </is>
      </c>
      <c r="N316" t="inlineStr">
        <is>
          <t>CALL SHEET · row 316</t>
        </is>
      </c>
    </row>
    <row r="317">
      <c r="A317">
        <f>IF('CALL SHEET'!$A$317="","",'CALL SHEET'!$A$317)</f>
        <v/>
      </c>
      <c r="B317">
        <f>IF('CALL SHEET'!$C$317="","",'CALL SHEET'!$C$317)</f>
        <v/>
      </c>
      <c r="C317">
        <f>'CALL SHEET'!$U$317</f>
        <v/>
      </c>
      <c r="D317">
        <f>'CALL SHEET'!$Y$317</f>
        <v/>
      </c>
      <c r="E317">
        <f>'CALL SHEET'!$AC$317</f>
        <v/>
      </c>
      <c r="F317">
        <f>IF('CALL SHEET'!$V$317="","",'CALL SHEET'!$V$317)</f>
        <v/>
      </c>
      <c r="G317">
        <f>IF('CALL SHEET'!$D$317="","",'CALL SHEET'!$D$317)</f>
        <v/>
      </c>
      <c r="H317">
        <f>IF('CALL SHEET'!$G$317="","",'CALL SHEET'!$G$317)</f>
        <v/>
      </c>
      <c r="I317">
        <f>IF('CALL SHEET'!$AT$317="","",'CALL SHEET'!$AT$317)</f>
        <v/>
      </c>
      <c r="J317">
        <f>IF('CALL SHEET'!$AX$317="","",'CALL SHEET'!$AX$317)</f>
        <v/>
      </c>
      <c r="K317">
        <f>IF('CALL SHEET'!$N$317="","",'CALL SHEET'!$N$317)</f>
        <v/>
      </c>
      <c r="L317">
        <f>IF('CALL SHEET'!$AE$317="","",'CALL SHEET'!$AE$317)</f>
        <v/>
      </c>
      <c r="M317" t="inlineStr">
        <is>
          <t>TRADE</t>
        </is>
      </c>
      <c r="N317" t="inlineStr">
        <is>
          <t>CALL SHEET · row 317</t>
        </is>
      </c>
    </row>
    <row r="318">
      <c r="A318">
        <f>IF('CALL SHEET'!$A$318="","",'CALL SHEET'!$A$318)</f>
        <v/>
      </c>
      <c r="B318">
        <f>IF('CALL SHEET'!$C$318="","",'CALL SHEET'!$C$318)</f>
        <v/>
      </c>
      <c r="C318">
        <f>'CALL SHEET'!$U$318</f>
        <v/>
      </c>
      <c r="D318">
        <f>'CALL SHEET'!$Y$318</f>
        <v/>
      </c>
      <c r="E318">
        <f>'CALL SHEET'!$AC$318</f>
        <v/>
      </c>
      <c r="F318">
        <f>IF('CALL SHEET'!$V$318="","",'CALL SHEET'!$V$318)</f>
        <v/>
      </c>
      <c r="G318">
        <f>IF('CALL SHEET'!$D$318="","",'CALL SHEET'!$D$318)</f>
        <v/>
      </c>
      <c r="H318">
        <f>IF('CALL SHEET'!$G$318="","",'CALL SHEET'!$G$318)</f>
        <v/>
      </c>
      <c r="I318">
        <f>IF('CALL SHEET'!$AT$318="","",'CALL SHEET'!$AT$318)</f>
        <v/>
      </c>
      <c r="J318">
        <f>IF('CALL SHEET'!$AX$318="","",'CALL SHEET'!$AX$318)</f>
        <v/>
      </c>
      <c r="K318">
        <f>IF('CALL SHEET'!$N$318="","",'CALL SHEET'!$N$318)</f>
        <v/>
      </c>
      <c r="L318">
        <f>IF('CALL SHEET'!$AE$318="","",'CALL SHEET'!$AE$318)</f>
        <v/>
      </c>
      <c r="M318" t="inlineStr">
        <is>
          <t>TRADE</t>
        </is>
      </c>
      <c r="N318" t="inlineStr">
        <is>
          <t>CALL SHEET · row 318</t>
        </is>
      </c>
    </row>
    <row r="319">
      <c r="A319">
        <f>IF('CALL SHEET'!$A$319="","",'CALL SHEET'!$A$319)</f>
        <v/>
      </c>
      <c r="B319">
        <f>IF('CALL SHEET'!$C$319="","",'CALL SHEET'!$C$319)</f>
        <v/>
      </c>
      <c r="C319">
        <f>'CALL SHEET'!$U$319</f>
        <v/>
      </c>
      <c r="D319">
        <f>'CALL SHEET'!$Y$319</f>
        <v/>
      </c>
      <c r="E319">
        <f>'CALL SHEET'!$AC$319</f>
        <v/>
      </c>
      <c r="F319">
        <f>IF('CALL SHEET'!$V$319="","",'CALL SHEET'!$V$319)</f>
        <v/>
      </c>
      <c r="G319">
        <f>IF('CALL SHEET'!$D$319="","",'CALL SHEET'!$D$319)</f>
        <v/>
      </c>
      <c r="H319">
        <f>IF('CALL SHEET'!$G$319="","",'CALL SHEET'!$G$319)</f>
        <v/>
      </c>
      <c r="I319">
        <f>IF('CALL SHEET'!$AT$319="","",'CALL SHEET'!$AT$319)</f>
        <v/>
      </c>
      <c r="J319">
        <f>IF('CALL SHEET'!$AX$319="","",'CALL SHEET'!$AX$319)</f>
        <v/>
      </c>
      <c r="K319">
        <f>IF('CALL SHEET'!$N$319="","",'CALL SHEET'!$N$319)</f>
        <v/>
      </c>
      <c r="L319">
        <f>IF('CALL SHEET'!$AE$319="","",'CALL SHEET'!$AE$319)</f>
        <v/>
      </c>
      <c r="M319" t="inlineStr">
        <is>
          <t>TRADE</t>
        </is>
      </c>
      <c r="N319" t="inlineStr">
        <is>
          <t>CALL SHEET · row 319</t>
        </is>
      </c>
    </row>
    <row r="320">
      <c r="A320">
        <f>IF('CALL SHEET'!$A$320="","",'CALL SHEET'!$A$320)</f>
        <v/>
      </c>
      <c r="B320">
        <f>IF('CALL SHEET'!$C$320="","",'CALL SHEET'!$C$320)</f>
        <v/>
      </c>
      <c r="C320">
        <f>'CALL SHEET'!$U$320</f>
        <v/>
      </c>
      <c r="D320">
        <f>'CALL SHEET'!$Y$320</f>
        <v/>
      </c>
      <c r="E320">
        <f>'CALL SHEET'!$AC$320</f>
        <v/>
      </c>
      <c r="F320">
        <f>IF('CALL SHEET'!$V$320="","",'CALL SHEET'!$V$320)</f>
        <v/>
      </c>
      <c r="G320">
        <f>IF('CALL SHEET'!$D$320="","",'CALL SHEET'!$D$320)</f>
        <v/>
      </c>
      <c r="H320">
        <f>IF('CALL SHEET'!$G$320="","",'CALL SHEET'!$G$320)</f>
        <v/>
      </c>
      <c r="I320">
        <f>IF('CALL SHEET'!$AT$320="","",'CALL SHEET'!$AT$320)</f>
        <v/>
      </c>
      <c r="J320">
        <f>IF('CALL SHEET'!$AX$320="","",'CALL SHEET'!$AX$320)</f>
        <v/>
      </c>
      <c r="K320">
        <f>IF('CALL SHEET'!$N$320="","",'CALL SHEET'!$N$320)</f>
        <v/>
      </c>
      <c r="L320">
        <f>IF('CALL SHEET'!$AE$320="","",'CALL SHEET'!$AE$320)</f>
        <v/>
      </c>
      <c r="M320" t="inlineStr">
        <is>
          <t>TRADE</t>
        </is>
      </c>
      <c r="N320" t="inlineStr">
        <is>
          <t>CALL SHEET · row 320</t>
        </is>
      </c>
    </row>
    <row r="321">
      <c r="A321">
        <f>IF('CALL SHEET'!$A$321="","",'CALL SHEET'!$A$321)</f>
        <v/>
      </c>
      <c r="B321">
        <f>IF('CALL SHEET'!$C$321="","",'CALL SHEET'!$C$321)</f>
        <v/>
      </c>
      <c r="C321">
        <f>'CALL SHEET'!$U$321</f>
        <v/>
      </c>
      <c r="D321">
        <f>'CALL SHEET'!$Y$321</f>
        <v/>
      </c>
      <c r="E321">
        <f>'CALL SHEET'!$AC$321</f>
        <v/>
      </c>
      <c r="F321">
        <f>IF('CALL SHEET'!$V$321="","",'CALL SHEET'!$V$321)</f>
        <v/>
      </c>
      <c r="G321">
        <f>IF('CALL SHEET'!$D$321="","",'CALL SHEET'!$D$321)</f>
        <v/>
      </c>
      <c r="H321">
        <f>IF('CALL SHEET'!$G$321="","",'CALL SHEET'!$G$321)</f>
        <v/>
      </c>
      <c r="I321">
        <f>IF('CALL SHEET'!$AT$321="","",'CALL SHEET'!$AT$321)</f>
        <v/>
      </c>
      <c r="J321">
        <f>IF('CALL SHEET'!$AX$321="","",'CALL SHEET'!$AX$321)</f>
        <v/>
      </c>
      <c r="K321">
        <f>IF('CALL SHEET'!$N$321="","",'CALL SHEET'!$N$321)</f>
        <v/>
      </c>
      <c r="L321">
        <f>IF('CALL SHEET'!$AE$321="","",'CALL SHEET'!$AE$321)</f>
        <v/>
      </c>
      <c r="M321" t="inlineStr">
        <is>
          <t>TRADE</t>
        </is>
      </c>
      <c r="N321" t="inlineStr">
        <is>
          <t>CALL SHEET · row 321</t>
        </is>
      </c>
    </row>
    <row r="322">
      <c r="A322">
        <f>IF('CALL SHEET'!$A$322="","",'CALL SHEET'!$A$322)</f>
        <v/>
      </c>
      <c r="B322">
        <f>IF('CALL SHEET'!$C$322="","",'CALL SHEET'!$C$322)</f>
        <v/>
      </c>
      <c r="C322">
        <f>'CALL SHEET'!$U$322</f>
        <v/>
      </c>
      <c r="D322">
        <f>'CALL SHEET'!$Y$322</f>
        <v/>
      </c>
      <c r="E322">
        <f>'CALL SHEET'!$AC$322</f>
        <v/>
      </c>
      <c r="F322">
        <f>IF('CALL SHEET'!$V$322="","",'CALL SHEET'!$V$322)</f>
        <v/>
      </c>
      <c r="G322">
        <f>IF('CALL SHEET'!$D$322="","",'CALL SHEET'!$D$322)</f>
        <v/>
      </c>
      <c r="H322">
        <f>IF('CALL SHEET'!$G$322="","",'CALL SHEET'!$G$322)</f>
        <v/>
      </c>
      <c r="I322">
        <f>IF('CALL SHEET'!$AT$322="","",'CALL SHEET'!$AT$322)</f>
        <v/>
      </c>
      <c r="J322">
        <f>IF('CALL SHEET'!$AX$322="","",'CALL SHEET'!$AX$322)</f>
        <v/>
      </c>
      <c r="K322">
        <f>IF('CALL SHEET'!$N$322="","",'CALL SHEET'!$N$322)</f>
        <v/>
      </c>
      <c r="L322">
        <f>IF('CALL SHEET'!$AE$322="","",'CALL SHEET'!$AE$322)</f>
        <v/>
      </c>
      <c r="M322" t="inlineStr">
        <is>
          <t>TRADE</t>
        </is>
      </c>
      <c r="N322" t="inlineStr">
        <is>
          <t>CALL SHEET · row 322</t>
        </is>
      </c>
    </row>
    <row r="323">
      <c r="A323">
        <f>IF('CALL SHEET'!$A$323="","",'CALL SHEET'!$A$323)</f>
        <v/>
      </c>
      <c r="B323">
        <f>IF('CALL SHEET'!$C$323="","",'CALL SHEET'!$C$323)</f>
        <v/>
      </c>
      <c r="C323">
        <f>'CALL SHEET'!$U$323</f>
        <v/>
      </c>
      <c r="D323">
        <f>'CALL SHEET'!$Y$323</f>
        <v/>
      </c>
      <c r="E323">
        <f>'CALL SHEET'!$AC$323</f>
        <v/>
      </c>
      <c r="F323">
        <f>IF('CALL SHEET'!$V$323="","",'CALL SHEET'!$V$323)</f>
        <v/>
      </c>
      <c r="G323">
        <f>IF('CALL SHEET'!$D$323="","",'CALL SHEET'!$D$323)</f>
        <v/>
      </c>
      <c r="H323">
        <f>IF('CALL SHEET'!$G$323="","",'CALL SHEET'!$G$323)</f>
        <v/>
      </c>
      <c r="I323">
        <f>IF('CALL SHEET'!$AT$323="","",'CALL SHEET'!$AT$323)</f>
        <v/>
      </c>
      <c r="J323">
        <f>IF('CALL SHEET'!$AX$323="","",'CALL SHEET'!$AX$323)</f>
        <v/>
      </c>
      <c r="K323">
        <f>IF('CALL SHEET'!$N$323="","",'CALL SHEET'!$N$323)</f>
        <v/>
      </c>
      <c r="L323">
        <f>IF('CALL SHEET'!$AE$323="","",'CALL SHEET'!$AE$323)</f>
        <v/>
      </c>
      <c r="M323" t="inlineStr">
        <is>
          <t>TRADE</t>
        </is>
      </c>
      <c r="N323" t="inlineStr">
        <is>
          <t>CALL SHEET · row 323</t>
        </is>
      </c>
    </row>
    <row r="324">
      <c r="A324">
        <f>IF('CALL SHEET'!$A$324="","",'CALL SHEET'!$A$324)</f>
        <v/>
      </c>
      <c r="B324">
        <f>IF('CALL SHEET'!$C$324="","",'CALL SHEET'!$C$324)</f>
        <v/>
      </c>
      <c r="C324">
        <f>'CALL SHEET'!$U$324</f>
        <v/>
      </c>
      <c r="D324">
        <f>'CALL SHEET'!$Y$324</f>
        <v/>
      </c>
      <c r="E324">
        <f>'CALL SHEET'!$AC$324</f>
        <v/>
      </c>
      <c r="F324">
        <f>IF('CALL SHEET'!$V$324="","",'CALL SHEET'!$V$324)</f>
        <v/>
      </c>
      <c r="G324">
        <f>IF('CALL SHEET'!$D$324="","",'CALL SHEET'!$D$324)</f>
        <v/>
      </c>
      <c r="H324">
        <f>IF('CALL SHEET'!$G$324="","",'CALL SHEET'!$G$324)</f>
        <v/>
      </c>
      <c r="I324">
        <f>IF('CALL SHEET'!$AT$324="","",'CALL SHEET'!$AT$324)</f>
        <v/>
      </c>
      <c r="J324">
        <f>IF('CALL SHEET'!$AX$324="","",'CALL SHEET'!$AX$324)</f>
        <v/>
      </c>
      <c r="K324">
        <f>IF('CALL SHEET'!$N$324="","",'CALL SHEET'!$N$324)</f>
        <v/>
      </c>
      <c r="L324">
        <f>IF('CALL SHEET'!$AE$324="","",'CALL SHEET'!$AE$324)</f>
        <v/>
      </c>
      <c r="M324" t="inlineStr">
        <is>
          <t>TRADE</t>
        </is>
      </c>
      <c r="N324" t="inlineStr">
        <is>
          <t>CALL SHEET · row 324</t>
        </is>
      </c>
    </row>
    <row r="325">
      <c r="A325">
        <f>IF('CALL SHEET'!$A$325="","",'CALL SHEET'!$A$325)</f>
        <v/>
      </c>
      <c r="B325">
        <f>IF('CALL SHEET'!$C$325="","",'CALL SHEET'!$C$325)</f>
        <v/>
      </c>
      <c r="C325">
        <f>'CALL SHEET'!$U$325</f>
        <v/>
      </c>
      <c r="D325">
        <f>'CALL SHEET'!$Y$325</f>
        <v/>
      </c>
      <c r="E325">
        <f>'CALL SHEET'!$AC$325</f>
        <v/>
      </c>
      <c r="F325">
        <f>IF('CALL SHEET'!$V$325="","",'CALL SHEET'!$V$325)</f>
        <v/>
      </c>
      <c r="G325">
        <f>IF('CALL SHEET'!$D$325="","",'CALL SHEET'!$D$325)</f>
        <v/>
      </c>
      <c r="H325">
        <f>IF('CALL SHEET'!$G$325="","",'CALL SHEET'!$G$325)</f>
        <v/>
      </c>
      <c r="I325">
        <f>IF('CALL SHEET'!$AT$325="","",'CALL SHEET'!$AT$325)</f>
        <v/>
      </c>
      <c r="J325">
        <f>IF('CALL SHEET'!$AX$325="","",'CALL SHEET'!$AX$325)</f>
        <v/>
      </c>
      <c r="K325">
        <f>IF('CALL SHEET'!$N$325="","",'CALL SHEET'!$N$325)</f>
        <v/>
      </c>
      <c r="L325">
        <f>IF('CALL SHEET'!$AE$325="","",'CALL SHEET'!$AE$325)</f>
        <v/>
      </c>
      <c r="M325" t="inlineStr">
        <is>
          <t>TRADE</t>
        </is>
      </c>
      <c r="N325" t="inlineStr">
        <is>
          <t>CALL SHEET · row 325</t>
        </is>
      </c>
    </row>
    <row r="326">
      <c r="A326">
        <f>IF('CALL SHEET'!$A$326="","",'CALL SHEET'!$A$326)</f>
        <v/>
      </c>
      <c r="B326">
        <f>IF('CALL SHEET'!$C$326="","",'CALL SHEET'!$C$326)</f>
        <v/>
      </c>
      <c r="C326">
        <f>'CALL SHEET'!$U$326</f>
        <v/>
      </c>
      <c r="D326">
        <f>'CALL SHEET'!$Y$326</f>
        <v/>
      </c>
      <c r="E326">
        <f>'CALL SHEET'!$AC$326</f>
        <v/>
      </c>
      <c r="F326">
        <f>IF('CALL SHEET'!$V$326="","",'CALL SHEET'!$V$326)</f>
        <v/>
      </c>
      <c r="G326">
        <f>IF('CALL SHEET'!$D$326="","",'CALL SHEET'!$D$326)</f>
        <v/>
      </c>
      <c r="H326">
        <f>IF('CALL SHEET'!$G$326="","",'CALL SHEET'!$G$326)</f>
        <v/>
      </c>
      <c r="I326">
        <f>IF('CALL SHEET'!$AT$326="","",'CALL SHEET'!$AT$326)</f>
        <v/>
      </c>
      <c r="J326">
        <f>IF('CALL SHEET'!$AX$326="","",'CALL SHEET'!$AX$326)</f>
        <v/>
      </c>
      <c r="K326">
        <f>IF('CALL SHEET'!$N$326="","",'CALL SHEET'!$N$326)</f>
        <v/>
      </c>
      <c r="L326">
        <f>IF('CALL SHEET'!$AE$326="","",'CALL SHEET'!$AE$326)</f>
        <v/>
      </c>
      <c r="M326" t="inlineStr">
        <is>
          <t>TRADE</t>
        </is>
      </c>
      <c r="N326" t="inlineStr">
        <is>
          <t>CALL SHEET · row 326</t>
        </is>
      </c>
    </row>
    <row r="327">
      <c r="A327">
        <f>IF('CALL SHEET'!$A$327="","",'CALL SHEET'!$A$327)</f>
        <v/>
      </c>
      <c r="B327">
        <f>IF('CALL SHEET'!$C$327="","",'CALL SHEET'!$C$327)</f>
        <v/>
      </c>
      <c r="C327">
        <f>'CALL SHEET'!$U$327</f>
        <v/>
      </c>
      <c r="D327">
        <f>'CALL SHEET'!$Y$327</f>
        <v/>
      </c>
      <c r="E327">
        <f>'CALL SHEET'!$AC$327</f>
        <v/>
      </c>
      <c r="F327">
        <f>IF('CALL SHEET'!$V$327="","",'CALL SHEET'!$V$327)</f>
        <v/>
      </c>
      <c r="G327">
        <f>IF('CALL SHEET'!$D$327="","",'CALL SHEET'!$D$327)</f>
        <v/>
      </c>
      <c r="H327">
        <f>IF('CALL SHEET'!$G$327="","",'CALL SHEET'!$G$327)</f>
        <v/>
      </c>
      <c r="I327">
        <f>IF('CALL SHEET'!$AT$327="","",'CALL SHEET'!$AT$327)</f>
        <v/>
      </c>
      <c r="J327">
        <f>IF('CALL SHEET'!$AX$327="","",'CALL SHEET'!$AX$327)</f>
        <v/>
      </c>
      <c r="K327">
        <f>IF('CALL SHEET'!$N$327="","",'CALL SHEET'!$N$327)</f>
        <v/>
      </c>
      <c r="L327">
        <f>IF('CALL SHEET'!$AE$327="","",'CALL SHEET'!$AE$327)</f>
        <v/>
      </c>
      <c r="M327" t="inlineStr">
        <is>
          <t>TRADE</t>
        </is>
      </c>
      <c r="N327" t="inlineStr">
        <is>
          <t>CALL SHEET · row 327</t>
        </is>
      </c>
    </row>
    <row r="328">
      <c r="A328">
        <f>IF('CALL SHEET'!$A$328="","",'CALL SHEET'!$A$328)</f>
        <v/>
      </c>
      <c r="B328">
        <f>IF('CALL SHEET'!$C$328="","",'CALL SHEET'!$C$328)</f>
        <v/>
      </c>
      <c r="C328">
        <f>'CALL SHEET'!$U$328</f>
        <v/>
      </c>
      <c r="D328">
        <f>'CALL SHEET'!$Y$328</f>
        <v/>
      </c>
      <c r="E328">
        <f>'CALL SHEET'!$AC$328</f>
        <v/>
      </c>
      <c r="F328">
        <f>IF('CALL SHEET'!$V$328="","",'CALL SHEET'!$V$328)</f>
        <v/>
      </c>
      <c r="G328">
        <f>IF('CALL SHEET'!$D$328="","",'CALL SHEET'!$D$328)</f>
        <v/>
      </c>
      <c r="H328">
        <f>IF('CALL SHEET'!$G$328="","",'CALL SHEET'!$G$328)</f>
        <v/>
      </c>
      <c r="I328">
        <f>IF('CALL SHEET'!$AT$328="","",'CALL SHEET'!$AT$328)</f>
        <v/>
      </c>
      <c r="J328">
        <f>IF('CALL SHEET'!$AX$328="","",'CALL SHEET'!$AX$328)</f>
        <v/>
      </c>
      <c r="K328">
        <f>IF('CALL SHEET'!$N$328="","",'CALL SHEET'!$N$328)</f>
        <v/>
      </c>
      <c r="L328">
        <f>IF('CALL SHEET'!$AE$328="","",'CALL SHEET'!$AE$328)</f>
        <v/>
      </c>
      <c r="M328" t="inlineStr">
        <is>
          <t>TRADE</t>
        </is>
      </c>
      <c r="N328" t="inlineStr">
        <is>
          <t>CALL SHEET · row 328</t>
        </is>
      </c>
    </row>
    <row r="329">
      <c r="A329">
        <f>IF('CALL SHEET'!$A$329="","",'CALL SHEET'!$A$329)</f>
        <v/>
      </c>
      <c r="B329">
        <f>IF('CALL SHEET'!$C$329="","",'CALL SHEET'!$C$329)</f>
        <v/>
      </c>
      <c r="C329">
        <f>'CALL SHEET'!$U$329</f>
        <v/>
      </c>
      <c r="D329">
        <f>'CALL SHEET'!$Y$329</f>
        <v/>
      </c>
      <c r="E329">
        <f>'CALL SHEET'!$AC$329</f>
        <v/>
      </c>
      <c r="F329">
        <f>IF('CALL SHEET'!$V$329="","",'CALL SHEET'!$V$329)</f>
        <v/>
      </c>
      <c r="G329">
        <f>IF('CALL SHEET'!$D$329="","",'CALL SHEET'!$D$329)</f>
        <v/>
      </c>
      <c r="H329">
        <f>IF('CALL SHEET'!$G$329="","",'CALL SHEET'!$G$329)</f>
        <v/>
      </c>
      <c r="I329">
        <f>IF('CALL SHEET'!$AT$329="","",'CALL SHEET'!$AT$329)</f>
        <v/>
      </c>
      <c r="J329">
        <f>IF('CALL SHEET'!$AX$329="","",'CALL SHEET'!$AX$329)</f>
        <v/>
      </c>
      <c r="K329">
        <f>IF('CALL SHEET'!$N$329="","",'CALL SHEET'!$N$329)</f>
        <v/>
      </c>
      <c r="L329">
        <f>IF('CALL SHEET'!$AE$329="","",'CALL SHEET'!$AE$329)</f>
        <v/>
      </c>
      <c r="M329" t="inlineStr">
        <is>
          <t>TRADE</t>
        </is>
      </c>
      <c r="N329" t="inlineStr">
        <is>
          <t>CALL SHEET · row 329</t>
        </is>
      </c>
    </row>
    <row r="330">
      <c r="A330">
        <f>IF('CALL SHEET'!$A$330="","",'CALL SHEET'!$A$330)</f>
        <v/>
      </c>
      <c r="B330">
        <f>IF('CALL SHEET'!$C$330="","",'CALL SHEET'!$C$330)</f>
        <v/>
      </c>
      <c r="C330">
        <f>'CALL SHEET'!$U$330</f>
        <v/>
      </c>
      <c r="D330">
        <f>'CALL SHEET'!$Y$330</f>
        <v/>
      </c>
      <c r="E330">
        <f>'CALL SHEET'!$AC$330</f>
        <v/>
      </c>
      <c r="F330">
        <f>IF('CALL SHEET'!$V$330="","",'CALL SHEET'!$V$330)</f>
        <v/>
      </c>
      <c r="G330">
        <f>IF('CALL SHEET'!$D$330="","",'CALL SHEET'!$D$330)</f>
        <v/>
      </c>
      <c r="H330">
        <f>IF('CALL SHEET'!$G$330="","",'CALL SHEET'!$G$330)</f>
        <v/>
      </c>
      <c r="I330">
        <f>IF('CALL SHEET'!$AT$330="","",'CALL SHEET'!$AT$330)</f>
        <v/>
      </c>
      <c r="J330">
        <f>IF('CALL SHEET'!$AX$330="","",'CALL SHEET'!$AX$330)</f>
        <v/>
      </c>
      <c r="K330">
        <f>IF('CALL SHEET'!$N$330="","",'CALL SHEET'!$N$330)</f>
        <v/>
      </c>
      <c r="L330">
        <f>IF('CALL SHEET'!$AE$330="","",'CALL SHEET'!$AE$330)</f>
        <v/>
      </c>
      <c r="M330" t="inlineStr">
        <is>
          <t>TRADE</t>
        </is>
      </c>
      <c r="N330" t="inlineStr">
        <is>
          <t>CALL SHEET · row 330</t>
        </is>
      </c>
    </row>
    <row r="331">
      <c r="A331">
        <f>IF('CALL SHEET'!$A$331="","",'CALL SHEET'!$A$331)</f>
        <v/>
      </c>
      <c r="B331">
        <f>IF('CALL SHEET'!$C$331="","",'CALL SHEET'!$C$331)</f>
        <v/>
      </c>
      <c r="C331">
        <f>'CALL SHEET'!$U$331</f>
        <v/>
      </c>
      <c r="D331">
        <f>'CALL SHEET'!$Y$331</f>
        <v/>
      </c>
      <c r="E331">
        <f>'CALL SHEET'!$AC$331</f>
        <v/>
      </c>
      <c r="F331">
        <f>IF('CALL SHEET'!$V$331="","",'CALL SHEET'!$V$331)</f>
        <v/>
      </c>
      <c r="G331">
        <f>IF('CALL SHEET'!$D$331="","",'CALL SHEET'!$D$331)</f>
        <v/>
      </c>
      <c r="H331">
        <f>IF('CALL SHEET'!$G$331="","",'CALL SHEET'!$G$331)</f>
        <v/>
      </c>
      <c r="I331">
        <f>IF('CALL SHEET'!$AT$331="","",'CALL SHEET'!$AT$331)</f>
        <v/>
      </c>
      <c r="J331">
        <f>IF('CALL SHEET'!$AX$331="","",'CALL SHEET'!$AX$331)</f>
        <v/>
      </c>
      <c r="K331">
        <f>IF('CALL SHEET'!$N$331="","",'CALL SHEET'!$N$331)</f>
        <v/>
      </c>
      <c r="L331">
        <f>IF('CALL SHEET'!$AE$331="","",'CALL SHEET'!$AE$331)</f>
        <v/>
      </c>
      <c r="M331" t="inlineStr">
        <is>
          <t>TRADE</t>
        </is>
      </c>
      <c r="N331" t="inlineStr">
        <is>
          <t>CALL SHEET · row 331</t>
        </is>
      </c>
    </row>
    <row r="332">
      <c r="A332">
        <f>IF('CALL SHEET'!$A$332="","",'CALL SHEET'!$A$332)</f>
        <v/>
      </c>
      <c r="B332">
        <f>IF('CALL SHEET'!$C$332="","",'CALL SHEET'!$C$332)</f>
        <v/>
      </c>
      <c r="C332">
        <f>'CALL SHEET'!$U$332</f>
        <v/>
      </c>
      <c r="D332">
        <f>'CALL SHEET'!$Y$332</f>
        <v/>
      </c>
      <c r="E332">
        <f>'CALL SHEET'!$AC$332</f>
        <v/>
      </c>
      <c r="F332">
        <f>IF('CALL SHEET'!$V$332="","",'CALL SHEET'!$V$332)</f>
        <v/>
      </c>
      <c r="G332">
        <f>IF('CALL SHEET'!$D$332="","",'CALL SHEET'!$D$332)</f>
        <v/>
      </c>
      <c r="H332">
        <f>IF('CALL SHEET'!$G$332="","",'CALL SHEET'!$G$332)</f>
        <v/>
      </c>
      <c r="I332">
        <f>IF('CALL SHEET'!$AT$332="","",'CALL SHEET'!$AT$332)</f>
        <v/>
      </c>
      <c r="J332">
        <f>IF('CALL SHEET'!$AX$332="","",'CALL SHEET'!$AX$332)</f>
        <v/>
      </c>
      <c r="K332">
        <f>IF('CALL SHEET'!$N$332="","",'CALL SHEET'!$N$332)</f>
        <v/>
      </c>
      <c r="L332">
        <f>IF('CALL SHEET'!$AE$332="","",'CALL SHEET'!$AE$332)</f>
        <v/>
      </c>
      <c r="M332" t="inlineStr">
        <is>
          <t>TRADE</t>
        </is>
      </c>
      <c r="N332" t="inlineStr">
        <is>
          <t>CALL SHEET · row 332</t>
        </is>
      </c>
    </row>
    <row r="333">
      <c r="A333">
        <f>IF('CALL SHEET'!$A$333="","",'CALL SHEET'!$A$333)</f>
        <v/>
      </c>
      <c r="B333">
        <f>IF('CALL SHEET'!$C$333="","",'CALL SHEET'!$C$333)</f>
        <v/>
      </c>
      <c r="C333">
        <f>'CALL SHEET'!$U$333</f>
        <v/>
      </c>
      <c r="D333">
        <f>'CALL SHEET'!$Y$333</f>
        <v/>
      </c>
      <c r="E333">
        <f>'CALL SHEET'!$AC$333</f>
        <v/>
      </c>
      <c r="F333">
        <f>IF('CALL SHEET'!$V$333="","",'CALL SHEET'!$V$333)</f>
        <v/>
      </c>
      <c r="G333">
        <f>IF('CALL SHEET'!$D$333="","",'CALL SHEET'!$D$333)</f>
        <v/>
      </c>
      <c r="H333">
        <f>IF('CALL SHEET'!$G$333="","",'CALL SHEET'!$G$333)</f>
        <v/>
      </c>
      <c r="I333">
        <f>IF('CALL SHEET'!$AT$333="","",'CALL SHEET'!$AT$333)</f>
        <v/>
      </c>
      <c r="J333">
        <f>IF('CALL SHEET'!$AX$333="","",'CALL SHEET'!$AX$333)</f>
        <v/>
      </c>
      <c r="K333">
        <f>IF('CALL SHEET'!$N$333="","",'CALL SHEET'!$N$333)</f>
        <v/>
      </c>
      <c r="L333">
        <f>IF('CALL SHEET'!$AE$333="","",'CALL SHEET'!$AE$333)</f>
        <v/>
      </c>
      <c r="M333" t="inlineStr">
        <is>
          <t>TRADE</t>
        </is>
      </c>
      <c r="N333" t="inlineStr">
        <is>
          <t>CALL SHEET · row 333</t>
        </is>
      </c>
    </row>
    <row r="334">
      <c r="A334">
        <f>IF('CALL SHEET'!$A$334="","",'CALL SHEET'!$A$334)</f>
        <v/>
      </c>
      <c r="B334">
        <f>IF('CALL SHEET'!$C$334="","",'CALL SHEET'!$C$334)</f>
        <v/>
      </c>
      <c r="C334">
        <f>'CALL SHEET'!$U$334</f>
        <v/>
      </c>
      <c r="D334">
        <f>'CALL SHEET'!$Y$334</f>
        <v/>
      </c>
      <c r="E334">
        <f>'CALL SHEET'!$AC$334</f>
        <v/>
      </c>
      <c r="F334">
        <f>IF('CALL SHEET'!$V$334="","",'CALL SHEET'!$V$334)</f>
        <v/>
      </c>
      <c r="G334">
        <f>IF('CALL SHEET'!$D$334="","",'CALL SHEET'!$D$334)</f>
        <v/>
      </c>
      <c r="H334">
        <f>IF('CALL SHEET'!$G$334="","",'CALL SHEET'!$G$334)</f>
        <v/>
      </c>
      <c r="I334">
        <f>IF('CALL SHEET'!$AT$334="","",'CALL SHEET'!$AT$334)</f>
        <v/>
      </c>
      <c r="J334">
        <f>IF('CALL SHEET'!$AX$334="","",'CALL SHEET'!$AX$334)</f>
        <v/>
      </c>
      <c r="K334">
        <f>IF('CALL SHEET'!$N$334="","",'CALL SHEET'!$N$334)</f>
        <v/>
      </c>
      <c r="L334">
        <f>IF('CALL SHEET'!$AE$334="","",'CALL SHEET'!$AE$334)</f>
        <v/>
      </c>
      <c r="M334" t="inlineStr">
        <is>
          <t>TRADE</t>
        </is>
      </c>
      <c r="N334" t="inlineStr">
        <is>
          <t>CALL SHEET · row 334</t>
        </is>
      </c>
    </row>
    <row r="335">
      <c r="A335">
        <f>IF('CALL SHEET'!$A$335="","",'CALL SHEET'!$A$335)</f>
        <v/>
      </c>
      <c r="B335">
        <f>IF('CALL SHEET'!$C$335="","",'CALL SHEET'!$C$335)</f>
        <v/>
      </c>
      <c r="C335">
        <f>'CALL SHEET'!$U$335</f>
        <v/>
      </c>
      <c r="D335">
        <f>'CALL SHEET'!$Y$335</f>
        <v/>
      </c>
      <c r="E335">
        <f>'CALL SHEET'!$AC$335</f>
        <v/>
      </c>
      <c r="F335">
        <f>IF('CALL SHEET'!$V$335="","",'CALL SHEET'!$V$335)</f>
        <v/>
      </c>
      <c r="G335">
        <f>IF('CALL SHEET'!$D$335="","",'CALL SHEET'!$D$335)</f>
        <v/>
      </c>
      <c r="H335">
        <f>IF('CALL SHEET'!$G$335="","",'CALL SHEET'!$G$335)</f>
        <v/>
      </c>
      <c r="I335">
        <f>IF('CALL SHEET'!$AT$335="","",'CALL SHEET'!$AT$335)</f>
        <v/>
      </c>
      <c r="J335">
        <f>IF('CALL SHEET'!$AX$335="","",'CALL SHEET'!$AX$335)</f>
        <v/>
      </c>
      <c r="K335">
        <f>IF('CALL SHEET'!$N$335="","",'CALL SHEET'!$N$335)</f>
        <v/>
      </c>
      <c r="L335">
        <f>IF('CALL SHEET'!$AE$335="","",'CALL SHEET'!$AE$335)</f>
        <v/>
      </c>
      <c r="M335" t="inlineStr">
        <is>
          <t>TRADE</t>
        </is>
      </c>
      <c r="N335" t="inlineStr">
        <is>
          <t>CALL SHEET · row 335</t>
        </is>
      </c>
    </row>
    <row r="336">
      <c r="A336">
        <f>IF('CALL SHEET'!$A$336="","",'CALL SHEET'!$A$336)</f>
        <v/>
      </c>
      <c r="B336">
        <f>IF('CALL SHEET'!$C$336="","",'CALL SHEET'!$C$336)</f>
        <v/>
      </c>
      <c r="C336">
        <f>'CALL SHEET'!$U$336</f>
        <v/>
      </c>
      <c r="D336">
        <f>'CALL SHEET'!$Y$336</f>
        <v/>
      </c>
      <c r="E336">
        <f>'CALL SHEET'!$AC$336</f>
        <v/>
      </c>
      <c r="F336">
        <f>IF('CALL SHEET'!$V$336="","",'CALL SHEET'!$V$336)</f>
        <v/>
      </c>
      <c r="G336">
        <f>IF('CALL SHEET'!$D$336="","",'CALL SHEET'!$D$336)</f>
        <v/>
      </c>
      <c r="H336">
        <f>IF('CALL SHEET'!$G$336="","",'CALL SHEET'!$G$336)</f>
        <v/>
      </c>
      <c r="I336">
        <f>IF('CALL SHEET'!$AT$336="","",'CALL SHEET'!$AT$336)</f>
        <v/>
      </c>
      <c r="J336">
        <f>IF('CALL SHEET'!$AX$336="","",'CALL SHEET'!$AX$336)</f>
        <v/>
      </c>
      <c r="K336">
        <f>IF('CALL SHEET'!$N$336="","",'CALL SHEET'!$N$336)</f>
        <v/>
      </c>
      <c r="L336">
        <f>IF('CALL SHEET'!$AE$336="","",'CALL SHEET'!$AE$336)</f>
        <v/>
      </c>
      <c r="M336" t="inlineStr">
        <is>
          <t>TRADE</t>
        </is>
      </c>
      <c r="N336" t="inlineStr">
        <is>
          <t>CALL SHEET · row 336</t>
        </is>
      </c>
    </row>
    <row r="337">
      <c r="A337">
        <f>IF('CALL SHEET'!$A$337="","",'CALL SHEET'!$A$337)</f>
        <v/>
      </c>
      <c r="B337">
        <f>IF('CALL SHEET'!$C$337="","",'CALL SHEET'!$C$337)</f>
        <v/>
      </c>
      <c r="C337">
        <f>'CALL SHEET'!$U$337</f>
        <v/>
      </c>
      <c r="D337">
        <f>'CALL SHEET'!$Y$337</f>
        <v/>
      </c>
      <c r="E337">
        <f>'CALL SHEET'!$AC$337</f>
        <v/>
      </c>
      <c r="F337">
        <f>IF('CALL SHEET'!$V$337="","",'CALL SHEET'!$V$337)</f>
        <v/>
      </c>
      <c r="G337">
        <f>IF('CALL SHEET'!$D$337="","",'CALL SHEET'!$D$337)</f>
        <v/>
      </c>
      <c r="H337">
        <f>IF('CALL SHEET'!$G$337="","",'CALL SHEET'!$G$337)</f>
        <v/>
      </c>
      <c r="I337">
        <f>IF('CALL SHEET'!$AT$337="","",'CALL SHEET'!$AT$337)</f>
        <v/>
      </c>
      <c r="J337">
        <f>IF('CALL SHEET'!$AX$337="","",'CALL SHEET'!$AX$337)</f>
        <v/>
      </c>
      <c r="K337">
        <f>IF('CALL SHEET'!$N$337="","",'CALL SHEET'!$N$337)</f>
        <v/>
      </c>
      <c r="L337">
        <f>IF('CALL SHEET'!$AE$337="","",'CALL SHEET'!$AE$337)</f>
        <v/>
      </c>
      <c r="M337" t="inlineStr">
        <is>
          <t>TRADE</t>
        </is>
      </c>
      <c r="N337" t="inlineStr">
        <is>
          <t>CALL SHEET · row 337</t>
        </is>
      </c>
    </row>
    <row r="338">
      <c r="A338">
        <f>IF('CALL SHEET'!$A$338="","",'CALL SHEET'!$A$338)</f>
        <v/>
      </c>
      <c r="B338">
        <f>IF('CALL SHEET'!$C$338="","",'CALL SHEET'!$C$338)</f>
        <v/>
      </c>
      <c r="C338">
        <f>'CALL SHEET'!$U$338</f>
        <v/>
      </c>
      <c r="D338">
        <f>'CALL SHEET'!$Y$338</f>
        <v/>
      </c>
      <c r="E338">
        <f>'CALL SHEET'!$AC$338</f>
        <v/>
      </c>
      <c r="F338">
        <f>IF('CALL SHEET'!$V$338="","",'CALL SHEET'!$V$338)</f>
        <v/>
      </c>
      <c r="G338">
        <f>IF('CALL SHEET'!$D$338="","",'CALL SHEET'!$D$338)</f>
        <v/>
      </c>
      <c r="H338">
        <f>IF('CALL SHEET'!$G$338="","",'CALL SHEET'!$G$338)</f>
        <v/>
      </c>
      <c r="I338">
        <f>IF('CALL SHEET'!$AT$338="","",'CALL SHEET'!$AT$338)</f>
        <v/>
      </c>
      <c r="J338">
        <f>IF('CALL SHEET'!$AX$338="","",'CALL SHEET'!$AX$338)</f>
        <v/>
      </c>
      <c r="K338">
        <f>IF('CALL SHEET'!$N$338="","",'CALL SHEET'!$N$338)</f>
        <v/>
      </c>
      <c r="L338">
        <f>IF('CALL SHEET'!$AE$338="","",'CALL SHEET'!$AE$338)</f>
        <v/>
      </c>
      <c r="M338" t="inlineStr">
        <is>
          <t>TRADE</t>
        </is>
      </c>
      <c r="N338" t="inlineStr">
        <is>
          <t>CALL SHEET · row 338</t>
        </is>
      </c>
    </row>
    <row r="339">
      <c r="A339">
        <f>IF('CALL SHEET'!$A$339="","",'CALL SHEET'!$A$339)</f>
        <v/>
      </c>
      <c r="B339">
        <f>IF('CALL SHEET'!$C$339="","",'CALL SHEET'!$C$339)</f>
        <v/>
      </c>
      <c r="C339">
        <f>'CALL SHEET'!$U$339</f>
        <v/>
      </c>
      <c r="D339">
        <f>'CALL SHEET'!$Y$339</f>
        <v/>
      </c>
      <c r="E339">
        <f>'CALL SHEET'!$AC$339</f>
        <v/>
      </c>
      <c r="F339">
        <f>IF('CALL SHEET'!$V$339="","",'CALL SHEET'!$V$339)</f>
        <v/>
      </c>
      <c r="G339">
        <f>IF('CALL SHEET'!$D$339="","",'CALL SHEET'!$D$339)</f>
        <v/>
      </c>
      <c r="H339">
        <f>IF('CALL SHEET'!$G$339="","",'CALL SHEET'!$G$339)</f>
        <v/>
      </c>
      <c r="I339">
        <f>IF('CALL SHEET'!$AT$339="","",'CALL SHEET'!$AT$339)</f>
        <v/>
      </c>
      <c r="J339">
        <f>IF('CALL SHEET'!$AX$339="","",'CALL SHEET'!$AX$339)</f>
        <v/>
      </c>
      <c r="K339">
        <f>IF('CALL SHEET'!$N$339="","",'CALL SHEET'!$N$339)</f>
        <v/>
      </c>
      <c r="L339">
        <f>IF('CALL SHEET'!$AE$339="","",'CALL SHEET'!$AE$339)</f>
        <v/>
      </c>
      <c r="M339" t="inlineStr">
        <is>
          <t>TRADE</t>
        </is>
      </c>
      <c r="N339" t="inlineStr">
        <is>
          <t>CALL SHEET · row 339</t>
        </is>
      </c>
    </row>
    <row r="340">
      <c r="A340">
        <f>IF('CALL SHEET'!$A$340="","",'CALL SHEET'!$A$340)</f>
        <v/>
      </c>
      <c r="B340">
        <f>IF('CALL SHEET'!$C$340="","",'CALL SHEET'!$C$340)</f>
        <v/>
      </c>
      <c r="C340">
        <f>'CALL SHEET'!$U$340</f>
        <v/>
      </c>
      <c r="D340">
        <f>'CALL SHEET'!$Y$340</f>
        <v/>
      </c>
      <c r="E340">
        <f>'CALL SHEET'!$AC$340</f>
        <v/>
      </c>
      <c r="F340">
        <f>IF('CALL SHEET'!$V$340="","",'CALL SHEET'!$V$340)</f>
        <v/>
      </c>
      <c r="G340">
        <f>IF('CALL SHEET'!$D$340="","",'CALL SHEET'!$D$340)</f>
        <v/>
      </c>
      <c r="H340">
        <f>IF('CALL SHEET'!$G$340="","",'CALL SHEET'!$G$340)</f>
        <v/>
      </c>
      <c r="I340">
        <f>IF('CALL SHEET'!$AT$340="","",'CALL SHEET'!$AT$340)</f>
        <v/>
      </c>
      <c r="J340">
        <f>IF('CALL SHEET'!$AX$340="","",'CALL SHEET'!$AX$340)</f>
        <v/>
      </c>
      <c r="K340">
        <f>IF('CALL SHEET'!$N$340="","",'CALL SHEET'!$N$340)</f>
        <v/>
      </c>
      <c r="L340">
        <f>IF('CALL SHEET'!$AE$340="","",'CALL SHEET'!$AE$340)</f>
        <v/>
      </c>
      <c r="M340" t="inlineStr">
        <is>
          <t>TRADE</t>
        </is>
      </c>
      <c r="N340" t="inlineStr">
        <is>
          <t>CALL SHEET · row 340</t>
        </is>
      </c>
    </row>
    <row r="341">
      <c r="A341">
        <f>IF('CALL SHEET'!$A$341="","",'CALL SHEET'!$A$341)</f>
        <v/>
      </c>
      <c r="B341">
        <f>IF('CALL SHEET'!$C$341="","",'CALL SHEET'!$C$341)</f>
        <v/>
      </c>
      <c r="C341">
        <f>'CALL SHEET'!$U$341</f>
        <v/>
      </c>
      <c r="D341">
        <f>'CALL SHEET'!$Y$341</f>
        <v/>
      </c>
      <c r="E341">
        <f>'CALL SHEET'!$AC$341</f>
        <v/>
      </c>
      <c r="F341">
        <f>IF('CALL SHEET'!$V$341="","",'CALL SHEET'!$V$341)</f>
        <v/>
      </c>
      <c r="G341">
        <f>IF('CALL SHEET'!$D$341="","",'CALL SHEET'!$D$341)</f>
        <v/>
      </c>
      <c r="H341">
        <f>IF('CALL SHEET'!$G$341="","",'CALL SHEET'!$G$341)</f>
        <v/>
      </c>
      <c r="I341">
        <f>IF('CALL SHEET'!$AT$341="","",'CALL SHEET'!$AT$341)</f>
        <v/>
      </c>
      <c r="J341">
        <f>IF('CALL SHEET'!$AX$341="","",'CALL SHEET'!$AX$341)</f>
        <v/>
      </c>
      <c r="K341">
        <f>IF('CALL SHEET'!$N$341="","",'CALL SHEET'!$N$341)</f>
        <v/>
      </c>
      <c r="L341">
        <f>IF('CALL SHEET'!$AE$341="","",'CALL SHEET'!$AE$341)</f>
        <v/>
      </c>
      <c r="M341" t="inlineStr">
        <is>
          <t>TRADE</t>
        </is>
      </c>
      <c r="N341" t="inlineStr">
        <is>
          <t>CALL SHEET · row 341</t>
        </is>
      </c>
    </row>
    <row r="342">
      <c r="A342">
        <f>IF('CALL SHEET'!$A$342="","",'CALL SHEET'!$A$342)</f>
        <v/>
      </c>
      <c r="B342">
        <f>IF('CALL SHEET'!$C$342="","",'CALL SHEET'!$C$342)</f>
        <v/>
      </c>
      <c r="C342">
        <f>'CALL SHEET'!$U$342</f>
        <v/>
      </c>
      <c r="D342">
        <f>'CALL SHEET'!$Y$342</f>
        <v/>
      </c>
      <c r="E342">
        <f>'CALL SHEET'!$AC$342</f>
        <v/>
      </c>
      <c r="F342">
        <f>IF('CALL SHEET'!$V$342="","",'CALL SHEET'!$V$342)</f>
        <v/>
      </c>
      <c r="G342">
        <f>IF('CALL SHEET'!$D$342="","",'CALL SHEET'!$D$342)</f>
        <v/>
      </c>
      <c r="H342">
        <f>IF('CALL SHEET'!$G$342="","",'CALL SHEET'!$G$342)</f>
        <v/>
      </c>
      <c r="I342">
        <f>IF('CALL SHEET'!$AT$342="","",'CALL SHEET'!$AT$342)</f>
        <v/>
      </c>
      <c r="J342">
        <f>IF('CALL SHEET'!$AX$342="","",'CALL SHEET'!$AX$342)</f>
        <v/>
      </c>
      <c r="K342">
        <f>IF('CALL SHEET'!$N$342="","",'CALL SHEET'!$N$342)</f>
        <v/>
      </c>
      <c r="L342">
        <f>IF('CALL SHEET'!$AE$342="","",'CALL SHEET'!$AE$342)</f>
        <v/>
      </c>
      <c r="M342" t="inlineStr">
        <is>
          <t>TRADE</t>
        </is>
      </c>
      <c r="N342" t="inlineStr">
        <is>
          <t>CALL SHEET · row 342</t>
        </is>
      </c>
    </row>
    <row r="343">
      <c r="A343">
        <f>IF('CALL SHEET'!$A$343="","",'CALL SHEET'!$A$343)</f>
        <v/>
      </c>
      <c r="B343">
        <f>IF('CALL SHEET'!$C$343="","",'CALL SHEET'!$C$343)</f>
        <v/>
      </c>
      <c r="C343">
        <f>'CALL SHEET'!$U$343</f>
        <v/>
      </c>
      <c r="D343">
        <f>'CALL SHEET'!$Y$343</f>
        <v/>
      </c>
      <c r="E343">
        <f>'CALL SHEET'!$AC$343</f>
        <v/>
      </c>
      <c r="F343">
        <f>IF('CALL SHEET'!$V$343="","",'CALL SHEET'!$V$343)</f>
        <v/>
      </c>
      <c r="G343">
        <f>IF('CALL SHEET'!$D$343="","",'CALL SHEET'!$D$343)</f>
        <v/>
      </c>
      <c r="H343">
        <f>IF('CALL SHEET'!$G$343="","",'CALL SHEET'!$G$343)</f>
        <v/>
      </c>
      <c r="I343">
        <f>IF('CALL SHEET'!$AT$343="","",'CALL SHEET'!$AT$343)</f>
        <v/>
      </c>
      <c r="J343">
        <f>IF('CALL SHEET'!$AX$343="","",'CALL SHEET'!$AX$343)</f>
        <v/>
      </c>
      <c r="K343">
        <f>IF('CALL SHEET'!$N$343="","",'CALL SHEET'!$N$343)</f>
        <v/>
      </c>
      <c r="L343">
        <f>IF('CALL SHEET'!$AE$343="","",'CALL SHEET'!$AE$343)</f>
        <v/>
      </c>
      <c r="M343" t="inlineStr">
        <is>
          <t>TRADE</t>
        </is>
      </c>
      <c r="N343" t="inlineStr">
        <is>
          <t>CALL SHEET · row 343</t>
        </is>
      </c>
    </row>
    <row r="344">
      <c r="A344">
        <f>IF('CALL SHEET'!$A$344="","",'CALL SHEET'!$A$344)</f>
        <v/>
      </c>
      <c r="B344">
        <f>IF('CALL SHEET'!$C$344="","",'CALL SHEET'!$C$344)</f>
        <v/>
      </c>
      <c r="C344">
        <f>'CALL SHEET'!$U$344</f>
        <v/>
      </c>
      <c r="D344">
        <f>'CALL SHEET'!$Y$344</f>
        <v/>
      </c>
      <c r="E344">
        <f>'CALL SHEET'!$AC$344</f>
        <v/>
      </c>
      <c r="F344">
        <f>IF('CALL SHEET'!$V$344="","",'CALL SHEET'!$V$344)</f>
        <v/>
      </c>
      <c r="G344">
        <f>IF('CALL SHEET'!$D$344="","",'CALL SHEET'!$D$344)</f>
        <v/>
      </c>
      <c r="H344">
        <f>IF('CALL SHEET'!$G$344="","",'CALL SHEET'!$G$344)</f>
        <v/>
      </c>
      <c r="I344">
        <f>IF('CALL SHEET'!$AT$344="","",'CALL SHEET'!$AT$344)</f>
        <v/>
      </c>
      <c r="J344">
        <f>IF('CALL SHEET'!$AX$344="","",'CALL SHEET'!$AX$344)</f>
        <v/>
      </c>
      <c r="K344">
        <f>IF('CALL SHEET'!$N$344="","",'CALL SHEET'!$N$344)</f>
        <v/>
      </c>
      <c r="L344">
        <f>IF('CALL SHEET'!$AE$344="","",'CALL SHEET'!$AE$344)</f>
        <v/>
      </c>
      <c r="M344" t="inlineStr">
        <is>
          <t>TRADE</t>
        </is>
      </c>
      <c r="N344" t="inlineStr">
        <is>
          <t>CALL SHEET · row 344</t>
        </is>
      </c>
    </row>
    <row r="345">
      <c r="A345">
        <f>IF('CALL SHEET'!$A$345="","",'CALL SHEET'!$A$345)</f>
        <v/>
      </c>
      <c r="B345">
        <f>IF('CALL SHEET'!$C$345="","",'CALL SHEET'!$C$345)</f>
        <v/>
      </c>
      <c r="C345">
        <f>'CALL SHEET'!$U$345</f>
        <v/>
      </c>
      <c r="D345">
        <f>'CALL SHEET'!$Y$345</f>
        <v/>
      </c>
      <c r="E345">
        <f>'CALL SHEET'!$AC$345</f>
        <v/>
      </c>
      <c r="F345">
        <f>IF('CALL SHEET'!$V$345="","",'CALL SHEET'!$V$345)</f>
        <v/>
      </c>
      <c r="G345">
        <f>IF('CALL SHEET'!$D$345="","",'CALL SHEET'!$D$345)</f>
        <v/>
      </c>
      <c r="H345">
        <f>IF('CALL SHEET'!$G$345="","",'CALL SHEET'!$G$345)</f>
        <v/>
      </c>
      <c r="I345">
        <f>IF('CALL SHEET'!$AT$345="","",'CALL SHEET'!$AT$345)</f>
        <v/>
      </c>
      <c r="J345">
        <f>IF('CALL SHEET'!$AX$345="","",'CALL SHEET'!$AX$345)</f>
        <v/>
      </c>
      <c r="K345">
        <f>IF('CALL SHEET'!$N$345="","",'CALL SHEET'!$N$345)</f>
        <v/>
      </c>
      <c r="L345">
        <f>IF('CALL SHEET'!$AE$345="","",'CALL SHEET'!$AE$345)</f>
        <v/>
      </c>
      <c r="M345" t="inlineStr">
        <is>
          <t>TRADE</t>
        </is>
      </c>
      <c r="N345" t="inlineStr">
        <is>
          <t>CALL SHEET · row 345</t>
        </is>
      </c>
    </row>
    <row r="346">
      <c r="A346">
        <f>IF('CALL SHEET'!$A$346="","",'CALL SHEET'!$A$346)</f>
        <v/>
      </c>
      <c r="B346">
        <f>IF('CALL SHEET'!$C$346="","",'CALL SHEET'!$C$346)</f>
        <v/>
      </c>
      <c r="C346">
        <f>'CALL SHEET'!$U$346</f>
        <v/>
      </c>
      <c r="D346">
        <f>'CALL SHEET'!$Y$346</f>
        <v/>
      </c>
      <c r="E346">
        <f>'CALL SHEET'!$AC$346</f>
        <v/>
      </c>
      <c r="F346">
        <f>IF('CALL SHEET'!$V$346="","",'CALL SHEET'!$V$346)</f>
        <v/>
      </c>
      <c r="G346">
        <f>IF('CALL SHEET'!$D$346="","",'CALL SHEET'!$D$346)</f>
        <v/>
      </c>
      <c r="H346">
        <f>IF('CALL SHEET'!$G$346="","",'CALL SHEET'!$G$346)</f>
        <v/>
      </c>
      <c r="I346">
        <f>IF('CALL SHEET'!$AT$346="","",'CALL SHEET'!$AT$346)</f>
        <v/>
      </c>
      <c r="J346">
        <f>IF('CALL SHEET'!$AX$346="","",'CALL SHEET'!$AX$346)</f>
        <v/>
      </c>
      <c r="K346">
        <f>IF('CALL SHEET'!$N$346="","",'CALL SHEET'!$N$346)</f>
        <v/>
      </c>
      <c r="L346">
        <f>IF('CALL SHEET'!$AE$346="","",'CALL SHEET'!$AE$346)</f>
        <v/>
      </c>
      <c r="M346" t="inlineStr">
        <is>
          <t>TRADE</t>
        </is>
      </c>
      <c r="N346" t="inlineStr">
        <is>
          <t>CALL SHEET · row 346</t>
        </is>
      </c>
    </row>
    <row r="347">
      <c r="A347">
        <f>IF('CALL SHEET'!$A$347="","",'CALL SHEET'!$A$347)</f>
        <v/>
      </c>
      <c r="B347">
        <f>IF('CALL SHEET'!$C$347="","",'CALL SHEET'!$C$347)</f>
        <v/>
      </c>
      <c r="C347">
        <f>'CALL SHEET'!$U$347</f>
        <v/>
      </c>
      <c r="D347">
        <f>'CALL SHEET'!$Y$347</f>
        <v/>
      </c>
      <c r="E347">
        <f>'CALL SHEET'!$AC$347</f>
        <v/>
      </c>
      <c r="F347">
        <f>IF('CALL SHEET'!$V$347="","",'CALL SHEET'!$V$347)</f>
        <v/>
      </c>
      <c r="G347">
        <f>IF('CALL SHEET'!$D$347="","",'CALL SHEET'!$D$347)</f>
        <v/>
      </c>
      <c r="H347">
        <f>IF('CALL SHEET'!$G$347="","",'CALL SHEET'!$G$347)</f>
        <v/>
      </c>
      <c r="I347">
        <f>IF('CALL SHEET'!$AT$347="","",'CALL SHEET'!$AT$347)</f>
        <v/>
      </c>
      <c r="J347">
        <f>IF('CALL SHEET'!$AX$347="","",'CALL SHEET'!$AX$347)</f>
        <v/>
      </c>
      <c r="K347">
        <f>IF('CALL SHEET'!$N$347="","",'CALL SHEET'!$N$347)</f>
        <v/>
      </c>
      <c r="L347">
        <f>IF('CALL SHEET'!$AE$347="","",'CALL SHEET'!$AE$347)</f>
        <v/>
      </c>
      <c r="M347" t="inlineStr">
        <is>
          <t>TRADE</t>
        </is>
      </c>
      <c r="N347" t="inlineStr">
        <is>
          <t>CALL SHEET · row 347</t>
        </is>
      </c>
    </row>
    <row r="348">
      <c r="A348">
        <f>IF('CALL SHEET'!$A$348="","",'CALL SHEET'!$A$348)</f>
        <v/>
      </c>
      <c r="B348">
        <f>IF('CALL SHEET'!$C$348="","",'CALL SHEET'!$C$348)</f>
        <v/>
      </c>
      <c r="C348">
        <f>'CALL SHEET'!$U$348</f>
        <v/>
      </c>
      <c r="D348">
        <f>'CALL SHEET'!$Y$348</f>
        <v/>
      </c>
      <c r="E348">
        <f>'CALL SHEET'!$AC$348</f>
        <v/>
      </c>
      <c r="F348">
        <f>IF('CALL SHEET'!$V$348="","",'CALL SHEET'!$V$348)</f>
        <v/>
      </c>
      <c r="G348">
        <f>IF('CALL SHEET'!$D$348="","",'CALL SHEET'!$D$348)</f>
        <v/>
      </c>
      <c r="H348">
        <f>IF('CALL SHEET'!$G$348="","",'CALL SHEET'!$G$348)</f>
        <v/>
      </c>
      <c r="I348">
        <f>IF('CALL SHEET'!$AT$348="","",'CALL SHEET'!$AT$348)</f>
        <v/>
      </c>
      <c r="J348">
        <f>IF('CALL SHEET'!$AX$348="","",'CALL SHEET'!$AX$348)</f>
        <v/>
      </c>
      <c r="K348">
        <f>IF('CALL SHEET'!$N$348="","",'CALL SHEET'!$N$348)</f>
        <v/>
      </c>
      <c r="L348">
        <f>IF('CALL SHEET'!$AE$348="","",'CALL SHEET'!$AE$348)</f>
        <v/>
      </c>
      <c r="M348" t="inlineStr">
        <is>
          <t>TRADE</t>
        </is>
      </c>
      <c r="N348" t="inlineStr">
        <is>
          <t>CALL SHEET · row 348</t>
        </is>
      </c>
    </row>
    <row r="349">
      <c r="A349">
        <f>IF('CALL SHEET'!$A$349="","",'CALL SHEET'!$A$349)</f>
        <v/>
      </c>
      <c r="B349">
        <f>IF('CALL SHEET'!$C$349="","",'CALL SHEET'!$C$349)</f>
        <v/>
      </c>
      <c r="C349">
        <f>'CALL SHEET'!$U$349</f>
        <v/>
      </c>
      <c r="D349">
        <f>'CALL SHEET'!$Y$349</f>
        <v/>
      </c>
      <c r="E349">
        <f>'CALL SHEET'!$AC$349</f>
        <v/>
      </c>
      <c r="F349">
        <f>IF('CALL SHEET'!$V$349="","",'CALL SHEET'!$V$349)</f>
        <v/>
      </c>
      <c r="G349">
        <f>IF('CALL SHEET'!$D$349="","",'CALL SHEET'!$D$349)</f>
        <v/>
      </c>
      <c r="H349">
        <f>IF('CALL SHEET'!$G$349="","",'CALL SHEET'!$G$349)</f>
        <v/>
      </c>
      <c r="I349">
        <f>IF('CALL SHEET'!$AT$349="","",'CALL SHEET'!$AT$349)</f>
        <v/>
      </c>
      <c r="J349">
        <f>IF('CALL SHEET'!$AX$349="","",'CALL SHEET'!$AX$349)</f>
        <v/>
      </c>
      <c r="K349">
        <f>IF('CALL SHEET'!$N$349="","",'CALL SHEET'!$N$349)</f>
        <v/>
      </c>
      <c r="L349">
        <f>IF('CALL SHEET'!$AE$349="","",'CALL SHEET'!$AE$349)</f>
        <v/>
      </c>
      <c r="M349" t="inlineStr">
        <is>
          <t>TRADE</t>
        </is>
      </c>
      <c r="N349" t="inlineStr">
        <is>
          <t>CALL SHEET · row 349</t>
        </is>
      </c>
    </row>
    <row r="350">
      <c r="A350">
        <f>IF('CALL SHEET'!$A$350="","",'CALL SHEET'!$A$350)</f>
        <v/>
      </c>
      <c r="B350">
        <f>IF('CALL SHEET'!$C$350="","",'CALL SHEET'!$C$350)</f>
        <v/>
      </c>
      <c r="C350">
        <f>'CALL SHEET'!$U$350</f>
        <v/>
      </c>
      <c r="D350">
        <f>'CALL SHEET'!$Y$350</f>
        <v/>
      </c>
      <c r="E350">
        <f>'CALL SHEET'!$AC$350</f>
        <v/>
      </c>
      <c r="F350">
        <f>IF('CALL SHEET'!$V$350="","",'CALL SHEET'!$V$350)</f>
        <v/>
      </c>
      <c r="G350">
        <f>IF('CALL SHEET'!$D$350="","",'CALL SHEET'!$D$350)</f>
        <v/>
      </c>
      <c r="H350">
        <f>IF('CALL SHEET'!$G$350="","",'CALL SHEET'!$G$350)</f>
        <v/>
      </c>
      <c r="I350">
        <f>IF('CALL SHEET'!$AT$350="","",'CALL SHEET'!$AT$350)</f>
        <v/>
      </c>
      <c r="J350">
        <f>IF('CALL SHEET'!$AX$350="","",'CALL SHEET'!$AX$350)</f>
        <v/>
      </c>
      <c r="K350">
        <f>IF('CALL SHEET'!$N$350="","",'CALL SHEET'!$N$350)</f>
        <v/>
      </c>
      <c r="L350">
        <f>IF('CALL SHEET'!$AE$350="","",'CALL SHEET'!$AE$350)</f>
        <v/>
      </c>
      <c r="M350" t="inlineStr">
        <is>
          <t>TRADE</t>
        </is>
      </c>
      <c r="N350" t="inlineStr">
        <is>
          <t>CALL SHEET · row 350</t>
        </is>
      </c>
    </row>
    <row r="351">
      <c r="A351">
        <f>IF('CALL SHEET'!$A$351="","",'CALL SHEET'!$A$351)</f>
        <v/>
      </c>
      <c r="B351">
        <f>IF('CALL SHEET'!$C$351="","",'CALL SHEET'!$C$351)</f>
        <v/>
      </c>
      <c r="C351">
        <f>'CALL SHEET'!$U$351</f>
        <v/>
      </c>
      <c r="D351">
        <f>'CALL SHEET'!$Y$351</f>
        <v/>
      </c>
      <c r="E351">
        <f>'CALL SHEET'!$AC$351</f>
        <v/>
      </c>
      <c r="F351">
        <f>IF('CALL SHEET'!$V$351="","",'CALL SHEET'!$V$351)</f>
        <v/>
      </c>
      <c r="G351">
        <f>IF('CALL SHEET'!$D$351="","",'CALL SHEET'!$D$351)</f>
        <v/>
      </c>
      <c r="H351">
        <f>IF('CALL SHEET'!$G$351="","",'CALL SHEET'!$G$351)</f>
        <v/>
      </c>
      <c r="I351">
        <f>IF('CALL SHEET'!$AT$351="","",'CALL SHEET'!$AT$351)</f>
        <v/>
      </c>
      <c r="J351">
        <f>IF('CALL SHEET'!$AX$351="","",'CALL SHEET'!$AX$351)</f>
        <v/>
      </c>
      <c r="K351">
        <f>IF('CALL SHEET'!$N$351="","",'CALL SHEET'!$N$351)</f>
        <v/>
      </c>
      <c r="L351">
        <f>IF('CALL SHEET'!$AE$351="","",'CALL SHEET'!$AE$351)</f>
        <v/>
      </c>
      <c r="M351" t="inlineStr">
        <is>
          <t>TRADE</t>
        </is>
      </c>
      <c r="N351" t="inlineStr">
        <is>
          <t>CALL SHEET · row 351</t>
        </is>
      </c>
    </row>
    <row r="352">
      <c r="A352">
        <f>IF('CALL SHEET'!$A$352="","",'CALL SHEET'!$A$352)</f>
        <v/>
      </c>
      <c r="B352">
        <f>IF('CALL SHEET'!$C$352="","",'CALL SHEET'!$C$352)</f>
        <v/>
      </c>
      <c r="C352">
        <f>'CALL SHEET'!$U$352</f>
        <v/>
      </c>
      <c r="D352">
        <f>'CALL SHEET'!$Y$352</f>
        <v/>
      </c>
      <c r="E352">
        <f>'CALL SHEET'!$AC$352</f>
        <v/>
      </c>
      <c r="F352">
        <f>IF('CALL SHEET'!$V$352="","",'CALL SHEET'!$V$352)</f>
        <v/>
      </c>
      <c r="G352">
        <f>IF('CALL SHEET'!$D$352="","",'CALL SHEET'!$D$352)</f>
        <v/>
      </c>
      <c r="H352">
        <f>IF('CALL SHEET'!$G$352="","",'CALL SHEET'!$G$352)</f>
        <v/>
      </c>
      <c r="I352">
        <f>IF('CALL SHEET'!$AT$352="","",'CALL SHEET'!$AT$352)</f>
        <v/>
      </c>
      <c r="J352">
        <f>IF('CALL SHEET'!$AX$352="","",'CALL SHEET'!$AX$352)</f>
        <v/>
      </c>
      <c r="K352">
        <f>IF('CALL SHEET'!$N$352="","",'CALL SHEET'!$N$352)</f>
        <v/>
      </c>
      <c r="L352">
        <f>IF('CALL SHEET'!$AE$352="","",'CALL SHEET'!$AE$352)</f>
        <v/>
      </c>
      <c r="M352" t="inlineStr">
        <is>
          <t>TRADE</t>
        </is>
      </c>
      <c r="N352" t="inlineStr">
        <is>
          <t>CALL SHEET · row 352</t>
        </is>
      </c>
    </row>
    <row r="353">
      <c r="A353">
        <f>IF('CALL SHEET'!$A$353="","",'CALL SHEET'!$A$353)</f>
        <v/>
      </c>
      <c r="B353">
        <f>IF('CALL SHEET'!$C$353="","",'CALL SHEET'!$C$353)</f>
        <v/>
      </c>
      <c r="C353">
        <f>'CALL SHEET'!$U$353</f>
        <v/>
      </c>
      <c r="D353">
        <f>'CALL SHEET'!$Y$353</f>
        <v/>
      </c>
      <c r="E353">
        <f>'CALL SHEET'!$AC$353</f>
        <v/>
      </c>
      <c r="F353">
        <f>IF('CALL SHEET'!$V$353="","",'CALL SHEET'!$V$353)</f>
        <v/>
      </c>
      <c r="G353">
        <f>IF('CALL SHEET'!$D$353="","",'CALL SHEET'!$D$353)</f>
        <v/>
      </c>
      <c r="H353">
        <f>IF('CALL SHEET'!$G$353="","",'CALL SHEET'!$G$353)</f>
        <v/>
      </c>
      <c r="I353">
        <f>IF('CALL SHEET'!$AT$353="","",'CALL SHEET'!$AT$353)</f>
        <v/>
      </c>
      <c r="J353">
        <f>IF('CALL SHEET'!$AX$353="","",'CALL SHEET'!$AX$353)</f>
        <v/>
      </c>
      <c r="K353">
        <f>IF('CALL SHEET'!$N$353="","",'CALL SHEET'!$N$353)</f>
        <v/>
      </c>
      <c r="L353">
        <f>IF('CALL SHEET'!$AE$353="","",'CALL SHEET'!$AE$353)</f>
        <v/>
      </c>
      <c r="M353" t="inlineStr">
        <is>
          <t>TRADE</t>
        </is>
      </c>
      <c r="N353" t="inlineStr">
        <is>
          <t>CALL SHEET · row 353</t>
        </is>
      </c>
    </row>
    <row r="354">
      <c r="A354">
        <f>IF('CALL SHEET'!$A$354="","",'CALL SHEET'!$A$354)</f>
        <v/>
      </c>
      <c r="B354">
        <f>IF('CALL SHEET'!$C$354="","",'CALL SHEET'!$C$354)</f>
        <v/>
      </c>
      <c r="C354">
        <f>'CALL SHEET'!$U$354</f>
        <v/>
      </c>
      <c r="D354">
        <f>'CALL SHEET'!$Y$354</f>
        <v/>
      </c>
      <c r="E354">
        <f>'CALL SHEET'!$AC$354</f>
        <v/>
      </c>
      <c r="F354">
        <f>IF('CALL SHEET'!$V$354="","",'CALL SHEET'!$V$354)</f>
        <v/>
      </c>
      <c r="G354">
        <f>IF('CALL SHEET'!$D$354="","",'CALL SHEET'!$D$354)</f>
        <v/>
      </c>
      <c r="H354">
        <f>IF('CALL SHEET'!$G$354="","",'CALL SHEET'!$G$354)</f>
        <v/>
      </c>
      <c r="I354">
        <f>IF('CALL SHEET'!$AT$354="","",'CALL SHEET'!$AT$354)</f>
        <v/>
      </c>
      <c r="J354">
        <f>IF('CALL SHEET'!$AX$354="","",'CALL SHEET'!$AX$354)</f>
        <v/>
      </c>
      <c r="K354">
        <f>IF('CALL SHEET'!$N$354="","",'CALL SHEET'!$N$354)</f>
        <v/>
      </c>
      <c r="L354">
        <f>IF('CALL SHEET'!$AE$354="","",'CALL SHEET'!$AE$354)</f>
        <v/>
      </c>
      <c r="M354" t="inlineStr">
        <is>
          <t>TRADE</t>
        </is>
      </c>
      <c r="N354" t="inlineStr">
        <is>
          <t>CALL SHEET · row 354</t>
        </is>
      </c>
    </row>
    <row r="355">
      <c r="A355">
        <f>IF('CALL SHEET'!$A$355="","",'CALL SHEET'!$A$355)</f>
        <v/>
      </c>
      <c r="B355">
        <f>IF('CALL SHEET'!$C$355="","",'CALL SHEET'!$C$355)</f>
        <v/>
      </c>
      <c r="C355">
        <f>'CALL SHEET'!$U$355</f>
        <v/>
      </c>
      <c r="D355">
        <f>'CALL SHEET'!$Y$355</f>
        <v/>
      </c>
      <c r="E355">
        <f>'CALL SHEET'!$AC$355</f>
        <v/>
      </c>
      <c r="F355">
        <f>IF('CALL SHEET'!$V$355="","",'CALL SHEET'!$V$355)</f>
        <v/>
      </c>
      <c r="G355">
        <f>IF('CALL SHEET'!$D$355="","",'CALL SHEET'!$D$355)</f>
        <v/>
      </c>
      <c r="H355">
        <f>IF('CALL SHEET'!$G$355="","",'CALL SHEET'!$G$355)</f>
        <v/>
      </c>
      <c r="I355">
        <f>IF('CALL SHEET'!$AT$355="","",'CALL SHEET'!$AT$355)</f>
        <v/>
      </c>
      <c r="J355">
        <f>IF('CALL SHEET'!$AX$355="","",'CALL SHEET'!$AX$355)</f>
        <v/>
      </c>
      <c r="K355">
        <f>IF('CALL SHEET'!$N$355="","",'CALL SHEET'!$N$355)</f>
        <v/>
      </c>
      <c r="L355">
        <f>IF('CALL SHEET'!$AE$355="","",'CALL SHEET'!$AE$355)</f>
        <v/>
      </c>
      <c r="M355" t="inlineStr">
        <is>
          <t>TRADE</t>
        </is>
      </c>
      <c r="N355" t="inlineStr">
        <is>
          <t>CALL SHEET · row 355</t>
        </is>
      </c>
    </row>
    <row r="356">
      <c r="A356">
        <f>IF('CALL SHEET'!$A$356="","",'CALL SHEET'!$A$356)</f>
        <v/>
      </c>
      <c r="B356">
        <f>IF('CALL SHEET'!$C$356="","",'CALL SHEET'!$C$356)</f>
        <v/>
      </c>
      <c r="C356">
        <f>'CALL SHEET'!$U$356</f>
        <v/>
      </c>
      <c r="D356">
        <f>'CALL SHEET'!$Y$356</f>
        <v/>
      </c>
      <c r="E356">
        <f>'CALL SHEET'!$AC$356</f>
        <v/>
      </c>
      <c r="F356">
        <f>IF('CALL SHEET'!$V$356="","",'CALL SHEET'!$V$356)</f>
        <v/>
      </c>
      <c r="G356">
        <f>IF('CALL SHEET'!$D$356="","",'CALL SHEET'!$D$356)</f>
        <v/>
      </c>
      <c r="H356">
        <f>IF('CALL SHEET'!$G$356="","",'CALL SHEET'!$G$356)</f>
        <v/>
      </c>
      <c r="I356">
        <f>IF('CALL SHEET'!$AT$356="","",'CALL SHEET'!$AT$356)</f>
        <v/>
      </c>
      <c r="J356">
        <f>IF('CALL SHEET'!$AX$356="","",'CALL SHEET'!$AX$356)</f>
        <v/>
      </c>
      <c r="K356">
        <f>IF('CALL SHEET'!$N$356="","",'CALL SHEET'!$N$356)</f>
        <v/>
      </c>
      <c r="L356">
        <f>IF('CALL SHEET'!$AE$356="","",'CALL SHEET'!$AE$356)</f>
        <v/>
      </c>
      <c r="M356" t="inlineStr">
        <is>
          <t>TRADE</t>
        </is>
      </c>
      <c r="N356" t="inlineStr">
        <is>
          <t>CALL SHEET · row 356</t>
        </is>
      </c>
    </row>
    <row r="357">
      <c r="A357">
        <f>IF('CALL SHEET'!$A$357="","",'CALL SHEET'!$A$357)</f>
        <v/>
      </c>
      <c r="B357">
        <f>IF('CALL SHEET'!$C$357="","",'CALL SHEET'!$C$357)</f>
        <v/>
      </c>
      <c r="C357">
        <f>'CALL SHEET'!$U$357</f>
        <v/>
      </c>
      <c r="D357">
        <f>'CALL SHEET'!$Y$357</f>
        <v/>
      </c>
      <c r="E357">
        <f>'CALL SHEET'!$AC$357</f>
        <v/>
      </c>
      <c r="F357">
        <f>IF('CALL SHEET'!$V$357="","",'CALL SHEET'!$V$357)</f>
        <v/>
      </c>
      <c r="G357">
        <f>IF('CALL SHEET'!$D$357="","",'CALL SHEET'!$D$357)</f>
        <v/>
      </c>
      <c r="H357">
        <f>IF('CALL SHEET'!$G$357="","",'CALL SHEET'!$G$357)</f>
        <v/>
      </c>
      <c r="I357">
        <f>IF('CALL SHEET'!$AT$357="","",'CALL SHEET'!$AT$357)</f>
        <v/>
      </c>
      <c r="J357">
        <f>IF('CALL SHEET'!$AX$357="","",'CALL SHEET'!$AX$357)</f>
        <v/>
      </c>
      <c r="K357">
        <f>IF('CALL SHEET'!$N$357="","",'CALL SHEET'!$N$357)</f>
        <v/>
      </c>
      <c r="L357">
        <f>IF('CALL SHEET'!$AE$357="","",'CALL SHEET'!$AE$357)</f>
        <v/>
      </c>
      <c r="M357" t="inlineStr">
        <is>
          <t>TRADE</t>
        </is>
      </c>
      <c r="N357" t="inlineStr">
        <is>
          <t>CALL SHEET · row 357</t>
        </is>
      </c>
    </row>
    <row r="358">
      <c r="A358">
        <f>IF('CALL SHEET'!$A$358="","",'CALL SHEET'!$A$358)</f>
        <v/>
      </c>
      <c r="B358">
        <f>IF('CALL SHEET'!$C$358="","",'CALL SHEET'!$C$358)</f>
        <v/>
      </c>
      <c r="C358">
        <f>'CALL SHEET'!$U$358</f>
        <v/>
      </c>
      <c r="D358">
        <f>'CALL SHEET'!$Y$358</f>
        <v/>
      </c>
      <c r="E358">
        <f>'CALL SHEET'!$AC$358</f>
        <v/>
      </c>
      <c r="F358">
        <f>IF('CALL SHEET'!$V$358="","",'CALL SHEET'!$V$358)</f>
        <v/>
      </c>
      <c r="G358">
        <f>IF('CALL SHEET'!$D$358="","",'CALL SHEET'!$D$358)</f>
        <v/>
      </c>
      <c r="H358">
        <f>IF('CALL SHEET'!$G$358="","",'CALL SHEET'!$G$358)</f>
        <v/>
      </c>
      <c r="I358">
        <f>IF('CALL SHEET'!$AT$358="","",'CALL SHEET'!$AT$358)</f>
        <v/>
      </c>
      <c r="J358">
        <f>IF('CALL SHEET'!$AX$358="","",'CALL SHEET'!$AX$358)</f>
        <v/>
      </c>
      <c r="K358">
        <f>IF('CALL SHEET'!$N$358="","",'CALL SHEET'!$N$358)</f>
        <v/>
      </c>
      <c r="L358">
        <f>IF('CALL SHEET'!$AE$358="","",'CALL SHEET'!$AE$358)</f>
        <v/>
      </c>
      <c r="M358" t="inlineStr">
        <is>
          <t>TRADE</t>
        </is>
      </c>
      <c r="N358" t="inlineStr">
        <is>
          <t>CALL SHEET · row 358</t>
        </is>
      </c>
    </row>
    <row r="359">
      <c r="A359">
        <f>IF('CALL SHEET'!$A$359="","",'CALL SHEET'!$A$359)</f>
        <v/>
      </c>
      <c r="B359">
        <f>IF('CALL SHEET'!$C$359="","",'CALL SHEET'!$C$359)</f>
        <v/>
      </c>
      <c r="C359">
        <f>'CALL SHEET'!$U$359</f>
        <v/>
      </c>
      <c r="D359">
        <f>'CALL SHEET'!$Y$359</f>
        <v/>
      </c>
      <c r="E359">
        <f>'CALL SHEET'!$AC$359</f>
        <v/>
      </c>
      <c r="F359">
        <f>IF('CALL SHEET'!$V$359="","",'CALL SHEET'!$V$359)</f>
        <v/>
      </c>
      <c r="G359">
        <f>IF('CALL SHEET'!$D$359="","",'CALL SHEET'!$D$359)</f>
        <v/>
      </c>
      <c r="H359">
        <f>IF('CALL SHEET'!$G$359="","",'CALL SHEET'!$G$359)</f>
        <v/>
      </c>
      <c r="I359">
        <f>IF('CALL SHEET'!$AT$359="","",'CALL SHEET'!$AT$359)</f>
        <v/>
      </c>
      <c r="J359">
        <f>IF('CALL SHEET'!$AX$359="","",'CALL SHEET'!$AX$359)</f>
        <v/>
      </c>
      <c r="K359">
        <f>IF('CALL SHEET'!$N$359="","",'CALL SHEET'!$N$359)</f>
        <v/>
      </c>
      <c r="L359">
        <f>IF('CALL SHEET'!$AE$359="","",'CALL SHEET'!$AE$359)</f>
        <v/>
      </c>
      <c r="M359" t="inlineStr">
        <is>
          <t>TRADE</t>
        </is>
      </c>
      <c r="N359" t="inlineStr">
        <is>
          <t>CALL SHEET · row 359</t>
        </is>
      </c>
    </row>
    <row r="360">
      <c r="A360">
        <f>IF('CALL SHEET'!$A$360="","",'CALL SHEET'!$A$360)</f>
        <v/>
      </c>
      <c r="B360">
        <f>IF('CALL SHEET'!$C$360="","",'CALL SHEET'!$C$360)</f>
        <v/>
      </c>
      <c r="C360">
        <f>'CALL SHEET'!$U$360</f>
        <v/>
      </c>
      <c r="D360">
        <f>'CALL SHEET'!$Y$360</f>
        <v/>
      </c>
      <c r="E360">
        <f>'CALL SHEET'!$AC$360</f>
        <v/>
      </c>
      <c r="F360">
        <f>IF('CALL SHEET'!$V$360="","",'CALL SHEET'!$V$360)</f>
        <v/>
      </c>
      <c r="G360">
        <f>IF('CALL SHEET'!$D$360="","",'CALL SHEET'!$D$360)</f>
        <v/>
      </c>
      <c r="H360">
        <f>IF('CALL SHEET'!$G$360="","",'CALL SHEET'!$G$360)</f>
        <v/>
      </c>
      <c r="I360">
        <f>IF('CALL SHEET'!$AT$360="","",'CALL SHEET'!$AT$360)</f>
        <v/>
      </c>
      <c r="J360">
        <f>IF('CALL SHEET'!$AX$360="","",'CALL SHEET'!$AX$360)</f>
        <v/>
      </c>
      <c r="K360">
        <f>IF('CALL SHEET'!$N$360="","",'CALL SHEET'!$N$360)</f>
        <v/>
      </c>
      <c r="L360">
        <f>IF('CALL SHEET'!$AE$360="","",'CALL SHEET'!$AE$360)</f>
        <v/>
      </c>
      <c r="M360" t="inlineStr">
        <is>
          <t>TRADE</t>
        </is>
      </c>
      <c r="N360" t="inlineStr">
        <is>
          <t>CALL SHEET · row 360</t>
        </is>
      </c>
    </row>
    <row r="361">
      <c r="A361">
        <f>IF('CALL SHEET'!$A$361="","",'CALL SHEET'!$A$361)</f>
        <v/>
      </c>
      <c r="B361">
        <f>IF('CALL SHEET'!$C$361="","",'CALL SHEET'!$C$361)</f>
        <v/>
      </c>
      <c r="C361">
        <f>'CALL SHEET'!$U$361</f>
        <v/>
      </c>
      <c r="D361">
        <f>'CALL SHEET'!$Y$361</f>
        <v/>
      </c>
      <c r="E361">
        <f>'CALL SHEET'!$AC$361</f>
        <v/>
      </c>
      <c r="F361">
        <f>IF('CALL SHEET'!$V$361="","",'CALL SHEET'!$V$361)</f>
        <v/>
      </c>
      <c r="G361">
        <f>IF('CALL SHEET'!$D$361="","",'CALL SHEET'!$D$361)</f>
        <v/>
      </c>
      <c r="H361">
        <f>IF('CALL SHEET'!$G$361="","",'CALL SHEET'!$G$361)</f>
        <v/>
      </c>
      <c r="I361">
        <f>IF('CALL SHEET'!$AT$361="","",'CALL SHEET'!$AT$361)</f>
        <v/>
      </c>
      <c r="J361">
        <f>IF('CALL SHEET'!$AX$361="","",'CALL SHEET'!$AX$361)</f>
        <v/>
      </c>
      <c r="K361">
        <f>IF('CALL SHEET'!$N$361="","",'CALL SHEET'!$N$361)</f>
        <v/>
      </c>
      <c r="L361">
        <f>IF('CALL SHEET'!$AE$361="","",'CALL SHEET'!$AE$361)</f>
        <v/>
      </c>
      <c r="M361" t="inlineStr">
        <is>
          <t>TRADE</t>
        </is>
      </c>
      <c r="N361" t="inlineStr">
        <is>
          <t>CALL SHEET · row 361</t>
        </is>
      </c>
    </row>
    <row r="362">
      <c r="A362">
        <f>IF('CALL SHEET'!$A$362="","",'CALL SHEET'!$A$362)</f>
        <v/>
      </c>
      <c r="B362">
        <f>IF('CALL SHEET'!$C$362="","",'CALL SHEET'!$C$362)</f>
        <v/>
      </c>
      <c r="C362">
        <f>'CALL SHEET'!$U$362</f>
        <v/>
      </c>
      <c r="D362">
        <f>'CALL SHEET'!$Y$362</f>
        <v/>
      </c>
      <c r="E362">
        <f>'CALL SHEET'!$AC$362</f>
        <v/>
      </c>
      <c r="F362">
        <f>IF('CALL SHEET'!$V$362="","",'CALL SHEET'!$V$362)</f>
        <v/>
      </c>
      <c r="G362">
        <f>IF('CALL SHEET'!$D$362="","",'CALL SHEET'!$D$362)</f>
        <v/>
      </c>
      <c r="H362">
        <f>IF('CALL SHEET'!$G$362="","",'CALL SHEET'!$G$362)</f>
        <v/>
      </c>
      <c r="I362">
        <f>IF('CALL SHEET'!$AT$362="","",'CALL SHEET'!$AT$362)</f>
        <v/>
      </c>
      <c r="J362">
        <f>IF('CALL SHEET'!$AX$362="","",'CALL SHEET'!$AX$362)</f>
        <v/>
      </c>
      <c r="K362">
        <f>IF('CALL SHEET'!$N$362="","",'CALL SHEET'!$N$362)</f>
        <v/>
      </c>
      <c r="L362">
        <f>IF('CALL SHEET'!$AE$362="","",'CALL SHEET'!$AE$362)</f>
        <v/>
      </c>
      <c r="M362" t="inlineStr">
        <is>
          <t>TRADE</t>
        </is>
      </c>
      <c r="N362" t="inlineStr">
        <is>
          <t>CALL SHEET · row 362</t>
        </is>
      </c>
    </row>
    <row r="363">
      <c r="A363">
        <f>IF('CALL SHEET'!$A$363="","",'CALL SHEET'!$A$363)</f>
        <v/>
      </c>
      <c r="B363">
        <f>IF('CALL SHEET'!$C$363="","",'CALL SHEET'!$C$363)</f>
        <v/>
      </c>
      <c r="C363">
        <f>'CALL SHEET'!$U$363</f>
        <v/>
      </c>
      <c r="D363">
        <f>'CALL SHEET'!$Y$363</f>
        <v/>
      </c>
      <c r="E363">
        <f>'CALL SHEET'!$AC$363</f>
        <v/>
      </c>
      <c r="F363">
        <f>IF('CALL SHEET'!$V$363="","",'CALL SHEET'!$V$363)</f>
        <v/>
      </c>
      <c r="G363">
        <f>IF('CALL SHEET'!$D$363="","",'CALL SHEET'!$D$363)</f>
        <v/>
      </c>
      <c r="H363">
        <f>IF('CALL SHEET'!$G$363="","",'CALL SHEET'!$G$363)</f>
        <v/>
      </c>
      <c r="I363">
        <f>IF('CALL SHEET'!$AT$363="","",'CALL SHEET'!$AT$363)</f>
        <v/>
      </c>
      <c r="J363">
        <f>IF('CALL SHEET'!$AX$363="","",'CALL SHEET'!$AX$363)</f>
        <v/>
      </c>
      <c r="K363">
        <f>IF('CALL SHEET'!$N$363="","",'CALL SHEET'!$N$363)</f>
        <v/>
      </c>
      <c r="L363">
        <f>IF('CALL SHEET'!$AE$363="","",'CALL SHEET'!$AE$363)</f>
        <v/>
      </c>
      <c r="M363" t="inlineStr">
        <is>
          <t>TRADE</t>
        </is>
      </c>
      <c r="N363" t="inlineStr">
        <is>
          <t>CALL SHEET · row 363</t>
        </is>
      </c>
    </row>
    <row r="364">
      <c r="A364">
        <f>IF('CALL SHEET'!$A$364="","",'CALL SHEET'!$A$364)</f>
        <v/>
      </c>
      <c r="B364">
        <f>IF('CALL SHEET'!$C$364="","",'CALL SHEET'!$C$364)</f>
        <v/>
      </c>
      <c r="C364">
        <f>'CALL SHEET'!$U$364</f>
        <v/>
      </c>
      <c r="D364">
        <f>'CALL SHEET'!$Y$364</f>
        <v/>
      </c>
      <c r="E364">
        <f>'CALL SHEET'!$AC$364</f>
        <v/>
      </c>
      <c r="F364">
        <f>IF('CALL SHEET'!$V$364="","",'CALL SHEET'!$V$364)</f>
        <v/>
      </c>
      <c r="G364">
        <f>IF('CALL SHEET'!$D$364="","",'CALL SHEET'!$D$364)</f>
        <v/>
      </c>
      <c r="H364">
        <f>IF('CALL SHEET'!$G$364="","",'CALL SHEET'!$G$364)</f>
        <v/>
      </c>
      <c r="I364">
        <f>IF('CALL SHEET'!$AT$364="","",'CALL SHEET'!$AT$364)</f>
        <v/>
      </c>
      <c r="J364">
        <f>IF('CALL SHEET'!$AX$364="","",'CALL SHEET'!$AX$364)</f>
        <v/>
      </c>
      <c r="K364">
        <f>IF('CALL SHEET'!$N$364="","",'CALL SHEET'!$N$364)</f>
        <v/>
      </c>
      <c r="L364">
        <f>IF('CALL SHEET'!$AE$364="","",'CALL SHEET'!$AE$364)</f>
        <v/>
      </c>
      <c r="M364" t="inlineStr">
        <is>
          <t>TRADE</t>
        </is>
      </c>
      <c r="N364" t="inlineStr">
        <is>
          <t>CALL SHEET · row 364</t>
        </is>
      </c>
    </row>
    <row r="365">
      <c r="A365">
        <f>IF('CALL SHEET'!$A$365="","",'CALL SHEET'!$A$365)</f>
        <v/>
      </c>
      <c r="B365">
        <f>IF('CALL SHEET'!$C$365="","",'CALL SHEET'!$C$365)</f>
        <v/>
      </c>
      <c r="C365">
        <f>'CALL SHEET'!$U$365</f>
        <v/>
      </c>
      <c r="D365">
        <f>'CALL SHEET'!$Y$365</f>
        <v/>
      </c>
      <c r="E365">
        <f>'CALL SHEET'!$AC$365</f>
        <v/>
      </c>
      <c r="F365">
        <f>IF('CALL SHEET'!$V$365="","",'CALL SHEET'!$V$365)</f>
        <v/>
      </c>
      <c r="G365">
        <f>IF('CALL SHEET'!$D$365="","",'CALL SHEET'!$D$365)</f>
        <v/>
      </c>
      <c r="H365">
        <f>IF('CALL SHEET'!$G$365="","",'CALL SHEET'!$G$365)</f>
        <v/>
      </c>
      <c r="I365">
        <f>IF('CALL SHEET'!$AT$365="","",'CALL SHEET'!$AT$365)</f>
        <v/>
      </c>
      <c r="J365">
        <f>IF('CALL SHEET'!$AX$365="","",'CALL SHEET'!$AX$365)</f>
        <v/>
      </c>
      <c r="K365">
        <f>IF('CALL SHEET'!$N$365="","",'CALL SHEET'!$N$365)</f>
        <v/>
      </c>
      <c r="L365">
        <f>IF('CALL SHEET'!$AE$365="","",'CALL SHEET'!$AE$365)</f>
        <v/>
      </c>
      <c r="M365" t="inlineStr">
        <is>
          <t>TRADE</t>
        </is>
      </c>
      <c r="N365" t="inlineStr">
        <is>
          <t>CALL SHEET · row 365</t>
        </is>
      </c>
    </row>
    <row r="366">
      <c r="A366">
        <f>IF('CALL SHEET'!$A$366="","",'CALL SHEET'!$A$366)</f>
        <v/>
      </c>
      <c r="B366">
        <f>IF('CALL SHEET'!$C$366="","",'CALL SHEET'!$C$366)</f>
        <v/>
      </c>
      <c r="C366">
        <f>'CALL SHEET'!$U$366</f>
        <v/>
      </c>
      <c r="D366">
        <f>'CALL SHEET'!$Y$366</f>
        <v/>
      </c>
      <c r="E366">
        <f>'CALL SHEET'!$AC$366</f>
        <v/>
      </c>
      <c r="F366">
        <f>IF('CALL SHEET'!$V$366="","",'CALL SHEET'!$V$366)</f>
        <v/>
      </c>
      <c r="G366">
        <f>IF('CALL SHEET'!$D$366="","",'CALL SHEET'!$D$366)</f>
        <v/>
      </c>
      <c r="H366">
        <f>IF('CALL SHEET'!$G$366="","",'CALL SHEET'!$G$366)</f>
        <v/>
      </c>
      <c r="I366">
        <f>IF('CALL SHEET'!$AT$366="","",'CALL SHEET'!$AT$366)</f>
        <v/>
      </c>
      <c r="J366">
        <f>IF('CALL SHEET'!$AX$366="","",'CALL SHEET'!$AX$366)</f>
        <v/>
      </c>
      <c r="K366">
        <f>IF('CALL SHEET'!$N$366="","",'CALL SHEET'!$N$366)</f>
        <v/>
      </c>
      <c r="L366">
        <f>IF('CALL SHEET'!$AE$366="","",'CALL SHEET'!$AE$366)</f>
        <v/>
      </c>
      <c r="M366" t="inlineStr">
        <is>
          <t>TRADE</t>
        </is>
      </c>
      <c r="N366" t="inlineStr">
        <is>
          <t>CALL SHEET · row 366</t>
        </is>
      </c>
    </row>
    <row r="367">
      <c r="A367">
        <f>IF('CALL SHEET'!$A$367="","",'CALL SHEET'!$A$367)</f>
        <v/>
      </c>
      <c r="B367">
        <f>IF('CALL SHEET'!$C$367="","",'CALL SHEET'!$C$367)</f>
        <v/>
      </c>
      <c r="C367">
        <f>'CALL SHEET'!$U$367</f>
        <v/>
      </c>
      <c r="D367">
        <f>'CALL SHEET'!$Y$367</f>
        <v/>
      </c>
      <c r="E367">
        <f>'CALL SHEET'!$AC$367</f>
        <v/>
      </c>
      <c r="F367">
        <f>IF('CALL SHEET'!$V$367="","",'CALL SHEET'!$V$367)</f>
        <v/>
      </c>
      <c r="G367">
        <f>IF('CALL SHEET'!$D$367="","",'CALL SHEET'!$D$367)</f>
        <v/>
      </c>
      <c r="H367">
        <f>IF('CALL SHEET'!$G$367="","",'CALL SHEET'!$G$367)</f>
        <v/>
      </c>
      <c r="I367">
        <f>IF('CALL SHEET'!$AT$367="","",'CALL SHEET'!$AT$367)</f>
        <v/>
      </c>
      <c r="J367">
        <f>IF('CALL SHEET'!$AX$367="","",'CALL SHEET'!$AX$367)</f>
        <v/>
      </c>
      <c r="K367">
        <f>IF('CALL SHEET'!$N$367="","",'CALL SHEET'!$N$367)</f>
        <v/>
      </c>
      <c r="L367">
        <f>IF('CALL SHEET'!$AE$367="","",'CALL SHEET'!$AE$367)</f>
        <v/>
      </c>
      <c r="M367" t="inlineStr">
        <is>
          <t>TRADE</t>
        </is>
      </c>
      <c r="N367" t="inlineStr">
        <is>
          <t>CALL SHEET · row 367</t>
        </is>
      </c>
    </row>
    <row r="368">
      <c r="A368">
        <f>IF('CALL SHEET'!$A$368="","",'CALL SHEET'!$A$368)</f>
        <v/>
      </c>
      <c r="B368">
        <f>IF('CALL SHEET'!$C$368="","",'CALL SHEET'!$C$368)</f>
        <v/>
      </c>
      <c r="C368">
        <f>'CALL SHEET'!$U$368</f>
        <v/>
      </c>
      <c r="D368">
        <f>'CALL SHEET'!$Y$368</f>
        <v/>
      </c>
      <c r="E368">
        <f>'CALL SHEET'!$AC$368</f>
        <v/>
      </c>
      <c r="F368">
        <f>IF('CALL SHEET'!$V$368="","",'CALL SHEET'!$V$368)</f>
        <v/>
      </c>
      <c r="G368">
        <f>IF('CALL SHEET'!$D$368="","",'CALL SHEET'!$D$368)</f>
        <v/>
      </c>
      <c r="H368">
        <f>IF('CALL SHEET'!$G$368="","",'CALL SHEET'!$G$368)</f>
        <v/>
      </c>
      <c r="I368">
        <f>IF('CALL SHEET'!$AT$368="","",'CALL SHEET'!$AT$368)</f>
        <v/>
      </c>
      <c r="J368">
        <f>IF('CALL SHEET'!$AX$368="","",'CALL SHEET'!$AX$368)</f>
        <v/>
      </c>
      <c r="K368">
        <f>IF('CALL SHEET'!$N$368="","",'CALL SHEET'!$N$368)</f>
        <v/>
      </c>
      <c r="L368">
        <f>IF('CALL SHEET'!$AE$368="","",'CALL SHEET'!$AE$368)</f>
        <v/>
      </c>
      <c r="M368" t="inlineStr">
        <is>
          <t>TRADE</t>
        </is>
      </c>
      <c r="N368" t="inlineStr">
        <is>
          <t>CALL SHEET · row 368</t>
        </is>
      </c>
    </row>
    <row r="369">
      <c r="A369">
        <f>IF('CALL SHEET'!$A$369="","",'CALL SHEET'!$A$369)</f>
        <v/>
      </c>
      <c r="B369">
        <f>IF('CALL SHEET'!$C$369="","",'CALL SHEET'!$C$369)</f>
        <v/>
      </c>
      <c r="C369">
        <f>'CALL SHEET'!$U$369</f>
        <v/>
      </c>
      <c r="D369">
        <f>'CALL SHEET'!$Y$369</f>
        <v/>
      </c>
      <c r="E369">
        <f>'CALL SHEET'!$AC$369</f>
        <v/>
      </c>
      <c r="F369">
        <f>IF('CALL SHEET'!$V$369="","",'CALL SHEET'!$V$369)</f>
        <v/>
      </c>
      <c r="G369">
        <f>IF('CALL SHEET'!$D$369="","",'CALL SHEET'!$D$369)</f>
        <v/>
      </c>
      <c r="H369">
        <f>IF('CALL SHEET'!$G$369="","",'CALL SHEET'!$G$369)</f>
        <v/>
      </c>
      <c r="I369">
        <f>IF('CALL SHEET'!$AT$369="","",'CALL SHEET'!$AT$369)</f>
        <v/>
      </c>
      <c r="J369">
        <f>IF('CALL SHEET'!$AX$369="","",'CALL SHEET'!$AX$369)</f>
        <v/>
      </c>
      <c r="K369">
        <f>IF('CALL SHEET'!$N$369="","",'CALL SHEET'!$N$369)</f>
        <v/>
      </c>
      <c r="L369">
        <f>IF('CALL SHEET'!$AE$369="","",'CALL SHEET'!$AE$369)</f>
        <v/>
      </c>
      <c r="M369" t="inlineStr">
        <is>
          <t>TRADE</t>
        </is>
      </c>
      <c r="N369" t="inlineStr">
        <is>
          <t>CALL SHEET · row 369</t>
        </is>
      </c>
    </row>
    <row r="370">
      <c r="A370">
        <f>IF('CALL SHEET'!$A$370="","",'CALL SHEET'!$A$370)</f>
        <v/>
      </c>
      <c r="B370">
        <f>IF('CALL SHEET'!$C$370="","",'CALL SHEET'!$C$370)</f>
        <v/>
      </c>
      <c r="C370">
        <f>'CALL SHEET'!$U$370</f>
        <v/>
      </c>
      <c r="D370">
        <f>'CALL SHEET'!$Y$370</f>
        <v/>
      </c>
      <c r="E370">
        <f>'CALL SHEET'!$AC$370</f>
        <v/>
      </c>
      <c r="F370">
        <f>IF('CALL SHEET'!$V$370="","",'CALL SHEET'!$V$370)</f>
        <v/>
      </c>
      <c r="G370">
        <f>IF('CALL SHEET'!$D$370="","",'CALL SHEET'!$D$370)</f>
        <v/>
      </c>
      <c r="H370">
        <f>IF('CALL SHEET'!$G$370="","",'CALL SHEET'!$G$370)</f>
        <v/>
      </c>
      <c r="I370">
        <f>IF('CALL SHEET'!$AT$370="","",'CALL SHEET'!$AT$370)</f>
        <v/>
      </c>
      <c r="J370">
        <f>IF('CALL SHEET'!$AX$370="","",'CALL SHEET'!$AX$370)</f>
        <v/>
      </c>
      <c r="K370">
        <f>IF('CALL SHEET'!$N$370="","",'CALL SHEET'!$N$370)</f>
        <v/>
      </c>
      <c r="L370">
        <f>IF('CALL SHEET'!$AE$370="","",'CALL SHEET'!$AE$370)</f>
        <v/>
      </c>
      <c r="M370" t="inlineStr">
        <is>
          <t>TRADE</t>
        </is>
      </c>
      <c r="N370" t="inlineStr">
        <is>
          <t>CALL SHEET · row 370</t>
        </is>
      </c>
    </row>
    <row r="371">
      <c r="A371">
        <f>IF('CALL SHEET'!$A$371="","",'CALL SHEET'!$A$371)</f>
        <v/>
      </c>
      <c r="B371">
        <f>IF('CALL SHEET'!$C$371="","",'CALL SHEET'!$C$371)</f>
        <v/>
      </c>
      <c r="C371">
        <f>'CALL SHEET'!$U$371</f>
        <v/>
      </c>
      <c r="D371">
        <f>'CALL SHEET'!$Y$371</f>
        <v/>
      </c>
      <c r="E371">
        <f>'CALL SHEET'!$AC$371</f>
        <v/>
      </c>
      <c r="F371">
        <f>IF('CALL SHEET'!$V$371="","",'CALL SHEET'!$V$371)</f>
        <v/>
      </c>
      <c r="G371">
        <f>IF('CALL SHEET'!$D$371="","",'CALL SHEET'!$D$371)</f>
        <v/>
      </c>
      <c r="H371">
        <f>IF('CALL SHEET'!$G$371="","",'CALL SHEET'!$G$371)</f>
        <v/>
      </c>
      <c r="I371">
        <f>IF('CALL SHEET'!$AT$371="","",'CALL SHEET'!$AT$371)</f>
        <v/>
      </c>
      <c r="J371">
        <f>IF('CALL SHEET'!$AX$371="","",'CALL SHEET'!$AX$371)</f>
        <v/>
      </c>
      <c r="K371">
        <f>IF('CALL SHEET'!$N$371="","",'CALL SHEET'!$N$371)</f>
        <v/>
      </c>
      <c r="L371">
        <f>IF('CALL SHEET'!$AE$371="","",'CALL SHEET'!$AE$371)</f>
        <v/>
      </c>
      <c r="M371" t="inlineStr">
        <is>
          <t>TRADE</t>
        </is>
      </c>
      <c r="N371" t="inlineStr">
        <is>
          <t>CALL SHEET · row 371</t>
        </is>
      </c>
    </row>
    <row r="372">
      <c r="A372">
        <f>IF('CALL SHEET'!$A$372="","",'CALL SHEET'!$A$372)</f>
        <v/>
      </c>
      <c r="B372">
        <f>IF('CALL SHEET'!$C$372="","",'CALL SHEET'!$C$372)</f>
        <v/>
      </c>
      <c r="C372">
        <f>'CALL SHEET'!$U$372</f>
        <v/>
      </c>
      <c r="D372">
        <f>'CALL SHEET'!$Y$372</f>
        <v/>
      </c>
      <c r="E372">
        <f>'CALL SHEET'!$AC$372</f>
        <v/>
      </c>
      <c r="F372">
        <f>IF('CALL SHEET'!$V$372="","",'CALL SHEET'!$V$372)</f>
        <v/>
      </c>
      <c r="G372">
        <f>IF('CALL SHEET'!$D$372="","",'CALL SHEET'!$D$372)</f>
        <v/>
      </c>
      <c r="H372">
        <f>IF('CALL SHEET'!$G$372="","",'CALL SHEET'!$G$372)</f>
        <v/>
      </c>
      <c r="I372">
        <f>IF('CALL SHEET'!$AT$372="","",'CALL SHEET'!$AT$372)</f>
        <v/>
      </c>
      <c r="J372">
        <f>IF('CALL SHEET'!$AX$372="","",'CALL SHEET'!$AX$372)</f>
        <v/>
      </c>
      <c r="K372">
        <f>IF('CALL SHEET'!$N$372="","",'CALL SHEET'!$N$372)</f>
        <v/>
      </c>
      <c r="L372">
        <f>IF('CALL SHEET'!$AE$372="","",'CALL SHEET'!$AE$372)</f>
        <v/>
      </c>
      <c r="M372" t="inlineStr">
        <is>
          <t>TRADE</t>
        </is>
      </c>
      <c r="N372" t="inlineStr">
        <is>
          <t>CALL SHEET · row 372</t>
        </is>
      </c>
    </row>
    <row r="373">
      <c r="A373">
        <f>IF('CALL SHEET'!$A$373="","",'CALL SHEET'!$A$373)</f>
        <v/>
      </c>
      <c r="B373">
        <f>IF('CALL SHEET'!$C$373="","",'CALL SHEET'!$C$373)</f>
        <v/>
      </c>
      <c r="C373">
        <f>'CALL SHEET'!$U$373</f>
        <v/>
      </c>
      <c r="D373">
        <f>'CALL SHEET'!$Y$373</f>
        <v/>
      </c>
      <c r="E373">
        <f>'CALL SHEET'!$AC$373</f>
        <v/>
      </c>
      <c r="F373">
        <f>IF('CALL SHEET'!$V$373="","",'CALL SHEET'!$V$373)</f>
        <v/>
      </c>
      <c r="G373">
        <f>IF('CALL SHEET'!$D$373="","",'CALL SHEET'!$D$373)</f>
        <v/>
      </c>
      <c r="H373">
        <f>IF('CALL SHEET'!$G$373="","",'CALL SHEET'!$G$373)</f>
        <v/>
      </c>
      <c r="I373">
        <f>IF('CALL SHEET'!$AT$373="","",'CALL SHEET'!$AT$373)</f>
        <v/>
      </c>
      <c r="J373">
        <f>IF('CALL SHEET'!$AX$373="","",'CALL SHEET'!$AX$373)</f>
        <v/>
      </c>
      <c r="K373">
        <f>IF('CALL SHEET'!$N$373="","",'CALL SHEET'!$N$373)</f>
        <v/>
      </c>
      <c r="L373">
        <f>IF('CALL SHEET'!$AE$373="","",'CALL SHEET'!$AE$373)</f>
        <v/>
      </c>
      <c r="M373" t="inlineStr">
        <is>
          <t>TRADE</t>
        </is>
      </c>
      <c r="N373" t="inlineStr">
        <is>
          <t>CALL SHEET · row 373</t>
        </is>
      </c>
    </row>
    <row r="374">
      <c r="A374">
        <f>IF('CALL SHEET'!$A$374="","",'CALL SHEET'!$A$374)</f>
        <v/>
      </c>
      <c r="B374">
        <f>IF('CALL SHEET'!$C$374="","",'CALL SHEET'!$C$374)</f>
        <v/>
      </c>
      <c r="C374">
        <f>'CALL SHEET'!$U$374</f>
        <v/>
      </c>
      <c r="D374">
        <f>'CALL SHEET'!$Y$374</f>
        <v/>
      </c>
      <c r="E374">
        <f>'CALL SHEET'!$AC$374</f>
        <v/>
      </c>
      <c r="F374">
        <f>IF('CALL SHEET'!$V$374="","",'CALL SHEET'!$V$374)</f>
        <v/>
      </c>
      <c r="G374">
        <f>IF('CALL SHEET'!$D$374="","",'CALL SHEET'!$D$374)</f>
        <v/>
      </c>
      <c r="H374">
        <f>IF('CALL SHEET'!$G$374="","",'CALL SHEET'!$G$374)</f>
        <v/>
      </c>
      <c r="I374">
        <f>IF('CALL SHEET'!$AT$374="","",'CALL SHEET'!$AT$374)</f>
        <v/>
      </c>
      <c r="J374">
        <f>IF('CALL SHEET'!$AX$374="","",'CALL SHEET'!$AX$374)</f>
        <v/>
      </c>
      <c r="K374">
        <f>IF('CALL SHEET'!$N$374="","",'CALL SHEET'!$N$374)</f>
        <v/>
      </c>
      <c r="L374">
        <f>IF('CALL SHEET'!$AE$374="","",'CALL SHEET'!$AE$374)</f>
        <v/>
      </c>
      <c r="M374" t="inlineStr">
        <is>
          <t>TRADE</t>
        </is>
      </c>
      <c r="N374" t="inlineStr">
        <is>
          <t>CALL SHEET · row 374</t>
        </is>
      </c>
    </row>
    <row r="375">
      <c r="A375">
        <f>IF('CALL SHEET'!$A$375="","",'CALL SHEET'!$A$375)</f>
        <v/>
      </c>
      <c r="B375">
        <f>IF('CALL SHEET'!$C$375="","",'CALL SHEET'!$C$375)</f>
        <v/>
      </c>
      <c r="C375">
        <f>'CALL SHEET'!$U$375</f>
        <v/>
      </c>
      <c r="D375">
        <f>'CALL SHEET'!$Y$375</f>
        <v/>
      </c>
      <c r="E375">
        <f>'CALL SHEET'!$AC$375</f>
        <v/>
      </c>
      <c r="F375">
        <f>IF('CALL SHEET'!$V$375="","",'CALL SHEET'!$V$375)</f>
        <v/>
      </c>
      <c r="G375">
        <f>IF('CALL SHEET'!$D$375="","",'CALL SHEET'!$D$375)</f>
        <v/>
      </c>
      <c r="H375">
        <f>IF('CALL SHEET'!$G$375="","",'CALL SHEET'!$G$375)</f>
        <v/>
      </c>
      <c r="I375">
        <f>IF('CALL SHEET'!$AT$375="","",'CALL SHEET'!$AT$375)</f>
        <v/>
      </c>
      <c r="J375">
        <f>IF('CALL SHEET'!$AX$375="","",'CALL SHEET'!$AX$375)</f>
        <v/>
      </c>
      <c r="K375">
        <f>IF('CALL SHEET'!$N$375="","",'CALL SHEET'!$N$375)</f>
        <v/>
      </c>
      <c r="L375">
        <f>IF('CALL SHEET'!$AE$375="","",'CALL SHEET'!$AE$375)</f>
        <v/>
      </c>
      <c r="M375" t="inlineStr">
        <is>
          <t>TRADE</t>
        </is>
      </c>
      <c r="N375" t="inlineStr">
        <is>
          <t>CALL SHEET · row 375</t>
        </is>
      </c>
    </row>
    <row r="376">
      <c r="A376">
        <f>IF('CALL SHEET'!$A$376="","",'CALL SHEET'!$A$376)</f>
        <v/>
      </c>
      <c r="B376">
        <f>IF('CALL SHEET'!$C$376="","",'CALL SHEET'!$C$376)</f>
        <v/>
      </c>
      <c r="C376">
        <f>'CALL SHEET'!$U$376</f>
        <v/>
      </c>
      <c r="D376">
        <f>'CALL SHEET'!$Y$376</f>
        <v/>
      </c>
      <c r="E376">
        <f>'CALL SHEET'!$AC$376</f>
        <v/>
      </c>
      <c r="F376">
        <f>IF('CALL SHEET'!$V$376="","",'CALL SHEET'!$V$376)</f>
        <v/>
      </c>
      <c r="G376">
        <f>IF('CALL SHEET'!$D$376="","",'CALL SHEET'!$D$376)</f>
        <v/>
      </c>
      <c r="H376">
        <f>IF('CALL SHEET'!$G$376="","",'CALL SHEET'!$G$376)</f>
        <v/>
      </c>
      <c r="I376">
        <f>IF('CALL SHEET'!$AT$376="","",'CALL SHEET'!$AT$376)</f>
        <v/>
      </c>
      <c r="J376">
        <f>IF('CALL SHEET'!$AX$376="","",'CALL SHEET'!$AX$376)</f>
        <v/>
      </c>
      <c r="K376">
        <f>IF('CALL SHEET'!$N$376="","",'CALL SHEET'!$N$376)</f>
        <v/>
      </c>
      <c r="L376">
        <f>IF('CALL SHEET'!$AE$376="","",'CALL SHEET'!$AE$376)</f>
        <v/>
      </c>
      <c r="M376" t="inlineStr">
        <is>
          <t>TRADE</t>
        </is>
      </c>
      <c r="N376" t="inlineStr">
        <is>
          <t>CALL SHEET · row 376</t>
        </is>
      </c>
    </row>
    <row r="377">
      <c r="A377">
        <f>IF('CALL SHEET'!$A$377="","",'CALL SHEET'!$A$377)</f>
        <v/>
      </c>
      <c r="B377">
        <f>IF('CALL SHEET'!$C$377="","",'CALL SHEET'!$C$377)</f>
        <v/>
      </c>
      <c r="C377">
        <f>'CALL SHEET'!$U$377</f>
        <v/>
      </c>
      <c r="D377">
        <f>'CALL SHEET'!$Y$377</f>
        <v/>
      </c>
      <c r="E377">
        <f>'CALL SHEET'!$AC$377</f>
        <v/>
      </c>
      <c r="F377">
        <f>IF('CALL SHEET'!$V$377="","",'CALL SHEET'!$V$377)</f>
        <v/>
      </c>
      <c r="G377">
        <f>IF('CALL SHEET'!$D$377="","",'CALL SHEET'!$D$377)</f>
        <v/>
      </c>
      <c r="H377">
        <f>IF('CALL SHEET'!$G$377="","",'CALL SHEET'!$G$377)</f>
        <v/>
      </c>
      <c r="I377">
        <f>IF('CALL SHEET'!$AT$377="","",'CALL SHEET'!$AT$377)</f>
        <v/>
      </c>
      <c r="J377">
        <f>IF('CALL SHEET'!$AX$377="","",'CALL SHEET'!$AX$377)</f>
        <v/>
      </c>
      <c r="K377">
        <f>IF('CALL SHEET'!$N$377="","",'CALL SHEET'!$N$377)</f>
        <v/>
      </c>
      <c r="L377">
        <f>IF('CALL SHEET'!$AE$377="","",'CALL SHEET'!$AE$377)</f>
        <v/>
      </c>
      <c r="M377" t="inlineStr">
        <is>
          <t>TRADE</t>
        </is>
      </c>
      <c r="N377" t="inlineStr">
        <is>
          <t>CALL SHEET · row 377</t>
        </is>
      </c>
    </row>
    <row r="378">
      <c r="A378">
        <f>IF('CALL SHEET'!$A$378="","",'CALL SHEET'!$A$378)</f>
        <v/>
      </c>
      <c r="B378">
        <f>IF('CALL SHEET'!$C$378="","",'CALL SHEET'!$C$378)</f>
        <v/>
      </c>
      <c r="C378">
        <f>'CALL SHEET'!$U$378</f>
        <v/>
      </c>
      <c r="D378">
        <f>'CALL SHEET'!$Y$378</f>
        <v/>
      </c>
      <c r="E378">
        <f>'CALL SHEET'!$AC$378</f>
        <v/>
      </c>
      <c r="F378">
        <f>IF('CALL SHEET'!$V$378="","",'CALL SHEET'!$V$378)</f>
        <v/>
      </c>
      <c r="G378">
        <f>IF('CALL SHEET'!$D$378="","",'CALL SHEET'!$D$378)</f>
        <v/>
      </c>
      <c r="H378">
        <f>IF('CALL SHEET'!$G$378="","",'CALL SHEET'!$G$378)</f>
        <v/>
      </c>
      <c r="I378">
        <f>IF('CALL SHEET'!$AT$378="","",'CALL SHEET'!$AT$378)</f>
        <v/>
      </c>
      <c r="J378">
        <f>IF('CALL SHEET'!$AX$378="","",'CALL SHEET'!$AX$378)</f>
        <v/>
      </c>
      <c r="K378">
        <f>IF('CALL SHEET'!$N$378="","",'CALL SHEET'!$N$378)</f>
        <v/>
      </c>
      <c r="L378">
        <f>IF('CALL SHEET'!$AE$378="","",'CALL SHEET'!$AE$378)</f>
        <v/>
      </c>
      <c r="M378" t="inlineStr">
        <is>
          <t>TRADE</t>
        </is>
      </c>
      <c r="N378" t="inlineStr">
        <is>
          <t>CALL SHEET · row 378</t>
        </is>
      </c>
    </row>
    <row r="379">
      <c r="A379">
        <f>IF('CALL SHEET'!$A$379="","",'CALL SHEET'!$A$379)</f>
        <v/>
      </c>
      <c r="B379">
        <f>IF('CALL SHEET'!$C$379="","",'CALL SHEET'!$C$379)</f>
        <v/>
      </c>
      <c r="C379">
        <f>'CALL SHEET'!$U$379</f>
        <v/>
      </c>
      <c r="D379">
        <f>'CALL SHEET'!$Y$379</f>
        <v/>
      </c>
      <c r="E379">
        <f>'CALL SHEET'!$AC$379</f>
        <v/>
      </c>
      <c r="F379">
        <f>IF('CALL SHEET'!$V$379="","",'CALL SHEET'!$V$379)</f>
        <v/>
      </c>
      <c r="G379">
        <f>IF('CALL SHEET'!$D$379="","",'CALL SHEET'!$D$379)</f>
        <v/>
      </c>
      <c r="H379">
        <f>IF('CALL SHEET'!$G$379="","",'CALL SHEET'!$G$379)</f>
        <v/>
      </c>
      <c r="I379">
        <f>IF('CALL SHEET'!$AT$379="","",'CALL SHEET'!$AT$379)</f>
        <v/>
      </c>
      <c r="J379">
        <f>IF('CALL SHEET'!$AX$379="","",'CALL SHEET'!$AX$379)</f>
        <v/>
      </c>
      <c r="K379">
        <f>IF('CALL SHEET'!$N$379="","",'CALL SHEET'!$N$379)</f>
        <v/>
      </c>
      <c r="L379">
        <f>IF('CALL SHEET'!$AE$379="","",'CALL SHEET'!$AE$379)</f>
        <v/>
      </c>
      <c r="M379" t="inlineStr">
        <is>
          <t>TRADE</t>
        </is>
      </c>
      <c r="N379" t="inlineStr">
        <is>
          <t>CALL SHEET · row 379</t>
        </is>
      </c>
    </row>
    <row r="380">
      <c r="A380">
        <f>IF('CALL SHEET'!$A$380="","",'CALL SHEET'!$A$380)</f>
        <v/>
      </c>
      <c r="B380">
        <f>IF('CALL SHEET'!$C$380="","",'CALL SHEET'!$C$380)</f>
        <v/>
      </c>
      <c r="C380">
        <f>'CALL SHEET'!$U$380</f>
        <v/>
      </c>
      <c r="D380">
        <f>'CALL SHEET'!$Y$380</f>
        <v/>
      </c>
      <c r="E380">
        <f>'CALL SHEET'!$AC$380</f>
        <v/>
      </c>
      <c r="F380">
        <f>IF('CALL SHEET'!$V$380="","",'CALL SHEET'!$V$380)</f>
        <v/>
      </c>
      <c r="G380">
        <f>IF('CALL SHEET'!$D$380="","",'CALL SHEET'!$D$380)</f>
        <v/>
      </c>
      <c r="H380">
        <f>IF('CALL SHEET'!$G$380="","",'CALL SHEET'!$G$380)</f>
        <v/>
      </c>
      <c r="I380">
        <f>IF('CALL SHEET'!$AT$380="","",'CALL SHEET'!$AT$380)</f>
        <v/>
      </c>
      <c r="J380">
        <f>IF('CALL SHEET'!$AX$380="","",'CALL SHEET'!$AX$380)</f>
        <v/>
      </c>
      <c r="K380">
        <f>IF('CALL SHEET'!$N$380="","",'CALL SHEET'!$N$380)</f>
        <v/>
      </c>
      <c r="L380">
        <f>IF('CALL SHEET'!$AE$380="","",'CALL SHEET'!$AE$380)</f>
        <v/>
      </c>
      <c r="M380" t="inlineStr">
        <is>
          <t>TRADE</t>
        </is>
      </c>
      <c r="N380" t="inlineStr">
        <is>
          <t>CALL SHEET · row 380</t>
        </is>
      </c>
    </row>
    <row r="381">
      <c r="A381">
        <f>IF('CALL SHEET'!$A$381="","",'CALL SHEET'!$A$381)</f>
        <v/>
      </c>
      <c r="B381">
        <f>IF('CALL SHEET'!$C$381="","",'CALL SHEET'!$C$381)</f>
        <v/>
      </c>
      <c r="C381">
        <f>'CALL SHEET'!$U$381</f>
        <v/>
      </c>
      <c r="D381">
        <f>'CALL SHEET'!$Y$381</f>
        <v/>
      </c>
      <c r="E381">
        <f>'CALL SHEET'!$AC$381</f>
        <v/>
      </c>
      <c r="F381">
        <f>IF('CALL SHEET'!$V$381="","",'CALL SHEET'!$V$381)</f>
        <v/>
      </c>
      <c r="G381">
        <f>IF('CALL SHEET'!$D$381="","",'CALL SHEET'!$D$381)</f>
        <v/>
      </c>
      <c r="H381">
        <f>IF('CALL SHEET'!$G$381="","",'CALL SHEET'!$G$381)</f>
        <v/>
      </c>
      <c r="I381">
        <f>IF('CALL SHEET'!$AT$381="","",'CALL SHEET'!$AT$381)</f>
        <v/>
      </c>
      <c r="J381">
        <f>IF('CALL SHEET'!$AX$381="","",'CALL SHEET'!$AX$381)</f>
        <v/>
      </c>
      <c r="K381">
        <f>IF('CALL SHEET'!$N$381="","",'CALL SHEET'!$N$381)</f>
        <v/>
      </c>
      <c r="L381">
        <f>IF('CALL SHEET'!$AE$381="","",'CALL SHEET'!$AE$381)</f>
        <v/>
      </c>
      <c r="M381" t="inlineStr">
        <is>
          <t>TRADE</t>
        </is>
      </c>
      <c r="N381" t="inlineStr">
        <is>
          <t>CALL SHEET · row 381</t>
        </is>
      </c>
    </row>
    <row r="382">
      <c r="A382">
        <f>IF('CALL SHEET'!$A$382="","",'CALL SHEET'!$A$382)</f>
        <v/>
      </c>
      <c r="B382">
        <f>IF('CALL SHEET'!$C$382="","",'CALL SHEET'!$C$382)</f>
        <v/>
      </c>
      <c r="C382">
        <f>'CALL SHEET'!$U$382</f>
        <v/>
      </c>
      <c r="D382">
        <f>'CALL SHEET'!$Y$382</f>
        <v/>
      </c>
      <c r="E382">
        <f>'CALL SHEET'!$AC$382</f>
        <v/>
      </c>
      <c r="F382">
        <f>IF('CALL SHEET'!$V$382="","",'CALL SHEET'!$V$382)</f>
        <v/>
      </c>
      <c r="G382">
        <f>IF('CALL SHEET'!$D$382="","",'CALL SHEET'!$D$382)</f>
        <v/>
      </c>
      <c r="H382">
        <f>IF('CALL SHEET'!$G$382="","",'CALL SHEET'!$G$382)</f>
        <v/>
      </c>
      <c r="I382">
        <f>IF('CALL SHEET'!$AT$382="","",'CALL SHEET'!$AT$382)</f>
        <v/>
      </c>
      <c r="J382">
        <f>IF('CALL SHEET'!$AX$382="","",'CALL SHEET'!$AX$382)</f>
        <v/>
      </c>
      <c r="K382">
        <f>IF('CALL SHEET'!$N$382="","",'CALL SHEET'!$N$382)</f>
        <v/>
      </c>
      <c r="L382">
        <f>IF('CALL SHEET'!$AE$382="","",'CALL SHEET'!$AE$382)</f>
        <v/>
      </c>
      <c r="M382" t="inlineStr">
        <is>
          <t>TRADE</t>
        </is>
      </c>
      <c r="N382" t="inlineStr">
        <is>
          <t>CALL SHEET · row 382</t>
        </is>
      </c>
    </row>
    <row r="383">
      <c r="A383">
        <f>IF('CALL SHEET'!$A$383="","",'CALL SHEET'!$A$383)</f>
        <v/>
      </c>
      <c r="B383">
        <f>IF('CALL SHEET'!$C$383="","",'CALL SHEET'!$C$383)</f>
        <v/>
      </c>
      <c r="C383">
        <f>'CALL SHEET'!$U$383</f>
        <v/>
      </c>
      <c r="D383">
        <f>'CALL SHEET'!$Y$383</f>
        <v/>
      </c>
      <c r="E383">
        <f>'CALL SHEET'!$AC$383</f>
        <v/>
      </c>
      <c r="F383">
        <f>IF('CALL SHEET'!$V$383="","",'CALL SHEET'!$V$383)</f>
        <v/>
      </c>
      <c r="G383">
        <f>IF('CALL SHEET'!$D$383="","",'CALL SHEET'!$D$383)</f>
        <v/>
      </c>
      <c r="H383">
        <f>IF('CALL SHEET'!$G$383="","",'CALL SHEET'!$G$383)</f>
        <v/>
      </c>
      <c r="I383">
        <f>IF('CALL SHEET'!$AT$383="","",'CALL SHEET'!$AT$383)</f>
        <v/>
      </c>
      <c r="J383">
        <f>IF('CALL SHEET'!$AX$383="","",'CALL SHEET'!$AX$383)</f>
        <v/>
      </c>
      <c r="K383">
        <f>IF('CALL SHEET'!$N$383="","",'CALL SHEET'!$N$383)</f>
        <v/>
      </c>
      <c r="L383">
        <f>IF('CALL SHEET'!$AE$383="","",'CALL SHEET'!$AE$383)</f>
        <v/>
      </c>
      <c r="M383" t="inlineStr">
        <is>
          <t>TRADE</t>
        </is>
      </c>
      <c r="N383" t="inlineStr">
        <is>
          <t>CALL SHEET · row 383</t>
        </is>
      </c>
    </row>
    <row r="384">
      <c r="A384">
        <f>IF('CALL SHEET'!$A$384="","",'CALL SHEET'!$A$384)</f>
        <v/>
      </c>
      <c r="B384">
        <f>IF('CALL SHEET'!$C$384="","",'CALL SHEET'!$C$384)</f>
        <v/>
      </c>
      <c r="C384">
        <f>'CALL SHEET'!$U$384</f>
        <v/>
      </c>
      <c r="D384">
        <f>'CALL SHEET'!$Y$384</f>
        <v/>
      </c>
      <c r="E384">
        <f>'CALL SHEET'!$AC$384</f>
        <v/>
      </c>
      <c r="F384">
        <f>IF('CALL SHEET'!$V$384="","",'CALL SHEET'!$V$384)</f>
        <v/>
      </c>
      <c r="G384">
        <f>IF('CALL SHEET'!$D$384="","",'CALL SHEET'!$D$384)</f>
        <v/>
      </c>
      <c r="H384">
        <f>IF('CALL SHEET'!$G$384="","",'CALL SHEET'!$G$384)</f>
        <v/>
      </c>
      <c r="I384">
        <f>IF('CALL SHEET'!$AT$384="","",'CALL SHEET'!$AT$384)</f>
        <v/>
      </c>
      <c r="J384">
        <f>IF('CALL SHEET'!$AX$384="","",'CALL SHEET'!$AX$384)</f>
        <v/>
      </c>
      <c r="K384">
        <f>IF('CALL SHEET'!$N$384="","",'CALL SHEET'!$N$384)</f>
        <v/>
      </c>
      <c r="L384">
        <f>IF('CALL SHEET'!$AE$384="","",'CALL SHEET'!$AE$384)</f>
        <v/>
      </c>
      <c r="M384" t="inlineStr">
        <is>
          <t>TRADE</t>
        </is>
      </c>
      <c r="N384" t="inlineStr">
        <is>
          <t>CALL SHEET · row 384</t>
        </is>
      </c>
    </row>
    <row r="385">
      <c r="A385">
        <f>IF('CALL SHEET'!$A$385="","",'CALL SHEET'!$A$385)</f>
        <v/>
      </c>
      <c r="B385">
        <f>IF('CALL SHEET'!$C$385="","",'CALL SHEET'!$C$385)</f>
        <v/>
      </c>
      <c r="C385">
        <f>'CALL SHEET'!$U$385</f>
        <v/>
      </c>
      <c r="D385">
        <f>'CALL SHEET'!$Y$385</f>
        <v/>
      </c>
      <c r="E385">
        <f>'CALL SHEET'!$AC$385</f>
        <v/>
      </c>
      <c r="F385">
        <f>IF('CALL SHEET'!$V$385="","",'CALL SHEET'!$V$385)</f>
        <v/>
      </c>
      <c r="G385">
        <f>IF('CALL SHEET'!$D$385="","",'CALL SHEET'!$D$385)</f>
        <v/>
      </c>
      <c r="H385">
        <f>IF('CALL SHEET'!$G$385="","",'CALL SHEET'!$G$385)</f>
        <v/>
      </c>
      <c r="I385">
        <f>IF('CALL SHEET'!$AT$385="","",'CALL SHEET'!$AT$385)</f>
        <v/>
      </c>
      <c r="J385">
        <f>IF('CALL SHEET'!$AX$385="","",'CALL SHEET'!$AX$385)</f>
        <v/>
      </c>
      <c r="K385">
        <f>IF('CALL SHEET'!$N$385="","",'CALL SHEET'!$N$385)</f>
        <v/>
      </c>
      <c r="L385">
        <f>IF('CALL SHEET'!$AE$385="","",'CALL SHEET'!$AE$385)</f>
        <v/>
      </c>
      <c r="M385" t="inlineStr">
        <is>
          <t>TRADE</t>
        </is>
      </c>
      <c r="N385" t="inlineStr">
        <is>
          <t>CALL SHEET · row 385</t>
        </is>
      </c>
    </row>
    <row r="386">
      <c r="A386">
        <f>IF('CALL SHEET'!$A$386="","",'CALL SHEET'!$A$386)</f>
        <v/>
      </c>
      <c r="B386">
        <f>IF('CALL SHEET'!$C$386="","",'CALL SHEET'!$C$386)</f>
        <v/>
      </c>
      <c r="C386">
        <f>'CALL SHEET'!$U$386</f>
        <v/>
      </c>
      <c r="D386">
        <f>'CALL SHEET'!$Y$386</f>
        <v/>
      </c>
      <c r="E386">
        <f>'CALL SHEET'!$AC$386</f>
        <v/>
      </c>
      <c r="F386">
        <f>IF('CALL SHEET'!$V$386="","",'CALL SHEET'!$V$386)</f>
        <v/>
      </c>
      <c r="G386">
        <f>IF('CALL SHEET'!$D$386="","",'CALL SHEET'!$D$386)</f>
        <v/>
      </c>
      <c r="H386">
        <f>IF('CALL SHEET'!$G$386="","",'CALL SHEET'!$G$386)</f>
        <v/>
      </c>
      <c r="I386">
        <f>IF('CALL SHEET'!$AT$386="","",'CALL SHEET'!$AT$386)</f>
        <v/>
      </c>
      <c r="J386">
        <f>IF('CALL SHEET'!$AX$386="","",'CALL SHEET'!$AX$386)</f>
        <v/>
      </c>
      <c r="K386">
        <f>IF('CALL SHEET'!$N$386="","",'CALL SHEET'!$N$386)</f>
        <v/>
      </c>
      <c r="L386">
        <f>IF('CALL SHEET'!$AE$386="","",'CALL SHEET'!$AE$386)</f>
        <v/>
      </c>
      <c r="M386" t="inlineStr">
        <is>
          <t>TRADE</t>
        </is>
      </c>
      <c r="N386" t="inlineStr">
        <is>
          <t>CALL SHEET · row 386</t>
        </is>
      </c>
    </row>
    <row r="387">
      <c r="A387">
        <f>IF('CALL SHEET'!$A$387="","",'CALL SHEET'!$A$387)</f>
        <v/>
      </c>
      <c r="B387">
        <f>IF('CALL SHEET'!$C$387="","",'CALL SHEET'!$C$387)</f>
        <v/>
      </c>
      <c r="C387">
        <f>'CALL SHEET'!$U$387</f>
        <v/>
      </c>
      <c r="D387">
        <f>'CALL SHEET'!$Y$387</f>
        <v/>
      </c>
      <c r="E387">
        <f>'CALL SHEET'!$AC$387</f>
        <v/>
      </c>
      <c r="F387">
        <f>IF('CALL SHEET'!$V$387="","",'CALL SHEET'!$V$387)</f>
        <v/>
      </c>
      <c r="G387">
        <f>IF('CALL SHEET'!$D$387="","",'CALL SHEET'!$D$387)</f>
        <v/>
      </c>
      <c r="H387">
        <f>IF('CALL SHEET'!$G$387="","",'CALL SHEET'!$G$387)</f>
        <v/>
      </c>
      <c r="I387">
        <f>IF('CALL SHEET'!$AT$387="","",'CALL SHEET'!$AT$387)</f>
        <v/>
      </c>
      <c r="J387">
        <f>IF('CALL SHEET'!$AX$387="","",'CALL SHEET'!$AX$387)</f>
        <v/>
      </c>
      <c r="K387">
        <f>IF('CALL SHEET'!$N$387="","",'CALL SHEET'!$N$387)</f>
        <v/>
      </c>
      <c r="L387">
        <f>IF('CALL SHEET'!$AE$387="","",'CALL SHEET'!$AE$387)</f>
        <v/>
      </c>
      <c r="M387" t="inlineStr">
        <is>
          <t>TRADE</t>
        </is>
      </c>
      <c r="N387" t="inlineStr">
        <is>
          <t>CALL SHEET · row 387</t>
        </is>
      </c>
    </row>
    <row r="388">
      <c r="A388">
        <f>IF('CALL SHEET'!$A$388="","",'CALL SHEET'!$A$388)</f>
        <v/>
      </c>
      <c r="B388">
        <f>IF('CALL SHEET'!$C$388="","",'CALL SHEET'!$C$388)</f>
        <v/>
      </c>
      <c r="C388">
        <f>'CALL SHEET'!$U$388</f>
        <v/>
      </c>
      <c r="D388">
        <f>'CALL SHEET'!$Y$388</f>
        <v/>
      </c>
      <c r="E388">
        <f>'CALL SHEET'!$AC$388</f>
        <v/>
      </c>
      <c r="F388">
        <f>IF('CALL SHEET'!$V$388="","",'CALL SHEET'!$V$388)</f>
        <v/>
      </c>
      <c r="G388">
        <f>IF('CALL SHEET'!$D$388="","",'CALL SHEET'!$D$388)</f>
        <v/>
      </c>
      <c r="H388">
        <f>IF('CALL SHEET'!$G$388="","",'CALL SHEET'!$G$388)</f>
        <v/>
      </c>
      <c r="I388">
        <f>IF('CALL SHEET'!$AT$388="","",'CALL SHEET'!$AT$388)</f>
        <v/>
      </c>
      <c r="J388">
        <f>IF('CALL SHEET'!$AX$388="","",'CALL SHEET'!$AX$388)</f>
        <v/>
      </c>
      <c r="K388">
        <f>IF('CALL SHEET'!$N$388="","",'CALL SHEET'!$N$388)</f>
        <v/>
      </c>
      <c r="L388">
        <f>IF('CALL SHEET'!$AE$388="","",'CALL SHEET'!$AE$388)</f>
        <v/>
      </c>
      <c r="M388" t="inlineStr">
        <is>
          <t>TRADE</t>
        </is>
      </c>
      <c r="N388" t="inlineStr">
        <is>
          <t>CALL SHEET · row 388</t>
        </is>
      </c>
    </row>
    <row r="389">
      <c r="A389">
        <f>IF('CALL SHEET'!$A$389="","",'CALL SHEET'!$A$389)</f>
        <v/>
      </c>
      <c r="B389">
        <f>IF('CALL SHEET'!$C$389="","",'CALL SHEET'!$C$389)</f>
        <v/>
      </c>
      <c r="C389">
        <f>'CALL SHEET'!$U$389</f>
        <v/>
      </c>
      <c r="D389">
        <f>'CALL SHEET'!$Y$389</f>
        <v/>
      </c>
      <c r="E389">
        <f>'CALL SHEET'!$AC$389</f>
        <v/>
      </c>
      <c r="F389">
        <f>IF('CALL SHEET'!$V$389="","",'CALL SHEET'!$V$389)</f>
        <v/>
      </c>
      <c r="G389">
        <f>IF('CALL SHEET'!$D$389="","",'CALL SHEET'!$D$389)</f>
        <v/>
      </c>
      <c r="H389">
        <f>IF('CALL SHEET'!$G$389="","",'CALL SHEET'!$G$389)</f>
        <v/>
      </c>
      <c r="I389">
        <f>IF('CALL SHEET'!$AT$389="","",'CALL SHEET'!$AT$389)</f>
        <v/>
      </c>
      <c r="J389">
        <f>IF('CALL SHEET'!$AX$389="","",'CALL SHEET'!$AX$389)</f>
        <v/>
      </c>
      <c r="K389">
        <f>IF('CALL SHEET'!$N$389="","",'CALL SHEET'!$N$389)</f>
        <v/>
      </c>
      <c r="L389">
        <f>IF('CALL SHEET'!$AE$389="","",'CALL SHEET'!$AE$389)</f>
        <v/>
      </c>
      <c r="M389" t="inlineStr">
        <is>
          <t>TRADE</t>
        </is>
      </c>
      <c r="N389" t="inlineStr">
        <is>
          <t>CALL SHEET · row 389</t>
        </is>
      </c>
    </row>
    <row r="390">
      <c r="A390">
        <f>IF('CALL SHEET'!$A$390="","",'CALL SHEET'!$A$390)</f>
        <v/>
      </c>
      <c r="B390">
        <f>IF('CALL SHEET'!$C$390="","",'CALL SHEET'!$C$390)</f>
        <v/>
      </c>
      <c r="C390">
        <f>'CALL SHEET'!$U$390</f>
        <v/>
      </c>
      <c r="D390">
        <f>'CALL SHEET'!$Y$390</f>
        <v/>
      </c>
      <c r="E390">
        <f>'CALL SHEET'!$AC$390</f>
        <v/>
      </c>
      <c r="F390">
        <f>IF('CALL SHEET'!$V$390="","",'CALL SHEET'!$V$390)</f>
        <v/>
      </c>
      <c r="G390">
        <f>IF('CALL SHEET'!$D$390="","",'CALL SHEET'!$D$390)</f>
        <v/>
      </c>
      <c r="H390">
        <f>IF('CALL SHEET'!$G$390="","",'CALL SHEET'!$G$390)</f>
        <v/>
      </c>
      <c r="I390">
        <f>IF('CALL SHEET'!$AT$390="","",'CALL SHEET'!$AT$390)</f>
        <v/>
      </c>
      <c r="J390">
        <f>IF('CALL SHEET'!$AX$390="","",'CALL SHEET'!$AX$390)</f>
        <v/>
      </c>
      <c r="K390">
        <f>IF('CALL SHEET'!$N$390="","",'CALL SHEET'!$N$390)</f>
        <v/>
      </c>
      <c r="L390">
        <f>IF('CALL SHEET'!$AE$390="","",'CALL SHEET'!$AE$390)</f>
        <v/>
      </c>
      <c r="M390" t="inlineStr">
        <is>
          <t>TRADE</t>
        </is>
      </c>
      <c r="N390" t="inlineStr">
        <is>
          <t>CALL SHEET · row 390</t>
        </is>
      </c>
    </row>
    <row r="391">
      <c r="A391">
        <f>IF('CALL SHEET'!$A$391="","",'CALL SHEET'!$A$391)</f>
        <v/>
      </c>
      <c r="B391">
        <f>IF('CALL SHEET'!$C$391="","",'CALL SHEET'!$C$391)</f>
        <v/>
      </c>
      <c r="C391">
        <f>'CALL SHEET'!$U$391</f>
        <v/>
      </c>
      <c r="D391">
        <f>'CALL SHEET'!$Y$391</f>
        <v/>
      </c>
      <c r="E391">
        <f>'CALL SHEET'!$AC$391</f>
        <v/>
      </c>
      <c r="F391">
        <f>IF('CALL SHEET'!$V$391="","",'CALL SHEET'!$V$391)</f>
        <v/>
      </c>
      <c r="G391">
        <f>IF('CALL SHEET'!$D$391="","",'CALL SHEET'!$D$391)</f>
        <v/>
      </c>
      <c r="H391">
        <f>IF('CALL SHEET'!$G$391="","",'CALL SHEET'!$G$391)</f>
        <v/>
      </c>
      <c r="I391">
        <f>IF('CALL SHEET'!$AT$391="","",'CALL SHEET'!$AT$391)</f>
        <v/>
      </c>
      <c r="J391">
        <f>IF('CALL SHEET'!$AX$391="","",'CALL SHEET'!$AX$391)</f>
        <v/>
      </c>
      <c r="K391">
        <f>IF('CALL SHEET'!$N$391="","",'CALL SHEET'!$N$391)</f>
        <v/>
      </c>
      <c r="L391">
        <f>IF('CALL SHEET'!$AE$391="","",'CALL SHEET'!$AE$391)</f>
        <v/>
      </c>
      <c r="M391" t="inlineStr">
        <is>
          <t>TRADE</t>
        </is>
      </c>
      <c r="N391" t="inlineStr">
        <is>
          <t>CALL SHEET · row 391</t>
        </is>
      </c>
    </row>
    <row r="392">
      <c r="A392">
        <f>IF('CALL SHEET'!$A$392="","",'CALL SHEET'!$A$392)</f>
        <v/>
      </c>
      <c r="B392">
        <f>IF('CALL SHEET'!$C$392="","",'CALL SHEET'!$C$392)</f>
        <v/>
      </c>
      <c r="C392">
        <f>'CALL SHEET'!$U$392</f>
        <v/>
      </c>
      <c r="D392">
        <f>'CALL SHEET'!$Y$392</f>
        <v/>
      </c>
      <c r="E392">
        <f>'CALL SHEET'!$AC$392</f>
        <v/>
      </c>
      <c r="F392">
        <f>IF('CALL SHEET'!$V$392="","",'CALL SHEET'!$V$392)</f>
        <v/>
      </c>
      <c r="G392">
        <f>IF('CALL SHEET'!$D$392="","",'CALL SHEET'!$D$392)</f>
        <v/>
      </c>
      <c r="H392">
        <f>IF('CALL SHEET'!$G$392="","",'CALL SHEET'!$G$392)</f>
        <v/>
      </c>
      <c r="I392">
        <f>IF('CALL SHEET'!$AT$392="","",'CALL SHEET'!$AT$392)</f>
        <v/>
      </c>
      <c r="J392">
        <f>IF('CALL SHEET'!$AX$392="","",'CALL SHEET'!$AX$392)</f>
        <v/>
      </c>
      <c r="K392">
        <f>IF('CALL SHEET'!$N$392="","",'CALL SHEET'!$N$392)</f>
        <v/>
      </c>
      <c r="L392">
        <f>IF('CALL SHEET'!$AE$392="","",'CALL SHEET'!$AE$392)</f>
        <v/>
      </c>
      <c r="M392" t="inlineStr">
        <is>
          <t>TRADE</t>
        </is>
      </c>
      <c r="N392" t="inlineStr">
        <is>
          <t>CALL SHEET · row 392</t>
        </is>
      </c>
    </row>
    <row r="393">
      <c r="A393">
        <f>IF('CALL SHEET'!$A$393="","",'CALL SHEET'!$A$393)</f>
        <v/>
      </c>
      <c r="B393">
        <f>IF('CALL SHEET'!$C$393="","",'CALL SHEET'!$C$393)</f>
        <v/>
      </c>
      <c r="C393">
        <f>'CALL SHEET'!$U$393</f>
        <v/>
      </c>
      <c r="D393">
        <f>'CALL SHEET'!$Y$393</f>
        <v/>
      </c>
      <c r="E393">
        <f>'CALL SHEET'!$AC$393</f>
        <v/>
      </c>
      <c r="F393">
        <f>IF('CALL SHEET'!$V$393="","",'CALL SHEET'!$V$393)</f>
        <v/>
      </c>
      <c r="G393">
        <f>IF('CALL SHEET'!$D$393="","",'CALL SHEET'!$D$393)</f>
        <v/>
      </c>
      <c r="H393">
        <f>IF('CALL SHEET'!$G$393="","",'CALL SHEET'!$G$393)</f>
        <v/>
      </c>
      <c r="I393">
        <f>IF('CALL SHEET'!$AT$393="","",'CALL SHEET'!$AT$393)</f>
        <v/>
      </c>
      <c r="J393">
        <f>IF('CALL SHEET'!$AX$393="","",'CALL SHEET'!$AX$393)</f>
        <v/>
      </c>
      <c r="K393">
        <f>IF('CALL SHEET'!$N$393="","",'CALL SHEET'!$N$393)</f>
        <v/>
      </c>
      <c r="L393">
        <f>IF('CALL SHEET'!$AE$393="","",'CALL SHEET'!$AE$393)</f>
        <v/>
      </c>
      <c r="M393" t="inlineStr">
        <is>
          <t>TRADE</t>
        </is>
      </c>
      <c r="N393" t="inlineStr">
        <is>
          <t>CALL SHEET · row 393</t>
        </is>
      </c>
    </row>
    <row r="394">
      <c r="A394">
        <f>IF('CALL SHEET'!$A$394="","",'CALL SHEET'!$A$394)</f>
        <v/>
      </c>
      <c r="B394">
        <f>IF('CALL SHEET'!$C$394="","",'CALL SHEET'!$C$394)</f>
        <v/>
      </c>
      <c r="C394">
        <f>'CALL SHEET'!$U$394</f>
        <v/>
      </c>
      <c r="D394">
        <f>'CALL SHEET'!$Y$394</f>
        <v/>
      </c>
      <c r="E394">
        <f>'CALL SHEET'!$AC$394</f>
        <v/>
      </c>
      <c r="F394">
        <f>IF('CALL SHEET'!$V$394="","",'CALL SHEET'!$V$394)</f>
        <v/>
      </c>
      <c r="G394">
        <f>IF('CALL SHEET'!$D$394="","",'CALL SHEET'!$D$394)</f>
        <v/>
      </c>
      <c r="H394">
        <f>IF('CALL SHEET'!$G$394="","",'CALL SHEET'!$G$394)</f>
        <v/>
      </c>
      <c r="I394">
        <f>IF('CALL SHEET'!$AT$394="","",'CALL SHEET'!$AT$394)</f>
        <v/>
      </c>
      <c r="J394">
        <f>IF('CALL SHEET'!$AX$394="","",'CALL SHEET'!$AX$394)</f>
        <v/>
      </c>
      <c r="K394">
        <f>IF('CALL SHEET'!$N$394="","",'CALL SHEET'!$N$394)</f>
        <v/>
      </c>
      <c r="L394">
        <f>IF('CALL SHEET'!$AE$394="","",'CALL SHEET'!$AE$394)</f>
        <v/>
      </c>
      <c r="M394" t="inlineStr">
        <is>
          <t>TRADE</t>
        </is>
      </c>
      <c r="N394" t="inlineStr">
        <is>
          <t>CALL SHEET · row 394</t>
        </is>
      </c>
    </row>
    <row r="395">
      <c r="A395">
        <f>IF('CALL SHEET'!$A$395="","",'CALL SHEET'!$A$395)</f>
        <v/>
      </c>
      <c r="B395">
        <f>IF('CALL SHEET'!$C$395="","",'CALL SHEET'!$C$395)</f>
        <v/>
      </c>
      <c r="C395">
        <f>'CALL SHEET'!$U$395</f>
        <v/>
      </c>
      <c r="D395">
        <f>'CALL SHEET'!$Y$395</f>
        <v/>
      </c>
      <c r="E395">
        <f>'CALL SHEET'!$AC$395</f>
        <v/>
      </c>
      <c r="F395">
        <f>IF('CALL SHEET'!$V$395="","",'CALL SHEET'!$V$395)</f>
        <v/>
      </c>
      <c r="G395">
        <f>IF('CALL SHEET'!$D$395="","",'CALL SHEET'!$D$395)</f>
        <v/>
      </c>
      <c r="H395">
        <f>IF('CALL SHEET'!$G$395="","",'CALL SHEET'!$G$395)</f>
        <v/>
      </c>
      <c r="I395">
        <f>IF('CALL SHEET'!$AT$395="","",'CALL SHEET'!$AT$395)</f>
        <v/>
      </c>
      <c r="J395">
        <f>IF('CALL SHEET'!$AX$395="","",'CALL SHEET'!$AX$395)</f>
        <v/>
      </c>
      <c r="K395">
        <f>IF('CALL SHEET'!$N$395="","",'CALL SHEET'!$N$395)</f>
        <v/>
      </c>
      <c r="L395">
        <f>IF('CALL SHEET'!$AE$395="","",'CALL SHEET'!$AE$395)</f>
        <v/>
      </c>
      <c r="M395" t="inlineStr">
        <is>
          <t>TRADE</t>
        </is>
      </c>
      <c r="N395" t="inlineStr">
        <is>
          <t>CALL SHEET · row 395</t>
        </is>
      </c>
    </row>
    <row r="396">
      <c r="A396">
        <f>IF('CALL SHEET'!$A$396="","",'CALL SHEET'!$A$396)</f>
        <v/>
      </c>
      <c r="B396">
        <f>IF('CALL SHEET'!$C$396="","",'CALL SHEET'!$C$396)</f>
        <v/>
      </c>
      <c r="C396">
        <f>'CALL SHEET'!$U$396</f>
        <v/>
      </c>
      <c r="D396">
        <f>'CALL SHEET'!$Y$396</f>
        <v/>
      </c>
      <c r="E396">
        <f>'CALL SHEET'!$AC$396</f>
        <v/>
      </c>
      <c r="F396">
        <f>IF('CALL SHEET'!$V$396="","",'CALL SHEET'!$V$396)</f>
        <v/>
      </c>
      <c r="G396">
        <f>IF('CALL SHEET'!$D$396="","",'CALL SHEET'!$D$396)</f>
        <v/>
      </c>
      <c r="H396">
        <f>IF('CALL SHEET'!$G$396="","",'CALL SHEET'!$G$396)</f>
        <v/>
      </c>
      <c r="I396">
        <f>IF('CALL SHEET'!$AT$396="","",'CALL SHEET'!$AT$396)</f>
        <v/>
      </c>
      <c r="J396">
        <f>IF('CALL SHEET'!$AX$396="","",'CALL SHEET'!$AX$396)</f>
        <v/>
      </c>
      <c r="K396">
        <f>IF('CALL SHEET'!$N$396="","",'CALL SHEET'!$N$396)</f>
        <v/>
      </c>
      <c r="L396">
        <f>IF('CALL SHEET'!$AE$396="","",'CALL SHEET'!$AE$396)</f>
        <v/>
      </c>
      <c r="M396" t="inlineStr">
        <is>
          <t>TRADE</t>
        </is>
      </c>
      <c r="N396" t="inlineStr">
        <is>
          <t>CALL SHEET · row 396</t>
        </is>
      </c>
    </row>
    <row r="397">
      <c r="A397">
        <f>IF('CALL SHEET'!$A$397="","",'CALL SHEET'!$A$397)</f>
        <v/>
      </c>
      <c r="B397">
        <f>IF('CALL SHEET'!$C$397="","",'CALL SHEET'!$C$397)</f>
        <v/>
      </c>
      <c r="C397">
        <f>'CALL SHEET'!$U$397</f>
        <v/>
      </c>
      <c r="D397">
        <f>'CALL SHEET'!$Y$397</f>
        <v/>
      </c>
      <c r="E397">
        <f>'CALL SHEET'!$AC$397</f>
        <v/>
      </c>
      <c r="F397">
        <f>IF('CALL SHEET'!$V$397="","",'CALL SHEET'!$V$397)</f>
        <v/>
      </c>
      <c r="G397">
        <f>IF('CALL SHEET'!$D$397="","",'CALL SHEET'!$D$397)</f>
        <v/>
      </c>
      <c r="H397">
        <f>IF('CALL SHEET'!$G$397="","",'CALL SHEET'!$G$397)</f>
        <v/>
      </c>
      <c r="I397">
        <f>IF('CALL SHEET'!$AT$397="","",'CALL SHEET'!$AT$397)</f>
        <v/>
      </c>
      <c r="J397">
        <f>IF('CALL SHEET'!$AX$397="","",'CALL SHEET'!$AX$397)</f>
        <v/>
      </c>
      <c r="K397">
        <f>IF('CALL SHEET'!$N$397="","",'CALL SHEET'!$N$397)</f>
        <v/>
      </c>
      <c r="L397">
        <f>IF('CALL SHEET'!$AE$397="","",'CALL SHEET'!$AE$397)</f>
        <v/>
      </c>
      <c r="M397" t="inlineStr">
        <is>
          <t>TRADE</t>
        </is>
      </c>
      <c r="N397" t="inlineStr">
        <is>
          <t>CALL SHEET · row 397</t>
        </is>
      </c>
    </row>
    <row r="398">
      <c r="A398">
        <f>IF('CALL SHEET'!$A$398="","",'CALL SHEET'!$A$398)</f>
        <v/>
      </c>
      <c r="B398">
        <f>IF('CALL SHEET'!$C$398="","",'CALL SHEET'!$C$398)</f>
        <v/>
      </c>
      <c r="C398">
        <f>'CALL SHEET'!$U$398</f>
        <v/>
      </c>
      <c r="D398">
        <f>'CALL SHEET'!$Y$398</f>
        <v/>
      </c>
      <c r="E398">
        <f>'CALL SHEET'!$AC$398</f>
        <v/>
      </c>
      <c r="F398">
        <f>IF('CALL SHEET'!$V$398="","",'CALL SHEET'!$V$398)</f>
        <v/>
      </c>
      <c r="G398">
        <f>IF('CALL SHEET'!$D$398="","",'CALL SHEET'!$D$398)</f>
        <v/>
      </c>
      <c r="H398">
        <f>IF('CALL SHEET'!$G$398="","",'CALL SHEET'!$G$398)</f>
        <v/>
      </c>
      <c r="I398">
        <f>IF('CALL SHEET'!$AT$398="","",'CALL SHEET'!$AT$398)</f>
        <v/>
      </c>
      <c r="J398">
        <f>IF('CALL SHEET'!$AX$398="","",'CALL SHEET'!$AX$398)</f>
        <v/>
      </c>
      <c r="K398">
        <f>IF('CALL SHEET'!$N$398="","",'CALL SHEET'!$N$398)</f>
        <v/>
      </c>
      <c r="L398">
        <f>IF('CALL SHEET'!$AE$398="","",'CALL SHEET'!$AE$398)</f>
        <v/>
      </c>
      <c r="M398" t="inlineStr">
        <is>
          <t>TRADE</t>
        </is>
      </c>
      <c r="N398" t="inlineStr">
        <is>
          <t>CALL SHEET · row 398</t>
        </is>
      </c>
    </row>
    <row r="399">
      <c r="A399">
        <f>IF('CALL SHEET'!$A$399="","",'CALL SHEET'!$A$399)</f>
        <v/>
      </c>
      <c r="B399">
        <f>IF('CALL SHEET'!$C$399="","",'CALL SHEET'!$C$399)</f>
        <v/>
      </c>
      <c r="C399">
        <f>'CALL SHEET'!$U$399</f>
        <v/>
      </c>
      <c r="D399">
        <f>'CALL SHEET'!$Y$399</f>
        <v/>
      </c>
      <c r="E399">
        <f>'CALL SHEET'!$AC$399</f>
        <v/>
      </c>
      <c r="F399">
        <f>IF('CALL SHEET'!$V$399="","",'CALL SHEET'!$V$399)</f>
        <v/>
      </c>
      <c r="G399">
        <f>IF('CALL SHEET'!$D$399="","",'CALL SHEET'!$D$399)</f>
        <v/>
      </c>
      <c r="H399">
        <f>IF('CALL SHEET'!$G$399="","",'CALL SHEET'!$G$399)</f>
        <v/>
      </c>
      <c r="I399">
        <f>IF('CALL SHEET'!$AT$399="","",'CALL SHEET'!$AT$399)</f>
        <v/>
      </c>
      <c r="J399">
        <f>IF('CALL SHEET'!$AX$399="","",'CALL SHEET'!$AX$399)</f>
        <v/>
      </c>
      <c r="K399">
        <f>IF('CALL SHEET'!$N$399="","",'CALL SHEET'!$N$399)</f>
        <v/>
      </c>
      <c r="L399">
        <f>IF('CALL SHEET'!$AE$399="","",'CALL SHEET'!$AE$399)</f>
        <v/>
      </c>
      <c r="M399" t="inlineStr">
        <is>
          <t>TRADE</t>
        </is>
      </c>
      <c r="N399" t="inlineStr">
        <is>
          <t>CALL SHEET · row 399</t>
        </is>
      </c>
    </row>
    <row r="400">
      <c r="A400">
        <f>IF('CALL SHEET'!$A$400="","",'CALL SHEET'!$A$400)</f>
        <v/>
      </c>
      <c r="B400">
        <f>IF('CALL SHEET'!$C$400="","",'CALL SHEET'!$C$400)</f>
        <v/>
      </c>
      <c r="C400">
        <f>'CALL SHEET'!$U$400</f>
        <v/>
      </c>
      <c r="D400">
        <f>'CALL SHEET'!$Y$400</f>
        <v/>
      </c>
      <c r="E400">
        <f>'CALL SHEET'!$AC$400</f>
        <v/>
      </c>
      <c r="F400">
        <f>IF('CALL SHEET'!$V$400="","",'CALL SHEET'!$V$400)</f>
        <v/>
      </c>
      <c r="G400">
        <f>IF('CALL SHEET'!$D$400="","",'CALL SHEET'!$D$400)</f>
        <v/>
      </c>
      <c r="H400">
        <f>IF('CALL SHEET'!$G$400="","",'CALL SHEET'!$G$400)</f>
        <v/>
      </c>
      <c r="I400">
        <f>IF('CALL SHEET'!$AT$400="","",'CALL SHEET'!$AT$400)</f>
        <v/>
      </c>
      <c r="J400">
        <f>IF('CALL SHEET'!$AX$400="","",'CALL SHEET'!$AX$400)</f>
        <v/>
      </c>
      <c r="K400">
        <f>IF('CALL SHEET'!$N$400="","",'CALL SHEET'!$N$400)</f>
        <v/>
      </c>
      <c r="L400">
        <f>IF('CALL SHEET'!$AE$400="","",'CALL SHEET'!$AE$400)</f>
        <v/>
      </c>
      <c r="M400" t="inlineStr">
        <is>
          <t>TRADE</t>
        </is>
      </c>
      <c r="N400" t="inlineStr">
        <is>
          <t>CALL SHEET · row 400</t>
        </is>
      </c>
    </row>
    <row r="401">
      <c r="A401">
        <f>IF('CALL SHEET'!$A$401="","",'CALL SHEET'!$A$401)</f>
        <v/>
      </c>
      <c r="B401">
        <f>IF('CALL SHEET'!$C$401="","",'CALL SHEET'!$C$401)</f>
        <v/>
      </c>
      <c r="C401">
        <f>'CALL SHEET'!$U$401</f>
        <v/>
      </c>
      <c r="D401">
        <f>'CALL SHEET'!$Y$401</f>
        <v/>
      </c>
      <c r="E401">
        <f>'CALL SHEET'!$AC$401</f>
        <v/>
      </c>
      <c r="F401">
        <f>IF('CALL SHEET'!$V$401="","",'CALL SHEET'!$V$401)</f>
        <v/>
      </c>
      <c r="G401">
        <f>IF('CALL SHEET'!$D$401="","",'CALL SHEET'!$D$401)</f>
        <v/>
      </c>
      <c r="H401">
        <f>IF('CALL SHEET'!$G$401="","",'CALL SHEET'!$G$401)</f>
        <v/>
      </c>
      <c r="I401">
        <f>IF('CALL SHEET'!$AT$401="","",'CALL SHEET'!$AT$401)</f>
        <v/>
      </c>
      <c r="J401">
        <f>IF('CALL SHEET'!$AX$401="","",'CALL SHEET'!$AX$401)</f>
        <v/>
      </c>
      <c r="K401">
        <f>IF('CALL SHEET'!$N$401="","",'CALL SHEET'!$N$401)</f>
        <v/>
      </c>
      <c r="L401">
        <f>IF('CALL SHEET'!$AE$401="","",'CALL SHEET'!$AE$401)</f>
        <v/>
      </c>
      <c r="M401" t="inlineStr">
        <is>
          <t>TRADE</t>
        </is>
      </c>
      <c r="N401" t="inlineStr">
        <is>
          <t>CALL SHEET · row 401</t>
        </is>
      </c>
    </row>
    <row r="402">
      <c r="A402">
        <f>IF('CALL SHEET'!$A$402="","",'CALL SHEET'!$A$402)</f>
        <v/>
      </c>
      <c r="B402">
        <f>IF('CALL SHEET'!$C$402="","",'CALL SHEET'!$C$402)</f>
        <v/>
      </c>
      <c r="C402">
        <f>'CALL SHEET'!$U$402</f>
        <v/>
      </c>
      <c r="D402">
        <f>'CALL SHEET'!$Y$402</f>
        <v/>
      </c>
      <c r="E402">
        <f>'CALL SHEET'!$AC$402</f>
        <v/>
      </c>
      <c r="F402">
        <f>IF('CALL SHEET'!$V$402="","",'CALL SHEET'!$V$402)</f>
        <v/>
      </c>
      <c r="G402">
        <f>IF('CALL SHEET'!$D$402="","",'CALL SHEET'!$D$402)</f>
        <v/>
      </c>
      <c r="H402">
        <f>IF('CALL SHEET'!$G$402="","",'CALL SHEET'!$G$402)</f>
        <v/>
      </c>
      <c r="I402">
        <f>IF('CALL SHEET'!$AT$402="","",'CALL SHEET'!$AT$402)</f>
        <v/>
      </c>
      <c r="J402">
        <f>IF('CALL SHEET'!$AX$402="","",'CALL SHEET'!$AX$402)</f>
        <v/>
      </c>
      <c r="K402">
        <f>IF('CALL SHEET'!$N$402="","",'CALL SHEET'!$N$402)</f>
        <v/>
      </c>
      <c r="L402">
        <f>IF('CALL SHEET'!$AE$402="","",'CALL SHEET'!$AE$402)</f>
        <v/>
      </c>
      <c r="M402" t="inlineStr">
        <is>
          <t>TRADE</t>
        </is>
      </c>
      <c r="N402" t="inlineStr">
        <is>
          <t>CALL SHEET · row 402</t>
        </is>
      </c>
    </row>
    <row r="403">
      <c r="A403">
        <f>IF('CALL SHEET'!$A$403="","",'CALL SHEET'!$A$403)</f>
        <v/>
      </c>
      <c r="B403">
        <f>IF('CALL SHEET'!$C$403="","",'CALL SHEET'!$C$403)</f>
        <v/>
      </c>
      <c r="C403">
        <f>'CALL SHEET'!$U$403</f>
        <v/>
      </c>
      <c r="D403">
        <f>'CALL SHEET'!$Y$403</f>
        <v/>
      </c>
      <c r="E403">
        <f>'CALL SHEET'!$AC$403</f>
        <v/>
      </c>
      <c r="F403">
        <f>IF('CALL SHEET'!$V$403="","",'CALL SHEET'!$V$403)</f>
        <v/>
      </c>
      <c r="G403">
        <f>IF('CALL SHEET'!$D$403="","",'CALL SHEET'!$D$403)</f>
        <v/>
      </c>
      <c r="H403">
        <f>IF('CALL SHEET'!$G$403="","",'CALL SHEET'!$G$403)</f>
        <v/>
      </c>
      <c r="I403">
        <f>IF('CALL SHEET'!$AT$403="","",'CALL SHEET'!$AT$403)</f>
        <v/>
      </c>
      <c r="J403">
        <f>IF('CALL SHEET'!$AX$403="","",'CALL SHEET'!$AX$403)</f>
        <v/>
      </c>
      <c r="K403">
        <f>IF('CALL SHEET'!$N$403="","",'CALL SHEET'!$N$403)</f>
        <v/>
      </c>
      <c r="L403">
        <f>IF('CALL SHEET'!$AE$403="","",'CALL SHEET'!$AE$403)</f>
        <v/>
      </c>
      <c r="M403" t="inlineStr">
        <is>
          <t>TRADE</t>
        </is>
      </c>
      <c r="N403" t="inlineStr">
        <is>
          <t>CALL SHEET · row 403</t>
        </is>
      </c>
    </row>
    <row r="404">
      <c r="A404">
        <f>IF('CALL SHEET'!$A$404="","",'CALL SHEET'!$A$404)</f>
        <v/>
      </c>
      <c r="B404">
        <f>IF('CALL SHEET'!$C$404="","",'CALL SHEET'!$C$404)</f>
        <v/>
      </c>
      <c r="C404">
        <f>'CALL SHEET'!$U$404</f>
        <v/>
      </c>
      <c r="D404">
        <f>'CALL SHEET'!$Y$404</f>
        <v/>
      </c>
      <c r="E404">
        <f>'CALL SHEET'!$AC$404</f>
        <v/>
      </c>
      <c r="F404">
        <f>IF('CALL SHEET'!$V$404="","",'CALL SHEET'!$V$404)</f>
        <v/>
      </c>
      <c r="G404">
        <f>IF('CALL SHEET'!$D$404="","",'CALL SHEET'!$D$404)</f>
        <v/>
      </c>
      <c r="H404">
        <f>IF('CALL SHEET'!$G$404="","",'CALL SHEET'!$G$404)</f>
        <v/>
      </c>
      <c r="I404">
        <f>IF('CALL SHEET'!$AT$404="","",'CALL SHEET'!$AT$404)</f>
        <v/>
      </c>
      <c r="J404">
        <f>IF('CALL SHEET'!$AX$404="","",'CALL SHEET'!$AX$404)</f>
        <v/>
      </c>
      <c r="K404">
        <f>IF('CALL SHEET'!$N$404="","",'CALL SHEET'!$N$404)</f>
        <v/>
      </c>
      <c r="L404">
        <f>IF('CALL SHEET'!$AE$404="","",'CALL SHEET'!$AE$404)</f>
        <v/>
      </c>
      <c r="M404" t="inlineStr">
        <is>
          <t>TRADE</t>
        </is>
      </c>
      <c r="N404" t="inlineStr">
        <is>
          <t>CALL SHEET · row 404</t>
        </is>
      </c>
    </row>
    <row r="405">
      <c r="A405">
        <f>IF('CALL SHEET'!$A$405="","",'CALL SHEET'!$A$405)</f>
        <v/>
      </c>
      <c r="B405">
        <f>IF('CALL SHEET'!$C$405="","",'CALL SHEET'!$C$405)</f>
        <v/>
      </c>
      <c r="C405">
        <f>'CALL SHEET'!$U$405</f>
        <v/>
      </c>
      <c r="D405">
        <f>'CALL SHEET'!$Y$405</f>
        <v/>
      </c>
      <c r="E405">
        <f>'CALL SHEET'!$AC$405</f>
        <v/>
      </c>
      <c r="F405">
        <f>IF('CALL SHEET'!$V$405="","",'CALL SHEET'!$V$405)</f>
        <v/>
      </c>
      <c r="G405">
        <f>IF('CALL SHEET'!$D$405="","",'CALL SHEET'!$D$405)</f>
        <v/>
      </c>
      <c r="H405">
        <f>IF('CALL SHEET'!$G$405="","",'CALL SHEET'!$G$405)</f>
        <v/>
      </c>
      <c r="I405">
        <f>IF('CALL SHEET'!$AT$405="","",'CALL SHEET'!$AT$405)</f>
        <v/>
      </c>
      <c r="J405">
        <f>IF('CALL SHEET'!$AX$405="","",'CALL SHEET'!$AX$405)</f>
        <v/>
      </c>
      <c r="K405">
        <f>IF('CALL SHEET'!$N$405="","",'CALL SHEET'!$N$405)</f>
        <v/>
      </c>
      <c r="L405">
        <f>IF('CALL SHEET'!$AE$405="","",'CALL SHEET'!$AE$405)</f>
        <v/>
      </c>
      <c r="M405" t="inlineStr">
        <is>
          <t>TRADE</t>
        </is>
      </c>
      <c r="N405" t="inlineStr">
        <is>
          <t>CALL SHEET · row 405</t>
        </is>
      </c>
    </row>
    <row r="406">
      <c r="A406">
        <f>IF('CALL SHEET'!$A$406="","",'CALL SHEET'!$A$406)</f>
        <v/>
      </c>
      <c r="B406">
        <f>IF('CALL SHEET'!$C$406="","",'CALL SHEET'!$C$406)</f>
        <v/>
      </c>
      <c r="C406">
        <f>'CALL SHEET'!$U$406</f>
        <v/>
      </c>
      <c r="D406">
        <f>'CALL SHEET'!$Y$406</f>
        <v/>
      </c>
      <c r="E406">
        <f>'CALL SHEET'!$AC$406</f>
        <v/>
      </c>
      <c r="F406">
        <f>IF('CALL SHEET'!$V$406="","",'CALL SHEET'!$V$406)</f>
        <v/>
      </c>
      <c r="G406">
        <f>IF('CALL SHEET'!$D$406="","",'CALL SHEET'!$D$406)</f>
        <v/>
      </c>
      <c r="H406">
        <f>IF('CALL SHEET'!$G$406="","",'CALL SHEET'!$G$406)</f>
        <v/>
      </c>
      <c r="I406">
        <f>IF('CALL SHEET'!$AT$406="","",'CALL SHEET'!$AT$406)</f>
        <v/>
      </c>
      <c r="J406">
        <f>IF('CALL SHEET'!$AX$406="","",'CALL SHEET'!$AX$406)</f>
        <v/>
      </c>
      <c r="K406">
        <f>IF('CALL SHEET'!$N$406="","",'CALL SHEET'!$N$406)</f>
        <v/>
      </c>
      <c r="L406">
        <f>IF('CALL SHEET'!$AE$406="","",'CALL SHEET'!$AE$406)</f>
        <v/>
      </c>
      <c r="M406" t="inlineStr">
        <is>
          <t>TRADE</t>
        </is>
      </c>
      <c r="N406" t="inlineStr">
        <is>
          <t>CALL SHEET · row 406</t>
        </is>
      </c>
    </row>
    <row r="407">
      <c r="A407">
        <f>IF('CALL SHEET'!$A$407="","",'CALL SHEET'!$A$407)</f>
        <v/>
      </c>
      <c r="B407">
        <f>IF('CALL SHEET'!$C$407="","",'CALL SHEET'!$C$407)</f>
        <v/>
      </c>
      <c r="C407">
        <f>'CALL SHEET'!$U$407</f>
        <v/>
      </c>
      <c r="D407">
        <f>'CALL SHEET'!$Y$407</f>
        <v/>
      </c>
      <c r="E407">
        <f>'CALL SHEET'!$AC$407</f>
        <v/>
      </c>
      <c r="F407">
        <f>IF('CALL SHEET'!$V$407="","",'CALL SHEET'!$V$407)</f>
        <v/>
      </c>
      <c r="G407">
        <f>IF('CALL SHEET'!$D$407="","",'CALL SHEET'!$D$407)</f>
        <v/>
      </c>
      <c r="H407">
        <f>IF('CALL SHEET'!$G$407="","",'CALL SHEET'!$G$407)</f>
        <v/>
      </c>
      <c r="I407">
        <f>IF('CALL SHEET'!$AT$407="","",'CALL SHEET'!$AT$407)</f>
        <v/>
      </c>
      <c r="J407">
        <f>IF('CALL SHEET'!$AX$407="","",'CALL SHEET'!$AX$407)</f>
        <v/>
      </c>
      <c r="K407">
        <f>IF('CALL SHEET'!$N$407="","",'CALL SHEET'!$N$407)</f>
        <v/>
      </c>
      <c r="L407">
        <f>IF('CALL SHEET'!$AE$407="","",'CALL SHEET'!$AE$407)</f>
        <v/>
      </c>
      <c r="M407" t="inlineStr">
        <is>
          <t>TRADE</t>
        </is>
      </c>
      <c r="N407" t="inlineStr">
        <is>
          <t>CALL SHEET · row 407</t>
        </is>
      </c>
    </row>
    <row r="408">
      <c r="A408">
        <f>IF('CALL SHEET'!$A$408="","",'CALL SHEET'!$A$408)</f>
        <v/>
      </c>
      <c r="B408">
        <f>IF('CALL SHEET'!$C$408="","",'CALL SHEET'!$C$408)</f>
        <v/>
      </c>
      <c r="C408">
        <f>'CALL SHEET'!$U$408</f>
        <v/>
      </c>
      <c r="D408">
        <f>'CALL SHEET'!$Y$408</f>
        <v/>
      </c>
      <c r="E408">
        <f>'CALL SHEET'!$AC$408</f>
        <v/>
      </c>
      <c r="F408">
        <f>IF('CALL SHEET'!$V$408="","",'CALL SHEET'!$V$408)</f>
        <v/>
      </c>
      <c r="G408">
        <f>IF('CALL SHEET'!$D$408="","",'CALL SHEET'!$D$408)</f>
        <v/>
      </c>
      <c r="H408">
        <f>IF('CALL SHEET'!$G$408="","",'CALL SHEET'!$G$408)</f>
        <v/>
      </c>
      <c r="I408">
        <f>IF('CALL SHEET'!$AT$408="","",'CALL SHEET'!$AT$408)</f>
        <v/>
      </c>
      <c r="J408">
        <f>IF('CALL SHEET'!$AX$408="","",'CALL SHEET'!$AX$408)</f>
        <v/>
      </c>
      <c r="K408">
        <f>IF('CALL SHEET'!$N$408="","",'CALL SHEET'!$N$408)</f>
        <v/>
      </c>
      <c r="L408">
        <f>IF('CALL SHEET'!$AE$408="","",'CALL SHEET'!$AE$408)</f>
        <v/>
      </c>
      <c r="M408" t="inlineStr">
        <is>
          <t>TRADE</t>
        </is>
      </c>
      <c r="N408" t="inlineStr">
        <is>
          <t>CALL SHEET · row 408</t>
        </is>
      </c>
    </row>
    <row r="409">
      <c r="A409">
        <f>IF('CALL SHEET'!$A$409="","",'CALL SHEET'!$A$409)</f>
        <v/>
      </c>
      <c r="B409">
        <f>IF('CALL SHEET'!$C$409="","",'CALL SHEET'!$C$409)</f>
        <v/>
      </c>
      <c r="C409">
        <f>'CALL SHEET'!$U$409</f>
        <v/>
      </c>
      <c r="D409">
        <f>'CALL SHEET'!$Y$409</f>
        <v/>
      </c>
      <c r="E409">
        <f>'CALL SHEET'!$AC$409</f>
        <v/>
      </c>
      <c r="F409">
        <f>IF('CALL SHEET'!$V$409="","",'CALL SHEET'!$V$409)</f>
        <v/>
      </c>
      <c r="G409">
        <f>IF('CALL SHEET'!$D$409="","",'CALL SHEET'!$D$409)</f>
        <v/>
      </c>
      <c r="H409">
        <f>IF('CALL SHEET'!$G$409="","",'CALL SHEET'!$G$409)</f>
        <v/>
      </c>
      <c r="I409">
        <f>IF('CALL SHEET'!$AT$409="","",'CALL SHEET'!$AT$409)</f>
        <v/>
      </c>
      <c r="J409">
        <f>IF('CALL SHEET'!$AX$409="","",'CALL SHEET'!$AX$409)</f>
        <v/>
      </c>
      <c r="K409">
        <f>IF('CALL SHEET'!$N$409="","",'CALL SHEET'!$N$409)</f>
        <v/>
      </c>
      <c r="L409">
        <f>IF('CALL SHEET'!$AE$409="","",'CALL SHEET'!$AE$409)</f>
        <v/>
      </c>
      <c r="M409" t="inlineStr">
        <is>
          <t>TRADE</t>
        </is>
      </c>
      <c r="N409" t="inlineStr">
        <is>
          <t>CALL SHEET · row 409</t>
        </is>
      </c>
    </row>
    <row r="410">
      <c r="A410">
        <f>IF('CALL SHEET'!$A$410="","",'CALL SHEET'!$A$410)</f>
        <v/>
      </c>
      <c r="B410">
        <f>IF('CALL SHEET'!$C$410="","",'CALL SHEET'!$C$410)</f>
        <v/>
      </c>
      <c r="C410">
        <f>'CALL SHEET'!$U$410</f>
        <v/>
      </c>
      <c r="D410">
        <f>'CALL SHEET'!$Y$410</f>
        <v/>
      </c>
      <c r="E410">
        <f>'CALL SHEET'!$AC$410</f>
        <v/>
      </c>
      <c r="F410">
        <f>IF('CALL SHEET'!$V$410="","",'CALL SHEET'!$V$410)</f>
        <v/>
      </c>
      <c r="G410">
        <f>IF('CALL SHEET'!$D$410="","",'CALL SHEET'!$D$410)</f>
        <v/>
      </c>
      <c r="H410">
        <f>IF('CALL SHEET'!$G$410="","",'CALL SHEET'!$G$410)</f>
        <v/>
      </c>
      <c r="I410">
        <f>IF('CALL SHEET'!$AT$410="","",'CALL SHEET'!$AT$410)</f>
        <v/>
      </c>
      <c r="J410">
        <f>IF('CALL SHEET'!$AX$410="","",'CALL SHEET'!$AX$410)</f>
        <v/>
      </c>
      <c r="K410">
        <f>IF('CALL SHEET'!$N$410="","",'CALL SHEET'!$N$410)</f>
        <v/>
      </c>
      <c r="L410">
        <f>IF('CALL SHEET'!$AE$410="","",'CALL SHEET'!$AE$410)</f>
        <v/>
      </c>
      <c r="M410" t="inlineStr">
        <is>
          <t>TRADE</t>
        </is>
      </c>
      <c r="N410" t="inlineStr">
        <is>
          <t>CALL SHEET · row 410</t>
        </is>
      </c>
    </row>
    <row r="411">
      <c r="A411">
        <f>IF('CALL SHEET'!$A$411="","",'CALL SHEET'!$A$411)</f>
        <v/>
      </c>
      <c r="B411">
        <f>IF('CALL SHEET'!$C$411="","",'CALL SHEET'!$C$411)</f>
        <v/>
      </c>
      <c r="C411">
        <f>'CALL SHEET'!$U$411</f>
        <v/>
      </c>
      <c r="D411">
        <f>'CALL SHEET'!$Y$411</f>
        <v/>
      </c>
      <c r="E411">
        <f>'CALL SHEET'!$AC$411</f>
        <v/>
      </c>
      <c r="F411">
        <f>IF('CALL SHEET'!$V$411="","",'CALL SHEET'!$V$411)</f>
        <v/>
      </c>
      <c r="G411">
        <f>IF('CALL SHEET'!$D$411="","",'CALL SHEET'!$D$411)</f>
        <v/>
      </c>
      <c r="H411">
        <f>IF('CALL SHEET'!$G$411="","",'CALL SHEET'!$G$411)</f>
        <v/>
      </c>
      <c r="I411">
        <f>IF('CALL SHEET'!$AT$411="","",'CALL SHEET'!$AT$411)</f>
        <v/>
      </c>
      <c r="J411">
        <f>IF('CALL SHEET'!$AX$411="","",'CALL SHEET'!$AX$411)</f>
        <v/>
      </c>
      <c r="K411">
        <f>IF('CALL SHEET'!$N$411="","",'CALL SHEET'!$N$411)</f>
        <v/>
      </c>
      <c r="L411">
        <f>IF('CALL SHEET'!$AE$411="","",'CALL SHEET'!$AE$411)</f>
        <v/>
      </c>
      <c r="M411" t="inlineStr">
        <is>
          <t>TRADE</t>
        </is>
      </c>
      <c r="N411" t="inlineStr">
        <is>
          <t>CALL SHEET · row 411</t>
        </is>
      </c>
    </row>
    <row r="412">
      <c r="A412">
        <f>IF('CALL SHEET'!$A$412="","",'CALL SHEET'!$A$412)</f>
        <v/>
      </c>
      <c r="B412">
        <f>IF('CALL SHEET'!$C$412="","",'CALL SHEET'!$C$412)</f>
        <v/>
      </c>
      <c r="C412">
        <f>'CALL SHEET'!$U$412</f>
        <v/>
      </c>
      <c r="D412">
        <f>'CALL SHEET'!$Y$412</f>
        <v/>
      </c>
      <c r="E412">
        <f>'CALL SHEET'!$AC$412</f>
        <v/>
      </c>
      <c r="F412">
        <f>IF('CALL SHEET'!$V$412="","",'CALL SHEET'!$V$412)</f>
        <v/>
      </c>
      <c r="G412">
        <f>IF('CALL SHEET'!$D$412="","",'CALL SHEET'!$D$412)</f>
        <v/>
      </c>
      <c r="H412">
        <f>IF('CALL SHEET'!$G$412="","",'CALL SHEET'!$G$412)</f>
        <v/>
      </c>
      <c r="I412">
        <f>IF('CALL SHEET'!$AT$412="","",'CALL SHEET'!$AT$412)</f>
        <v/>
      </c>
      <c r="J412">
        <f>IF('CALL SHEET'!$AX$412="","",'CALL SHEET'!$AX$412)</f>
        <v/>
      </c>
      <c r="K412">
        <f>IF('CALL SHEET'!$N$412="","",'CALL SHEET'!$N$412)</f>
        <v/>
      </c>
      <c r="L412">
        <f>IF('CALL SHEET'!$AE$412="","",'CALL SHEET'!$AE$412)</f>
        <v/>
      </c>
      <c r="M412" t="inlineStr">
        <is>
          <t>TRADE</t>
        </is>
      </c>
      <c r="N412" t="inlineStr">
        <is>
          <t>CALL SHEET · row 412</t>
        </is>
      </c>
    </row>
    <row r="413">
      <c r="A413">
        <f>IF('CALL SHEET'!$A$413="","",'CALL SHEET'!$A$413)</f>
        <v/>
      </c>
      <c r="B413">
        <f>IF('CALL SHEET'!$C$413="","",'CALL SHEET'!$C$413)</f>
        <v/>
      </c>
      <c r="C413">
        <f>'CALL SHEET'!$U$413</f>
        <v/>
      </c>
      <c r="D413">
        <f>'CALL SHEET'!$Y$413</f>
        <v/>
      </c>
      <c r="E413">
        <f>'CALL SHEET'!$AC$413</f>
        <v/>
      </c>
      <c r="F413">
        <f>IF('CALL SHEET'!$V$413="","",'CALL SHEET'!$V$413)</f>
        <v/>
      </c>
      <c r="G413">
        <f>IF('CALL SHEET'!$D$413="","",'CALL SHEET'!$D$413)</f>
        <v/>
      </c>
      <c r="H413">
        <f>IF('CALL SHEET'!$G$413="","",'CALL SHEET'!$G$413)</f>
        <v/>
      </c>
      <c r="I413">
        <f>IF('CALL SHEET'!$AT$413="","",'CALL SHEET'!$AT$413)</f>
        <v/>
      </c>
      <c r="J413">
        <f>IF('CALL SHEET'!$AX$413="","",'CALL SHEET'!$AX$413)</f>
        <v/>
      </c>
      <c r="K413">
        <f>IF('CALL SHEET'!$N$413="","",'CALL SHEET'!$N$413)</f>
        <v/>
      </c>
      <c r="L413">
        <f>IF('CALL SHEET'!$AE$413="","",'CALL SHEET'!$AE$413)</f>
        <v/>
      </c>
      <c r="M413" t="inlineStr">
        <is>
          <t>TRADE</t>
        </is>
      </c>
      <c r="N413" t="inlineStr">
        <is>
          <t>CALL SHEET · row 413</t>
        </is>
      </c>
    </row>
    <row r="414">
      <c r="A414">
        <f>IF('CALL SHEET'!$A$414="","",'CALL SHEET'!$A$414)</f>
        <v/>
      </c>
      <c r="B414">
        <f>IF('CALL SHEET'!$C$414="","",'CALL SHEET'!$C$414)</f>
        <v/>
      </c>
      <c r="C414">
        <f>'CALL SHEET'!$U$414</f>
        <v/>
      </c>
      <c r="D414">
        <f>'CALL SHEET'!$Y$414</f>
        <v/>
      </c>
      <c r="E414">
        <f>'CALL SHEET'!$AC$414</f>
        <v/>
      </c>
      <c r="F414">
        <f>IF('CALL SHEET'!$V$414="","",'CALL SHEET'!$V$414)</f>
        <v/>
      </c>
      <c r="G414">
        <f>IF('CALL SHEET'!$D$414="","",'CALL SHEET'!$D$414)</f>
        <v/>
      </c>
      <c r="H414">
        <f>IF('CALL SHEET'!$G$414="","",'CALL SHEET'!$G$414)</f>
        <v/>
      </c>
      <c r="I414">
        <f>IF('CALL SHEET'!$AT$414="","",'CALL SHEET'!$AT$414)</f>
        <v/>
      </c>
      <c r="J414">
        <f>IF('CALL SHEET'!$AX$414="","",'CALL SHEET'!$AX$414)</f>
        <v/>
      </c>
      <c r="K414">
        <f>IF('CALL SHEET'!$N$414="","",'CALL SHEET'!$N$414)</f>
        <v/>
      </c>
      <c r="L414">
        <f>IF('CALL SHEET'!$AE$414="","",'CALL SHEET'!$AE$414)</f>
        <v/>
      </c>
      <c r="M414" t="inlineStr">
        <is>
          <t>TRADE</t>
        </is>
      </c>
      <c r="N414" t="inlineStr">
        <is>
          <t>CALL SHEET · row 414</t>
        </is>
      </c>
    </row>
    <row r="415">
      <c r="A415">
        <f>IF('CALL SHEET'!$A$415="","",'CALL SHEET'!$A$415)</f>
        <v/>
      </c>
      <c r="B415">
        <f>IF('CALL SHEET'!$C$415="","",'CALL SHEET'!$C$415)</f>
        <v/>
      </c>
      <c r="C415">
        <f>'CALL SHEET'!$U$415</f>
        <v/>
      </c>
      <c r="D415">
        <f>'CALL SHEET'!$Y$415</f>
        <v/>
      </c>
      <c r="E415">
        <f>'CALL SHEET'!$AC$415</f>
        <v/>
      </c>
      <c r="F415">
        <f>IF('CALL SHEET'!$V$415="","",'CALL SHEET'!$V$415)</f>
        <v/>
      </c>
      <c r="G415">
        <f>IF('CALL SHEET'!$D$415="","",'CALL SHEET'!$D$415)</f>
        <v/>
      </c>
      <c r="H415">
        <f>IF('CALL SHEET'!$G$415="","",'CALL SHEET'!$G$415)</f>
        <v/>
      </c>
      <c r="I415">
        <f>IF('CALL SHEET'!$AT$415="","",'CALL SHEET'!$AT$415)</f>
        <v/>
      </c>
      <c r="J415">
        <f>IF('CALL SHEET'!$AX$415="","",'CALL SHEET'!$AX$415)</f>
        <v/>
      </c>
      <c r="K415">
        <f>IF('CALL SHEET'!$N$415="","",'CALL SHEET'!$N$415)</f>
        <v/>
      </c>
      <c r="L415">
        <f>IF('CALL SHEET'!$AE$415="","",'CALL SHEET'!$AE$415)</f>
        <v/>
      </c>
      <c r="M415" t="inlineStr">
        <is>
          <t>TRADE</t>
        </is>
      </c>
      <c r="N415" t="inlineStr">
        <is>
          <t>CALL SHEET · row 415</t>
        </is>
      </c>
    </row>
    <row r="416">
      <c r="A416">
        <f>IF('CALL SHEET'!$A$416="","",'CALL SHEET'!$A$416)</f>
        <v/>
      </c>
      <c r="B416">
        <f>IF('CALL SHEET'!$C$416="","",'CALL SHEET'!$C$416)</f>
        <v/>
      </c>
      <c r="C416">
        <f>'CALL SHEET'!$U$416</f>
        <v/>
      </c>
      <c r="D416">
        <f>'CALL SHEET'!$Y$416</f>
        <v/>
      </c>
      <c r="E416">
        <f>'CALL SHEET'!$AC$416</f>
        <v/>
      </c>
      <c r="F416">
        <f>IF('CALL SHEET'!$V$416="","",'CALL SHEET'!$V$416)</f>
        <v/>
      </c>
      <c r="G416">
        <f>IF('CALL SHEET'!$D$416="","",'CALL SHEET'!$D$416)</f>
        <v/>
      </c>
      <c r="H416">
        <f>IF('CALL SHEET'!$G$416="","",'CALL SHEET'!$G$416)</f>
        <v/>
      </c>
      <c r="I416">
        <f>IF('CALL SHEET'!$AT$416="","",'CALL SHEET'!$AT$416)</f>
        <v/>
      </c>
      <c r="J416">
        <f>IF('CALL SHEET'!$AX$416="","",'CALL SHEET'!$AX$416)</f>
        <v/>
      </c>
      <c r="K416">
        <f>IF('CALL SHEET'!$N$416="","",'CALL SHEET'!$N$416)</f>
        <v/>
      </c>
      <c r="L416">
        <f>IF('CALL SHEET'!$AE$416="","",'CALL SHEET'!$AE$416)</f>
        <v/>
      </c>
      <c r="M416" t="inlineStr">
        <is>
          <t>TRADE</t>
        </is>
      </c>
      <c r="N416" t="inlineStr">
        <is>
          <t>CALL SHEET · row 416</t>
        </is>
      </c>
    </row>
    <row r="417">
      <c r="A417">
        <f>IF('CALL SHEET'!$A$417="","",'CALL SHEET'!$A$417)</f>
        <v/>
      </c>
      <c r="B417">
        <f>IF('CALL SHEET'!$C$417="","",'CALL SHEET'!$C$417)</f>
        <v/>
      </c>
      <c r="C417">
        <f>'CALL SHEET'!$U$417</f>
        <v/>
      </c>
      <c r="D417">
        <f>'CALL SHEET'!$Y$417</f>
        <v/>
      </c>
      <c r="E417">
        <f>'CALL SHEET'!$AC$417</f>
        <v/>
      </c>
      <c r="F417">
        <f>IF('CALL SHEET'!$V$417="","",'CALL SHEET'!$V$417)</f>
        <v/>
      </c>
      <c r="G417">
        <f>IF('CALL SHEET'!$D$417="","",'CALL SHEET'!$D$417)</f>
        <v/>
      </c>
      <c r="H417">
        <f>IF('CALL SHEET'!$G$417="","",'CALL SHEET'!$G$417)</f>
        <v/>
      </c>
      <c r="I417">
        <f>IF('CALL SHEET'!$AT$417="","",'CALL SHEET'!$AT$417)</f>
        <v/>
      </c>
      <c r="J417">
        <f>IF('CALL SHEET'!$AX$417="","",'CALL SHEET'!$AX$417)</f>
        <v/>
      </c>
      <c r="K417">
        <f>IF('CALL SHEET'!$N$417="","",'CALL SHEET'!$N$417)</f>
        <v/>
      </c>
      <c r="L417">
        <f>IF('CALL SHEET'!$AE$417="","",'CALL SHEET'!$AE$417)</f>
        <v/>
      </c>
      <c r="M417" t="inlineStr">
        <is>
          <t>TRADE</t>
        </is>
      </c>
      <c r="N417" t="inlineStr">
        <is>
          <t>CALL SHEET · row 417</t>
        </is>
      </c>
    </row>
    <row r="418">
      <c r="A418">
        <f>IF('CALL SHEET'!$A$418="","",'CALL SHEET'!$A$418)</f>
        <v/>
      </c>
      <c r="B418">
        <f>IF('CALL SHEET'!$C$418="","",'CALL SHEET'!$C$418)</f>
        <v/>
      </c>
      <c r="C418">
        <f>'CALL SHEET'!$U$418</f>
        <v/>
      </c>
      <c r="D418">
        <f>'CALL SHEET'!$Y$418</f>
        <v/>
      </c>
      <c r="E418">
        <f>'CALL SHEET'!$AC$418</f>
        <v/>
      </c>
      <c r="F418">
        <f>IF('CALL SHEET'!$V$418="","",'CALL SHEET'!$V$418)</f>
        <v/>
      </c>
      <c r="G418">
        <f>IF('CALL SHEET'!$D$418="","",'CALL SHEET'!$D$418)</f>
        <v/>
      </c>
      <c r="H418">
        <f>IF('CALL SHEET'!$G$418="","",'CALL SHEET'!$G$418)</f>
        <v/>
      </c>
      <c r="I418">
        <f>IF('CALL SHEET'!$AT$418="","",'CALL SHEET'!$AT$418)</f>
        <v/>
      </c>
      <c r="J418">
        <f>IF('CALL SHEET'!$AX$418="","",'CALL SHEET'!$AX$418)</f>
        <v/>
      </c>
      <c r="K418">
        <f>IF('CALL SHEET'!$N$418="","",'CALL SHEET'!$N$418)</f>
        <v/>
      </c>
      <c r="L418">
        <f>IF('CALL SHEET'!$AE$418="","",'CALL SHEET'!$AE$418)</f>
        <v/>
      </c>
      <c r="M418" t="inlineStr">
        <is>
          <t>TRADE</t>
        </is>
      </c>
      <c r="N418" t="inlineStr">
        <is>
          <t>CALL SHEET · row 418</t>
        </is>
      </c>
    </row>
    <row r="419">
      <c r="A419">
        <f>IF('CALL SHEET'!$A$419="","",'CALL SHEET'!$A$419)</f>
        <v/>
      </c>
      <c r="B419">
        <f>IF('CALL SHEET'!$C$419="","",'CALL SHEET'!$C$419)</f>
        <v/>
      </c>
      <c r="C419">
        <f>'CALL SHEET'!$U$419</f>
        <v/>
      </c>
      <c r="D419">
        <f>'CALL SHEET'!$Y$419</f>
        <v/>
      </c>
      <c r="E419">
        <f>'CALL SHEET'!$AC$419</f>
        <v/>
      </c>
      <c r="F419">
        <f>IF('CALL SHEET'!$V$419="","",'CALL SHEET'!$V$419)</f>
        <v/>
      </c>
      <c r="G419">
        <f>IF('CALL SHEET'!$D$419="","",'CALL SHEET'!$D$419)</f>
        <v/>
      </c>
      <c r="H419">
        <f>IF('CALL SHEET'!$G$419="","",'CALL SHEET'!$G$419)</f>
        <v/>
      </c>
      <c r="I419">
        <f>IF('CALL SHEET'!$AT$419="","",'CALL SHEET'!$AT$419)</f>
        <v/>
      </c>
      <c r="J419">
        <f>IF('CALL SHEET'!$AX$419="","",'CALL SHEET'!$AX$419)</f>
        <v/>
      </c>
      <c r="K419">
        <f>IF('CALL SHEET'!$N$419="","",'CALL SHEET'!$N$419)</f>
        <v/>
      </c>
      <c r="L419">
        <f>IF('CALL SHEET'!$AE$419="","",'CALL SHEET'!$AE$419)</f>
        <v/>
      </c>
      <c r="M419" t="inlineStr">
        <is>
          <t>TRADE</t>
        </is>
      </c>
      <c r="N419" t="inlineStr">
        <is>
          <t>CALL SHEET · row 419</t>
        </is>
      </c>
    </row>
    <row r="420">
      <c r="A420">
        <f>IF('CALL SHEET'!$A$420="","",'CALL SHEET'!$A$420)</f>
        <v/>
      </c>
      <c r="B420">
        <f>IF('CALL SHEET'!$C$420="","",'CALL SHEET'!$C$420)</f>
        <v/>
      </c>
      <c r="C420">
        <f>'CALL SHEET'!$U$420</f>
        <v/>
      </c>
      <c r="D420">
        <f>'CALL SHEET'!$Y$420</f>
        <v/>
      </c>
      <c r="E420">
        <f>'CALL SHEET'!$AC$420</f>
        <v/>
      </c>
      <c r="F420">
        <f>IF('CALL SHEET'!$V$420="","",'CALL SHEET'!$V$420)</f>
        <v/>
      </c>
      <c r="G420">
        <f>IF('CALL SHEET'!$D$420="","",'CALL SHEET'!$D$420)</f>
        <v/>
      </c>
      <c r="H420">
        <f>IF('CALL SHEET'!$G$420="","",'CALL SHEET'!$G$420)</f>
        <v/>
      </c>
      <c r="I420">
        <f>IF('CALL SHEET'!$AT$420="","",'CALL SHEET'!$AT$420)</f>
        <v/>
      </c>
      <c r="J420">
        <f>IF('CALL SHEET'!$AX$420="","",'CALL SHEET'!$AX$420)</f>
        <v/>
      </c>
      <c r="K420">
        <f>IF('CALL SHEET'!$N$420="","",'CALL SHEET'!$N$420)</f>
        <v/>
      </c>
      <c r="L420">
        <f>IF('CALL SHEET'!$AE$420="","",'CALL SHEET'!$AE$420)</f>
        <v/>
      </c>
      <c r="M420" t="inlineStr">
        <is>
          <t>TRADE</t>
        </is>
      </c>
      <c r="N420" t="inlineStr">
        <is>
          <t>CALL SHEET · row 420</t>
        </is>
      </c>
    </row>
    <row r="421">
      <c r="A421">
        <f>IF('CALL SHEET'!$A$421="","",'CALL SHEET'!$A$421)</f>
        <v/>
      </c>
      <c r="B421">
        <f>IF('CALL SHEET'!$C$421="","",'CALL SHEET'!$C$421)</f>
        <v/>
      </c>
      <c r="C421">
        <f>'CALL SHEET'!$U$421</f>
        <v/>
      </c>
      <c r="D421">
        <f>'CALL SHEET'!$Y$421</f>
        <v/>
      </c>
      <c r="E421">
        <f>'CALL SHEET'!$AC$421</f>
        <v/>
      </c>
      <c r="F421">
        <f>IF('CALL SHEET'!$V$421="","",'CALL SHEET'!$V$421)</f>
        <v/>
      </c>
      <c r="G421">
        <f>IF('CALL SHEET'!$D$421="","",'CALL SHEET'!$D$421)</f>
        <v/>
      </c>
      <c r="H421">
        <f>IF('CALL SHEET'!$G$421="","",'CALL SHEET'!$G$421)</f>
        <v/>
      </c>
      <c r="I421">
        <f>IF('CALL SHEET'!$AT$421="","",'CALL SHEET'!$AT$421)</f>
        <v/>
      </c>
      <c r="J421">
        <f>IF('CALL SHEET'!$AX$421="","",'CALL SHEET'!$AX$421)</f>
        <v/>
      </c>
      <c r="K421">
        <f>IF('CALL SHEET'!$N$421="","",'CALL SHEET'!$N$421)</f>
        <v/>
      </c>
      <c r="L421">
        <f>IF('CALL SHEET'!$AE$421="","",'CALL SHEET'!$AE$421)</f>
        <v/>
      </c>
      <c r="M421" t="inlineStr">
        <is>
          <t>TRADE</t>
        </is>
      </c>
      <c r="N421" t="inlineStr">
        <is>
          <t>CALL SHEET · row 421</t>
        </is>
      </c>
    </row>
    <row r="422">
      <c r="A422">
        <f>IF('CALL SHEET'!$A$422="","",'CALL SHEET'!$A$422)</f>
        <v/>
      </c>
      <c r="B422">
        <f>IF('CALL SHEET'!$C$422="","",'CALL SHEET'!$C$422)</f>
        <v/>
      </c>
      <c r="C422">
        <f>'CALL SHEET'!$U$422</f>
        <v/>
      </c>
      <c r="D422">
        <f>'CALL SHEET'!$Y$422</f>
        <v/>
      </c>
      <c r="E422">
        <f>'CALL SHEET'!$AC$422</f>
        <v/>
      </c>
      <c r="F422">
        <f>IF('CALL SHEET'!$V$422="","",'CALL SHEET'!$V$422)</f>
        <v/>
      </c>
      <c r="G422">
        <f>IF('CALL SHEET'!$D$422="","",'CALL SHEET'!$D$422)</f>
        <v/>
      </c>
      <c r="H422">
        <f>IF('CALL SHEET'!$G$422="","",'CALL SHEET'!$G$422)</f>
        <v/>
      </c>
      <c r="I422">
        <f>IF('CALL SHEET'!$AT$422="","",'CALL SHEET'!$AT$422)</f>
        <v/>
      </c>
      <c r="J422">
        <f>IF('CALL SHEET'!$AX$422="","",'CALL SHEET'!$AX$422)</f>
        <v/>
      </c>
      <c r="K422">
        <f>IF('CALL SHEET'!$N$422="","",'CALL SHEET'!$N$422)</f>
        <v/>
      </c>
      <c r="L422">
        <f>IF('CALL SHEET'!$AE$422="","",'CALL SHEET'!$AE$422)</f>
        <v/>
      </c>
      <c r="M422" t="inlineStr">
        <is>
          <t>TRADE</t>
        </is>
      </c>
      <c r="N422" t="inlineStr">
        <is>
          <t>CALL SHEET · row 422</t>
        </is>
      </c>
    </row>
    <row r="423">
      <c r="A423">
        <f>IF('CALL SHEET'!$A$423="","",'CALL SHEET'!$A$423)</f>
        <v/>
      </c>
      <c r="B423">
        <f>IF('CALL SHEET'!$C$423="","",'CALL SHEET'!$C$423)</f>
        <v/>
      </c>
      <c r="C423">
        <f>'CALL SHEET'!$U$423</f>
        <v/>
      </c>
      <c r="D423">
        <f>'CALL SHEET'!$Y$423</f>
        <v/>
      </c>
      <c r="E423">
        <f>'CALL SHEET'!$AC$423</f>
        <v/>
      </c>
      <c r="F423">
        <f>IF('CALL SHEET'!$V$423="","",'CALL SHEET'!$V$423)</f>
        <v/>
      </c>
      <c r="G423">
        <f>IF('CALL SHEET'!$D$423="","",'CALL SHEET'!$D$423)</f>
        <v/>
      </c>
      <c r="H423">
        <f>IF('CALL SHEET'!$G$423="","",'CALL SHEET'!$G$423)</f>
        <v/>
      </c>
      <c r="I423">
        <f>IF('CALL SHEET'!$AT$423="","",'CALL SHEET'!$AT$423)</f>
        <v/>
      </c>
      <c r="J423">
        <f>IF('CALL SHEET'!$AX$423="","",'CALL SHEET'!$AX$423)</f>
        <v/>
      </c>
      <c r="K423">
        <f>IF('CALL SHEET'!$N$423="","",'CALL SHEET'!$N$423)</f>
        <v/>
      </c>
      <c r="L423">
        <f>IF('CALL SHEET'!$AE$423="","",'CALL SHEET'!$AE$423)</f>
        <v/>
      </c>
      <c r="M423" t="inlineStr">
        <is>
          <t>TRADE</t>
        </is>
      </c>
      <c r="N423" t="inlineStr">
        <is>
          <t>CALL SHEET · row 423</t>
        </is>
      </c>
    </row>
    <row r="424">
      <c r="A424">
        <f>IF('CALL SHEET'!$A$424="","",'CALL SHEET'!$A$424)</f>
        <v/>
      </c>
      <c r="B424">
        <f>IF('CALL SHEET'!$C$424="","",'CALL SHEET'!$C$424)</f>
        <v/>
      </c>
      <c r="C424">
        <f>'CALL SHEET'!$U$424</f>
        <v/>
      </c>
      <c r="D424">
        <f>'CALL SHEET'!$Y$424</f>
        <v/>
      </c>
      <c r="E424">
        <f>'CALL SHEET'!$AC$424</f>
        <v/>
      </c>
      <c r="F424">
        <f>IF('CALL SHEET'!$V$424="","",'CALL SHEET'!$V$424)</f>
        <v/>
      </c>
      <c r="G424">
        <f>IF('CALL SHEET'!$D$424="","",'CALL SHEET'!$D$424)</f>
        <v/>
      </c>
      <c r="H424">
        <f>IF('CALL SHEET'!$G$424="","",'CALL SHEET'!$G$424)</f>
        <v/>
      </c>
      <c r="I424">
        <f>IF('CALL SHEET'!$AT$424="","",'CALL SHEET'!$AT$424)</f>
        <v/>
      </c>
      <c r="J424">
        <f>IF('CALL SHEET'!$AX$424="","",'CALL SHEET'!$AX$424)</f>
        <v/>
      </c>
      <c r="K424">
        <f>IF('CALL SHEET'!$N$424="","",'CALL SHEET'!$N$424)</f>
        <v/>
      </c>
      <c r="L424">
        <f>IF('CALL SHEET'!$AE$424="","",'CALL SHEET'!$AE$424)</f>
        <v/>
      </c>
      <c r="M424" t="inlineStr">
        <is>
          <t>TRADE</t>
        </is>
      </c>
      <c r="N424" t="inlineStr">
        <is>
          <t>CALL SHEET · row 424</t>
        </is>
      </c>
    </row>
    <row r="425">
      <c r="A425">
        <f>IF('CALL SHEET'!$A$425="","",'CALL SHEET'!$A$425)</f>
        <v/>
      </c>
      <c r="B425">
        <f>IF('CALL SHEET'!$C$425="","",'CALL SHEET'!$C$425)</f>
        <v/>
      </c>
      <c r="C425">
        <f>'CALL SHEET'!$U$425</f>
        <v/>
      </c>
      <c r="D425">
        <f>'CALL SHEET'!$Y$425</f>
        <v/>
      </c>
      <c r="E425">
        <f>'CALL SHEET'!$AC$425</f>
        <v/>
      </c>
      <c r="F425">
        <f>IF('CALL SHEET'!$V$425="","",'CALL SHEET'!$V$425)</f>
        <v/>
      </c>
      <c r="G425">
        <f>IF('CALL SHEET'!$D$425="","",'CALL SHEET'!$D$425)</f>
        <v/>
      </c>
      <c r="H425">
        <f>IF('CALL SHEET'!$G$425="","",'CALL SHEET'!$G$425)</f>
        <v/>
      </c>
      <c r="I425">
        <f>IF('CALL SHEET'!$AT$425="","",'CALL SHEET'!$AT$425)</f>
        <v/>
      </c>
      <c r="J425">
        <f>IF('CALL SHEET'!$AX$425="","",'CALL SHEET'!$AX$425)</f>
        <v/>
      </c>
      <c r="K425">
        <f>IF('CALL SHEET'!$N$425="","",'CALL SHEET'!$N$425)</f>
        <v/>
      </c>
      <c r="L425">
        <f>IF('CALL SHEET'!$AE$425="","",'CALL SHEET'!$AE$425)</f>
        <v/>
      </c>
      <c r="M425" t="inlineStr">
        <is>
          <t>TRADE</t>
        </is>
      </c>
      <c r="N425" t="inlineStr">
        <is>
          <t>CALL SHEET · row 425</t>
        </is>
      </c>
    </row>
    <row r="426">
      <c r="A426">
        <f>IF('CALL SHEET'!$A$426="","",'CALL SHEET'!$A$426)</f>
        <v/>
      </c>
      <c r="B426">
        <f>IF('CALL SHEET'!$C$426="","",'CALL SHEET'!$C$426)</f>
        <v/>
      </c>
      <c r="C426">
        <f>'CALL SHEET'!$U$426</f>
        <v/>
      </c>
      <c r="D426">
        <f>'CALL SHEET'!$Y$426</f>
        <v/>
      </c>
      <c r="E426">
        <f>'CALL SHEET'!$AC$426</f>
        <v/>
      </c>
      <c r="F426">
        <f>IF('CALL SHEET'!$V$426="","",'CALL SHEET'!$V$426)</f>
        <v/>
      </c>
      <c r="G426">
        <f>IF('CALL SHEET'!$D$426="","",'CALL SHEET'!$D$426)</f>
        <v/>
      </c>
      <c r="H426">
        <f>IF('CALL SHEET'!$G$426="","",'CALL SHEET'!$G$426)</f>
        <v/>
      </c>
      <c r="I426">
        <f>IF('CALL SHEET'!$AT$426="","",'CALL SHEET'!$AT$426)</f>
        <v/>
      </c>
      <c r="J426">
        <f>IF('CALL SHEET'!$AX$426="","",'CALL SHEET'!$AX$426)</f>
        <v/>
      </c>
      <c r="K426">
        <f>IF('CALL SHEET'!$N$426="","",'CALL SHEET'!$N$426)</f>
        <v/>
      </c>
      <c r="L426">
        <f>IF('CALL SHEET'!$AE$426="","",'CALL SHEET'!$AE$426)</f>
        <v/>
      </c>
      <c r="M426" t="inlineStr">
        <is>
          <t>TRADE</t>
        </is>
      </c>
      <c r="N426" t="inlineStr">
        <is>
          <t>CALL SHEET · row 426</t>
        </is>
      </c>
    </row>
    <row r="427">
      <c r="A427">
        <f>IF('CALL SHEET'!$A$427="","",'CALL SHEET'!$A$427)</f>
        <v/>
      </c>
      <c r="B427">
        <f>IF('CALL SHEET'!$C$427="","",'CALL SHEET'!$C$427)</f>
        <v/>
      </c>
      <c r="C427">
        <f>'CALL SHEET'!$U$427</f>
        <v/>
      </c>
      <c r="D427">
        <f>'CALL SHEET'!$Y$427</f>
        <v/>
      </c>
      <c r="E427">
        <f>'CALL SHEET'!$AC$427</f>
        <v/>
      </c>
      <c r="F427">
        <f>IF('CALL SHEET'!$V$427="","",'CALL SHEET'!$V$427)</f>
        <v/>
      </c>
      <c r="G427">
        <f>IF('CALL SHEET'!$D$427="","",'CALL SHEET'!$D$427)</f>
        <v/>
      </c>
      <c r="H427">
        <f>IF('CALL SHEET'!$G$427="","",'CALL SHEET'!$G$427)</f>
        <v/>
      </c>
      <c r="I427">
        <f>IF('CALL SHEET'!$AT$427="","",'CALL SHEET'!$AT$427)</f>
        <v/>
      </c>
      <c r="J427">
        <f>IF('CALL SHEET'!$AX$427="","",'CALL SHEET'!$AX$427)</f>
        <v/>
      </c>
      <c r="K427">
        <f>IF('CALL SHEET'!$N$427="","",'CALL SHEET'!$N$427)</f>
        <v/>
      </c>
      <c r="L427">
        <f>IF('CALL SHEET'!$AE$427="","",'CALL SHEET'!$AE$427)</f>
        <v/>
      </c>
      <c r="M427" t="inlineStr">
        <is>
          <t>TRADE</t>
        </is>
      </c>
      <c r="N427" t="inlineStr">
        <is>
          <t>CALL SHEET · row 427</t>
        </is>
      </c>
    </row>
    <row r="428">
      <c r="A428">
        <f>IF('CALL SHEET'!$A$428="","",'CALL SHEET'!$A$428)</f>
        <v/>
      </c>
      <c r="B428">
        <f>IF('CALL SHEET'!$C$428="","",'CALL SHEET'!$C$428)</f>
        <v/>
      </c>
      <c r="C428">
        <f>'CALL SHEET'!$U$428</f>
        <v/>
      </c>
      <c r="D428">
        <f>'CALL SHEET'!$Y$428</f>
        <v/>
      </c>
      <c r="E428">
        <f>'CALL SHEET'!$AC$428</f>
        <v/>
      </c>
      <c r="F428">
        <f>IF('CALL SHEET'!$V$428="","",'CALL SHEET'!$V$428)</f>
        <v/>
      </c>
      <c r="G428">
        <f>IF('CALL SHEET'!$D$428="","",'CALL SHEET'!$D$428)</f>
        <v/>
      </c>
      <c r="H428">
        <f>IF('CALL SHEET'!$G$428="","",'CALL SHEET'!$G$428)</f>
        <v/>
      </c>
      <c r="I428">
        <f>IF('CALL SHEET'!$AT$428="","",'CALL SHEET'!$AT$428)</f>
        <v/>
      </c>
      <c r="J428">
        <f>IF('CALL SHEET'!$AX$428="","",'CALL SHEET'!$AX$428)</f>
        <v/>
      </c>
      <c r="K428">
        <f>IF('CALL SHEET'!$N$428="","",'CALL SHEET'!$N$428)</f>
        <v/>
      </c>
      <c r="L428">
        <f>IF('CALL SHEET'!$AE$428="","",'CALL SHEET'!$AE$428)</f>
        <v/>
      </c>
      <c r="M428" t="inlineStr">
        <is>
          <t>TRADE</t>
        </is>
      </c>
      <c r="N428" t="inlineStr">
        <is>
          <t>CALL SHEET · row 428</t>
        </is>
      </c>
    </row>
    <row r="429">
      <c r="A429">
        <f>IF('CALL SHEET'!$A$429="","",'CALL SHEET'!$A$429)</f>
        <v/>
      </c>
      <c r="B429">
        <f>IF('CALL SHEET'!$C$429="","",'CALL SHEET'!$C$429)</f>
        <v/>
      </c>
      <c r="C429">
        <f>'CALL SHEET'!$U$429</f>
        <v/>
      </c>
      <c r="D429">
        <f>'CALL SHEET'!$Y$429</f>
        <v/>
      </c>
      <c r="E429">
        <f>'CALL SHEET'!$AC$429</f>
        <v/>
      </c>
      <c r="F429">
        <f>IF('CALL SHEET'!$V$429="","",'CALL SHEET'!$V$429)</f>
        <v/>
      </c>
      <c r="G429">
        <f>IF('CALL SHEET'!$D$429="","",'CALL SHEET'!$D$429)</f>
        <v/>
      </c>
      <c r="H429">
        <f>IF('CALL SHEET'!$G$429="","",'CALL SHEET'!$G$429)</f>
        <v/>
      </c>
      <c r="I429">
        <f>IF('CALL SHEET'!$AT$429="","",'CALL SHEET'!$AT$429)</f>
        <v/>
      </c>
      <c r="J429">
        <f>IF('CALL SHEET'!$AX$429="","",'CALL SHEET'!$AX$429)</f>
        <v/>
      </c>
      <c r="K429">
        <f>IF('CALL SHEET'!$N$429="","",'CALL SHEET'!$N$429)</f>
        <v/>
      </c>
      <c r="L429">
        <f>IF('CALL SHEET'!$AE$429="","",'CALL SHEET'!$AE$429)</f>
        <v/>
      </c>
      <c r="M429" t="inlineStr">
        <is>
          <t>TRADE</t>
        </is>
      </c>
      <c r="N429" t="inlineStr">
        <is>
          <t>CALL SHEET · row 429</t>
        </is>
      </c>
    </row>
    <row r="430">
      <c r="A430">
        <f>IF('CALL SHEET'!$A$430="","",'CALL SHEET'!$A$430)</f>
        <v/>
      </c>
      <c r="B430">
        <f>IF('CALL SHEET'!$C$430="","",'CALL SHEET'!$C$430)</f>
        <v/>
      </c>
      <c r="C430">
        <f>'CALL SHEET'!$U$430</f>
        <v/>
      </c>
      <c r="D430">
        <f>'CALL SHEET'!$Y$430</f>
        <v/>
      </c>
      <c r="E430">
        <f>'CALL SHEET'!$AC$430</f>
        <v/>
      </c>
      <c r="F430">
        <f>IF('CALL SHEET'!$V$430="","",'CALL SHEET'!$V$430)</f>
        <v/>
      </c>
      <c r="G430">
        <f>IF('CALL SHEET'!$D$430="","",'CALL SHEET'!$D$430)</f>
        <v/>
      </c>
      <c r="H430">
        <f>IF('CALL SHEET'!$G$430="","",'CALL SHEET'!$G$430)</f>
        <v/>
      </c>
      <c r="I430">
        <f>IF('CALL SHEET'!$AT$430="","",'CALL SHEET'!$AT$430)</f>
        <v/>
      </c>
      <c r="J430">
        <f>IF('CALL SHEET'!$AX$430="","",'CALL SHEET'!$AX$430)</f>
        <v/>
      </c>
      <c r="K430">
        <f>IF('CALL SHEET'!$N$430="","",'CALL SHEET'!$N$430)</f>
        <v/>
      </c>
      <c r="L430">
        <f>IF('CALL SHEET'!$AE$430="","",'CALL SHEET'!$AE$430)</f>
        <v/>
      </c>
      <c r="M430" t="inlineStr">
        <is>
          <t>TRADE</t>
        </is>
      </c>
      <c r="N430" t="inlineStr">
        <is>
          <t>CALL SHEET · row 430</t>
        </is>
      </c>
    </row>
    <row r="431">
      <c r="A431">
        <f>IF('CALL SHEET'!$A$431="","",'CALL SHEET'!$A$431)</f>
        <v/>
      </c>
      <c r="B431">
        <f>IF('CALL SHEET'!$C$431="","",'CALL SHEET'!$C$431)</f>
        <v/>
      </c>
      <c r="C431">
        <f>'CALL SHEET'!$U$431</f>
        <v/>
      </c>
      <c r="D431">
        <f>'CALL SHEET'!$Y$431</f>
        <v/>
      </c>
      <c r="E431">
        <f>'CALL SHEET'!$AC$431</f>
        <v/>
      </c>
      <c r="F431">
        <f>IF('CALL SHEET'!$V$431="","",'CALL SHEET'!$V$431)</f>
        <v/>
      </c>
      <c r="G431">
        <f>IF('CALL SHEET'!$D$431="","",'CALL SHEET'!$D$431)</f>
        <v/>
      </c>
      <c r="H431">
        <f>IF('CALL SHEET'!$G$431="","",'CALL SHEET'!$G$431)</f>
        <v/>
      </c>
      <c r="I431">
        <f>IF('CALL SHEET'!$AT$431="","",'CALL SHEET'!$AT$431)</f>
        <v/>
      </c>
      <c r="J431">
        <f>IF('CALL SHEET'!$AX$431="","",'CALL SHEET'!$AX$431)</f>
        <v/>
      </c>
      <c r="K431">
        <f>IF('CALL SHEET'!$N$431="","",'CALL SHEET'!$N$431)</f>
        <v/>
      </c>
      <c r="L431">
        <f>IF('CALL SHEET'!$AE$431="","",'CALL SHEET'!$AE$431)</f>
        <v/>
      </c>
      <c r="M431" t="inlineStr">
        <is>
          <t>TRADE</t>
        </is>
      </c>
      <c r="N431" t="inlineStr">
        <is>
          <t>CALL SHEET · row 431</t>
        </is>
      </c>
    </row>
    <row r="432">
      <c r="A432">
        <f>IF('CALL SHEET'!$A$432="","",'CALL SHEET'!$A$432)</f>
        <v/>
      </c>
      <c r="B432">
        <f>IF('CALL SHEET'!$C$432="","",'CALL SHEET'!$C$432)</f>
        <v/>
      </c>
      <c r="C432">
        <f>'CALL SHEET'!$U$432</f>
        <v/>
      </c>
      <c r="D432">
        <f>'CALL SHEET'!$Y$432</f>
        <v/>
      </c>
      <c r="E432">
        <f>'CALL SHEET'!$AC$432</f>
        <v/>
      </c>
      <c r="F432">
        <f>IF('CALL SHEET'!$V$432="","",'CALL SHEET'!$V$432)</f>
        <v/>
      </c>
      <c r="G432">
        <f>IF('CALL SHEET'!$D$432="","",'CALL SHEET'!$D$432)</f>
        <v/>
      </c>
      <c r="H432">
        <f>IF('CALL SHEET'!$G$432="","",'CALL SHEET'!$G$432)</f>
        <v/>
      </c>
      <c r="I432">
        <f>IF('CALL SHEET'!$AT$432="","",'CALL SHEET'!$AT$432)</f>
        <v/>
      </c>
      <c r="J432">
        <f>IF('CALL SHEET'!$AX$432="","",'CALL SHEET'!$AX$432)</f>
        <v/>
      </c>
      <c r="K432">
        <f>IF('CALL SHEET'!$N$432="","",'CALL SHEET'!$N$432)</f>
        <v/>
      </c>
      <c r="L432">
        <f>IF('CALL SHEET'!$AE$432="","",'CALL SHEET'!$AE$432)</f>
        <v/>
      </c>
      <c r="M432" t="inlineStr">
        <is>
          <t>TRADE</t>
        </is>
      </c>
      <c r="N432" t="inlineStr">
        <is>
          <t>CALL SHEET · row 432</t>
        </is>
      </c>
    </row>
    <row r="433">
      <c r="A433">
        <f>IF('CALL SHEET'!$A$433="","",'CALL SHEET'!$A$433)</f>
        <v/>
      </c>
      <c r="B433">
        <f>IF('CALL SHEET'!$C$433="","",'CALL SHEET'!$C$433)</f>
        <v/>
      </c>
      <c r="C433">
        <f>'CALL SHEET'!$U$433</f>
        <v/>
      </c>
      <c r="D433">
        <f>'CALL SHEET'!$Y$433</f>
        <v/>
      </c>
      <c r="E433">
        <f>'CALL SHEET'!$AC$433</f>
        <v/>
      </c>
      <c r="F433">
        <f>IF('CALL SHEET'!$V$433="","",'CALL SHEET'!$V$433)</f>
        <v/>
      </c>
      <c r="G433">
        <f>IF('CALL SHEET'!$D$433="","",'CALL SHEET'!$D$433)</f>
        <v/>
      </c>
      <c r="H433">
        <f>IF('CALL SHEET'!$G$433="","",'CALL SHEET'!$G$433)</f>
        <v/>
      </c>
      <c r="I433">
        <f>IF('CALL SHEET'!$AT$433="","",'CALL SHEET'!$AT$433)</f>
        <v/>
      </c>
      <c r="J433">
        <f>IF('CALL SHEET'!$AX$433="","",'CALL SHEET'!$AX$433)</f>
        <v/>
      </c>
      <c r="K433">
        <f>IF('CALL SHEET'!$N$433="","",'CALL SHEET'!$N$433)</f>
        <v/>
      </c>
      <c r="L433">
        <f>IF('CALL SHEET'!$AE$433="","",'CALL SHEET'!$AE$433)</f>
        <v/>
      </c>
      <c r="M433" t="inlineStr">
        <is>
          <t>TRADE</t>
        </is>
      </c>
      <c r="N433" t="inlineStr">
        <is>
          <t>CALL SHEET · row 433</t>
        </is>
      </c>
    </row>
    <row r="434">
      <c r="A434">
        <f>IF('CALL SHEET'!$A$434="","",'CALL SHEET'!$A$434)</f>
        <v/>
      </c>
      <c r="B434">
        <f>IF('CALL SHEET'!$C$434="","",'CALL SHEET'!$C$434)</f>
        <v/>
      </c>
      <c r="C434">
        <f>'CALL SHEET'!$U$434</f>
        <v/>
      </c>
      <c r="D434">
        <f>'CALL SHEET'!$Y$434</f>
        <v/>
      </c>
      <c r="E434">
        <f>'CALL SHEET'!$AC$434</f>
        <v/>
      </c>
      <c r="F434">
        <f>IF('CALL SHEET'!$V$434="","",'CALL SHEET'!$V$434)</f>
        <v/>
      </c>
      <c r="G434">
        <f>IF('CALL SHEET'!$D$434="","",'CALL SHEET'!$D$434)</f>
        <v/>
      </c>
      <c r="H434">
        <f>IF('CALL SHEET'!$G$434="","",'CALL SHEET'!$G$434)</f>
        <v/>
      </c>
      <c r="I434">
        <f>IF('CALL SHEET'!$AT$434="","",'CALL SHEET'!$AT$434)</f>
        <v/>
      </c>
      <c r="J434">
        <f>IF('CALL SHEET'!$AX$434="","",'CALL SHEET'!$AX$434)</f>
        <v/>
      </c>
      <c r="K434">
        <f>IF('CALL SHEET'!$N$434="","",'CALL SHEET'!$N$434)</f>
        <v/>
      </c>
      <c r="L434">
        <f>IF('CALL SHEET'!$AE$434="","",'CALL SHEET'!$AE$434)</f>
        <v/>
      </c>
      <c r="M434" t="inlineStr">
        <is>
          <t>TRADE</t>
        </is>
      </c>
      <c r="N434" t="inlineStr">
        <is>
          <t>CALL SHEET · row 434</t>
        </is>
      </c>
    </row>
    <row r="435">
      <c r="A435">
        <f>IF('CALL SHEET'!$A$435="","",'CALL SHEET'!$A$435)</f>
        <v/>
      </c>
      <c r="B435">
        <f>IF('CALL SHEET'!$C$435="","",'CALL SHEET'!$C$435)</f>
        <v/>
      </c>
      <c r="C435">
        <f>'CALL SHEET'!$U$435</f>
        <v/>
      </c>
      <c r="D435">
        <f>'CALL SHEET'!$Y$435</f>
        <v/>
      </c>
      <c r="E435">
        <f>'CALL SHEET'!$AC$435</f>
        <v/>
      </c>
      <c r="F435">
        <f>IF('CALL SHEET'!$V$435="","",'CALL SHEET'!$V$435)</f>
        <v/>
      </c>
      <c r="G435">
        <f>IF('CALL SHEET'!$D$435="","",'CALL SHEET'!$D$435)</f>
        <v/>
      </c>
      <c r="H435">
        <f>IF('CALL SHEET'!$G$435="","",'CALL SHEET'!$G$435)</f>
        <v/>
      </c>
      <c r="I435">
        <f>IF('CALL SHEET'!$AT$435="","",'CALL SHEET'!$AT$435)</f>
        <v/>
      </c>
      <c r="J435">
        <f>IF('CALL SHEET'!$AX$435="","",'CALL SHEET'!$AX$435)</f>
        <v/>
      </c>
      <c r="K435">
        <f>IF('CALL SHEET'!$N$435="","",'CALL SHEET'!$N$435)</f>
        <v/>
      </c>
      <c r="L435">
        <f>IF('CALL SHEET'!$AE$435="","",'CALL SHEET'!$AE$435)</f>
        <v/>
      </c>
      <c r="M435" t="inlineStr">
        <is>
          <t>TRADE</t>
        </is>
      </c>
      <c r="N435" t="inlineStr">
        <is>
          <t>CALL SHEET · row 435</t>
        </is>
      </c>
    </row>
    <row r="436">
      <c r="A436">
        <f>IF('CALL SHEET'!$A$436="","",'CALL SHEET'!$A$436)</f>
        <v/>
      </c>
      <c r="B436">
        <f>IF('CALL SHEET'!$C$436="","",'CALL SHEET'!$C$436)</f>
        <v/>
      </c>
      <c r="C436">
        <f>'CALL SHEET'!$U$436</f>
        <v/>
      </c>
      <c r="D436">
        <f>'CALL SHEET'!$Y$436</f>
        <v/>
      </c>
      <c r="E436">
        <f>'CALL SHEET'!$AC$436</f>
        <v/>
      </c>
      <c r="F436">
        <f>IF('CALL SHEET'!$V$436="","",'CALL SHEET'!$V$436)</f>
        <v/>
      </c>
      <c r="G436">
        <f>IF('CALL SHEET'!$D$436="","",'CALL SHEET'!$D$436)</f>
        <v/>
      </c>
      <c r="H436">
        <f>IF('CALL SHEET'!$G$436="","",'CALL SHEET'!$G$436)</f>
        <v/>
      </c>
      <c r="I436">
        <f>IF('CALL SHEET'!$AT$436="","",'CALL SHEET'!$AT$436)</f>
        <v/>
      </c>
      <c r="J436">
        <f>IF('CALL SHEET'!$AX$436="","",'CALL SHEET'!$AX$436)</f>
        <v/>
      </c>
      <c r="K436">
        <f>IF('CALL SHEET'!$N$436="","",'CALL SHEET'!$N$436)</f>
        <v/>
      </c>
      <c r="L436">
        <f>IF('CALL SHEET'!$AE$436="","",'CALL SHEET'!$AE$436)</f>
        <v/>
      </c>
      <c r="M436" t="inlineStr">
        <is>
          <t>TRADE</t>
        </is>
      </c>
      <c r="N436" t="inlineStr">
        <is>
          <t>CALL SHEET · row 436</t>
        </is>
      </c>
    </row>
    <row r="437">
      <c r="A437">
        <f>IF('CALL SHEET'!$A$437="","",'CALL SHEET'!$A$437)</f>
        <v/>
      </c>
      <c r="B437">
        <f>IF('CALL SHEET'!$C$437="","",'CALL SHEET'!$C$437)</f>
        <v/>
      </c>
      <c r="C437">
        <f>'CALL SHEET'!$U$437</f>
        <v/>
      </c>
      <c r="D437">
        <f>'CALL SHEET'!$Y$437</f>
        <v/>
      </c>
      <c r="E437">
        <f>'CALL SHEET'!$AC$437</f>
        <v/>
      </c>
      <c r="F437">
        <f>IF('CALL SHEET'!$V$437="","",'CALL SHEET'!$V$437)</f>
        <v/>
      </c>
      <c r="G437">
        <f>IF('CALL SHEET'!$D$437="","",'CALL SHEET'!$D$437)</f>
        <v/>
      </c>
      <c r="H437">
        <f>IF('CALL SHEET'!$G$437="","",'CALL SHEET'!$G$437)</f>
        <v/>
      </c>
      <c r="I437">
        <f>IF('CALL SHEET'!$AT$437="","",'CALL SHEET'!$AT$437)</f>
        <v/>
      </c>
      <c r="J437">
        <f>IF('CALL SHEET'!$AX$437="","",'CALL SHEET'!$AX$437)</f>
        <v/>
      </c>
      <c r="K437">
        <f>IF('CALL SHEET'!$N$437="","",'CALL SHEET'!$N$437)</f>
        <v/>
      </c>
      <c r="L437">
        <f>IF('CALL SHEET'!$AE$437="","",'CALL SHEET'!$AE$437)</f>
        <v/>
      </c>
      <c r="M437" t="inlineStr">
        <is>
          <t>TRADE</t>
        </is>
      </c>
      <c r="N437" t="inlineStr">
        <is>
          <t>CALL SHEET · row 437</t>
        </is>
      </c>
    </row>
    <row r="438">
      <c r="A438">
        <f>IF('CALL SHEET'!$A$438="","",'CALL SHEET'!$A$438)</f>
        <v/>
      </c>
      <c r="B438">
        <f>IF('CALL SHEET'!$C$438="","",'CALL SHEET'!$C$438)</f>
        <v/>
      </c>
      <c r="C438">
        <f>'CALL SHEET'!$U$438</f>
        <v/>
      </c>
      <c r="D438">
        <f>'CALL SHEET'!$Y$438</f>
        <v/>
      </c>
      <c r="E438">
        <f>'CALL SHEET'!$AC$438</f>
        <v/>
      </c>
      <c r="F438">
        <f>IF('CALL SHEET'!$V$438="","",'CALL SHEET'!$V$438)</f>
        <v/>
      </c>
      <c r="G438">
        <f>IF('CALL SHEET'!$D$438="","",'CALL SHEET'!$D$438)</f>
        <v/>
      </c>
      <c r="H438">
        <f>IF('CALL SHEET'!$G$438="","",'CALL SHEET'!$G$438)</f>
        <v/>
      </c>
      <c r="I438">
        <f>IF('CALL SHEET'!$AT$438="","",'CALL SHEET'!$AT$438)</f>
        <v/>
      </c>
      <c r="J438">
        <f>IF('CALL SHEET'!$AX$438="","",'CALL SHEET'!$AX$438)</f>
        <v/>
      </c>
      <c r="K438">
        <f>IF('CALL SHEET'!$N$438="","",'CALL SHEET'!$N$438)</f>
        <v/>
      </c>
      <c r="L438">
        <f>IF('CALL SHEET'!$AE$438="","",'CALL SHEET'!$AE$438)</f>
        <v/>
      </c>
      <c r="M438" t="inlineStr">
        <is>
          <t>TRADE</t>
        </is>
      </c>
      <c r="N438" t="inlineStr">
        <is>
          <t>CALL SHEET · row 438</t>
        </is>
      </c>
    </row>
    <row r="439">
      <c r="A439">
        <f>IF('CALL SHEET'!$A$439="","",'CALL SHEET'!$A$439)</f>
        <v/>
      </c>
      <c r="B439">
        <f>IF('CALL SHEET'!$C$439="","",'CALL SHEET'!$C$439)</f>
        <v/>
      </c>
      <c r="C439">
        <f>'CALL SHEET'!$U$439</f>
        <v/>
      </c>
      <c r="D439">
        <f>'CALL SHEET'!$Y$439</f>
        <v/>
      </c>
      <c r="E439">
        <f>'CALL SHEET'!$AC$439</f>
        <v/>
      </c>
      <c r="F439">
        <f>IF('CALL SHEET'!$V$439="","",'CALL SHEET'!$V$439)</f>
        <v/>
      </c>
      <c r="G439">
        <f>IF('CALL SHEET'!$D$439="","",'CALL SHEET'!$D$439)</f>
        <v/>
      </c>
      <c r="H439">
        <f>IF('CALL SHEET'!$G$439="","",'CALL SHEET'!$G$439)</f>
        <v/>
      </c>
      <c r="I439">
        <f>IF('CALL SHEET'!$AT$439="","",'CALL SHEET'!$AT$439)</f>
        <v/>
      </c>
      <c r="J439">
        <f>IF('CALL SHEET'!$AX$439="","",'CALL SHEET'!$AX$439)</f>
        <v/>
      </c>
      <c r="K439">
        <f>IF('CALL SHEET'!$N$439="","",'CALL SHEET'!$N$439)</f>
        <v/>
      </c>
      <c r="L439">
        <f>IF('CALL SHEET'!$AE$439="","",'CALL SHEET'!$AE$439)</f>
        <v/>
      </c>
      <c r="M439" t="inlineStr">
        <is>
          <t>TRADE</t>
        </is>
      </c>
      <c r="N439" t="inlineStr">
        <is>
          <t>CALL SHEET · row 439</t>
        </is>
      </c>
    </row>
    <row r="440">
      <c r="A440">
        <f>IF('CALL SHEET'!$A$440="","",'CALL SHEET'!$A$440)</f>
        <v/>
      </c>
      <c r="B440">
        <f>IF('CALL SHEET'!$C$440="","",'CALL SHEET'!$C$440)</f>
        <v/>
      </c>
      <c r="C440">
        <f>'CALL SHEET'!$U$440</f>
        <v/>
      </c>
      <c r="D440">
        <f>'CALL SHEET'!$Y$440</f>
        <v/>
      </c>
      <c r="E440">
        <f>'CALL SHEET'!$AC$440</f>
        <v/>
      </c>
      <c r="F440">
        <f>IF('CALL SHEET'!$V$440="","",'CALL SHEET'!$V$440)</f>
        <v/>
      </c>
      <c r="G440">
        <f>IF('CALL SHEET'!$D$440="","",'CALL SHEET'!$D$440)</f>
        <v/>
      </c>
      <c r="H440">
        <f>IF('CALL SHEET'!$G$440="","",'CALL SHEET'!$G$440)</f>
        <v/>
      </c>
      <c r="I440">
        <f>IF('CALL SHEET'!$AT$440="","",'CALL SHEET'!$AT$440)</f>
        <v/>
      </c>
      <c r="J440">
        <f>IF('CALL SHEET'!$AX$440="","",'CALL SHEET'!$AX$440)</f>
        <v/>
      </c>
      <c r="K440">
        <f>IF('CALL SHEET'!$N$440="","",'CALL SHEET'!$N$440)</f>
        <v/>
      </c>
      <c r="L440">
        <f>IF('CALL SHEET'!$AE$440="","",'CALL SHEET'!$AE$440)</f>
        <v/>
      </c>
      <c r="M440" t="inlineStr">
        <is>
          <t>TRADE</t>
        </is>
      </c>
      <c r="N440" t="inlineStr">
        <is>
          <t>CALL SHEET · row 440</t>
        </is>
      </c>
    </row>
    <row r="441">
      <c r="A441">
        <f>IF('CALL SHEET'!$A$441="","",'CALL SHEET'!$A$441)</f>
        <v/>
      </c>
      <c r="B441">
        <f>IF('CALL SHEET'!$C$441="","",'CALL SHEET'!$C$441)</f>
        <v/>
      </c>
      <c r="C441">
        <f>'CALL SHEET'!$U$441</f>
        <v/>
      </c>
      <c r="D441">
        <f>'CALL SHEET'!$Y$441</f>
        <v/>
      </c>
      <c r="E441">
        <f>'CALL SHEET'!$AC$441</f>
        <v/>
      </c>
      <c r="F441">
        <f>IF('CALL SHEET'!$V$441="","",'CALL SHEET'!$V$441)</f>
        <v/>
      </c>
      <c r="G441">
        <f>IF('CALL SHEET'!$D$441="","",'CALL SHEET'!$D$441)</f>
        <v/>
      </c>
      <c r="H441">
        <f>IF('CALL SHEET'!$G$441="","",'CALL SHEET'!$G$441)</f>
        <v/>
      </c>
      <c r="I441">
        <f>IF('CALL SHEET'!$AT$441="","",'CALL SHEET'!$AT$441)</f>
        <v/>
      </c>
      <c r="J441">
        <f>IF('CALL SHEET'!$AX$441="","",'CALL SHEET'!$AX$441)</f>
        <v/>
      </c>
      <c r="K441">
        <f>IF('CALL SHEET'!$N$441="","",'CALL SHEET'!$N$441)</f>
        <v/>
      </c>
      <c r="L441">
        <f>IF('CALL SHEET'!$AE$441="","",'CALL SHEET'!$AE$441)</f>
        <v/>
      </c>
      <c r="M441" t="inlineStr">
        <is>
          <t>TRADE</t>
        </is>
      </c>
      <c r="N441" t="inlineStr">
        <is>
          <t>CALL SHEET · row 441</t>
        </is>
      </c>
    </row>
    <row r="442">
      <c r="A442">
        <f>IF('CALL SHEET'!$A$442="","",'CALL SHEET'!$A$442)</f>
        <v/>
      </c>
      <c r="B442">
        <f>IF('CALL SHEET'!$C$442="","",'CALL SHEET'!$C$442)</f>
        <v/>
      </c>
      <c r="C442">
        <f>'CALL SHEET'!$U$442</f>
        <v/>
      </c>
      <c r="D442">
        <f>'CALL SHEET'!$Y$442</f>
        <v/>
      </c>
      <c r="E442">
        <f>'CALL SHEET'!$AC$442</f>
        <v/>
      </c>
      <c r="F442">
        <f>IF('CALL SHEET'!$V$442="","",'CALL SHEET'!$V$442)</f>
        <v/>
      </c>
      <c r="G442">
        <f>IF('CALL SHEET'!$D$442="","",'CALL SHEET'!$D$442)</f>
        <v/>
      </c>
      <c r="H442">
        <f>IF('CALL SHEET'!$G$442="","",'CALL SHEET'!$G$442)</f>
        <v/>
      </c>
      <c r="I442">
        <f>IF('CALL SHEET'!$AT$442="","",'CALL SHEET'!$AT$442)</f>
        <v/>
      </c>
      <c r="J442">
        <f>IF('CALL SHEET'!$AX$442="","",'CALL SHEET'!$AX$442)</f>
        <v/>
      </c>
      <c r="K442">
        <f>IF('CALL SHEET'!$N$442="","",'CALL SHEET'!$N$442)</f>
        <v/>
      </c>
      <c r="L442">
        <f>IF('CALL SHEET'!$AE$442="","",'CALL SHEET'!$AE$442)</f>
        <v/>
      </c>
      <c r="M442" t="inlineStr">
        <is>
          <t>TRADE</t>
        </is>
      </c>
      <c r="N442" t="inlineStr">
        <is>
          <t>CALL SHEET · row 442</t>
        </is>
      </c>
    </row>
    <row r="443">
      <c r="A443">
        <f>IF('CALL SHEET'!$A$443="","",'CALL SHEET'!$A$443)</f>
        <v/>
      </c>
      <c r="B443">
        <f>IF('CALL SHEET'!$C$443="","",'CALL SHEET'!$C$443)</f>
        <v/>
      </c>
      <c r="C443">
        <f>'CALL SHEET'!$U$443</f>
        <v/>
      </c>
      <c r="D443">
        <f>'CALL SHEET'!$Y$443</f>
        <v/>
      </c>
      <c r="E443">
        <f>'CALL SHEET'!$AC$443</f>
        <v/>
      </c>
      <c r="F443">
        <f>IF('CALL SHEET'!$V$443="","",'CALL SHEET'!$V$443)</f>
        <v/>
      </c>
      <c r="G443">
        <f>IF('CALL SHEET'!$D$443="","",'CALL SHEET'!$D$443)</f>
        <v/>
      </c>
      <c r="H443">
        <f>IF('CALL SHEET'!$G$443="","",'CALL SHEET'!$G$443)</f>
        <v/>
      </c>
      <c r="I443">
        <f>IF('CALL SHEET'!$AT$443="","",'CALL SHEET'!$AT$443)</f>
        <v/>
      </c>
      <c r="J443">
        <f>IF('CALL SHEET'!$AX$443="","",'CALL SHEET'!$AX$443)</f>
        <v/>
      </c>
      <c r="K443">
        <f>IF('CALL SHEET'!$N$443="","",'CALL SHEET'!$N$443)</f>
        <v/>
      </c>
      <c r="L443">
        <f>IF('CALL SHEET'!$AE$443="","",'CALL SHEET'!$AE$443)</f>
        <v/>
      </c>
      <c r="M443" t="inlineStr">
        <is>
          <t>TRADE</t>
        </is>
      </c>
      <c r="N443" t="inlineStr">
        <is>
          <t>CALL SHEET · row 443</t>
        </is>
      </c>
    </row>
    <row r="444">
      <c r="A444">
        <f>IF('CALL SHEET'!$A$444="","",'CALL SHEET'!$A$444)</f>
        <v/>
      </c>
      <c r="B444">
        <f>IF('CALL SHEET'!$C$444="","",'CALL SHEET'!$C$444)</f>
        <v/>
      </c>
      <c r="C444">
        <f>'CALL SHEET'!$U$444</f>
        <v/>
      </c>
      <c r="D444">
        <f>'CALL SHEET'!$Y$444</f>
        <v/>
      </c>
      <c r="E444">
        <f>'CALL SHEET'!$AC$444</f>
        <v/>
      </c>
      <c r="F444">
        <f>IF('CALL SHEET'!$V$444="","",'CALL SHEET'!$V$444)</f>
        <v/>
      </c>
      <c r="G444">
        <f>IF('CALL SHEET'!$D$444="","",'CALL SHEET'!$D$444)</f>
        <v/>
      </c>
      <c r="H444">
        <f>IF('CALL SHEET'!$G$444="","",'CALL SHEET'!$G$444)</f>
        <v/>
      </c>
      <c r="I444">
        <f>IF('CALL SHEET'!$AT$444="","",'CALL SHEET'!$AT$444)</f>
        <v/>
      </c>
      <c r="J444">
        <f>IF('CALL SHEET'!$AX$444="","",'CALL SHEET'!$AX$444)</f>
        <v/>
      </c>
      <c r="K444">
        <f>IF('CALL SHEET'!$N$444="","",'CALL SHEET'!$N$444)</f>
        <v/>
      </c>
      <c r="L444">
        <f>IF('CALL SHEET'!$AE$444="","",'CALL SHEET'!$AE$444)</f>
        <v/>
      </c>
      <c r="M444" t="inlineStr">
        <is>
          <t>TRADE</t>
        </is>
      </c>
      <c r="N444" t="inlineStr">
        <is>
          <t>CALL SHEET · row 444</t>
        </is>
      </c>
    </row>
    <row r="445">
      <c r="A445">
        <f>IF('CALL SHEET'!$A$445="","",'CALL SHEET'!$A$445)</f>
        <v/>
      </c>
      <c r="B445">
        <f>IF('CALL SHEET'!$C$445="","",'CALL SHEET'!$C$445)</f>
        <v/>
      </c>
      <c r="C445">
        <f>'CALL SHEET'!$U$445</f>
        <v/>
      </c>
      <c r="D445">
        <f>'CALL SHEET'!$Y$445</f>
        <v/>
      </c>
      <c r="E445">
        <f>'CALL SHEET'!$AC$445</f>
        <v/>
      </c>
      <c r="F445">
        <f>IF('CALL SHEET'!$V$445="","",'CALL SHEET'!$V$445)</f>
        <v/>
      </c>
      <c r="G445">
        <f>IF('CALL SHEET'!$D$445="","",'CALL SHEET'!$D$445)</f>
        <v/>
      </c>
      <c r="H445">
        <f>IF('CALL SHEET'!$G$445="","",'CALL SHEET'!$G$445)</f>
        <v/>
      </c>
      <c r="I445">
        <f>IF('CALL SHEET'!$AT$445="","",'CALL SHEET'!$AT$445)</f>
        <v/>
      </c>
      <c r="J445">
        <f>IF('CALL SHEET'!$AX$445="","",'CALL SHEET'!$AX$445)</f>
        <v/>
      </c>
      <c r="K445">
        <f>IF('CALL SHEET'!$N$445="","",'CALL SHEET'!$N$445)</f>
        <v/>
      </c>
      <c r="L445">
        <f>IF('CALL SHEET'!$AE$445="","",'CALL SHEET'!$AE$445)</f>
        <v/>
      </c>
      <c r="M445" t="inlineStr">
        <is>
          <t>TRADE</t>
        </is>
      </c>
      <c r="N445" t="inlineStr">
        <is>
          <t>CALL SHEET · row 445</t>
        </is>
      </c>
    </row>
    <row r="446">
      <c r="A446">
        <f>IF('CALL SHEET'!$A$446="","",'CALL SHEET'!$A$446)</f>
        <v/>
      </c>
      <c r="B446">
        <f>IF('CALL SHEET'!$C$446="","",'CALL SHEET'!$C$446)</f>
        <v/>
      </c>
      <c r="C446">
        <f>'CALL SHEET'!$U$446</f>
        <v/>
      </c>
      <c r="D446">
        <f>'CALL SHEET'!$Y$446</f>
        <v/>
      </c>
      <c r="E446">
        <f>'CALL SHEET'!$AC$446</f>
        <v/>
      </c>
      <c r="F446">
        <f>IF('CALL SHEET'!$V$446="","",'CALL SHEET'!$V$446)</f>
        <v/>
      </c>
      <c r="G446">
        <f>IF('CALL SHEET'!$D$446="","",'CALL SHEET'!$D$446)</f>
        <v/>
      </c>
      <c r="H446">
        <f>IF('CALL SHEET'!$G$446="","",'CALL SHEET'!$G$446)</f>
        <v/>
      </c>
      <c r="I446">
        <f>IF('CALL SHEET'!$AT$446="","",'CALL SHEET'!$AT$446)</f>
        <v/>
      </c>
      <c r="J446">
        <f>IF('CALL SHEET'!$AX$446="","",'CALL SHEET'!$AX$446)</f>
        <v/>
      </c>
      <c r="K446">
        <f>IF('CALL SHEET'!$N$446="","",'CALL SHEET'!$N$446)</f>
        <v/>
      </c>
      <c r="L446">
        <f>IF('CALL SHEET'!$AE$446="","",'CALL SHEET'!$AE$446)</f>
        <v/>
      </c>
      <c r="M446" t="inlineStr">
        <is>
          <t>TRADE</t>
        </is>
      </c>
      <c r="N446" t="inlineStr">
        <is>
          <t>CALL SHEET · row 446</t>
        </is>
      </c>
    </row>
    <row r="447">
      <c r="A447">
        <f>IF('CALL SHEET'!$A$447="","",'CALL SHEET'!$A$447)</f>
        <v/>
      </c>
      <c r="B447">
        <f>IF('CALL SHEET'!$C$447="","",'CALL SHEET'!$C$447)</f>
        <v/>
      </c>
      <c r="C447">
        <f>'CALL SHEET'!$U$447</f>
        <v/>
      </c>
      <c r="D447">
        <f>'CALL SHEET'!$Y$447</f>
        <v/>
      </c>
      <c r="E447">
        <f>'CALL SHEET'!$AC$447</f>
        <v/>
      </c>
      <c r="F447">
        <f>IF('CALL SHEET'!$V$447="","",'CALL SHEET'!$V$447)</f>
        <v/>
      </c>
      <c r="G447">
        <f>IF('CALL SHEET'!$D$447="","",'CALL SHEET'!$D$447)</f>
        <v/>
      </c>
      <c r="H447">
        <f>IF('CALL SHEET'!$G$447="","",'CALL SHEET'!$G$447)</f>
        <v/>
      </c>
      <c r="I447">
        <f>IF('CALL SHEET'!$AT$447="","",'CALL SHEET'!$AT$447)</f>
        <v/>
      </c>
      <c r="J447">
        <f>IF('CALL SHEET'!$AX$447="","",'CALL SHEET'!$AX$447)</f>
        <v/>
      </c>
      <c r="K447">
        <f>IF('CALL SHEET'!$N$447="","",'CALL SHEET'!$N$447)</f>
        <v/>
      </c>
      <c r="L447">
        <f>IF('CALL SHEET'!$AE$447="","",'CALL SHEET'!$AE$447)</f>
        <v/>
      </c>
      <c r="M447" t="inlineStr">
        <is>
          <t>TRADE</t>
        </is>
      </c>
      <c r="N447" t="inlineStr">
        <is>
          <t>CALL SHEET · row 447</t>
        </is>
      </c>
    </row>
    <row r="448">
      <c r="A448">
        <f>IF('CALL SHEET'!$A$448="","",'CALL SHEET'!$A$448)</f>
        <v/>
      </c>
      <c r="B448">
        <f>IF('CALL SHEET'!$C$448="","",'CALL SHEET'!$C$448)</f>
        <v/>
      </c>
      <c r="C448">
        <f>'CALL SHEET'!$U$448</f>
        <v/>
      </c>
      <c r="D448">
        <f>'CALL SHEET'!$Y$448</f>
        <v/>
      </c>
      <c r="E448">
        <f>'CALL SHEET'!$AC$448</f>
        <v/>
      </c>
      <c r="F448">
        <f>IF('CALL SHEET'!$V$448="","",'CALL SHEET'!$V$448)</f>
        <v/>
      </c>
      <c r="G448">
        <f>IF('CALL SHEET'!$D$448="","",'CALL SHEET'!$D$448)</f>
        <v/>
      </c>
      <c r="H448">
        <f>IF('CALL SHEET'!$G$448="","",'CALL SHEET'!$G$448)</f>
        <v/>
      </c>
      <c r="I448">
        <f>IF('CALL SHEET'!$AT$448="","",'CALL SHEET'!$AT$448)</f>
        <v/>
      </c>
      <c r="J448">
        <f>IF('CALL SHEET'!$AX$448="","",'CALL SHEET'!$AX$448)</f>
        <v/>
      </c>
      <c r="K448">
        <f>IF('CALL SHEET'!$N$448="","",'CALL SHEET'!$N$448)</f>
        <v/>
      </c>
      <c r="L448">
        <f>IF('CALL SHEET'!$AE$448="","",'CALL SHEET'!$AE$448)</f>
        <v/>
      </c>
      <c r="M448" t="inlineStr">
        <is>
          <t>TRADE</t>
        </is>
      </c>
      <c r="N448" t="inlineStr">
        <is>
          <t>CALL SHEET · row 448</t>
        </is>
      </c>
    </row>
    <row r="449">
      <c r="A449">
        <f>IF('CALL SHEET'!$A$449="","",'CALL SHEET'!$A$449)</f>
        <v/>
      </c>
      <c r="B449">
        <f>IF('CALL SHEET'!$C$449="","",'CALL SHEET'!$C$449)</f>
        <v/>
      </c>
      <c r="C449">
        <f>'CALL SHEET'!$U$449</f>
        <v/>
      </c>
      <c r="D449">
        <f>'CALL SHEET'!$Y$449</f>
        <v/>
      </c>
      <c r="E449">
        <f>'CALL SHEET'!$AC$449</f>
        <v/>
      </c>
      <c r="F449">
        <f>IF('CALL SHEET'!$V$449="","",'CALL SHEET'!$V$449)</f>
        <v/>
      </c>
      <c r="G449">
        <f>IF('CALL SHEET'!$D$449="","",'CALL SHEET'!$D$449)</f>
        <v/>
      </c>
      <c r="H449">
        <f>IF('CALL SHEET'!$G$449="","",'CALL SHEET'!$G$449)</f>
        <v/>
      </c>
      <c r="I449">
        <f>IF('CALL SHEET'!$AT$449="","",'CALL SHEET'!$AT$449)</f>
        <v/>
      </c>
      <c r="J449">
        <f>IF('CALL SHEET'!$AX$449="","",'CALL SHEET'!$AX$449)</f>
        <v/>
      </c>
      <c r="K449">
        <f>IF('CALL SHEET'!$N$449="","",'CALL SHEET'!$N$449)</f>
        <v/>
      </c>
      <c r="L449">
        <f>IF('CALL SHEET'!$AE$449="","",'CALL SHEET'!$AE$449)</f>
        <v/>
      </c>
      <c r="M449" t="inlineStr">
        <is>
          <t>TRADE</t>
        </is>
      </c>
      <c r="N449" t="inlineStr">
        <is>
          <t>CALL SHEET · row 449</t>
        </is>
      </c>
    </row>
    <row r="450">
      <c r="A450">
        <f>IF('CALL SHEET'!$A$450="","",'CALL SHEET'!$A$450)</f>
        <v/>
      </c>
      <c r="B450">
        <f>IF('CALL SHEET'!$C$450="","",'CALL SHEET'!$C$450)</f>
        <v/>
      </c>
      <c r="C450">
        <f>'CALL SHEET'!$U$450</f>
        <v/>
      </c>
      <c r="D450">
        <f>'CALL SHEET'!$Y$450</f>
        <v/>
      </c>
      <c r="E450">
        <f>'CALL SHEET'!$AC$450</f>
        <v/>
      </c>
      <c r="F450">
        <f>IF('CALL SHEET'!$V$450="","",'CALL SHEET'!$V$450)</f>
        <v/>
      </c>
      <c r="G450">
        <f>IF('CALL SHEET'!$D$450="","",'CALL SHEET'!$D$450)</f>
        <v/>
      </c>
      <c r="H450">
        <f>IF('CALL SHEET'!$G$450="","",'CALL SHEET'!$G$450)</f>
        <v/>
      </c>
      <c r="I450">
        <f>IF('CALL SHEET'!$AT$450="","",'CALL SHEET'!$AT$450)</f>
        <v/>
      </c>
      <c r="J450">
        <f>IF('CALL SHEET'!$AX$450="","",'CALL SHEET'!$AX$450)</f>
        <v/>
      </c>
      <c r="K450">
        <f>IF('CALL SHEET'!$N$450="","",'CALL SHEET'!$N$450)</f>
        <v/>
      </c>
      <c r="L450">
        <f>IF('CALL SHEET'!$AE$450="","",'CALL SHEET'!$AE$450)</f>
        <v/>
      </c>
      <c r="M450" t="inlineStr">
        <is>
          <t>TRADE</t>
        </is>
      </c>
      <c r="N450" t="inlineStr">
        <is>
          <t>CALL SHEET · row 450</t>
        </is>
      </c>
    </row>
    <row r="451">
      <c r="A451">
        <f>IF('CALL SHEET'!$A$451="","",'CALL SHEET'!$A$451)</f>
        <v/>
      </c>
      <c r="B451">
        <f>IF('CALL SHEET'!$C$451="","",'CALL SHEET'!$C$451)</f>
        <v/>
      </c>
      <c r="C451">
        <f>'CALL SHEET'!$U$451</f>
        <v/>
      </c>
      <c r="D451">
        <f>'CALL SHEET'!$Y$451</f>
        <v/>
      </c>
      <c r="E451">
        <f>'CALL SHEET'!$AC$451</f>
        <v/>
      </c>
      <c r="F451">
        <f>IF('CALL SHEET'!$V$451="","",'CALL SHEET'!$V$451)</f>
        <v/>
      </c>
      <c r="G451">
        <f>IF('CALL SHEET'!$D$451="","",'CALL SHEET'!$D$451)</f>
        <v/>
      </c>
      <c r="H451">
        <f>IF('CALL SHEET'!$G$451="","",'CALL SHEET'!$G$451)</f>
        <v/>
      </c>
      <c r="I451">
        <f>IF('CALL SHEET'!$AT$451="","",'CALL SHEET'!$AT$451)</f>
        <v/>
      </c>
      <c r="J451">
        <f>IF('CALL SHEET'!$AX$451="","",'CALL SHEET'!$AX$451)</f>
        <v/>
      </c>
      <c r="K451">
        <f>IF('CALL SHEET'!$N$451="","",'CALL SHEET'!$N$451)</f>
        <v/>
      </c>
      <c r="L451">
        <f>IF('CALL SHEET'!$AE$451="","",'CALL SHEET'!$AE$451)</f>
        <v/>
      </c>
      <c r="M451" t="inlineStr">
        <is>
          <t>TRADE</t>
        </is>
      </c>
      <c r="N451" t="inlineStr">
        <is>
          <t>CALL SHEET · row 451</t>
        </is>
      </c>
    </row>
    <row r="452">
      <c r="A452">
        <f>IF('CALL SHEET'!$A$452="","",'CALL SHEET'!$A$452)</f>
        <v/>
      </c>
      <c r="B452">
        <f>IF('CALL SHEET'!$C$452="","",'CALL SHEET'!$C$452)</f>
        <v/>
      </c>
      <c r="C452">
        <f>'CALL SHEET'!$U$452</f>
        <v/>
      </c>
      <c r="D452">
        <f>'CALL SHEET'!$Y$452</f>
        <v/>
      </c>
      <c r="E452">
        <f>'CALL SHEET'!$AC$452</f>
        <v/>
      </c>
      <c r="F452">
        <f>IF('CALL SHEET'!$V$452="","",'CALL SHEET'!$V$452)</f>
        <v/>
      </c>
      <c r="G452">
        <f>IF('CALL SHEET'!$D$452="","",'CALL SHEET'!$D$452)</f>
        <v/>
      </c>
      <c r="H452">
        <f>IF('CALL SHEET'!$G$452="","",'CALL SHEET'!$G$452)</f>
        <v/>
      </c>
      <c r="I452">
        <f>IF('CALL SHEET'!$AT$452="","",'CALL SHEET'!$AT$452)</f>
        <v/>
      </c>
      <c r="J452">
        <f>IF('CALL SHEET'!$AX$452="","",'CALL SHEET'!$AX$452)</f>
        <v/>
      </c>
      <c r="K452">
        <f>IF('CALL SHEET'!$N$452="","",'CALL SHEET'!$N$452)</f>
        <v/>
      </c>
      <c r="L452">
        <f>IF('CALL SHEET'!$AE$452="","",'CALL SHEET'!$AE$452)</f>
        <v/>
      </c>
      <c r="M452" t="inlineStr">
        <is>
          <t>TRADE</t>
        </is>
      </c>
      <c r="N452" t="inlineStr">
        <is>
          <t>CALL SHEET · row 452</t>
        </is>
      </c>
    </row>
    <row r="453">
      <c r="A453">
        <f>IF('CALL SHEET'!$A$453="","",'CALL SHEET'!$A$453)</f>
        <v/>
      </c>
      <c r="B453">
        <f>IF('CALL SHEET'!$C$453="","",'CALL SHEET'!$C$453)</f>
        <v/>
      </c>
      <c r="C453">
        <f>'CALL SHEET'!$U$453</f>
        <v/>
      </c>
      <c r="D453">
        <f>'CALL SHEET'!$Y$453</f>
        <v/>
      </c>
      <c r="E453">
        <f>'CALL SHEET'!$AC$453</f>
        <v/>
      </c>
      <c r="F453">
        <f>IF('CALL SHEET'!$V$453="","",'CALL SHEET'!$V$453)</f>
        <v/>
      </c>
      <c r="G453">
        <f>IF('CALL SHEET'!$D$453="","",'CALL SHEET'!$D$453)</f>
        <v/>
      </c>
      <c r="H453">
        <f>IF('CALL SHEET'!$G$453="","",'CALL SHEET'!$G$453)</f>
        <v/>
      </c>
      <c r="I453">
        <f>IF('CALL SHEET'!$AT$453="","",'CALL SHEET'!$AT$453)</f>
        <v/>
      </c>
      <c r="J453">
        <f>IF('CALL SHEET'!$AX$453="","",'CALL SHEET'!$AX$453)</f>
        <v/>
      </c>
      <c r="K453">
        <f>IF('CALL SHEET'!$N$453="","",'CALL SHEET'!$N$453)</f>
        <v/>
      </c>
      <c r="L453">
        <f>IF('CALL SHEET'!$AE$453="","",'CALL SHEET'!$AE$453)</f>
        <v/>
      </c>
      <c r="M453" t="inlineStr">
        <is>
          <t>TRADE</t>
        </is>
      </c>
      <c r="N453" t="inlineStr">
        <is>
          <t>CALL SHEET · row 453</t>
        </is>
      </c>
    </row>
    <row r="454">
      <c r="A454">
        <f>IF('CALL SHEET'!$A$454="","",'CALL SHEET'!$A$454)</f>
        <v/>
      </c>
      <c r="B454">
        <f>IF('CALL SHEET'!$C$454="","",'CALL SHEET'!$C$454)</f>
        <v/>
      </c>
      <c r="C454">
        <f>'CALL SHEET'!$U$454</f>
        <v/>
      </c>
      <c r="D454">
        <f>'CALL SHEET'!$Y$454</f>
        <v/>
      </c>
      <c r="E454">
        <f>'CALL SHEET'!$AC$454</f>
        <v/>
      </c>
      <c r="F454">
        <f>IF('CALL SHEET'!$V$454="","",'CALL SHEET'!$V$454)</f>
        <v/>
      </c>
      <c r="G454">
        <f>IF('CALL SHEET'!$D$454="","",'CALL SHEET'!$D$454)</f>
        <v/>
      </c>
      <c r="H454">
        <f>IF('CALL SHEET'!$G$454="","",'CALL SHEET'!$G$454)</f>
        <v/>
      </c>
      <c r="I454">
        <f>IF('CALL SHEET'!$AT$454="","",'CALL SHEET'!$AT$454)</f>
        <v/>
      </c>
      <c r="J454">
        <f>IF('CALL SHEET'!$AX$454="","",'CALL SHEET'!$AX$454)</f>
        <v/>
      </c>
      <c r="K454">
        <f>IF('CALL SHEET'!$N$454="","",'CALL SHEET'!$N$454)</f>
        <v/>
      </c>
      <c r="L454">
        <f>IF('CALL SHEET'!$AE$454="","",'CALL SHEET'!$AE$454)</f>
        <v/>
      </c>
      <c r="M454" t="inlineStr">
        <is>
          <t>TRADE</t>
        </is>
      </c>
      <c r="N454" t="inlineStr">
        <is>
          <t>CALL SHEET · row 454</t>
        </is>
      </c>
    </row>
    <row r="455">
      <c r="A455">
        <f>IF('CALL SHEET'!$A$455="","",'CALL SHEET'!$A$455)</f>
        <v/>
      </c>
      <c r="B455">
        <f>IF('CALL SHEET'!$C$455="","",'CALL SHEET'!$C$455)</f>
        <v/>
      </c>
      <c r="C455">
        <f>'CALL SHEET'!$U$455</f>
        <v/>
      </c>
      <c r="D455">
        <f>'CALL SHEET'!$Y$455</f>
        <v/>
      </c>
      <c r="E455">
        <f>'CALL SHEET'!$AC$455</f>
        <v/>
      </c>
      <c r="F455">
        <f>IF('CALL SHEET'!$V$455="","",'CALL SHEET'!$V$455)</f>
        <v/>
      </c>
      <c r="G455">
        <f>IF('CALL SHEET'!$D$455="","",'CALL SHEET'!$D$455)</f>
        <v/>
      </c>
      <c r="H455">
        <f>IF('CALL SHEET'!$G$455="","",'CALL SHEET'!$G$455)</f>
        <v/>
      </c>
      <c r="I455">
        <f>IF('CALL SHEET'!$AT$455="","",'CALL SHEET'!$AT$455)</f>
        <v/>
      </c>
      <c r="J455">
        <f>IF('CALL SHEET'!$AX$455="","",'CALL SHEET'!$AX$455)</f>
        <v/>
      </c>
      <c r="K455">
        <f>IF('CALL SHEET'!$N$455="","",'CALL SHEET'!$N$455)</f>
        <v/>
      </c>
      <c r="L455">
        <f>IF('CALL SHEET'!$AE$455="","",'CALL SHEET'!$AE$455)</f>
        <v/>
      </c>
      <c r="M455" t="inlineStr">
        <is>
          <t>TRADE</t>
        </is>
      </c>
      <c r="N455" t="inlineStr">
        <is>
          <t>CALL SHEET · row 455</t>
        </is>
      </c>
    </row>
    <row r="456">
      <c r="A456">
        <f>IF('CALL SHEET'!$A$456="","",'CALL SHEET'!$A$456)</f>
        <v/>
      </c>
      <c r="B456">
        <f>IF('CALL SHEET'!$C$456="","",'CALL SHEET'!$C$456)</f>
        <v/>
      </c>
      <c r="C456">
        <f>'CALL SHEET'!$U$456</f>
        <v/>
      </c>
      <c r="D456">
        <f>'CALL SHEET'!$Y$456</f>
        <v/>
      </c>
      <c r="E456">
        <f>'CALL SHEET'!$AC$456</f>
        <v/>
      </c>
      <c r="F456">
        <f>IF('CALL SHEET'!$V$456="","",'CALL SHEET'!$V$456)</f>
        <v/>
      </c>
      <c r="G456">
        <f>IF('CALL SHEET'!$D$456="","",'CALL SHEET'!$D$456)</f>
        <v/>
      </c>
      <c r="H456">
        <f>IF('CALL SHEET'!$G$456="","",'CALL SHEET'!$G$456)</f>
        <v/>
      </c>
      <c r="I456">
        <f>IF('CALL SHEET'!$AT$456="","",'CALL SHEET'!$AT$456)</f>
        <v/>
      </c>
      <c r="J456">
        <f>IF('CALL SHEET'!$AX$456="","",'CALL SHEET'!$AX$456)</f>
        <v/>
      </c>
      <c r="K456">
        <f>IF('CALL SHEET'!$N$456="","",'CALL SHEET'!$N$456)</f>
        <v/>
      </c>
      <c r="L456">
        <f>IF('CALL SHEET'!$AE$456="","",'CALL SHEET'!$AE$456)</f>
        <v/>
      </c>
      <c r="M456" t="inlineStr">
        <is>
          <t>TRADE</t>
        </is>
      </c>
      <c r="N456" t="inlineStr">
        <is>
          <t>CALL SHEET · row 456</t>
        </is>
      </c>
    </row>
    <row r="457">
      <c r="A457">
        <f>IF('CALL SHEET'!$A$457="","",'CALL SHEET'!$A$457)</f>
        <v/>
      </c>
      <c r="B457">
        <f>IF('CALL SHEET'!$C$457="","",'CALL SHEET'!$C$457)</f>
        <v/>
      </c>
      <c r="C457">
        <f>'CALL SHEET'!$U$457</f>
        <v/>
      </c>
      <c r="D457">
        <f>'CALL SHEET'!$Y$457</f>
        <v/>
      </c>
      <c r="E457">
        <f>'CALL SHEET'!$AC$457</f>
        <v/>
      </c>
      <c r="F457">
        <f>IF('CALL SHEET'!$V$457="","",'CALL SHEET'!$V$457)</f>
        <v/>
      </c>
      <c r="G457">
        <f>IF('CALL SHEET'!$D$457="","",'CALL SHEET'!$D$457)</f>
        <v/>
      </c>
      <c r="H457">
        <f>IF('CALL SHEET'!$G$457="","",'CALL SHEET'!$G$457)</f>
        <v/>
      </c>
      <c r="I457">
        <f>IF('CALL SHEET'!$AT$457="","",'CALL SHEET'!$AT$457)</f>
        <v/>
      </c>
      <c r="J457">
        <f>IF('CALL SHEET'!$AX$457="","",'CALL SHEET'!$AX$457)</f>
        <v/>
      </c>
      <c r="K457">
        <f>IF('CALL SHEET'!$N$457="","",'CALL SHEET'!$N$457)</f>
        <v/>
      </c>
      <c r="L457">
        <f>IF('CALL SHEET'!$AE$457="","",'CALL SHEET'!$AE$457)</f>
        <v/>
      </c>
      <c r="M457" t="inlineStr">
        <is>
          <t>TRADE</t>
        </is>
      </c>
      <c r="N457" t="inlineStr">
        <is>
          <t>CALL SHEET · row 457</t>
        </is>
      </c>
    </row>
    <row r="458">
      <c r="A458">
        <f>IF('CALL SHEET'!$A$458="","",'CALL SHEET'!$A$458)</f>
        <v/>
      </c>
      <c r="B458">
        <f>IF('CALL SHEET'!$C$458="","",'CALL SHEET'!$C$458)</f>
        <v/>
      </c>
      <c r="C458">
        <f>'CALL SHEET'!$U$458</f>
        <v/>
      </c>
      <c r="D458">
        <f>'CALL SHEET'!$Y$458</f>
        <v/>
      </c>
      <c r="E458">
        <f>'CALL SHEET'!$AC$458</f>
        <v/>
      </c>
      <c r="F458">
        <f>IF('CALL SHEET'!$V$458="","",'CALL SHEET'!$V$458)</f>
        <v/>
      </c>
      <c r="G458">
        <f>IF('CALL SHEET'!$D$458="","",'CALL SHEET'!$D$458)</f>
        <v/>
      </c>
      <c r="H458">
        <f>IF('CALL SHEET'!$G$458="","",'CALL SHEET'!$G$458)</f>
        <v/>
      </c>
      <c r="I458">
        <f>IF('CALL SHEET'!$AT$458="","",'CALL SHEET'!$AT$458)</f>
        <v/>
      </c>
      <c r="J458">
        <f>IF('CALL SHEET'!$AX$458="","",'CALL SHEET'!$AX$458)</f>
        <v/>
      </c>
      <c r="K458">
        <f>IF('CALL SHEET'!$N$458="","",'CALL SHEET'!$N$458)</f>
        <v/>
      </c>
      <c r="L458">
        <f>IF('CALL SHEET'!$AE$458="","",'CALL SHEET'!$AE$458)</f>
        <v/>
      </c>
      <c r="M458" t="inlineStr">
        <is>
          <t>TRADE</t>
        </is>
      </c>
      <c r="N458" t="inlineStr">
        <is>
          <t>CALL SHEET · row 458</t>
        </is>
      </c>
    </row>
    <row r="459">
      <c r="A459">
        <f>IF('CALL SHEET'!$A$459="","",'CALL SHEET'!$A$459)</f>
        <v/>
      </c>
      <c r="B459">
        <f>IF('CALL SHEET'!$C$459="","",'CALL SHEET'!$C$459)</f>
        <v/>
      </c>
      <c r="C459">
        <f>'CALL SHEET'!$U$459</f>
        <v/>
      </c>
      <c r="D459">
        <f>'CALL SHEET'!$Y$459</f>
        <v/>
      </c>
      <c r="E459">
        <f>'CALL SHEET'!$AC$459</f>
        <v/>
      </c>
      <c r="F459">
        <f>IF('CALL SHEET'!$V$459="","",'CALL SHEET'!$V$459)</f>
        <v/>
      </c>
      <c r="G459">
        <f>IF('CALL SHEET'!$D$459="","",'CALL SHEET'!$D$459)</f>
        <v/>
      </c>
      <c r="H459">
        <f>IF('CALL SHEET'!$G$459="","",'CALL SHEET'!$G$459)</f>
        <v/>
      </c>
      <c r="I459">
        <f>IF('CALL SHEET'!$AT$459="","",'CALL SHEET'!$AT$459)</f>
        <v/>
      </c>
      <c r="J459">
        <f>IF('CALL SHEET'!$AX$459="","",'CALL SHEET'!$AX$459)</f>
        <v/>
      </c>
      <c r="K459">
        <f>IF('CALL SHEET'!$N$459="","",'CALL SHEET'!$N$459)</f>
        <v/>
      </c>
      <c r="L459">
        <f>IF('CALL SHEET'!$AE$459="","",'CALL SHEET'!$AE$459)</f>
        <v/>
      </c>
      <c r="M459" t="inlineStr">
        <is>
          <t>TRADE</t>
        </is>
      </c>
      <c r="N459" t="inlineStr">
        <is>
          <t>CALL SHEET · row 459</t>
        </is>
      </c>
    </row>
    <row r="460">
      <c r="A460">
        <f>IF('CALL SHEET'!$A$460="","",'CALL SHEET'!$A$460)</f>
        <v/>
      </c>
      <c r="B460">
        <f>IF('CALL SHEET'!$C$460="","",'CALL SHEET'!$C$460)</f>
        <v/>
      </c>
      <c r="C460">
        <f>'CALL SHEET'!$U$460</f>
        <v/>
      </c>
      <c r="D460">
        <f>'CALL SHEET'!$Y$460</f>
        <v/>
      </c>
      <c r="E460">
        <f>'CALL SHEET'!$AC$460</f>
        <v/>
      </c>
      <c r="F460">
        <f>IF('CALL SHEET'!$V$460="","",'CALL SHEET'!$V$460)</f>
        <v/>
      </c>
      <c r="G460">
        <f>IF('CALL SHEET'!$D$460="","",'CALL SHEET'!$D$460)</f>
        <v/>
      </c>
      <c r="H460">
        <f>IF('CALL SHEET'!$G$460="","",'CALL SHEET'!$G$460)</f>
        <v/>
      </c>
      <c r="I460">
        <f>IF('CALL SHEET'!$AT$460="","",'CALL SHEET'!$AT$460)</f>
        <v/>
      </c>
      <c r="J460">
        <f>IF('CALL SHEET'!$AX$460="","",'CALL SHEET'!$AX$460)</f>
        <v/>
      </c>
      <c r="K460">
        <f>IF('CALL SHEET'!$N$460="","",'CALL SHEET'!$N$460)</f>
        <v/>
      </c>
      <c r="L460">
        <f>IF('CALL SHEET'!$AE$460="","",'CALL SHEET'!$AE$460)</f>
        <v/>
      </c>
      <c r="M460" t="inlineStr">
        <is>
          <t>TRADE</t>
        </is>
      </c>
      <c r="N460" t="inlineStr">
        <is>
          <t>CALL SHEET · row 460</t>
        </is>
      </c>
    </row>
    <row r="461">
      <c r="A461">
        <f>IF('CALL SHEET'!$A$461="","",'CALL SHEET'!$A$461)</f>
        <v/>
      </c>
      <c r="B461">
        <f>IF('CALL SHEET'!$C$461="","",'CALL SHEET'!$C$461)</f>
        <v/>
      </c>
      <c r="C461">
        <f>'CALL SHEET'!$U$461</f>
        <v/>
      </c>
      <c r="D461">
        <f>'CALL SHEET'!$Y$461</f>
        <v/>
      </c>
      <c r="E461">
        <f>'CALL SHEET'!$AC$461</f>
        <v/>
      </c>
      <c r="F461">
        <f>IF('CALL SHEET'!$V$461="","",'CALL SHEET'!$V$461)</f>
        <v/>
      </c>
      <c r="G461">
        <f>IF('CALL SHEET'!$D$461="","",'CALL SHEET'!$D$461)</f>
        <v/>
      </c>
      <c r="H461">
        <f>IF('CALL SHEET'!$G$461="","",'CALL SHEET'!$G$461)</f>
        <v/>
      </c>
      <c r="I461">
        <f>IF('CALL SHEET'!$AT$461="","",'CALL SHEET'!$AT$461)</f>
        <v/>
      </c>
      <c r="J461">
        <f>IF('CALL SHEET'!$AX$461="","",'CALL SHEET'!$AX$461)</f>
        <v/>
      </c>
      <c r="K461">
        <f>IF('CALL SHEET'!$N$461="","",'CALL SHEET'!$N$461)</f>
        <v/>
      </c>
      <c r="L461">
        <f>IF('CALL SHEET'!$AE$461="","",'CALL SHEET'!$AE$461)</f>
        <v/>
      </c>
      <c r="M461" t="inlineStr">
        <is>
          <t>TRADE</t>
        </is>
      </c>
      <c r="N461" t="inlineStr">
        <is>
          <t>CALL SHEET · row 461</t>
        </is>
      </c>
    </row>
    <row r="462">
      <c r="A462">
        <f>IF('CALL SHEET'!$A$462="","",'CALL SHEET'!$A$462)</f>
        <v/>
      </c>
      <c r="B462">
        <f>IF('CALL SHEET'!$C$462="","",'CALL SHEET'!$C$462)</f>
        <v/>
      </c>
      <c r="C462">
        <f>'CALL SHEET'!$U$462</f>
        <v/>
      </c>
      <c r="D462">
        <f>'CALL SHEET'!$Y$462</f>
        <v/>
      </c>
      <c r="E462">
        <f>'CALL SHEET'!$AC$462</f>
        <v/>
      </c>
      <c r="F462">
        <f>IF('CALL SHEET'!$V$462="","",'CALL SHEET'!$V$462)</f>
        <v/>
      </c>
      <c r="G462">
        <f>IF('CALL SHEET'!$D$462="","",'CALL SHEET'!$D$462)</f>
        <v/>
      </c>
      <c r="H462">
        <f>IF('CALL SHEET'!$G$462="","",'CALL SHEET'!$G$462)</f>
        <v/>
      </c>
      <c r="I462">
        <f>IF('CALL SHEET'!$AT$462="","",'CALL SHEET'!$AT$462)</f>
        <v/>
      </c>
      <c r="J462">
        <f>IF('CALL SHEET'!$AX$462="","",'CALL SHEET'!$AX$462)</f>
        <v/>
      </c>
      <c r="K462">
        <f>IF('CALL SHEET'!$N$462="","",'CALL SHEET'!$N$462)</f>
        <v/>
      </c>
      <c r="L462">
        <f>IF('CALL SHEET'!$AE$462="","",'CALL SHEET'!$AE$462)</f>
        <v/>
      </c>
      <c r="M462" t="inlineStr">
        <is>
          <t>TRADE</t>
        </is>
      </c>
      <c r="N462" t="inlineStr">
        <is>
          <t>CALL SHEET · row 462</t>
        </is>
      </c>
    </row>
    <row r="463">
      <c r="A463">
        <f>IF('CALL SHEET'!$A$463="","",'CALL SHEET'!$A$463)</f>
        <v/>
      </c>
      <c r="B463">
        <f>IF('CALL SHEET'!$C$463="","",'CALL SHEET'!$C$463)</f>
        <v/>
      </c>
      <c r="C463">
        <f>'CALL SHEET'!$U$463</f>
        <v/>
      </c>
      <c r="D463">
        <f>'CALL SHEET'!$Y$463</f>
        <v/>
      </c>
      <c r="E463">
        <f>'CALL SHEET'!$AC$463</f>
        <v/>
      </c>
      <c r="F463">
        <f>IF('CALL SHEET'!$V$463="","",'CALL SHEET'!$V$463)</f>
        <v/>
      </c>
      <c r="G463">
        <f>IF('CALL SHEET'!$D$463="","",'CALL SHEET'!$D$463)</f>
        <v/>
      </c>
      <c r="H463">
        <f>IF('CALL SHEET'!$G$463="","",'CALL SHEET'!$G$463)</f>
        <v/>
      </c>
      <c r="I463">
        <f>IF('CALL SHEET'!$AT$463="","",'CALL SHEET'!$AT$463)</f>
        <v/>
      </c>
      <c r="J463">
        <f>IF('CALL SHEET'!$AX$463="","",'CALL SHEET'!$AX$463)</f>
        <v/>
      </c>
      <c r="K463">
        <f>IF('CALL SHEET'!$N$463="","",'CALL SHEET'!$N$463)</f>
        <v/>
      </c>
      <c r="L463">
        <f>IF('CALL SHEET'!$AE$463="","",'CALL SHEET'!$AE$463)</f>
        <v/>
      </c>
      <c r="M463" t="inlineStr">
        <is>
          <t>TRADE</t>
        </is>
      </c>
      <c r="N463" t="inlineStr">
        <is>
          <t>CALL SHEET · row 463</t>
        </is>
      </c>
    </row>
    <row r="464">
      <c r="A464">
        <f>IF('CALL SHEET'!$A$464="","",'CALL SHEET'!$A$464)</f>
        <v/>
      </c>
      <c r="B464">
        <f>IF('CALL SHEET'!$C$464="","",'CALL SHEET'!$C$464)</f>
        <v/>
      </c>
      <c r="C464">
        <f>'CALL SHEET'!$U$464</f>
        <v/>
      </c>
      <c r="D464">
        <f>'CALL SHEET'!$Y$464</f>
        <v/>
      </c>
      <c r="E464">
        <f>'CALL SHEET'!$AC$464</f>
        <v/>
      </c>
      <c r="F464">
        <f>IF('CALL SHEET'!$V$464="","",'CALL SHEET'!$V$464)</f>
        <v/>
      </c>
      <c r="G464">
        <f>IF('CALL SHEET'!$D$464="","",'CALL SHEET'!$D$464)</f>
        <v/>
      </c>
      <c r="H464">
        <f>IF('CALL SHEET'!$G$464="","",'CALL SHEET'!$G$464)</f>
        <v/>
      </c>
      <c r="I464">
        <f>IF('CALL SHEET'!$AT$464="","",'CALL SHEET'!$AT$464)</f>
        <v/>
      </c>
      <c r="J464">
        <f>IF('CALL SHEET'!$AX$464="","",'CALL SHEET'!$AX$464)</f>
        <v/>
      </c>
      <c r="K464">
        <f>IF('CALL SHEET'!$N$464="","",'CALL SHEET'!$N$464)</f>
        <v/>
      </c>
      <c r="L464">
        <f>IF('CALL SHEET'!$AE$464="","",'CALL SHEET'!$AE$464)</f>
        <v/>
      </c>
      <c r="M464" t="inlineStr">
        <is>
          <t>TRADE</t>
        </is>
      </c>
      <c r="N464" t="inlineStr">
        <is>
          <t>CALL SHEET · row 464</t>
        </is>
      </c>
    </row>
    <row r="465">
      <c r="A465">
        <f>IF('CALL SHEET'!$A$465="","",'CALL SHEET'!$A$465)</f>
        <v/>
      </c>
      <c r="B465">
        <f>IF('CALL SHEET'!$C$465="","",'CALL SHEET'!$C$465)</f>
        <v/>
      </c>
      <c r="C465">
        <f>'CALL SHEET'!$U$465</f>
        <v/>
      </c>
      <c r="D465">
        <f>'CALL SHEET'!$Y$465</f>
        <v/>
      </c>
      <c r="E465">
        <f>'CALL SHEET'!$AC$465</f>
        <v/>
      </c>
      <c r="F465">
        <f>IF('CALL SHEET'!$V$465="","",'CALL SHEET'!$V$465)</f>
        <v/>
      </c>
      <c r="G465">
        <f>IF('CALL SHEET'!$D$465="","",'CALL SHEET'!$D$465)</f>
        <v/>
      </c>
      <c r="H465">
        <f>IF('CALL SHEET'!$G$465="","",'CALL SHEET'!$G$465)</f>
        <v/>
      </c>
      <c r="I465">
        <f>IF('CALL SHEET'!$AT$465="","",'CALL SHEET'!$AT$465)</f>
        <v/>
      </c>
      <c r="J465">
        <f>IF('CALL SHEET'!$AX$465="","",'CALL SHEET'!$AX$465)</f>
        <v/>
      </c>
      <c r="K465">
        <f>IF('CALL SHEET'!$N$465="","",'CALL SHEET'!$N$465)</f>
        <v/>
      </c>
      <c r="L465">
        <f>IF('CALL SHEET'!$AE$465="","",'CALL SHEET'!$AE$465)</f>
        <v/>
      </c>
      <c r="M465" t="inlineStr">
        <is>
          <t>TRADE</t>
        </is>
      </c>
      <c r="N465" t="inlineStr">
        <is>
          <t>CALL SHEET · row 465</t>
        </is>
      </c>
    </row>
    <row r="466">
      <c r="A466">
        <f>IF('CALL SHEET'!$A$466="","",'CALL SHEET'!$A$466)</f>
        <v/>
      </c>
      <c r="B466">
        <f>IF('CALL SHEET'!$C$466="","",'CALL SHEET'!$C$466)</f>
        <v/>
      </c>
      <c r="C466">
        <f>'CALL SHEET'!$U$466</f>
        <v/>
      </c>
      <c r="D466">
        <f>'CALL SHEET'!$Y$466</f>
        <v/>
      </c>
      <c r="E466">
        <f>'CALL SHEET'!$AC$466</f>
        <v/>
      </c>
      <c r="F466">
        <f>IF('CALL SHEET'!$V$466="","",'CALL SHEET'!$V$466)</f>
        <v/>
      </c>
      <c r="G466">
        <f>IF('CALL SHEET'!$D$466="","",'CALL SHEET'!$D$466)</f>
        <v/>
      </c>
      <c r="H466">
        <f>IF('CALL SHEET'!$G$466="","",'CALL SHEET'!$G$466)</f>
        <v/>
      </c>
      <c r="I466">
        <f>IF('CALL SHEET'!$AT$466="","",'CALL SHEET'!$AT$466)</f>
        <v/>
      </c>
      <c r="J466">
        <f>IF('CALL SHEET'!$AX$466="","",'CALL SHEET'!$AX$466)</f>
        <v/>
      </c>
      <c r="K466">
        <f>IF('CALL SHEET'!$N$466="","",'CALL SHEET'!$N$466)</f>
        <v/>
      </c>
      <c r="L466">
        <f>IF('CALL SHEET'!$AE$466="","",'CALL SHEET'!$AE$466)</f>
        <v/>
      </c>
      <c r="M466" t="inlineStr">
        <is>
          <t>TRADE</t>
        </is>
      </c>
      <c r="N466" t="inlineStr">
        <is>
          <t>CALL SHEET · row 466</t>
        </is>
      </c>
    </row>
    <row r="467">
      <c r="A467">
        <f>IF('CALL SHEET'!$A$467="","",'CALL SHEET'!$A$467)</f>
        <v/>
      </c>
      <c r="B467">
        <f>IF('CALL SHEET'!$C$467="","",'CALL SHEET'!$C$467)</f>
        <v/>
      </c>
      <c r="C467">
        <f>'CALL SHEET'!$U$467</f>
        <v/>
      </c>
      <c r="D467">
        <f>'CALL SHEET'!$Y$467</f>
        <v/>
      </c>
      <c r="E467">
        <f>'CALL SHEET'!$AC$467</f>
        <v/>
      </c>
      <c r="F467">
        <f>IF('CALL SHEET'!$V$467="","",'CALL SHEET'!$V$467)</f>
        <v/>
      </c>
      <c r="G467">
        <f>IF('CALL SHEET'!$D$467="","",'CALL SHEET'!$D$467)</f>
        <v/>
      </c>
      <c r="H467">
        <f>IF('CALL SHEET'!$G$467="","",'CALL SHEET'!$G$467)</f>
        <v/>
      </c>
      <c r="I467">
        <f>IF('CALL SHEET'!$AT$467="","",'CALL SHEET'!$AT$467)</f>
        <v/>
      </c>
      <c r="J467">
        <f>IF('CALL SHEET'!$AX$467="","",'CALL SHEET'!$AX$467)</f>
        <v/>
      </c>
      <c r="K467">
        <f>IF('CALL SHEET'!$N$467="","",'CALL SHEET'!$N$467)</f>
        <v/>
      </c>
      <c r="L467">
        <f>IF('CALL SHEET'!$AE$467="","",'CALL SHEET'!$AE$467)</f>
        <v/>
      </c>
      <c r="M467" t="inlineStr">
        <is>
          <t>TRADE</t>
        </is>
      </c>
      <c r="N467" t="inlineStr">
        <is>
          <t>CALL SHEET · row 467</t>
        </is>
      </c>
    </row>
    <row r="468">
      <c r="A468">
        <f>IF('CALL SHEET'!$A$468="","",'CALL SHEET'!$A$468)</f>
        <v/>
      </c>
      <c r="B468">
        <f>IF('CALL SHEET'!$C$468="","",'CALL SHEET'!$C$468)</f>
        <v/>
      </c>
      <c r="C468">
        <f>'CALL SHEET'!$U$468</f>
        <v/>
      </c>
      <c r="D468">
        <f>'CALL SHEET'!$Y$468</f>
        <v/>
      </c>
      <c r="E468">
        <f>'CALL SHEET'!$AC$468</f>
        <v/>
      </c>
      <c r="F468">
        <f>IF('CALL SHEET'!$V$468="","",'CALL SHEET'!$V$468)</f>
        <v/>
      </c>
      <c r="G468">
        <f>IF('CALL SHEET'!$D$468="","",'CALL SHEET'!$D$468)</f>
        <v/>
      </c>
      <c r="H468">
        <f>IF('CALL SHEET'!$G$468="","",'CALL SHEET'!$G$468)</f>
        <v/>
      </c>
      <c r="I468">
        <f>IF('CALL SHEET'!$AT$468="","",'CALL SHEET'!$AT$468)</f>
        <v/>
      </c>
      <c r="J468">
        <f>IF('CALL SHEET'!$AX$468="","",'CALL SHEET'!$AX$468)</f>
        <v/>
      </c>
      <c r="K468">
        <f>IF('CALL SHEET'!$N$468="","",'CALL SHEET'!$N$468)</f>
        <v/>
      </c>
      <c r="L468">
        <f>IF('CALL SHEET'!$AE$468="","",'CALL SHEET'!$AE$468)</f>
        <v/>
      </c>
      <c r="M468" t="inlineStr">
        <is>
          <t>TRADE</t>
        </is>
      </c>
      <c r="N468" t="inlineStr">
        <is>
          <t>CALL SHEET · row 468</t>
        </is>
      </c>
    </row>
    <row r="469">
      <c r="A469">
        <f>IF('CALL SHEET'!$A$469="","",'CALL SHEET'!$A$469)</f>
        <v/>
      </c>
      <c r="B469">
        <f>IF('CALL SHEET'!$C$469="","",'CALL SHEET'!$C$469)</f>
        <v/>
      </c>
      <c r="C469">
        <f>'CALL SHEET'!$U$469</f>
        <v/>
      </c>
      <c r="D469">
        <f>'CALL SHEET'!$Y$469</f>
        <v/>
      </c>
      <c r="E469">
        <f>'CALL SHEET'!$AC$469</f>
        <v/>
      </c>
      <c r="F469">
        <f>IF('CALL SHEET'!$V$469="","",'CALL SHEET'!$V$469)</f>
        <v/>
      </c>
      <c r="G469">
        <f>IF('CALL SHEET'!$D$469="","",'CALL SHEET'!$D$469)</f>
        <v/>
      </c>
      <c r="H469">
        <f>IF('CALL SHEET'!$G$469="","",'CALL SHEET'!$G$469)</f>
        <v/>
      </c>
      <c r="I469">
        <f>IF('CALL SHEET'!$AT$469="","",'CALL SHEET'!$AT$469)</f>
        <v/>
      </c>
      <c r="J469">
        <f>IF('CALL SHEET'!$AX$469="","",'CALL SHEET'!$AX$469)</f>
        <v/>
      </c>
      <c r="K469">
        <f>IF('CALL SHEET'!$N$469="","",'CALL SHEET'!$N$469)</f>
        <v/>
      </c>
      <c r="L469">
        <f>IF('CALL SHEET'!$AE$469="","",'CALL SHEET'!$AE$469)</f>
        <v/>
      </c>
      <c r="M469" t="inlineStr">
        <is>
          <t>TRADE</t>
        </is>
      </c>
      <c r="N469" t="inlineStr">
        <is>
          <t>CALL SHEET · row 469</t>
        </is>
      </c>
    </row>
    <row r="470">
      <c r="A470">
        <f>IF('CALL SHEET'!$A$470="","",'CALL SHEET'!$A$470)</f>
        <v/>
      </c>
      <c r="B470">
        <f>IF('CALL SHEET'!$C$470="","",'CALL SHEET'!$C$470)</f>
        <v/>
      </c>
      <c r="C470">
        <f>'CALL SHEET'!$U$470</f>
        <v/>
      </c>
      <c r="D470">
        <f>'CALL SHEET'!$Y$470</f>
        <v/>
      </c>
      <c r="E470">
        <f>'CALL SHEET'!$AC$470</f>
        <v/>
      </c>
      <c r="F470">
        <f>IF('CALL SHEET'!$V$470="","",'CALL SHEET'!$V$470)</f>
        <v/>
      </c>
      <c r="G470">
        <f>IF('CALL SHEET'!$D$470="","",'CALL SHEET'!$D$470)</f>
        <v/>
      </c>
      <c r="H470">
        <f>IF('CALL SHEET'!$G$470="","",'CALL SHEET'!$G$470)</f>
        <v/>
      </c>
      <c r="I470">
        <f>IF('CALL SHEET'!$AT$470="","",'CALL SHEET'!$AT$470)</f>
        <v/>
      </c>
      <c r="J470">
        <f>IF('CALL SHEET'!$AX$470="","",'CALL SHEET'!$AX$470)</f>
        <v/>
      </c>
      <c r="K470">
        <f>IF('CALL SHEET'!$N$470="","",'CALL SHEET'!$N$470)</f>
        <v/>
      </c>
      <c r="L470">
        <f>IF('CALL SHEET'!$AE$470="","",'CALL SHEET'!$AE$470)</f>
        <v/>
      </c>
      <c r="M470" t="inlineStr">
        <is>
          <t>TRADE</t>
        </is>
      </c>
      <c r="N470" t="inlineStr">
        <is>
          <t>CALL SHEET · row 470</t>
        </is>
      </c>
    </row>
    <row r="471">
      <c r="A471">
        <f>IF('CALL SHEET'!$A$471="","",'CALL SHEET'!$A$471)</f>
        <v/>
      </c>
      <c r="B471">
        <f>IF('CALL SHEET'!$C$471="","",'CALL SHEET'!$C$471)</f>
        <v/>
      </c>
      <c r="C471">
        <f>'CALL SHEET'!$U$471</f>
        <v/>
      </c>
      <c r="D471">
        <f>'CALL SHEET'!$Y$471</f>
        <v/>
      </c>
      <c r="E471">
        <f>'CALL SHEET'!$AC$471</f>
        <v/>
      </c>
      <c r="F471">
        <f>IF('CALL SHEET'!$V$471="","",'CALL SHEET'!$V$471)</f>
        <v/>
      </c>
      <c r="G471">
        <f>IF('CALL SHEET'!$D$471="","",'CALL SHEET'!$D$471)</f>
        <v/>
      </c>
      <c r="H471">
        <f>IF('CALL SHEET'!$G$471="","",'CALL SHEET'!$G$471)</f>
        <v/>
      </c>
      <c r="I471">
        <f>IF('CALL SHEET'!$AT$471="","",'CALL SHEET'!$AT$471)</f>
        <v/>
      </c>
      <c r="J471">
        <f>IF('CALL SHEET'!$AX$471="","",'CALL SHEET'!$AX$471)</f>
        <v/>
      </c>
      <c r="K471">
        <f>IF('CALL SHEET'!$N$471="","",'CALL SHEET'!$N$471)</f>
        <v/>
      </c>
      <c r="L471">
        <f>IF('CALL SHEET'!$AE$471="","",'CALL SHEET'!$AE$471)</f>
        <v/>
      </c>
      <c r="M471" t="inlineStr">
        <is>
          <t>TRADE</t>
        </is>
      </c>
      <c r="N471" t="inlineStr">
        <is>
          <t>CALL SHEET · row 471</t>
        </is>
      </c>
    </row>
    <row r="472">
      <c r="A472">
        <f>IF('CALL SHEET'!$A$472="","",'CALL SHEET'!$A$472)</f>
        <v/>
      </c>
      <c r="B472">
        <f>IF('CALL SHEET'!$C$472="","",'CALL SHEET'!$C$472)</f>
        <v/>
      </c>
      <c r="C472">
        <f>'CALL SHEET'!$U$472</f>
        <v/>
      </c>
      <c r="D472">
        <f>'CALL SHEET'!$Y$472</f>
        <v/>
      </c>
      <c r="E472">
        <f>'CALL SHEET'!$AC$472</f>
        <v/>
      </c>
      <c r="F472">
        <f>IF('CALL SHEET'!$V$472="","",'CALL SHEET'!$V$472)</f>
        <v/>
      </c>
      <c r="G472">
        <f>IF('CALL SHEET'!$D$472="","",'CALL SHEET'!$D$472)</f>
        <v/>
      </c>
      <c r="H472">
        <f>IF('CALL SHEET'!$G$472="","",'CALL SHEET'!$G$472)</f>
        <v/>
      </c>
      <c r="I472">
        <f>IF('CALL SHEET'!$AT$472="","",'CALL SHEET'!$AT$472)</f>
        <v/>
      </c>
      <c r="J472">
        <f>IF('CALL SHEET'!$AX$472="","",'CALL SHEET'!$AX$472)</f>
        <v/>
      </c>
      <c r="K472">
        <f>IF('CALL SHEET'!$N$472="","",'CALL SHEET'!$N$472)</f>
        <v/>
      </c>
      <c r="L472">
        <f>IF('CALL SHEET'!$AE$472="","",'CALL SHEET'!$AE$472)</f>
        <v/>
      </c>
      <c r="M472" t="inlineStr">
        <is>
          <t>TRADE</t>
        </is>
      </c>
      <c r="N472" t="inlineStr">
        <is>
          <t>CALL SHEET · row 472</t>
        </is>
      </c>
    </row>
    <row r="473">
      <c r="A473">
        <f>IF('CALL SHEET'!$A$473="","",'CALL SHEET'!$A$473)</f>
        <v/>
      </c>
      <c r="B473">
        <f>IF('CALL SHEET'!$C$473="","",'CALL SHEET'!$C$473)</f>
        <v/>
      </c>
      <c r="C473">
        <f>'CALL SHEET'!$U$473</f>
        <v/>
      </c>
      <c r="D473">
        <f>'CALL SHEET'!$Y$473</f>
        <v/>
      </c>
      <c r="E473">
        <f>'CALL SHEET'!$AC$473</f>
        <v/>
      </c>
      <c r="F473">
        <f>IF('CALL SHEET'!$V$473="","",'CALL SHEET'!$V$473)</f>
        <v/>
      </c>
      <c r="G473">
        <f>IF('CALL SHEET'!$D$473="","",'CALL SHEET'!$D$473)</f>
        <v/>
      </c>
      <c r="H473">
        <f>IF('CALL SHEET'!$G$473="","",'CALL SHEET'!$G$473)</f>
        <v/>
      </c>
      <c r="I473">
        <f>IF('CALL SHEET'!$AT$473="","",'CALL SHEET'!$AT$473)</f>
        <v/>
      </c>
      <c r="J473">
        <f>IF('CALL SHEET'!$AX$473="","",'CALL SHEET'!$AX$473)</f>
        <v/>
      </c>
      <c r="K473">
        <f>IF('CALL SHEET'!$N$473="","",'CALL SHEET'!$N$473)</f>
        <v/>
      </c>
      <c r="L473">
        <f>IF('CALL SHEET'!$AE$473="","",'CALL SHEET'!$AE$473)</f>
        <v/>
      </c>
      <c r="M473" t="inlineStr">
        <is>
          <t>TRADE</t>
        </is>
      </c>
      <c r="N473" t="inlineStr">
        <is>
          <t>CALL SHEET · row 473</t>
        </is>
      </c>
    </row>
    <row r="474">
      <c r="A474">
        <f>IF('CALL SHEET'!$A$474="","",'CALL SHEET'!$A$474)</f>
        <v/>
      </c>
      <c r="B474">
        <f>IF('CALL SHEET'!$C$474="","",'CALL SHEET'!$C$474)</f>
        <v/>
      </c>
      <c r="C474">
        <f>'CALL SHEET'!$U$474</f>
        <v/>
      </c>
      <c r="D474">
        <f>'CALL SHEET'!$Y$474</f>
        <v/>
      </c>
      <c r="E474">
        <f>'CALL SHEET'!$AC$474</f>
        <v/>
      </c>
      <c r="F474">
        <f>IF('CALL SHEET'!$V$474="","",'CALL SHEET'!$V$474)</f>
        <v/>
      </c>
      <c r="G474">
        <f>IF('CALL SHEET'!$D$474="","",'CALL SHEET'!$D$474)</f>
        <v/>
      </c>
      <c r="H474">
        <f>IF('CALL SHEET'!$G$474="","",'CALL SHEET'!$G$474)</f>
        <v/>
      </c>
      <c r="I474">
        <f>IF('CALL SHEET'!$AT$474="","",'CALL SHEET'!$AT$474)</f>
        <v/>
      </c>
      <c r="J474">
        <f>IF('CALL SHEET'!$AX$474="","",'CALL SHEET'!$AX$474)</f>
        <v/>
      </c>
      <c r="K474">
        <f>IF('CALL SHEET'!$N$474="","",'CALL SHEET'!$N$474)</f>
        <v/>
      </c>
      <c r="L474">
        <f>IF('CALL SHEET'!$AE$474="","",'CALL SHEET'!$AE$474)</f>
        <v/>
      </c>
      <c r="M474" t="inlineStr">
        <is>
          <t>TRADE</t>
        </is>
      </c>
      <c r="N474" t="inlineStr">
        <is>
          <t>CALL SHEET · row 474</t>
        </is>
      </c>
    </row>
    <row r="475">
      <c r="A475">
        <f>IF('CALL SHEET'!$A$475="","",'CALL SHEET'!$A$475)</f>
        <v/>
      </c>
      <c r="B475">
        <f>IF('CALL SHEET'!$C$475="","",'CALL SHEET'!$C$475)</f>
        <v/>
      </c>
      <c r="C475">
        <f>'CALL SHEET'!$U$475</f>
        <v/>
      </c>
      <c r="D475">
        <f>'CALL SHEET'!$Y$475</f>
        <v/>
      </c>
      <c r="E475">
        <f>'CALL SHEET'!$AC$475</f>
        <v/>
      </c>
      <c r="F475">
        <f>IF('CALL SHEET'!$V$475="","",'CALL SHEET'!$V$475)</f>
        <v/>
      </c>
      <c r="G475">
        <f>IF('CALL SHEET'!$D$475="","",'CALL SHEET'!$D$475)</f>
        <v/>
      </c>
      <c r="H475">
        <f>IF('CALL SHEET'!$G$475="","",'CALL SHEET'!$G$475)</f>
        <v/>
      </c>
      <c r="I475">
        <f>IF('CALL SHEET'!$AT$475="","",'CALL SHEET'!$AT$475)</f>
        <v/>
      </c>
      <c r="J475">
        <f>IF('CALL SHEET'!$AX$475="","",'CALL SHEET'!$AX$475)</f>
        <v/>
      </c>
      <c r="K475">
        <f>IF('CALL SHEET'!$N$475="","",'CALL SHEET'!$N$475)</f>
        <v/>
      </c>
      <c r="L475">
        <f>IF('CALL SHEET'!$AE$475="","",'CALL SHEET'!$AE$475)</f>
        <v/>
      </c>
      <c r="M475" t="inlineStr">
        <is>
          <t>TRADE</t>
        </is>
      </c>
      <c r="N475" t="inlineStr">
        <is>
          <t>CALL SHEET · row 475</t>
        </is>
      </c>
    </row>
    <row r="476">
      <c r="A476">
        <f>IF('CALL SHEET'!$A$476="","",'CALL SHEET'!$A$476)</f>
        <v/>
      </c>
      <c r="B476">
        <f>IF('CALL SHEET'!$C$476="","",'CALL SHEET'!$C$476)</f>
        <v/>
      </c>
      <c r="C476">
        <f>'CALL SHEET'!$U$476</f>
        <v/>
      </c>
      <c r="D476">
        <f>'CALL SHEET'!$Y$476</f>
        <v/>
      </c>
      <c r="E476">
        <f>'CALL SHEET'!$AC$476</f>
        <v/>
      </c>
      <c r="F476">
        <f>IF('CALL SHEET'!$V$476="","",'CALL SHEET'!$V$476)</f>
        <v/>
      </c>
      <c r="G476">
        <f>IF('CALL SHEET'!$D$476="","",'CALL SHEET'!$D$476)</f>
        <v/>
      </c>
      <c r="H476">
        <f>IF('CALL SHEET'!$G$476="","",'CALL SHEET'!$G$476)</f>
        <v/>
      </c>
      <c r="I476">
        <f>IF('CALL SHEET'!$AT$476="","",'CALL SHEET'!$AT$476)</f>
        <v/>
      </c>
      <c r="J476">
        <f>IF('CALL SHEET'!$AX$476="","",'CALL SHEET'!$AX$476)</f>
        <v/>
      </c>
      <c r="K476">
        <f>IF('CALL SHEET'!$N$476="","",'CALL SHEET'!$N$476)</f>
        <v/>
      </c>
      <c r="L476">
        <f>IF('CALL SHEET'!$AE$476="","",'CALL SHEET'!$AE$476)</f>
        <v/>
      </c>
      <c r="M476" t="inlineStr">
        <is>
          <t>TRADE</t>
        </is>
      </c>
      <c r="N476" t="inlineStr">
        <is>
          <t>CALL SHEET · row 476</t>
        </is>
      </c>
    </row>
    <row r="477">
      <c r="A477">
        <f>IF('CALL SHEET'!$A$477="","",'CALL SHEET'!$A$477)</f>
        <v/>
      </c>
      <c r="B477">
        <f>IF('CALL SHEET'!$C$477="","",'CALL SHEET'!$C$477)</f>
        <v/>
      </c>
      <c r="C477">
        <f>'CALL SHEET'!$U$477</f>
        <v/>
      </c>
      <c r="D477">
        <f>'CALL SHEET'!$Y$477</f>
        <v/>
      </c>
      <c r="E477">
        <f>'CALL SHEET'!$AC$477</f>
        <v/>
      </c>
      <c r="F477">
        <f>IF('CALL SHEET'!$V$477="","",'CALL SHEET'!$V$477)</f>
        <v/>
      </c>
      <c r="G477">
        <f>IF('CALL SHEET'!$D$477="","",'CALL SHEET'!$D$477)</f>
        <v/>
      </c>
      <c r="H477">
        <f>IF('CALL SHEET'!$G$477="","",'CALL SHEET'!$G$477)</f>
        <v/>
      </c>
      <c r="I477">
        <f>IF('CALL SHEET'!$AT$477="","",'CALL SHEET'!$AT$477)</f>
        <v/>
      </c>
      <c r="J477">
        <f>IF('CALL SHEET'!$AX$477="","",'CALL SHEET'!$AX$477)</f>
        <v/>
      </c>
      <c r="K477">
        <f>IF('CALL SHEET'!$N$477="","",'CALL SHEET'!$N$477)</f>
        <v/>
      </c>
      <c r="L477">
        <f>IF('CALL SHEET'!$AE$477="","",'CALL SHEET'!$AE$477)</f>
        <v/>
      </c>
      <c r="M477" t="inlineStr">
        <is>
          <t>TRADE</t>
        </is>
      </c>
      <c r="N477" t="inlineStr">
        <is>
          <t>CALL SHEET · row 477</t>
        </is>
      </c>
    </row>
    <row r="478">
      <c r="A478">
        <f>IF('CALL SHEET'!$A$478="","",'CALL SHEET'!$A$478)</f>
        <v/>
      </c>
      <c r="B478">
        <f>IF('CALL SHEET'!$C$478="","",'CALL SHEET'!$C$478)</f>
        <v/>
      </c>
      <c r="C478">
        <f>'CALL SHEET'!$U$478</f>
        <v/>
      </c>
      <c r="D478">
        <f>'CALL SHEET'!$Y$478</f>
        <v/>
      </c>
      <c r="E478">
        <f>'CALL SHEET'!$AC$478</f>
        <v/>
      </c>
      <c r="F478">
        <f>IF('CALL SHEET'!$V$478="","",'CALL SHEET'!$V$478)</f>
        <v/>
      </c>
      <c r="G478">
        <f>IF('CALL SHEET'!$D$478="","",'CALL SHEET'!$D$478)</f>
        <v/>
      </c>
      <c r="H478">
        <f>IF('CALL SHEET'!$G$478="","",'CALL SHEET'!$G$478)</f>
        <v/>
      </c>
      <c r="I478">
        <f>IF('CALL SHEET'!$AT$478="","",'CALL SHEET'!$AT$478)</f>
        <v/>
      </c>
      <c r="J478">
        <f>IF('CALL SHEET'!$AX$478="","",'CALL SHEET'!$AX$478)</f>
        <v/>
      </c>
      <c r="K478">
        <f>IF('CALL SHEET'!$N$478="","",'CALL SHEET'!$N$478)</f>
        <v/>
      </c>
      <c r="L478">
        <f>IF('CALL SHEET'!$AE$478="","",'CALL SHEET'!$AE$478)</f>
        <v/>
      </c>
      <c r="M478" t="inlineStr">
        <is>
          <t>TRADE</t>
        </is>
      </c>
      <c r="N478" t="inlineStr">
        <is>
          <t>CALL SHEET · row 478</t>
        </is>
      </c>
    </row>
    <row r="479">
      <c r="A479">
        <f>IF('CALL SHEET'!$A$479="","",'CALL SHEET'!$A$479)</f>
        <v/>
      </c>
      <c r="B479">
        <f>IF('CALL SHEET'!$C$479="","",'CALL SHEET'!$C$479)</f>
        <v/>
      </c>
      <c r="C479">
        <f>'CALL SHEET'!$U$479</f>
        <v/>
      </c>
      <c r="D479">
        <f>'CALL SHEET'!$Y$479</f>
        <v/>
      </c>
      <c r="E479">
        <f>'CALL SHEET'!$AC$479</f>
        <v/>
      </c>
      <c r="F479">
        <f>IF('CALL SHEET'!$V$479="","",'CALL SHEET'!$V$479)</f>
        <v/>
      </c>
      <c r="G479">
        <f>IF('CALL SHEET'!$D$479="","",'CALL SHEET'!$D$479)</f>
        <v/>
      </c>
      <c r="H479">
        <f>IF('CALL SHEET'!$G$479="","",'CALL SHEET'!$G$479)</f>
        <v/>
      </c>
      <c r="I479">
        <f>IF('CALL SHEET'!$AT$479="","",'CALL SHEET'!$AT$479)</f>
        <v/>
      </c>
      <c r="J479">
        <f>IF('CALL SHEET'!$AX$479="","",'CALL SHEET'!$AX$479)</f>
        <v/>
      </c>
      <c r="K479">
        <f>IF('CALL SHEET'!$N$479="","",'CALL SHEET'!$N$479)</f>
        <v/>
      </c>
      <c r="L479">
        <f>IF('CALL SHEET'!$AE$479="","",'CALL SHEET'!$AE$479)</f>
        <v/>
      </c>
      <c r="M479" t="inlineStr">
        <is>
          <t>TRADE</t>
        </is>
      </c>
      <c r="N479" t="inlineStr">
        <is>
          <t>CALL SHEET · row 479</t>
        </is>
      </c>
    </row>
    <row r="480">
      <c r="A480">
        <f>IF('CALL SHEET'!$A$480="","",'CALL SHEET'!$A$480)</f>
        <v/>
      </c>
      <c r="B480">
        <f>IF('CALL SHEET'!$C$480="","",'CALL SHEET'!$C$480)</f>
        <v/>
      </c>
      <c r="C480">
        <f>'CALL SHEET'!$U$480</f>
        <v/>
      </c>
      <c r="D480">
        <f>'CALL SHEET'!$Y$480</f>
        <v/>
      </c>
      <c r="E480">
        <f>'CALL SHEET'!$AC$480</f>
        <v/>
      </c>
      <c r="F480">
        <f>IF('CALL SHEET'!$V$480="","",'CALL SHEET'!$V$480)</f>
        <v/>
      </c>
      <c r="G480">
        <f>IF('CALL SHEET'!$D$480="","",'CALL SHEET'!$D$480)</f>
        <v/>
      </c>
      <c r="H480">
        <f>IF('CALL SHEET'!$G$480="","",'CALL SHEET'!$G$480)</f>
        <v/>
      </c>
      <c r="I480">
        <f>IF('CALL SHEET'!$AT$480="","",'CALL SHEET'!$AT$480)</f>
        <v/>
      </c>
      <c r="J480">
        <f>IF('CALL SHEET'!$AX$480="","",'CALL SHEET'!$AX$480)</f>
        <v/>
      </c>
      <c r="K480">
        <f>IF('CALL SHEET'!$N$480="","",'CALL SHEET'!$N$480)</f>
        <v/>
      </c>
      <c r="L480">
        <f>IF('CALL SHEET'!$AE$480="","",'CALL SHEET'!$AE$480)</f>
        <v/>
      </c>
      <c r="M480" t="inlineStr">
        <is>
          <t>TRADE</t>
        </is>
      </c>
      <c r="N480" t="inlineStr">
        <is>
          <t>CALL SHEET · row 480</t>
        </is>
      </c>
    </row>
    <row r="481">
      <c r="A481">
        <f>IF('CALL SHEET'!$A$481="","",'CALL SHEET'!$A$481)</f>
        <v/>
      </c>
      <c r="B481">
        <f>IF('CALL SHEET'!$C$481="","",'CALL SHEET'!$C$481)</f>
        <v/>
      </c>
      <c r="C481">
        <f>'CALL SHEET'!$U$481</f>
        <v/>
      </c>
      <c r="D481">
        <f>'CALL SHEET'!$Y$481</f>
        <v/>
      </c>
      <c r="E481">
        <f>'CALL SHEET'!$AC$481</f>
        <v/>
      </c>
      <c r="F481">
        <f>IF('CALL SHEET'!$V$481="","",'CALL SHEET'!$V$481)</f>
        <v/>
      </c>
      <c r="G481">
        <f>IF('CALL SHEET'!$D$481="","",'CALL SHEET'!$D$481)</f>
        <v/>
      </c>
      <c r="H481">
        <f>IF('CALL SHEET'!$G$481="","",'CALL SHEET'!$G$481)</f>
        <v/>
      </c>
      <c r="I481">
        <f>IF('CALL SHEET'!$AT$481="","",'CALL SHEET'!$AT$481)</f>
        <v/>
      </c>
      <c r="J481">
        <f>IF('CALL SHEET'!$AX$481="","",'CALL SHEET'!$AX$481)</f>
        <v/>
      </c>
      <c r="K481">
        <f>IF('CALL SHEET'!$N$481="","",'CALL SHEET'!$N$481)</f>
        <v/>
      </c>
      <c r="L481">
        <f>IF('CALL SHEET'!$AE$481="","",'CALL SHEET'!$AE$481)</f>
        <v/>
      </c>
      <c r="M481" t="inlineStr">
        <is>
          <t>TRADE</t>
        </is>
      </c>
      <c r="N481" t="inlineStr">
        <is>
          <t>CALL SHEET · row 481</t>
        </is>
      </c>
    </row>
    <row r="482">
      <c r="A482">
        <f>IF('CALL SHEET'!$A$482="","",'CALL SHEET'!$A$482)</f>
        <v/>
      </c>
      <c r="B482">
        <f>IF('CALL SHEET'!$C$482="","",'CALL SHEET'!$C$482)</f>
        <v/>
      </c>
      <c r="C482">
        <f>'CALL SHEET'!$U$482</f>
        <v/>
      </c>
      <c r="D482">
        <f>'CALL SHEET'!$Y$482</f>
        <v/>
      </c>
      <c r="E482">
        <f>'CALL SHEET'!$AC$482</f>
        <v/>
      </c>
      <c r="F482">
        <f>IF('CALL SHEET'!$V$482="","",'CALL SHEET'!$V$482)</f>
        <v/>
      </c>
      <c r="G482">
        <f>IF('CALL SHEET'!$D$482="","",'CALL SHEET'!$D$482)</f>
        <v/>
      </c>
      <c r="H482">
        <f>IF('CALL SHEET'!$G$482="","",'CALL SHEET'!$G$482)</f>
        <v/>
      </c>
      <c r="I482">
        <f>IF('CALL SHEET'!$AT$482="","",'CALL SHEET'!$AT$482)</f>
        <v/>
      </c>
      <c r="J482">
        <f>IF('CALL SHEET'!$AX$482="","",'CALL SHEET'!$AX$482)</f>
        <v/>
      </c>
      <c r="K482">
        <f>IF('CALL SHEET'!$N$482="","",'CALL SHEET'!$N$482)</f>
        <v/>
      </c>
      <c r="L482">
        <f>IF('CALL SHEET'!$AE$482="","",'CALL SHEET'!$AE$482)</f>
        <v/>
      </c>
      <c r="M482" t="inlineStr">
        <is>
          <t>TRADE</t>
        </is>
      </c>
      <c r="N482" t="inlineStr">
        <is>
          <t>CALL SHEET · row 482</t>
        </is>
      </c>
    </row>
    <row r="483">
      <c r="A483">
        <f>IF('CALL SHEET'!$A$483="","",'CALL SHEET'!$A$483)</f>
        <v/>
      </c>
      <c r="B483">
        <f>IF('CALL SHEET'!$C$483="","",'CALL SHEET'!$C$483)</f>
        <v/>
      </c>
      <c r="C483">
        <f>'CALL SHEET'!$U$483</f>
        <v/>
      </c>
      <c r="D483">
        <f>'CALL SHEET'!$Y$483</f>
        <v/>
      </c>
      <c r="E483">
        <f>'CALL SHEET'!$AC$483</f>
        <v/>
      </c>
      <c r="F483">
        <f>IF('CALL SHEET'!$V$483="","",'CALL SHEET'!$V$483)</f>
        <v/>
      </c>
      <c r="G483">
        <f>IF('CALL SHEET'!$D$483="","",'CALL SHEET'!$D$483)</f>
        <v/>
      </c>
      <c r="H483">
        <f>IF('CALL SHEET'!$G$483="","",'CALL SHEET'!$G$483)</f>
        <v/>
      </c>
      <c r="I483">
        <f>IF('CALL SHEET'!$AT$483="","",'CALL SHEET'!$AT$483)</f>
        <v/>
      </c>
      <c r="J483">
        <f>IF('CALL SHEET'!$AX$483="","",'CALL SHEET'!$AX$483)</f>
        <v/>
      </c>
      <c r="K483">
        <f>IF('CALL SHEET'!$N$483="","",'CALL SHEET'!$N$483)</f>
        <v/>
      </c>
      <c r="L483">
        <f>IF('CALL SHEET'!$AE$483="","",'CALL SHEET'!$AE$483)</f>
        <v/>
      </c>
      <c r="M483" t="inlineStr">
        <is>
          <t>TRADE</t>
        </is>
      </c>
      <c r="N483" t="inlineStr">
        <is>
          <t>CALL SHEET · row 483</t>
        </is>
      </c>
    </row>
    <row r="484">
      <c r="A484">
        <f>IF('CALL SHEET'!$A$484="","",'CALL SHEET'!$A$484)</f>
        <v/>
      </c>
      <c r="B484">
        <f>IF('CALL SHEET'!$C$484="","",'CALL SHEET'!$C$484)</f>
        <v/>
      </c>
      <c r="C484">
        <f>'CALL SHEET'!$U$484</f>
        <v/>
      </c>
      <c r="D484">
        <f>'CALL SHEET'!$Y$484</f>
        <v/>
      </c>
      <c r="E484">
        <f>'CALL SHEET'!$AC$484</f>
        <v/>
      </c>
      <c r="F484">
        <f>IF('CALL SHEET'!$V$484="","",'CALL SHEET'!$V$484)</f>
        <v/>
      </c>
      <c r="G484">
        <f>IF('CALL SHEET'!$D$484="","",'CALL SHEET'!$D$484)</f>
        <v/>
      </c>
      <c r="H484">
        <f>IF('CALL SHEET'!$G$484="","",'CALL SHEET'!$G$484)</f>
        <v/>
      </c>
      <c r="I484">
        <f>IF('CALL SHEET'!$AT$484="","",'CALL SHEET'!$AT$484)</f>
        <v/>
      </c>
      <c r="J484">
        <f>IF('CALL SHEET'!$AX$484="","",'CALL SHEET'!$AX$484)</f>
        <v/>
      </c>
      <c r="K484">
        <f>IF('CALL SHEET'!$N$484="","",'CALL SHEET'!$N$484)</f>
        <v/>
      </c>
      <c r="L484">
        <f>IF('CALL SHEET'!$AE$484="","",'CALL SHEET'!$AE$484)</f>
        <v/>
      </c>
      <c r="M484" t="inlineStr">
        <is>
          <t>TRADE</t>
        </is>
      </c>
      <c r="N484" t="inlineStr">
        <is>
          <t>CALL SHEET · row 484</t>
        </is>
      </c>
    </row>
    <row r="485">
      <c r="A485">
        <f>IF('CALL SHEET'!$A$485="","",'CALL SHEET'!$A$485)</f>
        <v/>
      </c>
      <c r="B485">
        <f>IF('CALL SHEET'!$C$485="","",'CALL SHEET'!$C$485)</f>
        <v/>
      </c>
      <c r="C485">
        <f>'CALL SHEET'!$U$485</f>
        <v/>
      </c>
      <c r="D485">
        <f>'CALL SHEET'!$Y$485</f>
        <v/>
      </c>
      <c r="E485">
        <f>'CALL SHEET'!$AC$485</f>
        <v/>
      </c>
      <c r="F485">
        <f>IF('CALL SHEET'!$V$485="","",'CALL SHEET'!$V$485)</f>
        <v/>
      </c>
      <c r="G485">
        <f>IF('CALL SHEET'!$D$485="","",'CALL SHEET'!$D$485)</f>
        <v/>
      </c>
      <c r="H485">
        <f>IF('CALL SHEET'!$G$485="","",'CALL SHEET'!$G$485)</f>
        <v/>
      </c>
      <c r="I485">
        <f>IF('CALL SHEET'!$AT$485="","",'CALL SHEET'!$AT$485)</f>
        <v/>
      </c>
      <c r="J485">
        <f>IF('CALL SHEET'!$AX$485="","",'CALL SHEET'!$AX$485)</f>
        <v/>
      </c>
      <c r="K485">
        <f>IF('CALL SHEET'!$N$485="","",'CALL SHEET'!$N$485)</f>
        <v/>
      </c>
      <c r="L485">
        <f>IF('CALL SHEET'!$AE$485="","",'CALL SHEET'!$AE$485)</f>
        <v/>
      </c>
      <c r="M485" t="inlineStr">
        <is>
          <t>TRADE</t>
        </is>
      </c>
      <c r="N485" t="inlineStr">
        <is>
          <t>CALL SHEET · row 485</t>
        </is>
      </c>
    </row>
    <row r="486">
      <c r="A486">
        <f>IF('CALL SHEET'!$A$486="","",'CALL SHEET'!$A$486)</f>
        <v/>
      </c>
      <c r="B486">
        <f>IF('CALL SHEET'!$C$486="","",'CALL SHEET'!$C$486)</f>
        <v/>
      </c>
      <c r="C486">
        <f>'CALL SHEET'!$U$486</f>
        <v/>
      </c>
      <c r="D486">
        <f>'CALL SHEET'!$Y$486</f>
        <v/>
      </c>
      <c r="E486">
        <f>'CALL SHEET'!$AC$486</f>
        <v/>
      </c>
      <c r="F486">
        <f>IF('CALL SHEET'!$V$486="","",'CALL SHEET'!$V$486)</f>
        <v/>
      </c>
      <c r="G486">
        <f>IF('CALL SHEET'!$D$486="","",'CALL SHEET'!$D$486)</f>
        <v/>
      </c>
      <c r="H486">
        <f>IF('CALL SHEET'!$G$486="","",'CALL SHEET'!$G$486)</f>
        <v/>
      </c>
      <c r="I486">
        <f>IF('CALL SHEET'!$AT$486="","",'CALL SHEET'!$AT$486)</f>
        <v/>
      </c>
      <c r="J486">
        <f>IF('CALL SHEET'!$AX$486="","",'CALL SHEET'!$AX$486)</f>
        <v/>
      </c>
      <c r="K486">
        <f>IF('CALL SHEET'!$N$486="","",'CALL SHEET'!$N$486)</f>
        <v/>
      </c>
      <c r="L486">
        <f>IF('CALL SHEET'!$AE$486="","",'CALL SHEET'!$AE$486)</f>
        <v/>
      </c>
      <c r="M486" t="inlineStr">
        <is>
          <t>TRADE</t>
        </is>
      </c>
      <c r="N486" t="inlineStr">
        <is>
          <t>CALL SHEET · row 486</t>
        </is>
      </c>
    </row>
    <row r="487">
      <c r="A487">
        <f>IF('CALL SHEET'!$A$487="","",'CALL SHEET'!$A$487)</f>
        <v/>
      </c>
      <c r="B487">
        <f>IF('CALL SHEET'!$C$487="","",'CALL SHEET'!$C$487)</f>
        <v/>
      </c>
      <c r="C487">
        <f>'CALL SHEET'!$U$487</f>
        <v/>
      </c>
      <c r="D487">
        <f>'CALL SHEET'!$Y$487</f>
        <v/>
      </c>
      <c r="E487">
        <f>'CALL SHEET'!$AC$487</f>
        <v/>
      </c>
      <c r="F487">
        <f>IF('CALL SHEET'!$V$487="","",'CALL SHEET'!$V$487)</f>
        <v/>
      </c>
      <c r="G487">
        <f>IF('CALL SHEET'!$D$487="","",'CALL SHEET'!$D$487)</f>
        <v/>
      </c>
      <c r="H487">
        <f>IF('CALL SHEET'!$G$487="","",'CALL SHEET'!$G$487)</f>
        <v/>
      </c>
      <c r="I487">
        <f>IF('CALL SHEET'!$AT$487="","",'CALL SHEET'!$AT$487)</f>
        <v/>
      </c>
      <c r="J487">
        <f>IF('CALL SHEET'!$AX$487="","",'CALL SHEET'!$AX$487)</f>
        <v/>
      </c>
      <c r="K487">
        <f>IF('CALL SHEET'!$N$487="","",'CALL SHEET'!$N$487)</f>
        <v/>
      </c>
      <c r="L487">
        <f>IF('CALL SHEET'!$AE$487="","",'CALL SHEET'!$AE$487)</f>
        <v/>
      </c>
      <c r="M487" t="inlineStr">
        <is>
          <t>TRADE</t>
        </is>
      </c>
      <c r="N487" t="inlineStr">
        <is>
          <t>CALL SHEET · row 487</t>
        </is>
      </c>
    </row>
    <row r="488">
      <c r="A488">
        <f>IF('CALL SHEET'!$A$488="","",'CALL SHEET'!$A$488)</f>
        <v/>
      </c>
      <c r="B488">
        <f>IF('CALL SHEET'!$C$488="","",'CALL SHEET'!$C$488)</f>
        <v/>
      </c>
      <c r="C488">
        <f>'CALL SHEET'!$U$488</f>
        <v/>
      </c>
      <c r="D488">
        <f>'CALL SHEET'!$Y$488</f>
        <v/>
      </c>
      <c r="E488">
        <f>'CALL SHEET'!$AC$488</f>
        <v/>
      </c>
      <c r="F488">
        <f>IF('CALL SHEET'!$V$488="","",'CALL SHEET'!$V$488)</f>
        <v/>
      </c>
      <c r="G488">
        <f>IF('CALL SHEET'!$D$488="","",'CALL SHEET'!$D$488)</f>
        <v/>
      </c>
      <c r="H488">
        <f>IF('CALL SHEET'!$G$488="","",'CALL SHEET'!$G$488)</f>
        <v/>
      </c>
      <c r="I488">
        <f>IF('CALL SHEET'!$AT$488="","",'CALL SHEET'!$AT$488)</f>
        <v/>
      </c>
      <c r="J488">
        <f>IF('CALL SHEET'!$AX$488="","",'CALL SHEET'!$AX$488)</f>
        <v/>
      </c>
      <c r="K488">
        <f>IF('CALL SHEET'!$N$488="","",'CALL SHEET'!$N$488)</f>
        <v/>
      </c>
      <c r="L488">
        <f>IF('CALL SHEET'!$AE$488="","",'CALL SHEET'!$AE$488)</f>
        <v/>
      </c>
      <c r="M488" t="inlineStr">
        <is>
          <t>TRADE</t>
        </is>
      </c>
      <c r="N488" t="inlineStr">
        <is>
          <t>CALL SHEET · row 488</t>
        </is>
      </c>
    </row>
    <row r="489">
      <c r="A489">
        <f>IF('CALL SHEET'!$A$489="","",'CALL SHEET'!$A$489)</f>
        <v/>
      </c>
      <c r="B489">
        <f>IF('CALL SHEET'!$C$489="","",'CALL SHEET'!$C$489)</f>
        <v/>
      </c>
      <c r="C489">
        <f>'CALL SHEET'!$U$489</f>
        <v/>
      </c>
      <c r="D489">
        <f>'CALL SHEET'!$Y$489</f>
        <v/>
      </c>
      <c r="E489">
        <f>'CALL SHEET'!$AC$489</f>
        <v/>
      </c>
      <c r="F489">
        <f>IF('CALL SHEET'!$V$489="","",'CALL SHEET'!$V$489)</f>
        <v/>
      </c>
      <c r="G489">
        <f>IF('CALL SHEET'!$D$489="","",'CALL SHEET'!$D$489)</f>
        <v/>
      </c>
      <c r="H489">
        <f>IF('CALL SHEET'!$G$489="","",'CALL SHEET'!$G$489)</f>
        <v/>
      </c>
      <c r="I489">
        <f>IF('CALL SHEET'!$AT$489="","",'CALL SHEET'!$AT$489)</f>
        <v/>
      </c>
      <c r="J489">
        <f>IF('CALL SHEET'!$AX$489="","",'CALL SHEET'!$AX$489)</f>
        <v/>
      </c>
      <c r="K489">
        <f>IF('CALL SHEET'!$N$489="","",'CALL SHEET'!$N$489)</f>
        <v/>
      </c>
      <c r="L489">
        <f>IF('CALL SHEET'!$AE$489="","",'CALL SHEET'!$AE$489)</f>
        <v/>
      </c>
      <c r="M489" t="inlineStr">
        <is>
          <t>TRADE</t>
        </is>
      </c>
      <c r="N489" t="inlineStr">
        <is>
          <t>CALL SHEET · row 489</t>
        </is>
      </c>
    </row>
    <row r="490">
      <c r="A490">
        <f>IF('CALL SHEET'!$A$490="","",'CALL SHEET'!$A$490)</f>
        <v/>
      </c>
      <c r="B490">
        <f>IF('CALL SHEET'!$C$490="","",'CALL SHEET'!$C$490)</f>
        <v/>
      </c>
      <c r="C490">
        <f>'CALL SHEET'!$U$490</f>
        <v/>
      </c>
      <c r="D490">
        <f>'CALL SHEET'!$Y$490</f>
        <v/>
      </c>
      <c r="E490">
        <f>'CALL SHEET'!$AC$490</f>
        <v/>
      </c>
      <c r="F490">
        <f>IF('CALL SHEET'!$V$490="","",'CALL SHEET'!$V$490)</f>
        <v/>
      </c>
      <c r="G490">
        <f>IF('CALL SHEET'!$D$490="","",'CALL SHEET'!$D$490)</f>
        <v/>
      </c>
      <c r="H490">
        <f>IF('CALL SHEET'!$G$490="","",'CALL SHEET'!$G$490)</f>
        <v/>
      </c>
      <c r="I490">
        <f>IF('CALL SHEET'!$AT$490="","",'CALL SHEET'!$AT$490)</f>
        <v/>
      </c>
      <c r="J490">
        <f>IF('CALL SHEET'!$AX$490="","",'CALL SHEET'!$AX$490)</f>
        <v/>
      </c>
      <c r="K490">
        <f>IF('CALL SHEET'!$N$490="","",'CALL SHEET'!$N$490)</f>
        <v/>
      </c>
      <c r="L490">
        <f>IF('CALL SHEET'!$AE$490="","",'CALL SHEET'!$AE$490)</f>
        <v/>
      </c>
      <c r="M490" t="inlineStr">
        <is>
          <t>TRADE</t>
        </is>
      </c>
      <c r="N490" t="inlineStr">
        <is>
          <t>CALL SHEET · row 490</t>
        </is>
      </c>
    </row>
    <row r="491">
      <c r="A491">
        <f>IF('CALL SHEET'!$A$491="","",'CALL SHEET'!$A$491)</f>
        <v/>
      </c>
      <c r="B491">
        <f>IF('CALL SHEET'!$C$491="","",'CALL SHEET'!$C$491)</f>
        <v/>
      </c>
      <c r="C491">
        <f>'CALL SHEET'!$U$491</f>
        <v/>
      </c>
      <c r="D491">
        <f>'CALL SHEET'!$Y$491</f>
        <v/>
      </c>
      <c r="E491">
        <f>'CALL SHEET'!$AC$491</f>
        <v/>
      </c>
      <c r="F491">
        <f>IF('CALL SHEET'!$V$491="","",'CALL SHEET'!$V$491)</f>
        <v/>
      </c>
      <c r="G491">
        <f>IF('CALL SHEET'!$D$491="","",'CALL SHEET'!$D$491)</f>
        <v/>
      </c>
      <c r="H491">
        <f>IF('CALL SHEET'!$G$491="","",'CALL SHEET'!$G$491)</f>
        <v/>
      </c>
      <c r="I491">
        <f>IF('CALL SHEET'!$AT$491="","",'CALL SHEET'!$AT$491)</f>
        <v/>
      </c>
      <c r="J491">
        <f>IF('CALL SHEET'!$AX$491="","",'CALL SHEET'!$AX$491)</f>
        <v/>
      </c>
      <c r="K491">
        <f>IF('CALL SHEET'!$N$491="","",'CALL SHEET'!$N$491)</f>
        <v/>
      </c>
      <c r="L491">
        <f>IF('CALL SHEET'!$AE$491="","",'CALL SHEET'!$AE$491)</f>
        <v/>
      </c>
      <c r="M491" t="inlineStr">
        <is>
          <t>TRADE</t>
        </is>
      </c>
      <c r="N491" t="inlineStr">
        <is>
          <t>CALL SHEET · row 491</t>
        </is>
      </c>
    </row>
    <row r="492">
      <c r="A492">
        <f>IF('CALL SHEET'!$A$492="","",'CALL SHEET'!$A$492)</f>
        <v/>
      </c>
      <c r="B492">
        <f>IF('CALL SHEET'!$C$492="","",'CALL SHEET'!$C$492)</f>
        <v/>
      </c>
      <c r="C492">
        <f>'CALL SHEET'!$U$492</f>
        <v/>
      </c>
      <c r="D492">
        <f>'CALL SHEET'!$Y$492</f>
        <v/>
      </c>
      <c r="E492">
        <f>'CALL SHEET'!$AC$492</f>
        <v/>
      </c>
      <c r="F492">
        <f>IF('CALL SHEET'!$V$492="","",'CALL SHEET'!$V$492)</f>
        <v/>
      </c>
      <c r="G492">
        <f>IF('CALL SHEET'!$D$492="","",'CALL SHEET'!$D$492)</f>
        <v/>
      </c>
      <c r="H492">
        <f>IF('CALL SHEET'!$G$492="","",'CALL SHEET'!$G$492)</f>
        <v/>
      </c>
      <c r="I492">
        <f>IF('CALL SHEET'!$AT$492="","",'CALL SHEET'!$AT$492)</f>
        <v/>
      </c>
      <c r="J492">
        <f>IF('CALL SHEET'!$AX$492="","",'CALL SHEET'!$AX$492)</f>
        <v/>
      </c>
      <c r="K492">
        <f>IF('CALL SHEET'!$N$492="","",'CALL SHEET'!$N$492)</f>
        <v/>
      </c>
      <c r="L492">
        <f>IF('CALL SHEET'!$AE$492="","",'CALL SHEET'!$AE$492)</f>
        <v/>
      </c>
      <c r="M492" t="inlineStr">
        <is>
          <t>TRADE</t>
        </is>
      </c>
      <c r="N492" t="inlineStr">
        <is>
          <t>CALL SHEET · row 492</t>
        </is>
      </c>
    </row>
    <row r="493">
      <c r="A493">
        <f>IF('CALL SHEET'!$A$493="","",'CALL SHEET'!$A$493)</f>
        <v/>
      </c>
      <c r="B493">
        <f>IF('CALL SHEET'!$C$493="","",'CALL SHEET'!$C$493)</f>
        <v/>
      </c>
      <c r="C493">
        <f>'CALL SHEET'!$U$493</f>
        <v/>
      </c>
      <c r="D493">
        <f>'CALL SHEET'!$Y$493</f>
        <v/>
      </c>
      <c r="E493">
        <f>'CALL SHEET'!$AC$493</f>
        <v/>
      </c>
      <c r="F493">
        <f>IF('CALL SHEET'!$V$493="","",'CALL SHEET'!$V$493)</f>
        <v/>
      </c>
      <c r="G493">
        <f>IF('CALL SHEET'!$D$493="","",'CALL SHEET'!$D$493)</f>
        <v/>
      </c>
      <c r="H493">
        <f>IF('CALL SHEET'!$G$493="","",'CALL SHEET'!$G$493)</f>
        <v/>
      </c>
      <c r="I493">
        <f>IF('CALL SHEET'!$AT$493="","",'CALL SHEET'!$AT$493)</f>
        <v/>
      </c>
      <c r="J493">
        <f>IF('CALL SHEET'!$AX$493="","",'CALL SHEET'!$AX$493)</f>
        <v/>
      </c>
      <c r="K493">
        <f>IF('CALL SHEET'!$N$493="","",'CALL SHEET'!$N$493)</f>
        <v/>
      </c>
      <c r="L493">
        <f>IF('CALL SHEET'!$AE$493="","",'CALL SHEET'!$AE$493)</f>
        <v/>
      </c>
      <c r="M493" t="inlineStr">
        <is>
          <t>TRADE</t>
        </is>
      </c>
      <c r="N493" t="inlineStr">
        <is>
          <t>CALL SHEET · row 493</t>
        </is>
      </c>
    </row>
    <row r="494">
      <c r="A494">
        <f>IF('CALL SHEET'!$A$494="","",'CALL SHEET'!$A$494)</f>
        <v/>
      </c>
      <c r="B494">
        <f>IF('CALL SHEET'!$C$494="","",'CALL SHEET'!$C$494)</f>
        <v/>
      </c>
      <c r="C494">
        <f>'CALL SHEET'!$U$494</f>
        <v/>
      </c>
      <c r="D494">
        <f>'CALL SHEET'!$Y$494</f>
        <v/>
      </c>
      <c r="E494">
        <f>'CALL SHEET'!$AC$494</f>
        <v/>
      </c>
      <c r="F494">
        <f>IF('CALL SHEET'!$V$494="","",'CALL SHEET'!$V$494)</f>
        <v/>
      </c>
      <c r="G494">
        <f>IF('CALL SHEET'!$D$494="","",'CALL SHEET'!$D$494)</f>
        <v/>
      </c>
      <c r="H494">
        <f>IF('CALL SHEET'!$G$494="","",'CALL SHEET'!$G$494)</f>
        <v/>
      </c>
      <c r="I494">
        <f>IF('CALL SHEET'!$AT$494="","",'CALL SHEET'!$AT$494)</f>
        <v/>
      </c>
      <c r="J494">
        <f>IF('CALL SHEET'!$AX$494="","",'CALL SHEET'!$AX$494)</f>
        <v/>
      </c>
      <c r="K494">
        <f>IF('CALL SHEET'!$N$494="","",'CALL SHEET'!$N$494)</f>
        <v/>
      </c>
      <c r="L494">
        <f>IF('CALL SHEET'!$AE$494="","",'CALL SHEET'!$AE$494)</f>
        <v/>
      </c>
      <c r="M494" t="inlineStr">
        <is>
          <t>TRADE</t>
        </is>
      </c>
      <c r="N494" t="inlineStr">
        <is>
          <t>CALL SHEET · row 494</t>
        </is>
      </c>
    </row>
    <row r="495">
      <c r="A495">
        <f>IF('CALL SHEET'!$A$495="","",'CALL SHEET'!$A$495)</f>
        <v/>
      </c>
      <c r="B495">
        <f>IF('CALL SHEET'!$C$495="","",'CALL SHEET'!$C$495)</f>
        <v/>
      </c>
      <c r="C495">
        <f>'CALL SHEET'!$U$495</f>
        <v/>
      </c>
      <c r="D495">
        <f>'CALL SHEET'!$Y$495</f>
        <v/>
      </c>
      <c r="E495">
        <f>'CALL SHEET'!$AC$495</f>
        <v/>
      </c>
      <c r="F495">
        <f>IF('CALL SHEET'!$V$495="","",'CALL SHEET'!$V$495)</f>
        <v/>
      </c>
      <c r="G495">
        <f>IF('CALL SHEET'!$D$495="","",'CALL SHEET'!$D$495)</f>
        <v/>
      </c>
      <c r="H495">
        <f>IF('CALL SHEET'!$G$495="","",'CALL SHEET'!$G$495)</f>
        <v/>
      </c>
      <c r="I495">
        <f>IF('CALL SHEET'!$AT$495="","",'CALL SHEET'!$AT$495)</f>
        <v/>
      </c>
      <c r="J495">
        <f>IF('CALL SHEET'!$AX$495="","",'CALL SHEET'!$AX$495)</f>
        <v/>
      </c>
      <c r="K495">
        <f>IF('CALL SHEET'!$N$495="","",'CALL SHEET'!$N$495)</f>
        <v/>
      </c>
      <c r="L495">
        <f>IF('CALL SHEET'!$AE$495="","",'CALL SHEET'!$AE$495)</f>
        <v/>
      </c>
      <c r="M495" t="inlineStr">
        <is>
          <t>TRADE</t>
        </is>
      </c>
      <c r="N495" t="inlineStr">
        <is>
          <t>CALL SHEET · row 495</t>
        </is>
      </c>
    </row>
    <row r="496">
      <c r="A496">
        <f>IF('CALL SHEET'!$A$496="","",'CALL SHEET'!$A$496)</f>
        <v/>
      </c>
      <c r="B496">
        <f>IF('CALL SHEET'!$C$496="","",'CALL SHEET'!$C$496)</f>
        <v/>
      </c>
      <c r="C496">
        <f>'CALL SHEET'!$U$496</f>
        <v/>
      </c>
      <c r="D496">
        <f>'CALL SHEET'!$Y$496</f>
        <v/>
      </c>
      <c r="E496">
        <f>'CALL SHEET'!$AC$496</f>
        <v/>
      </c>
      <c r="F496">
        <f>IF('CALL SHEET'!$V$496="","",'CALL SHEET'!$V$496)</f>
        <v/>
      </c>
      <c r="G496">
        <f>IF('CALL SHEET'!$D$496="","",'CALL SHEET'!$D$496)</f>
        <v/>
      </c>
      <c r="H496">
        <f>IF('CALL SHEET'!$G$496="","",'CALL SHEET'!$G$496)</f>
        <v/>
      </c>
      <c r="I496">
        <f>IF('CALL SHEET'!$AT$496="","",'CALL SHEET'!$AT$496)</f>
        <v/>
      </c>
      <c r="J496">
        <f>IF('CALL SHEET'!$AX$496="","",'CALL SHEET'!$AX$496)</f>
        <v/>
      </c>
      <c r="K496">
        <f>IF('CALL SHEET'!$N$496="","",'CALL SHEET'!$N$496)</f>
        <v/>
      </c>
      <c r="L496">
        <f>IF('CALL SHEET'!$AE$496="","",'CALL SHEET'!$AE$496)</f>
        <v/>
      </c>
      <c r="M496" t="inlineStr">
        <is>
          <t>TRADE</t>
        </is>
      </c>
      <c r="N496" t="inlineStr">
        <is>
          <t>CALL SHEET · row 496</t>
        </is>
      </c>
    </row>
    <row r="497">
      <c r="A497">
        <f>IF('CALL SHEET'!$A$497="","",'CALL SHEET'!$A$497)</f>
        <v/>
      </c>
      <c r="B497">
        <f>IF('CALL SHEET'!$C$497="","",'CALL SHEET'!$C$497)</f>
        <v/>
      </c>
      <c r="C497">
        <f>'CALL SHEET'!$U$497</f>
        <v/>
      </c>
      <c r="D497">
        <f>'CALL SHEET'!$Y$497</f>
        <v/>
      </c>
      <c r="E497">
        <f>'CALL SHEET'!$AC$497</f>
        <v/>
      </c>
      <c r="F497">
        <f>IF('CALL SHEET'!$V$497="","",'CALL SHEET'!$V$497)</f>
        <v/>
      </c>
      <c r="G497">
        <f>IF('CALL SHEET'!$D$497="","",'CALL SHEET'!$D$497)</f>
        <v/>
      </c>
      <c r="H497">
        <f>IF('CALL SHEET'!$G$497="","",'CALL SHEET'!$G$497)</f>
        <v/>
      </c>
      <c r="I497">
        <f>IF('CALL SHEET'!$AT$497="","",'CALL SHEET'!$AT$497)</f>
        <v/>
      </c>
      <c r="J497">
        <f>IF('CALL SHEET'!$AX$497="","",'CALL SHEET'!$AX$497)</f>
        <v/>
      </c>
      <c r="K497">
        <f>IF('CALL SHEET'!$N$497="","",'CALL SHEET'!$N$497)</f>
        <v/>
      </c>
      <c r="L497">
        <f>IF('CALL SHEET'!$AE$497="","",'CALL SHEET'!$AE$497)</f>
        <v/>
      </c>
      <c r="M497" t="inlineStr">
        <is>
          <t>TRADE</t>
        </is>
      </c>
      <c r="N497" t="inlineStr">
        <is>
          <t>CALL SHEET · row 497</t>
        </is>
      </c>
    </row>
    <row r="498">
      <c r="A498">
        <f>IF('CALL SHEET'!$A$498="","",'CALL SHEET'!$A$498)</f>
        <v/>
      </c>
      <c r="B498">
        <f>IF('CALL SHEET'!$C$498="","",'CALL SHEET'!$C$498)</f>
        <v/>
      </c>
      <c r="C498">
        <f>'CALL SHEET'!$U$498</f>
        <v/>
      </c>
      <c r="D498">
        <f>'CALL SHEET'!$Y$498</f>
        <v/>
      </c>
      <c r="E498">
        <f>'CALL SHEET'!$AC$498</f>
        <v/>
      </c>
      <c r="F498">
        <f>IF('CALL SHEET'!$V$498="","",'CALL SHEET'!$V$498)</f>
        <v/>
      </c>
      <c r="G498">
        <f>IF('CALL SHEET'!$D$498="","",'CALL SHEET'!$D$498)</f>
        <v/>
      </c>
      <c r="H498">
        <f>IF('CALL SHEET'!$G$498="","",'CALL SHEET'!$G$498)</f>
        <v/>
      </c>
      <c r="I498">
        <f>IF('CALL SHEET'!$AT$498="","",'CALL SHEET'!$AT$498)</f>
        <v/>
      </c>
      <c r="J498">
        <f>IF('CALL SHEET'!$AX$498="","",'CALL SHEET'!$AX$498)</f>
        <v/>
      </c>
      <c r="K498">
        <f>IF('CALL SHEET'!$N$498="","",'CALL SHEET'!$N$498)</f>
        <v/>
      </c>
      <c r="L498">
        <f>IF('CALL SHEET'!$AE$498="","",'CALL SHEET'!$AE$498)</f>
        <v/>
      </c>
      <c r="M498" t="inlineStr">
        <is>
          <t>TRADE</t>
        </is>
      </c>
      <c r="N498" t="inlineStr">
        <is>
          <t>CALL SHEET · row 498</t>
        </is>
      </c>
    </row>
    <row r="499">
      <c r="A499">
        <f>IF('CALL SHEET'!$A$499="","",'CALL SHEET'!$A$499)</f>
        <v/>
      </c>
      <c r="B499">
        <f>IF('CALL SHEET'!$C$499="","",'CALL SHEET'!$C$499)</f>
        <v/>
      </c>
      <c r="C499">
        <f>'CALL SHEET'!$U$499</f>
        <v/>
      </c>
      <c r="D499">
        <f>'CALL SHEET'!$Y$499</f>
        <v/>
      </c>
      <c r="E499">
        <f>'CALL SHEET'!$AC$499</f>
        <v/>
      </c>
      <c r="F499">
        <f>IF('CALL SHEET'!$V$499="","",'CALL SHEET'!$V$499)</f>
        <v/>
      </c>
      <c r="G499">
        <f>IF('CALL SHEET'!$D$499="","",'CALL SHEET'!$D$499)</f>
        <v/>
      </c>
      <c r="H499">
        <f>IF('CALL SHEET'!$G$499="","",'CALL SHEET'!$G$499)</f>
        <v/>
      </c>
      <c r="I499">
        <f>IF('CALL SHEET'!$AT$499="","",'CALL SHEET'!$AT$499)</f>
        <v/>
      </c>
      <c r="J499">
        <f>IF('CALL SHEET'!$AX$499="","",'CALL SHEET'!$AX$499)</f>
        <v/>
      </c>
      <c r="K499">
        <f>IF('CALL SHEET'!$N$499="","",'CALL SHEET'!$N$499)</f>
        <v/>
      </c>
      <c r="L499">
        <f>IF('CALL SHEET'!$AE$499="","",'CALL SHEET'!$AE$499)</f>
        <v/>
      </c>
      <c r="M499" t="inlineStr">
        <is>
          <t>TRADE</t>
        </is>
      </c>
      <c r="N499" t="inlineStr">
        <is>
          <t>CALL SHEET · row 499</t>
        </is>
      </c>
    </row>
    <row r="500">
      <c r="A500">
        <f>IF('CALL SHEET'!$A$500="","",'CALL SHEET'!$A$500)</f>
        <v/>
      </c>
      <c r="B500">
        <f>IF('CALL SHEET'!$C$500="","",'CALL SHEET'!$C$500)</f>
        <v/>
      </c>
      <c r="C500">
        <f>'CALL SHEET'!$U$500</f>
        <v/>
      </c>
      <c r="D500">
        <f>'CALL SHEET'!$Y$500</f>
        <v/>
      </c>
      <c r="E500">
        <f>'CALL SHEET'!$AC$500</f>
        <v/>
      </c>
      <c r="F500">
        <f>IF('CALL SHEET'!$V$500="","",'CALL SHEET'!$V$500)</f>
        <v/>
      </c>
      <c r="G500">
        <f>IF('CALL SHEET'!$D$500="","",'CALL SHEET'!$D$500)</f>
        <v/>
      </c>
      <c r="H500">
        <f>IF('CALL SHEET'!$G$500="","",'CALL SHEET'!$G$500)</f>
        <v/>
      </c>
      <c r="I500">
        <f>IF('CALL SHEET'!$AT$500="","",'CALL SHEET'!$AT$500)</f>
        <v/>
      </c>
      <c r="J500">
        <f>IF('CALL SHEET'!$AX$500="","",'CALL SHEET'!$AX$500)</f>
        <v/>
      </c>
      <c r="K500">
        <f>IF('CALL SHEET'!$N$500="","",'CALL SHEET'!$N$500)</f>
        <v/>
      </c>
      <c r="L500">
        <f>IF('CALL SHEET'!$AE$500="","",'CALL SHEET'!$AE$500)</f>
        <v/>
      </c>
      <c r="M500" t="inlineStr">
        <is>
          <t>TRADE</t>
        </is>
      </c>
      <c r="N500" t="inlineStr">
        <is>
          <t>CALL SHEET · row 500</t>
        </is>
      </c>
    </row>
    <row r="501">
      <c r="A501">
        <f>IF('CALL SHEET'!$A$501="","",'CALL SHEET'!$A$501)</f>
        <v/>
      </c>
      <c r="B501">
        <f>IF('CALL SHEET'!$C$501="","",'CALL SHEET'!$C$501)</f>
        <v/>
      </c>
      <c r="C501">
        <f>'CALL SHEET'!$U$501</f>
        <v/>
      </c>
      <c r="D501">
        <f>'CALL SHEET'!$Y$501</f>
        <v/>
      </c>
      <c r="E501">
        <f>'CALL SHEET'!$AC$501</f>
        <v/>
      </c>
      <c r="F501">
        <f>IF('CALL SHEET'!$V$501="","",'CALL SHEET'!$V$501)</f>
        <v/>
      </c>
      <c r="G501">
        <f>IF('CALL SHEET'!$D$501="","",'CALL SHEET'!$D$501)</f>
        <v/>
      </c>
      <c r="H501">
        <f>IF('CALL SHEET'!$G$501="","",'CALL SHEET'!$G$501)</f>
        <v/>
      </c>
      <c r="I501">
        <f>IF('CALL SHEET'!$AT$501="","",'CALL SHEET'!$AT$501)</f>
        <v/>
      </c>
      <c r="J501">
        <f>IF('CALL SHEET'!$AX$501="","",'CALL SHEET'!$AX$501)</f>
        <v/>
      </c>
      <c r="K501">
        <f>IF('CALL SHEET'!$N$501="","",'CALL SHEET'!$N$501)</f>
        <v/>
      </c>
      <c r="L501">
        <f>IF('CALL SHEET'!$AE$501="","",'CALL SHEET'!$AE$501)</f>
        <v/>
      </c>
      <c r="M501" t="inlineStr">
        <is>
          <t>TRADE</t>
        </is>
      </c>
      <c r="N501" t="inlineStr">
        <is>
          <t>CALL SHEET · row 501</t>
        </is>
      </c>
    </row>
    <row r="502">
      <c r="A502">
        <f>IF('CALL SHEET'!$A$502="","",'CALL SHEET'!$A$502)</f>
        <v/>
      </c>
      <c r="B502">
        <f>IF('CALL SHEET'!$C$502="","",'CALL SHEET'!$C$502)</f>
        <v/>
      </c>
      <c r="C502">
        <f>'CALL SHEET'!$U$502</f>
        <v/>
      </c>
      <c r="D502">
        <f>'CALL SHEET'!$Y$502</f>
        <v/>
      </c>
      <c r="E502">
        <f>'CALL SHEET'!$AC$502</f>
        <v/>
      </c>
      <c r="F502">
        <f>IF('CALL SHEET'!$V$502="","",'CALL SHEET'!$V$502)</f>
        <v/>
      </c>
      <c r="G502">
        <f>IF('CALL SHEET'!$D$502="","",'CALL SHEET'!$D$502)</f>
        <v/>
      </c>
      <c r="H502">
        <f>IF('CALL SHEET'!$G$502="","",'CALL SHEET'!$G$502)</f>
        <v/>
      </c>
      <c r="I502">
        <f>IF('CALL SHEET'!$AT$502="","",'CALL SHEET'!$AT$502)</f>
        <v/>
      </c>
      <c r="J502">
        <f>IF('CALL SHEET'!$AX$502="","",'CALL SHEET'!$AX$502)</f>
        <v/>
      </c>
      <c r="K502">
        <f>IF('CALL SHEET'!$N$502="","",'CALL SHEET'!$N$502)</f>
        <v/>
      </c>
      <c r="L502">
        <f>IF('CALL SHEET'!$AE$502="","",'CALL SHEET'!$AE$502)</f>
        <v/>
      </c>
      <c r="M502" t="inlineStr">
        <is>
          <t>TRADE</t>
        </is>
      </c>
      <c r="N502" t="inlineStr">
        <is>
          <t>CALL SHEET · row 502</t>
        </is>
      </c>
    </row>
    <row r="503">
      <c r="A503">
        <f>IF('CALL SHEET'!$A$503="","",'CALL SHEET'!$A$503)</f>
        <v/>
      </c>
      <c r="B503">
        <f>IF('CALL SHEET'!$C$503="","",'CALL SHEET'!$C$503)</f>
        <v/>
      </c>
      <c r="C503">
        <f>'CALL SHEET'!$U$503</f>
        <v/>
      </c>
      <c r="D503">
        <f>'CALL SHEET'!$Y$503</f>
        <v/>
      </c>
      <c r="E503">
        <f>'CALL SHEET'!$AC$503</f>
        <v/>
      </c>
      <c r="F503">
        <f>IF('CALL SHEET'!$V$503="","",'CALL SHEET'!$V$503)</f>
        <v/>
      </c>
      <c r="G503">
        <f>IF('CALL SHEET'!$D$503="","",'CALL SHEET'!$D$503)</f>
        <v/>
      </c>
      <c r="H503">
        <f>IF('CALL SHEET'!$G$503="","",'CALL SHEET'!$G$503)</f>
        <v/>
      </c>
      <c r="I503">
        <f>IF('CALL SHEET'!$AT$503="","",'CALL SHEET'!$AT$503)</f>
        <v/>
      </c>
      <c r="J503">
        <f>IF('CALL SHEET'!$AX$503="","",'CALL SHEET'!$AX$503)</f>
        <v/>
      </c>
      <c r="K503">
        <f>IF('CALL SHEET'!$N$503="","",'CALL SHEET'!$N$503)</f>
        <v/>
      </c>
      <c r="L503">
        <f>IF('CALL SHEET'!$AE$503="","",'CALL SHEET'!$AE$503)</f>
        <v/>
      </c>
      <c r="M503" t="inlineStr">
        <is>
          <t>TRADE</t>
        </is>
      </c>
      <c r="N503" t="inlineStr">
        <is>
          <t>CALL SHEET · row 503</t>
        </is>
      </c>
    </row>
    <row r="504">
      <c r="A504">
        <f>IF('CALL SHEET'!$A$504="","",'CALL SHEET'!$A$504)</f>
        <v/>
      </c>
      <c r="B504">
        <f>IF('CALL SHEET'!$C$504="","",'CALL SHEET'!$C$504)</f>
        <v/>
      </c>
      <c r="C504">
        <f>'CALL SHEET'!$U$504</f>
        <v/>
      </c>
      <c r="D504">
        <f>'CALL SHEET'!$Y$504</f>
        <v/>
      </c>
      <c r="E504">
        <f>'CALL SHEET'!$AC$504</f>
        <v/>
      </c>
      <c r="F504">
        <f>IF('CALL SHEET'!$V$504="","",'CALL SHEET'!$V$504)</f>
        <v/>
      </c>
      <c r="G504">
        <f>IF('CALL SHEET'!$D$504="","",'CALL SHEET'!$D$504)</f>
        <v/>
      </c>
      <c r="H504">
        <f>IF('CALL SHEET'!$G$504="","",'CALL SHEET'!$G$504)</f>
        <v/>
      </c>
      <c r="I504">
        <f>IF('CALL SHEET'!$AT$504="","",'CALL SHEET'!$AT$504)</f>
        <v/>
      </c>
      <c r="J504">
        <f>IF('CALL SHEET'!$AX$504="","",'CALL SHEET'!$AX$504)</f>
        <v/>
      </c>
      <c r="K504">
        <f>IF('CALL SHEET'!$N$504="","",'CALL SHEET'!$N$504)</f>
        <v/>
      </c>
      <c r="L504">
        <f>IF('CALL SHEET'!$AE$504="","",'CALL SHEET'!$AE$504)</f>
        <v/>
      </c>
      <c r="M504" t="inlineStr">
        <is>
          <t>TRADE</t>
        </is>
      </c>
      <c r="N504" t="inlineStr">
        <is>
          <t>CALL SHEET · row 504</t>
        </is>
      </c>
    </row>
    <row r="505">
      <c r="A505">
        <f>IF('CALL SHEET'!$A$505="","",'CALL SHEET'!$A$505)</f>
        <v/>
      </c>
      <c r="B505">
        <f>IF('CALL SHEET'!$C$505="","",'CALL SHEET'!$C$505)</f>
        <v/>
      </c>
      <c r="C505">
        <f>'CALL SHEET'!$U$505</f>
        <v/>
      </c>
      <c r="D505">
        <f>'CALL SHEET'!$Y$505</f>
        <v/>
      </c>
      <c r="E505">
        <f>'CALL SHEET'!$AC$505</f>
        <v/>
      </c>
      <c r="F505">
        <f>IF('CALL SHEET'!$V$505="","",'CALL SHEET'!$V$505)</f>
        <v/>
      </c>
      <c r="G505">
        <f>IF('CALL SHEET'!$D$505="","",'CALL SHEET'!$D$505)</f>
        <v/>
      </c>
      <c r="H505">
        <f>IF('CALL SHEET'!$G$505="","",'CALL SHEET'!$G$505)</f>
        <v/>
      </c>
      <c r="I505">
        <f>IF('CALL SHEET'!$AT$505="","",'CALL SHEET'!$AT$505)</f>
        <v/>
      </c>
      <c r="J505">
        <f>IF('CALL SHEET'!$AX$505="","",'CALL SHEET'!$AX$505)</f>
        <v/>
      </c>
      <c r="K505">
        <f>IF('CALL SHEET'!$N$505="","",'CALL SHEET'!$N$505)</f>
        <v/>
      </c>
      <c r="L505">
        <f>IF('CALL SHEET'!$AE$505="","",'CALL SHEET'!$AE$505)</f>
        <v/>
      </c>
      <c r="M505" t="inlineStr">
        <is>
          <t>TRADE</t>
        </is>
      </c>
      <c r="N505" t="inlineStr">
        <is>
          <t>CALL SHEET · row 505</t>
        </is>
      </c>
    </row>
    <row r="506">
      <c r="A506">
        <f>IF('CALL SHEET'!$A$506="","",'CALL SHEET'!$A$506)</f>
        <v/>
      </c>
      <c r="B506">
        <f>IF('CALL SHEET'!$C$506="","",'CALL SHEET'!$C$506)</f>
        <v/>
      </c>
      <c r="C506">
        <f>'CALL SHEET'!$U$506</f>
        <v/>
      </c>
      <c r="D506">
        <f>'CALL SHEET'!$Y$506</f>
        <v/>
      </c>
      <c r="E506">
        <f>'CALL SHEET'!$AC$506</f>
        <v/>
      </c>
      <c r="F506">
        <f>IF('CALL SHEET'!$V$506="","",'CALL SHEET'!$V$506)</f>
        <v/>
      </c>
      <c r="G506">
        <f>IF('CALL SHEET'!$D$506="","",'CALL SHEET'!$D$506)</f>
        <v/>
      </c>
      <c r="H506">
        <f>IF('CALL SHEET'!$G$506="","",'CALL SHEET'!$G$506)</f>
        <v/>
      </c>
      <c r="I506">
        <f>IF('CALL SHEET'!$AT$506="","",'CALL SHEET'!$AT$506)</f>
        <v/>
      </c>
      <c r="J506">
        <f>IF('CALL SHEET'!$AX$506="","",'CALL SHEET'!$AX$506)</f>
        <v/>
      </c>
      <c r="K506">
        <f>IF('CALL SHEET'!$N$506="","",'CALL SHEET'!$N$506)</f>
        <v/>
      </c>
      <c r="L506">
        <f>IF('CALL SHEET'!$AE$506="","",'CALL SHEET'!$AE$506)</f>
        <v/>
      </c>
      <c r="M506" t="inlineStr">
        <is>
          <t>TRADE</t>
        </is>
      </c>
      <c r="N506" t="inlineStr">
        <is>
          <t>CALL SHEET · row 506</t>
        </is>
      </c>
    </row>
    <row r="507">
      <c r="A507">
        <f>IF('CALL SHEET'!$A$507="","",'CALL SHEET'!$A$507)</f>
        <v/>
      </c>
      <c r="B507">
        <f>IF('CALL SHEET'!$C$507="","",'CALL SHEET'!$C$507)</f>
        <v/>
      </c>
      <c r="C507">
        <f>'CALL SHEET'!$U$507</f>
        <v/>
      </c>
      <c r="D507">
        <f>'CALL SHEET'!$Y$507</f>
        <v/>
      </c>
      <c r="E507">
        <f>'CALL SHEET'!$AC$507</f>
        <v/>
      </c>
      <c r="F507">
        <f>IF('CALL SHEET'!$V$507="","",'CALL SHEET'!$V$507)</f>
        <v/>
      </c>
      <c r="G507">
        <f>IF('CALL SHEET'!$D$507="","",'CALL SHEET'!$D$507)</f>
        <v/>
      </c>
      <c r="H507">
        <f>IF('CALL SHEET'!$G$507="","",'CALL SHEET'!$G$507)</f>
        <v/>
      </c>
      <c r="I507">
        <f>IF('CALL SHEET'!$AT$507="","",'CALL SHEET'!$AT$507)</f>
        <v/>
      </c>
      <c r="J507">
        <f>IF('CALL SHEET'!$AX$507="","",'CALL SHEET'!$AX$507)</f>
        <v/>
      </c>
      <c r="K507">
        <f>IF('CALL SHEET'!$N$507="","",'CALL SHEET'!$N$507)</f>
        <v/>
      </c>
      <c r="L507">
        <f>IF('CALL SHEET'!$AE$507="","",'CALL SHEET'!$AE$507)</f>
        <v/>
      </c>
      <c r="M507" t="inlineStr">
        <is>
          <t>TRADE</t>
        </is>
      </c>
      <c r="N507" t="inlineStr">
        <is>
          <t>CALL SHEET · row 507</t>
        </is>
      </c>
    </row>
    <row r="508">
      <c r="A508">
        <f>IF('CALL SHEET'!$A$508="","",'CALL SHEET'!$A$508)</f>
        <v/>
      </c>
      <c r="B508">
        <f>IF('CALL SHEET'!$C$508="","",'CALL SHEET'!$C$508)</f>
        <v/>
      </c>
      <c r="C508">
        <f>'CALL SHEET'!$U$508</f>
        <v/>
      </c>
      <c r="D508">
        <f>'CALL SHEET'!$Y$508</f>
        <v/>
      </c>
      <c r="E508">
        <f>'CALL SHEET'!$AC$508</f>
        <v/>
      </c>
      <c r="F508">
        <f>IF('CALL SHEET'!$V$508="","",'CALL SHEET'!$V$508)</f>
        <v/>
      </c>
      <c r="G508">
        <f>IF('CALL SHEET'!$D$508="","",'CALL SHEET'!$D$508)</f>
        <v/>
      </c>
      <c r="H508">
        <f>IF('CALL SHEET'!$G$508="","",'CALL SHEET'!$G$508)</f>
        <v/>
      </c>
      <c r="I508">
        <f>IF('CALL SHEET'!$AT$508="","",'CALL SHEET'!$AT$508)</f>
        <v/>
      </c>
      <c r="J508">
        <f>IF('CALL SHEET'!$AX$508="","",'CALL SHEET'!$AX$508)</f>
        <v/>
      </c>
      <c r="K508">
        <f>IF('CALL SHEET'!$N$508="","",'CALL SHEET'!$N$508)</f>
        <v/>
      </c>
      <c r="L508">
        <f>IF('CALL SHEET'!$AE$508="","",'CALL SHEET'!$AE$508)</f>
        <v/>
      </c>
      <c r="M508" t="inlineStr">
        <is>
          <t>TRADE</t>
        </is>
      </c>
      <c r="N508" t="inlineStr">
        <is>
          <t>CALL SHEET · row 508</t>
        </is>
      </c>
    </row>
    <row r="509">
      <c r="A509">
        <f>IF('CALL SHEET'!$A$509="","",'CALL SHEET'!$A$509)</f>
        <v/>
      </c>
      <c r="B509">
        <f>IF('CALL SHEET'!$C$509="","",'CALL SHEET'!$C$509)</f>
        <v/>
      </c>
      <c r="C509">
        <f>'CALL SHEET'!$U$509</f>
        <v/>
      </c>
      <c r="D509">
        <f>'CALL SHEET'!$Y$509</f>
        <v/>
      </c>
      <c r="E509">
        <f>'CALL SHEET'!$AC$509</f>
        <v/>
      </c>
      <c r="F509">
        <f>IF('CALL SHEET'!$V$509="","",'CALL SHEET'!$V$509)</f>
        <v/>
      </c>
      <c r="G509">
        <f>IF('CALL SHEET'!$D$509="","",'CALL SHEET'!$D$509)</f>
        <v/>
      </c>
      <c r="H509">
        <f>IF('CALL SHEET'!$G$509="","",'CALL SHEET'!$G$509)</f>
        <v/>
      </c>
      <c r="I509">
        <f>IF('CALL SHEET'!$AT$509="","",'CALL SHEET'!$AT$509)</f>
        <v/>
      </c>
      <c r="J509">
        <f>IF('CALL SHEET'!$AX$509="","",'CALL SHEET'!$AX$509)</f>
        <v/>
      </c>
      <c r="K509">
        <f>IF('CALL SHEET'!$N$509="","",'CALL SHEET'!$N$509)</f>
        <v/>
      </c>
      <c r="L509">
        <f>IF('CALL SHEET'!$AE$509="","",'CALL SHEET'!$AE$509)</f>
        <v/>
      </c>
      <c r="M509" t="inlineStr">
        <is>
          <t>TRADE</t>
        </is>
      </c>
      <c r="N509" t="inlineStr">
        <is>
          <t>CALL SHEET · row 509</t>
        </is>
      </c>
    </row>
    <row r="510">
      <c r="A510">
        <f>IF('CALL SHEET'!$A$510="","",'CALL SHEET'!$A$510)</f>
        <v/>
      </c>
      <c r="B510">
        <f>IF('CALL SHEET'!$C$510="","",'CALL SHEET'!$C$510)</f>
        <v/>
      </c>
      <c r="C510">
        <f>'CALL SHEET'!$U$510</f>
        <v/>
      </c>
      <c r="D510">
        <f>'CALL SHEET'!$Y$510</f>
        <v/>
      </c>
      <c r="E510">
        <f>'CALL SHEET'!$AC$510</f>
        <v/>
      </c>
      <c r="F510">
        <f>IF('CALL SHEET'!$V$510="","",'CALL SHEET'!$V$510)</f>
        <v/>
      </c>
      <c r="G510">
        <f>IF('CALL SHEET'!$D$510="","",'CALL SHEET'!$D$510)</f>
        <v/>
      </c>
      <c r="H510">
        <f>IF('CALL SHEET'!$G$510="","",'CALL SHEET'!$G$510)</f>
        <v/>
      </c>
      <c r="I510">
        <f>IF('CALL SHEET'!$AT$510="","",'CALL SHEET'!$AT$510)</f>
        <v/>
      </c>
      <c r="J510">
        <f>IF('CALL SHEET'!$AX$510="","",'CALL SHEET'!$AX$510)</f>
        <v/>
      </c>
      <c r="K510">
        <f>IF('CALL SHEET'!$N$510="","",'CALL SHEET'!$N$510)</f>
        <v/>
      </c>
      <c r="L510">
        <f>IF('CALL SHEET'!$AE$510="","",'CALL SHEET'!$AE$510)</f>
        <v/>
      </c>
      <c r="M510" t="inlineStr">
        <is>
          <t>TRADE</t>
        </is>
      </c>
      <c r="N510" t="inlineStr">
        <is>
          <t>CALL SHEET · row 510</t>
        </is>
      </c>
    </row>
    <row r="511">
      <c r="A511">
        <f>IF('CALL SHEET'!$A$511="","",'CALL SHEET'!$A$511)</f>
        <v/>
      </c>
      <c r="B511">
        <f>IF('CALL SHEET'!$C$511="","",'CALL SHEET'!$C$511)</f>
        <v/>
      </c>
      <c r="C511">
        <f>'CALL SHEET'!$U$511</f>
        <v/>
      </c>
      <c r="D511">
        <f>'CALL SHEET'!$Y$511</f>
        <v/>
      </c>
      <c r="E511">
        <f>'CALL SHEET'!$AC$511</f>
        <v/>
      </c>
      <c r="F511">
        <f>IF('CALL SHEET'!$V$511="","",'CALL SHEET'!$V$511)</f>
        <v/>
      </c>
      <c r="G511">
        <f>IF('CALL SHEET'!$D$511="","",'CALL SHEET'!$D$511)</f>
        <v/>
      </c>
      <c r="H511">
        <f>IF('CALL SHEET'!$G$511="","",'CALL SHEET'!$G$511)</f>
        <v/>
      </c>
      <c r="I511">
        <f>IF('CALL SHEET'!$AT$511="","",'CALL SHEET'!$AT$511)</f>
        <v/>
      </c>
      <c r="J511">
        <f>IF('CALL SHEET'!$AX$511="","",'CALL SHEET'!$AX$511)</f>
        <v/>
      </c>
      <c r="K511">
        <f>IF('CALL SHEET'!$N$511="","",'CALL SHEET'!$N$511)</f>
        <v/>
      </c>
      <c r="L511">
        <f>IF('CALL SHEET'!$AE$511="","",'CALL SHEET'!$AE$511)</f>
        <v/>
      </c>
      <c r="M511" t="inlineStr">
        <is>
          <t>TRADE</t>
        </is>
      </c>
      <c r="N511" t="inlineStr">
        <is>
          <t>CALL SHEET · row 511</t>
        </is>
      </c>
    </row>
    <row r="512">
      <c r="A512">
        <f>IF('CALL SHEET'!$A$512="","",'CALL SHEET'!$A$512)</f>
        <v/>
      </c>
      <c r="B512">
        <f>IF('CALL SHEET'!$C$512="","",'CALL SHEET'!$C$512)</f>
        <v/>
      </c>
      <c r="C512">
        <f>'CALL SHEET'!$U$512</f>
        <v/>
      </c>
      <c r="D512">
        <f>'CALL SHEET'!$Y$512</f>
        <v/>
      </c>
      <c r="E512">
        <f>'CALL SHEET'!$AC$512</f>
        <v/>
      </c>
      <c r="F512">
        <f>IF('CALL SHEET'!$V$512="","",'CALL SHEET'!$V$512)</f>
        <v/>
      </c>
      <c r="G512">
        <f>IF('CALL SHEET'!$D$512="","",'CALL SHEET'!$D$512)</f>
        <v/>
      </c>
      <c r="H512">
        <f>IF('CALL SHEET'!$G$512="","",'CALL SHEET'!$G$512)</f>
        <v/>
      </c>
      <c r="I512">
        <f>IF('CALL SHEET'!$AT$512="","",'CALL SHEET'!$AT$512)</f>
        <v/>
      </c>
      <c r="J512">
        <f>IF('CALL SHEET'!$AX$512="","",'CALL SHEET'!$AX$512)</f>
        <v/>
      </c>
      <c r="K512">
        <f>IF('CALL SHEET'!$N$512="","",'CALL SHEET'!$N$512)</f>
        <v/>
      </c>
      <c r="L512">
        <f>IF('CALL SHEET'!$AE$512="","",'CALL SHEET'!$AE$512)</f>
        <v/>
      </c>
      <c r="M512" t="inlineStr">
        <is>
          <t>TRADE</t>
        </is>
      </c>
      <c r="N512" t="inlineStr">
        <is>
          <t>CALL SHEET · row 512</t>
        </is>
      </c>
    </row>
    <row r="513">
      <c r="A513">
        <f>IF('CALL SHEET'!$A$513="","",'CALL SHEET'!$A$513)</f>
        <v/>
      </c>
      <c r="B513">
        <f>IF('CALL SHEET'!$C$513="","",'CALL SHEET'!$C$513)</f>
        <v/>
      </c>
      <c r="C513">
        <f>'CALL SHEET'!$U$513</f>
        <v/>
      </c>
      <c r="D513">
        <f>'CALL SHEET'!$Y$513</f>
        <v/>
      </c>
      <c r="E513">
        <f>'CALL SHEET'!$AC$513</f>
        <v/>
      </c>
      <c r="F513">
        <f>IF('CALL SHEET'!$V$513="","",'CALL SHEET'!$V$513)</f>
        <v/>
      </c>
      <c r="G513">
        <f>IF('CALL SHEET'!$D$513="","",'CALL SHEET'!$D$513)</f>
        <v/>
      </c>
      <c r="H513">
        <f>IF('CALL SHEET'!$G$513="","",'CALL SHEET'!$G$513)</f>
        <v/>
      </c>
      <c r="I513">
        <f>IF('CALL SHEET'!$AT$513="","",'CALL SHEET'!$AT$513)</f>
        <v/>
      </c>
      <c r="J513">
        <f>IF('CALL SHEET'!$AX$513="","",'CALL SHEET'!$AX$513)</f>
        <v/>
      </c>
      <c r="K513">
        <f>IF('CALL SHEET'!$N$513="","",'CALL SHEET'!$N$513)</f>
        <v/>
      </c>
      <c r="L513">
        <f>IF('CALL SHEET'!$AE$513="","",'CALL SHEET'!$AE$513)</f>
        <v/>
      </c>
      <c r="M513" t="inlineStr">
        <is>
          <t>TRADE</t>
        </is>
      </c>
      <c r="N513" t="inlineStr">
        <is>
          <t>CALL SHEET · row 513</t>
        </is>
      </c>
    </row>
    <row r="514">
      <c r="A514">
        <f>IF('CALL SHEET'!$A$514="","",'CALL SHEET'!$A$514)</f>
        <v/>
      </c>
      <c r="B514">
        <f>IF('CALL SHEET'!$C$514="","",'CALL SHEET'!$C$514)</f>
        <v/>
      </c>
      <c r="C514">
        <f>'CALL SHEET'!$U$514</f>
        <v/>
      </c>
      <c r="D514">
        <f>'CALL SHEET'!$Y$514</f>
        <v/>
      </c>
      <c r="E514">
        <f>'CALL SHEET'!$AC$514</f>
        <v/>
      </c>
      <c r="F514">
        <f>IF('CALL SHEET'!$V$514="","",'CALL SHEET'!$V$514)</f>
        <v/>
      </c>
      <c r="G514">
        <f>IF('CALL SHEET'!$D$514="","",'CALL SHEET'!$D$514)</f>
        <v/>
      </c>
      <c r="H514">
        <f>IF('CALL SHEET'!$G$514="","",'CALL SHEET'!$G$514)</f>
        <v/>
      </c>
      <c r="I514">
        <f>IF('CALL SHEET'!$AT$514="","",'CALL SHEET'!$AT$514)</f>
        <v/>
      </c>
      <c r="J514">
        <f>IF('CALL SHEET'!$AX$514="","",'CALL SHEET'!$AX$514)</f>
        <v/>
      </c>
      <c r="K514">
        <f>IF('CALL SHEET'!$N$514="","",'CALL SHEET'!$N$514)</f>
        <v/>
      </c>
      <c r="L514">
        <f>IF('CALL SHEET'!$AE$514="","",'CALL SHEET'!$AE$514)</f>
        <v/>
      </c>
      <c r="M514" t="inlineStr">
        <is>
          <t>TRADE</t>
        </is>
      </c>
      <c r="N514" t="inlineStr">
        <is>
          <t>CALL SHEET · row 514</t>
        </is>
      </c>
    </row>
    <row r="515">
      <c r="A515">
        <f>IF('CALL SHEET'!$A$515="","",'CALL SHEET'!$A$515)</f>
        <v/>
      </c>
      <c r="B515">
        <f>IF('CALL SHEET'!$C$515="","",'CALL SHEET'!$C$515)</f>
        <v/>
      </c>
      <c r="C515">
        <f>'CALL SHEET'!$U$515</f>
        <v/>
      </c>
      <c r="D515">
        <f>'CALL SHEET'!$Y$515</f>
        <v/>
      </c>
      <c r="E515">
        <f>'CALL SHEET'!$AC$515</f>
        <v/>
      </c>
      <c r="F515">
        <f>IF('CALL SHEET'!$V$515="","",'CALL SHEET'!$V$515)</f>
        <v/>
      </c>
      <c r="G515">
        <f>IF('CALL SHEET'!$D$515="","",'CALL SHEET'!$D$515)</f>
        <v/>
      </c>
      <c r="H515">
        <f>IF('CALL SHEET'!$G$515="","",'CALL SHEET'!$G$515)</f>
        <v/>
      </c>
      <c r="I515">
        <f>IF('CALL SHEET'!$AT$515="","",'CALL SHEET'!$AT$515)</f>
        <v/>
      </c>
      <c r="J515">
        <f>IF('CALL SHEET'!$AX$515="","",'CALL SHEET'!$AX$515)</f>
        <v/>
      </c>
      <c r="K515">
        <f>IF('CALL SHEET'!$N$515="","",'CALL SHEET'!$N$515)</f>
        <v/>
      </c>
      <c r="L515">
        <f>IF('CALL SHEET'!$AE$515="","",'CALL SHEET'!$AE$515)</f>
        <v/>
      </c>
      <c r="M515" t="inlineStr">
        <is>
          <t>TRADE</t>
        </is>
      </c>
      <c r="N515" t="inlineStr">
        <is>
          <t>CALL SHEET · row 515</t>
        </is>
      </c>
    </row>
    <row r="516">
      <c r="A516">
        <f>IF('CALL SHEET'!$A$516="","",'CALL SHEET'!$A$516)</f>
        <v/>
      </c>
      <c r="B516">
        <f>IF('CALL SHEET'!$C$516="","",'CALL SHEET'!$C$516)</f>
        <v/>
      </c>
      <c r="C516">
        <f>'CALL SHEET'!$U$516</f>
        <v/>
      </c>
      <c r="D516">
        <f>'CALL SHEET'!$Y$516</f>
        <v/>
      </c>
      <c r="E516">
        <f>'CALL SHEET'!$AC$516</f>
        <v/>
      </c>
      <c r="F516">
        <f>IF('CALL SHEET'!$V$516="","",'CALL SHEET'!$V$516)</f>
        <v/>
      </c>
      <c r="G516">
        <f>IF('CALL SHEET'!$D$516="","",'CALL SHEET'!$D$516)</f>
        <v/>
      </c>
      <c r="H516">
        <f>IF('CALL SHEET'!$G$516="","",'CALL SHEET'!$G$516)</f>
        <v/>
      </c>
      <c r="I516">
        <f>IF('CALL SHEET'!$AT$516="","",'CALL SHEET'!$AT$516)</f>
        <v/>
      </c>
      <c r="J516">
        <f>IF('CALL SHEET'!$AX$516="","",'CALL SHEET'!$AX$516)</f>
        <v/>
      </c>
      <c r="K516">
        <f>IF('CALL SHEET'!$N$516="","",'CALL SHEET'!$N$516)</f>
        <v/>
      </c>
      <c r="L516">
        <f>IF('CALL SHEET'!$AE$516="","",'CALL SHEET'!$AE$516)</f>
        <v/>
      </c>
      <c r="M516" t="inlineStr">
        <is>
          <t>TRADE</t>
        </is>
      </c>
      <c r="N516" t="inlineStr">
        <is>
          <t>CALL SHEET · row 516</t>
        </is>
      </c>
    </row>
    <row r="517">
      <c r="A517">
        <f>IF('CALL SHEET'!$A$517="","",'CALL SHEET'!$A$517)</f>
        <v/>
      </c>
      <c r="B517">
        <f>IF('CALL SHEET'!$C$517="","",'CALL SHEET'!$C$517)</f>
        <v/>
      </c>
      <c r="C517">
        <f>'CALL SHEET'!$U$517</f>
        <v/>
      </c>
      <c r="D517">
        <f>'CALL SHEET'!$Y$517</f>
        <v/>
      </c>
      <c r="E517">
        <f>'CALL SHEET'!$AC$517</f>
        <v/>
      </c>
      <c r="F517">
        <f>IF('CALL SHEET'!$V$517="","",'CALL SHEET'!$V$517)</f>
        <v/>
      </c>
      <c r="G517">
        <f>IF('CALL SHEET'!$D$517="","",'CALL SHEET'!$D$517)</f>
        <v/>
      </c>
      <c r="H517">
        <f>IF('CALL SHEET'!$G$517="","",'CALL SHEET'!$G$517)</f>
        <v/>
      </c>
      <c r="I517">
        <f>IF('CALL SHEET'!$AT$517="","",'CALL SHEET'!$AT$517)</f>
        <v/>
      </c>
      <c r="J517">
        <f>IF('CALL SHEET'!$AX$517="","",'CALL SHEET'!$AX$517)</f>
        <v/>
      </c>
      <c r="K517">
        <f>IF('CALL SHEET'!$N$517="","",'CALL SHEET'!$N$517)</f>
        <v/>
      </c>
      <c r="L517">
        <f>IF('CALL SHEET'!$AE$517="","",'CALL SHEET'!$AE$517)</f>
        <v/>
      </c>
      <c r="M517" t="inlineStr">
        <is>
          <t>TRADE</t>
        </is>
      </c>
      <c r="N517" t="inlineStr">
        <is>
          <t>CALL SHEET · row 517</t>
        </is>
      </c>
    </row>
    <row r="518">
      <c r="A518">
        <f>IF('CALL SHEET'!$A$518="","",'CALL SHEET'!$A$518)</f>
        <v/>
      </c>
      <c r="B518">
        <f>IF('CALL SHEET'!$C$518="","",'CALL SHEET'!$C$518)</f>
        <v/>
      </c>
      <c r="C518">
        <f>'CALL SHEET'!$U$518</f>
        <v/>
      </c>
      <c r="D518">
        <f>'CALL SHEET'!$Y$518</f>
        <v/>
      </c>
      <c r="E518">
        <f>'CALL SHEET'!$AC$518</f>
        <v/>
      </c>
      <c r="F518">
        <f>IF('CALL SHEET'!$V$518="","",'CALL SHEET'!$V$518)</f>
        <v/>
      </c>
      <c r="G518">
        <f>IF('CALL SHEET'!$D$518="","",'CALL SHEET'!$D$518)</f>
        <v/>
      </c>
      <c r="H518">
        <f>IF('CALL SHEET'!$G$518="","",'CALL SHEET'!$G$518)</f>
        <v/>
      </c>
      <c r="I518">
        <f>IF('CALL SHEET'!$AT$518="","",'CALL SHEET'!$AT$518)</f>
        <v/>
      </c>
      <c r="J518">
        <f>IF('CALL SHEET'!$AX$518="","",'CALL SHEET'!$AX$518)</f>
        <v/>
      </c>
      <c r="K518">
        <f>IF('CALL SHEET'!$N$518="","",'CALL SHEET'!$N$518)</f>
        <v/>
      </c>
      <c r="L518">
        <f>IF('CALL SHEET'!$AE$518="","",'CALL SHEET'!$AE$518)</f>
        <v/>
      </c>
      <c r="M518" t="inlineStr">
        <is>
          <t>TRADE</t>
        </is>
      </c>
      <c r="N518" t="inlineStr">
        <is>
          <t>CALL SHEET · row 518</t>
        </is>
      </c>
    </row>
    <row r="519">
      <c r="A519">
        <f>IF('CALL SHEET'!$A$519="","",'CALL SHEET'!$A$519)</f>
        <v/>
      </c>
      <c r="B519">
        <f>IF('CALL SHEET'!$C$519="","",'CALL SHEET'!$C$519)</f>
        <v/>
      </c>
      <c r="C519">
        <f>'CALL SHEET'!$U$519</f>
        <v/>
      </c>
      <c r="D519">
        <f>'CALL SHEET'!$Y$519</f>
        <v/>
      </c>
      <c r="E519">
        <f>'CALL SHEET'!$AC$519</f>
        <v/>
      </c>
      <c r="F519">
        <f>IF('CALL SHEET'!$V$519="","",'CALL SHEET'!$V$519)</f>
        <v/>
      </c>
      <c r="G519">
        <f>IF('CALL SHEET'!$D$519="","",'CALL SHEET'!$D$519)</f>
        <v/>
      </c>
      <c r="H519">
        <f>IF('CALL SHEET'!$G$519="","",'CALL SHEET'!$G$519)</f>
        <v/>
      </c>
      <c r="I519">
        <f>IF('CALL SHEET'!$AT$519="","",'CALL SHEET'!$AT$519)</f>
        <v/>
      </c>
      <c r="J519">
        <f>IF('CALL SHEET'!$AX$519="","",'CALL SHEET'!$AX$519)</f>
        <v/>
      </c>
      <c r="K519">
        <f>IF('CALL SHEET'!$N$519="","",'CALL SHEET'!$N$519)</f>
        <v/>
      </c>
      <c r="L519">
        <f>IF('CALL SHEET'!$AE$519="","",'CALL SHEET'!$AE$519)</f>
        <v/>
      </c>
      <c r="M519" t="inlineStr">
        <is>
          <t>TRADE</t>
        </is>
      </c>
      <c r="N519" t="inlineStr">
        <is>
          <t>CALL SHEET · row 519</t>
        </is>
      </c>
    </row>
    <row r="520">
      <c r="A520">
        <f>IF('CALL SHEET'!$A$520="","",'CALL SHEET'!$A$520)</f>
        <v/>
      </c>
      <c r="B520">
        <f>IF('CALL SHEET'!$C$520="","",'CALL SHEET'!$C$520)</f>
        <v/>
      </c>
      <c r="C520">
        <f>'CALL SHEET'!$U$520</f>
        <v/>
      </c>
      <c r="D520">
        <f>'CALL SHEET'!$Y$520</f>
        <v/>
      </c>
      <c r="E520">
        <f>'CALL SHEET'!$AC$520</f>
        <v/>
      </c>
      <c r="F520">
        <f>IF('CALL SHEET'!$V$520="","",'CALL SHEET'!$V$520)</f>
        <v/>
      </c>
      <c r="G520">
        <f>IF('CALL SHEET'!$D$520="","",'CALL SHEET'!$D$520)</f>
        <v/>
      </c>
      <c r="H520">
        <f>IF('CALL SHEET'!$G$520="","",'CALL SHEET'!$G$520)</f>
        <v/>
      </c>
      <c r="I520">
        <f>IF('CALL SHEET'!$AT$520="","",'CALL SHEET'!$AT$520)</f>
        <v/>
      </c>
      <c r="J520">
        <f>IF('CALL SHEET'!$AX$520="","",'CALL SHEET'!$AX$520)</f>
        <v/>
      </c>
      <c r="K520">
        <f>IF('CALL SHEET'!$N$520="","",'CALL SHEET'!$N$520)</f>
        <v/>
      </c>
      <c r="L520">
        <f>IF('CALL SHEET'!$AE$520="","",'CALL SHEET'!$AE$520)</f>
        <v/>
      </c>
      <c r="M520" t="inlineStr">
        <is>
          <t>TRADE</t>
        </is>
      </c>
      <c r="N520" t="inlineStr">
        <is>
          <t>CALL SHEET · row 520</t>
        </is>
      </c>
    </row>
    <row r="521">
      <c r="A521">
        <f>IF('CALL SHEET'!$A$521="","",'CALL SHEET'!$A$521)</f>
        <v/>
      </c>
      <c r="B521">
        <f>IF('CALL SHEET'!$C$521="","",'CALL SHEET'!$C$521)</f>
        <v/>
      </c>
      <c r="C521">
        <f>'CALL SHEET'!$U$521</f>
        <v/>
      </c>
      <c r="D521">
        <f>'CALL SHEET'!$Y$521</f>
        <v/>
      </c>
      <c r="E521">
        <f>'CALL SHEET'!$AC$521</f>
        <v/>
      </c>
      <c r="F521">
        <f>IF('CALL SHEET'!$V$521="","",'CALL SHEET'!$V$521)</f>
        <v/>
      </c>
      <c r="G521">
        <f>IF('CALL SHEET'!$D$521="","",'CALL SHEET'!$D$521)</f>
        <v/>
      </c>
      <c r="H521">
        <f>IF('CALL SHEET'!$G$521="","",'CALL SHEET'!$G$521)</f>
        <v/>
      </c>
      <c r="I521">
        <f>IF('CALL SHEET'!$AT$521="","",'CALL SHEET'!$AT$521)</f>
        <v/>
      </c>
      <c r="J521">
        <f>IF('CALL SHEET'!$AX$521="","",'CALL SHEET'!$AX$521)</f>
        <v/>
      </c>
      <c r="K521">
        <f>IF('CALL SHEET'!$N$521="","",'CALL SHEET'!$N$521)</f>
        <v/>
      </c>
      <c r="L521">
        <f>IF('CALL SHEET'!$AE$521="","",'CALL SHEET'!$AE$521)</f>
        <v/>
      </c>
      <c r="M521" t="inlineStr">
        <is>
          <t>TRADE</t>
        </is>
      </c>
      <c r="N521" t="inlineStr">
        <is>
          <t>CALL SHEET · row 521</t>
        </is>
      </c>
    </row>
    <row r="522">
      <c r="A522">
        <f>IF('CALL SHEET'!$A$522="","",'CALL SHEET'!$A$522)</f>
        <v/>
      </c>
      <c r="B522">
        <f>IF('CALL SHEET'!$C$522="","",'CALL SHEET'!$C$522)</f>
        <v/>
      </c>
      <c r="C522">
        <f>'CALL SHEET'!$U$522</f>
        <v/>
      </c>
      <c r="D522">
        <f>'CALL SHEET'!$Y$522</f>
        <v/>
      </c>
      <c r="E522">
        <f>'CALL SHEET'!$AC$522</f>
        <v/>
      </c>
      <c r="F522">
        <f>IF('CALL SHEET'!$V$522="","",'CALL SHEET'!$V$522)</f>
        <v/>
      </c>
      <c r="G522">
        <f>IF('CALL SHEET'!$D$522="","",'CALL SHEET'!$D$522)</f>
        <v/>
      </c>
      <c r="H522">
        <f>IF('CALL SHEET'!$G$522="","",'CALL SHEET'!$G$522)</f>
        <v/>
      </c>
      <c r="I522">
        <f>IF('CALL SHEET'!$AT$522="","",'CALL SHEET'!$AT$522)</f>
        <v/>
      </c>
      <c r="J522">
        <f>IF('CALL SHEET'!$AX$522="","",'CALL SHEET'!$AX$522)</f>
        <v/>
      </c>
      <c r="K522">
        <f>IF('CALL SHEET'!$N$522="","",'CALL SHEET'!$N$522)</f>
        <v/>
      </c>
      <c r="L522">
        <f>IF('CALL SHEET'!$AE$522="","",'CALL SHEET'!$AE$522)</f>
        <v/>
      </c>
      <c r="M522" t="inlineStr">
        <is>
          <t>TRADE</t>
        </is>
      </c>
      <c r="N522" t="inlineStr">
        <is>
          <t>CALL SHEET · row 522</t>
        </is>
      </c>
    </row>
    <row r="523">
      <c r="A523">
        <f>IF('CALL SHEET'!$A$523="","",'CALL SHEET'!$A$523)</f>
        <v/>
      </c>
      <c r="B523">
        <f>IF('CALL SHEET'!$C$523="","",'CALL SHEET'!$C$523)</f>
        <v/>
      </c>
      <c r="C523">
        <f>'CALL SHEET'!$U$523</f>
        <v/>
      </c>
      <c r="D523">
        <f>'CALL SHEET'!$Y$523</f>
        <v/>
      </c>
      <c r="E523">
        <f>'CALL SHEET'!$AC$523</f>
        <v/>
      </c>
      <c r="F523">
        <f>IF('CALL SHEET'!$V$523="","",'CALL SHEET'!$V$523)</f>
        <v/>
      </c>
      <c r="G523">
        <f>IF('CALL SHEET'!$D$523="","",'CALL SHEET'!$D$523)</f>
        <v/>
      </c>
      <c r="H523">
        <f>IF('CALL SHEET'!$G$523="","",'CALL SHEET'!$G$523)</f>
        <v/>
      </c>
      <c r="I523">
        <f>IF('CALL SHEET'!$AT$523="","",'CALL SHEET'!$AT$523)</f>
        <v/>
      </c>
      <c r="J523">
        <f>IF('CALL SHEET'!$AX$523="","",'CALL SHEET'!$AX$523)</f>
        <v/>
      </c>
      <c r="K523">
        <f>IF('CALL SHEET'!$N$523="","",'CALL SHEET'!$N$523)</f>
        <v/>
      </c>
      <c r="L523">
        <f>IF('CALL SHEET'!$AE$523="","",'CALL SHEET'!$AE$523)</f>
        <v/>
      </c>
      <c r="M523" t="inlineStr">
        <is>
          <t>TRADE</t>
        </is>
      </c>
      <c r="N523" t="inlineStr">
        <is>
          <t>CALL SHEET · row 523</t>
        </is>
      </c>
    </row>
    <row r="524">
      <c r="A524">
        <f>IF('CALL SHEET'!$A$524="","",'CALL SHEET'!$A$524)</f>
        <v/>
      </c>
      <c r="B524">
        <f>IF('CALL SHEET'!$C$524="","",'CALL SHEET'!$C$524)</f>
        <v/>
      </c>
      <c r="C524">
        <f>'CALL SHEET'!$U$524</f>
        <v/>
      </c>
      <c r="D524">
        <f>'CALL SHEET'!$Y$524</f>
        <v/>
      </c>
      <c r="E524">
        <f>'CALL SHEET'!$AC$524</f>
        <v/>
      </c>
      <c r="F524">
        <f>IF('CALL SHEET'!$V$524="","",'CALL SHEET'!$V$524)</f>
        <v/>
      </c>
      <c r="G524">
        <f>IF('CALL SHEET'!$D$524="","",'CALL SHEET'!$D$524)</f>
        <v/>
      </c>
      <c r="H524">
        <f>IF('CALL SHEET'!$G$524="","",'CALL SHEET'!$G$524)</f>
        <v/>
      </c>
      <c r="I524">
        <f>IF('CALL SHEET'!$AT$524="","",'CALL SHEET'!$AT$524)</f>
        <v/>
      </c>
      <c r="J524">
        <f>IF('CALL SHEET'!$AX$524="","",'CALL SHEET'!$AX$524)</f>
        <v/>
      </c>
      <c r="K524">
        <f>IF('CALL SHEET'!$N$524="","",'CALL SHEET'!$N$524)</f>
        <v/>
      </c>
      <c r="L524">
        <f>IF('CALL SHEET'!$AE$524="","",'CALL SHEET'!$AE$524)</f>
        <v/>
      </c>
      <c r="M524" t="inlineStr">
        <is>
          <t>TRADE</t>
        </is>
      </c>
      <c r="N524" t="inlineStr">
        <is>
          <t>CALL SHEET · row 524</t>
        </is>
      </c>
    </row>
    <row r="525">
      <c r="A525">
        <f>IF('CALL SHEET'!$A$525="","",'CALL SHEET'!$A$525)</f>
        <v/>
      </c>
      <c r="B525">
        <f>IF('CALL SHEET'!$C$525="","",'CALL SHEET'!$C$525)</f>
        <v/>
      </c>
      <c r="C525">
        <f>'CALL SHEET'!$U$525</f>
        <v/>
      </c>
      <c r="D525">
        <f>'CALL SHEET'!$Y$525</f>
        <v/>
      </c>
      <c r="E525">
        <f>'CALL SHEET'!$AC$525</f>
        <v/>
      </c>
      <c r="F525">
        <f>IF('CALL SHEET'!$V$525="","",'CALL SHEET'!$V$525)</f>
        <v/>
      </c>
      <c r="G525">
        <f>IF('CALL SHEET'!$D$525="","",'CALL SHEET'!$D$525)</f>
        <v/>
      </c>
      <c r="H525">
        <f>IF('CALL SHEET'!$G$525="","",'CALL SHEET'!$G$525)</f>
        <v/>
      </c>
      <c r="I525">
        <f>IF('CALL SHEET'!$AT$525="","",'CALL SHEET'!$AT$525)</f>
        <v/>
      </c>
      <c r="J525">
        <f>IF('CALL SHEET'!$AX$525="","",'CALL SHEET'!$AX$525)</f>
        <v/>
      </c>
      <c r="K525">
        <f>IF('CALL SHEET'!$N$525="","",'CALL SHEET'!$N$525)</f>
        <v/>
      </c>
      <c r="L525">
        <f>IF('CALL SHEET'!$AE$525="","",'CALL SHEET'!$AE$525)</f>
        <v/>
      </c>
      <c r="M525" t="inlineStr">
        <is>
          <t>TRADE</t>
        </is>
      </c>
      <c r="N525" t="inlineStr">
        <is>
          <t>CALL SHEET · row 525</t>
        </is>
      </c>
    </row>
    <row r="526">
      <c r="A526">
        <f>IF('CALL SHEET'!$A$526="","",'CALL SHEET'!$A$526)</f>
        <v/>
      </c>
      <c r="B526">
        <f>IF('CALL SHEET'!$C$526="","",'CALL SHEET'!$C$526)</f>
        <v/>
      </c>
      <c r="C526">
        <f>'CALL SHEET'!$U$526</f>
        <v/>
      </c>
      <c r="D526">
        <f>'CALL SHEET'!$Y$526</f>
        <v/>
      </c>
      <c r="E526">
        <f>'CALL SHEET'!$AC$526</f>
        <v/>
      </c>
      <c r="F526">
        <f>IF('CALL SHEET'!$V$526="","",'CALL SHEET'!$V$526)</f>
        <v/>
      </c>
      <c r="G526">
        <f>IF('CALL SHEET'!$D$526="","",'CALL SHEET'!$D$526)</f>
        <v/>
      </c>
      <c r="H526">
        <f>IF('CALL SHEET'!$G$526="","",'CALL SHEET'!$G$526)</f>
        <v/>
      </c>
      <c r="I526">
        <f>IF('CALL SHEET'!$AT$526="","",'CALL SHEET'!$AT$526)</f>
        <v/>
      </c>
      <c r="J526">
        <f>IF('CALL SHEET'!$AX$526="","",'CALL SHEET'!$AX$526)</f>
        <v/>
      </c>
      <c r="K526">
        <f>IF('CALL SHEET'!$N$526="","",'CALL SHEET'!$N$526)</f>
        <v/>
      </c>
      <c r="L526">
        <f>IF('CALL SHEET'!$AE$526="","",'CALL SHEET'!$AE$526)</f>
        <v/>
      </c>
      <c r="M526" t="inlineStr">
        <is>
          <t>TRADE</t>
        </is>
      </c>
      <c r="N526" t="inlineStr">
        <is>
          <t>CALL SHEET · row 526</t>
        </is>
      </c>
    </row>
    <row r="527">
      <c r="A527">
        <f>IF('CALL SHEET'!$A$527="","",'CALL SHEET'!$A$527)</f>
        <v/>
      </c>
      <c r="B527">
        <f>IF('CALL SHEET'!$C$527="","",'CALL SHEET'!$C$527)</f>
        <v/>
      </c>
      <c r="C527">
        <f>'CALL SHEET'!$U$527</f>
        <v/>
      </c>
      <c r="D527">
        <f>'CALL SHEET'!$Y$527</f>
        <v/>
      </c>
      <c r="E527">
        <f>'CALL SHEET'!$AC$527</f>
        <v/>
      </c>
      <c r="F527">
        <f>IF('CALL SHEET'!$V$527="","",'CALL SHEET'!$V$527)</f>
        <v/>
      </c>
      <c r="G527">
        <f>IF('CALL SHEET'!$D$527="","",'CALL SHEET'!$D$527)</f>
        <v/>
      </c>
      <c r="H527">
        <f>IF('CALL SHEET'!$G$527="","",'CALL SHEET'!$G$527)</f>
        <v/>
      </c>
      <c r="I527">
        <f>IF('CALL SHEET'!$AT$527="","",'CALL SHEET'!$AT$527)</f>
        <v/>
      </c>
      <c r="J527">
        <f>IF('CALL SHEET'!$AX$527="","",'CALL SHEET'!$AX$527)</f>
        <v/>
      </c>
      <c r="K527">
        <f>IF('CALL SHEET'!$N$527="","",'CALL SHEET'!$N$527)</f>
        <v/>
      </c>
      <c r="L527">
        <f>IF('CALL SHEET'!$AE$527="","",'CALL SHEET'!$AE$527)</f>
        <v/>
      </c>
      <c r="M527" t="inlineStr">
        <is>
          <t>TRADE</t>
        </is>
      </c>
      <c r="N527" t="inlineStr">
        <is>
          <t>CALL SHEET · row 527</t>
        </is>
      </c>
    </row>
    <row r="528">
      <c r="A528">
        <f>IF('CALL SHEET'!$A$528="","",'CALL SHEET'!$A$528)</f>
        <v/>
      </c>
      <c r="B528">
        <f>IF('CALL SHEET'!$C$528="","",'CALL SHEET'!$C$528)</f>
        <v/>
      </c>
      <c r="C528">
        <f>'CALL SHEET'!$U$528</f>
        <v/>
      </c>
      <c r="D528">
        <f>'CALL SHEET'!$Y$528</f>
        <v/>
      </c>
      <c r="E528">
        <f>'CALL SHEET'!$AC$528</f>
        <v/>
      </c>
      <c r="F528">
        <f>IF('CALL SHEET'!$V$528="","",'CALL SHEET'!$V$528)</f>
        <v/>
      </c>
      <c r="G528">
        <f>IF('CALL SHEET'!$D$528="","",'CALL SHEET'!$D$528)</f>
        <v/>
      </c>
      <c r="H528">
        <f>IF('CALL SHEET'!$G$528="","",'CALL SHEET'!$G$528)</f>
        <v/>
      </c>
      <c r="I528">
        <f>IF('CALL SHEET'!$AT$528="","",'CALL SHEET'!$AT$528)</f>
        <v/>
      </c>
      <c r="J528">
        <f>IF('CALL SHEET'!$AX$528="","",'CALL SHEET'!$AX$528)</f>
        <v/>
      </c>
      <c r="K528">
        <f>IF('CALL SHEET'!$N$528="","",'CALL SHEET'!$N$528)</f>
        <v/>
      </c>
      <c r="L528">
        <f>IF('CALL SHEET'!$AE$528="","",'CALL SHEET'!$AE$528)</f>
        <v/>
      </c>
      <c r="M528" t="inlineStr">
        <is>
          <t>TRADE</t>
        </is>
      </c>
      <c r="N528" t="inlineStr">
        <is>
          <t>CALL SHEET · row 528</t>
        </is>
      </c>
    </row>
    <row r="529">
      <c r="A529">
        <f>IF('CALL SHEET'!$A$529="","",'CALL SHEET'!$A$529)</f>
        <v/>
      </c>
      <c r="B529">
        <f>IF('CALL SHEET'!$C$529="","",'CALL SHEET'!$C$529)</f>
        <v/>
      </c>
      <c r="C529">
        <f>'CALL SHEET'!$U$529</f>
        <v/>
      </c>
      <c r="D529">
        <f>'CALL SHEET'!$Y$529</f>
        <v/>
      </c>
      <c r="E529">
        <f>'CALL SHEET'!$AC$529</f>
        <v/>
      </c>
      <c r="F529">
        <f>IF('CALL SHEET'!$V$529="","",'CALL SHEET'!$V$529)</f>
        <v/>
      </c>
      <c r="G529">
        <f>IF('CALL SHEET'!$D$529="","",'CALL SHEET'!$D$529)</f>
        <v/>
      </c>
      <c r="H529">
        <f>IF('CALL SHEET'!$G$529="","",'CALL SHEET'!$G$529)</f>
        <v/>
      </c>
      <c r="I529">
        <f>IF('CALL SHEET'!$AT$529="","",'CALL SHEET'!$AT$529)</f>
        <v/>
      </c>
      <c r="J529">
        <f>IF('CALL SHEET'!$AX$529="","",'CALL SHEET'!$AX$529)</f>
        <v/>
      </c>
      <c r="K529">
        <f>IF('CALL SHEET'!$N$529="","",'CALL SHEET'!$N$529)</f>
        <v/>
      </c>
      <c r="L529">
        <f>IF('CALL SHEET'!$AE$529="","",'CALL SHEET'!$AE$529)</f>
        <v/>
      </c>
      <c r="M529" t="inlineStr">
        <is>
          <t>TRADE</t>
        </is>
      </c>
      <c r="N529" t="inlineStr">
        <is>
          <t>CALL SHEET · row 529</t>
        </is>
      </c>
    </row>
    <row r="530">
      <c r="A530">
        <f>IF('CALL SHEET'!$A$530="","",'CALL SHEET'!$A$530)</f>
        <v/>
      </c>
      <c r="B530">
        <f>IF('CALL SHEET'!$C$530="","",'CALL SHEET'!$C$530)</f>
        <v/>
      </c>
      <c r="C530">
        <f>'CALL SHEET'!$U$530</f>
        <v/>
      </c>
      <c r="D530">
        <f>'CALL SHEET'!$Y$530</f>
        <v/>
      </c>
      <c r="E530">
        <f>'CALL SHEET'!$AC$530</f>
        <v/>
      </c>
      <c r="F530">
        <f>IF('CALL SHEET'!$V$530="","",'CALL SHEET'!$V$530)</f>
        <v/>
      </c>
      <c r="G530">
        <f>IF('CALL SHEET'!$D$530="","",'CALL SHEET'!$D$530)</f>
        <v/>
      </c>
      <c r="H530">
        <f>IF('CALL SHEET'!$G$530="","",'CALL SHEET'!$G$530)</f>
        <v/>
      </c>
      <c r="I530">
        <f>IF('CALL SHEET'!$AT$530="","",'CALL SHEET'!$AT$530)</f>
        <v/>
      </c>
      <c r="J530">
        <f>IF('CALL SHEET'!$AX$530="","",'CALL SHEET'!$AX$530)</f>
        <v/>
      </c>
      <c r="K530">
        <f>IF('CALL SHEET'!$N$530="","",'CALL SHEET'!$N$530)</f>
        <v/>
      </c>
      <c r="L530">
        <f>IF('CALL SHEET'!$AE$530="","",'CALL SHEET'!$AE$530)</f>
        <v/>
      </c>
      <c r="M530" t="inlineStr">
        <is>
          <t>TRADE</t>
        </is>
      </c>
      <c r="N530" t="inlineStr">
        <is>
          <t>CALL SHEET · row 530</t>
        </is>
      </c>
    </row>
    <row r="531">
      <c r="A531">
        <f>IF('CALL SHEET'!$A$531="","",'CALL SHEET'!$A$531)</f>
        <v/>
      </c>
      <c r="B531">
        <f>IF('CALL SHEET'!$C$531="","",'CALL SHEET'!$C$531)</f>
        <v/>
      </c>
      <c r="C531">
        <f>'CALL SHEET'!$U$531</f>
        <v/>
      </c>
      <c r="D531">
        <f>'CALL SHEET'!$Y$531</f>
        <v/>
      </c>
      <c r="E531">
        <f>'CALL SHEET'!$AC$531</f>
        <v/>
      </c>
      <c r="F531">
        <f>IF('CALL SHEET'!$V$531="","",'CALL SHEET'!$V$531)</f>
        <v/>
      </c>
      <c r="G531">
        <f>IF('CALL SHEET'!$D$531="","",'CALL SHEET'!$D$531)</f>
        <v/>
      </c>
      <c r="H531">
        <f>IF('CALL SHEET'!$G$531="","",'CALL SHEET'!$G$531)</f>
        <v/>
      </c>
      <c r="I531">
        <f>IF('CALL SHEET'!$AT$531="","",'CALL SHEET'!$AT$531)</f>
        <v/>
      </c>
      <c r="J531">
        <f>IF('CALL SHEET'!$AX$531="","",'CALL SHEET'!$AX$531)</f>
        <v/>
      </c>
      <c r="K531">
        <f>IF('CALL SHEET'!$N$531="","",'CALL SHEET'!$N$531)</f>
        <v/>
      </c>
      <c r="L531">
        <f>IF('CALL SHEET'!$AE$531="","",'CALL SHEET'!$AE$531)</f>
        <v/>
      </c>
      <c r="M531" t="inlineStr">
        <is>
          <t>TRADE</t>
        </is>
      </c>
      <c r="N531" t="inlineStr">
        <is>
          <t>CALL SHEET · row 531</t>
        </is>
      </c>
    </row>
    <row r="532">
      <c r="A532">
        <f>IF('CALL SHEET'!$A$532="","",'CALL SHEET'!$A$532)</f>
        <v/>
      </c>
      <c r="B532">
        <f>IF('CALL SHEET'!$C$532="","",'CALL SHEET'!$C$532)</f>
        <v/>
      </c>
      <c r="C532">
        <f>'CALL SHEET'!$U$532</f>
        <v/>
      </c>
      <c r="D532">
        <f>'CALL SHEET'!$Y$532</f>
        <v/>
      </c>
      <c r="E532">
        <f>'CALL SHEET'!$AC$532</f>
        <v/>
      </c>
      <c r="F532">
        <f>IF('CALL SHEET'!$V$532="","",'CALL SHEET'!$V$532)</f>
        <v/>
      </c>
      <c r="G532">
        <f>IF('CALL SHEET'!$D$532="","",'CALL SHEET'!$D$532)</f>
        <v/>
      </c>
      <c r="H532">
        <f>IF('CALL SHEET'!$G$532="","",'CALL SHEET'!$G$532)</f>
        <v/>
      </c>
      <c r="I532">
        <f>IF('CALL SHEET'!$AT$532="","",'CALL SHEET'!$AT$532)</f>
        <v/>
      </c>
      <c r="J532">
        <f>IF('CALL SHEET'!$AX$532="","",'CALL SHEET'!$AX$532)</f>
        <v/>
      </c>
      <c r="K532">
        <f>IF('CALL SHEET'!$N$532="","",'CALL SHEET'!$N$532)</f>
        <v/>
      </c>
      <c r="L532">
        <f>IF('CALL SHEET'!$AE$532="","",'CALL SHEET'!$AE$532)</f>
        <v/>
      </c>
      <c r="M532" t="inlineStr">
        <is>
          <t>TRADE</t>
        </is>
      </c>
      <c r="N532" t="inlineStr">
        <is>
          <t>CALL SHEET · row 532</t>
        </is>
      </c>
    </row>
    <row r="533">
      <c r="A533">
        <f>IF('CALL SHEET'!$A$533="","",'CALL SHEET'!$A$533)</f>
        <v/>
      </c>
      <c r="B533">
        <f>IF('CALL SHEET'!$C$533="","",'CALL SHEET'!$C$533)</f>
        <v/>
      </c>
      <c r="C533">
        <f>'CALL SHEET'!$U$533</f>
        <v/>
      </c>
      <c r="D533">
        <f>'CALL SHEET'!$Y$533</f>
        <v/>
      </c>
      <c r="E533">
        <f>'CALL SHEET'!$AC$533</f>
        <v/>
      </c>
      <c r="F533">
        <f>IF('CALL SHEET'!$V$533="","",'CALL SHEET'!$V$533)</f>
        <v/>
      </c>
      <c r="G533">
        <f>IF('CALL SHEET'!$D$533="","",'CALL SHEET'!$D$533)</f>
        <v/>
      </c>
      <c r="H533">
        <f>IF('CALL SHEET'!$G$533="","",'CALL SHEET'!$G$533)</f>
        <v/>
      </c>
      <c r="I533">
        <f>IF('CALL SHEET'!$AT$533="","",'CALL SHEET'!$AT$533)</f>
        <v/>
      </c>
      <c r="J533">
        <f>IF('CALL SHEET'!$AX$533="","",'CALL SHEET'!$AX$533)</f>
        <v/>
      </c>
      <c r="K533">
        <f>IF('CALL SHEET'!$N$533="","",'CALL SHEET'!$N$533)</f>
        <v/>
      </c>
      <c r="L533">
        <f>IF('CALL SHEET'!$AE$533="","",'CALL SHEET'!$AE$533)</f>
        <v/>
      </c>
      <c r="M533" t="inlineStr">
        <is>
          <t>TRADE</t>
        </is>
      </c>
      <c r="N533" t="inlineStr">
        <is>
          <t>CALL SHEET · row 533</t>
        </is>
      </c>
    </row>
    <row r="534">
      <c r="A534">
        <f>IF('CALL SHEET'!$A$534="","",'CALL SHEET'!$A$534)</f>
        <v/>
      </c>
      <c r="B534">
        <f>IF('CALL SHEET'!$C$534="","",'CALL SHEET'!$C$534)</f>
        <v/>
      </c>
      <c r="C534">
        <f>'CALL SHEET'!$U$534</f>
        <v/>
      </c>
      <c r="D534">
        <f>'CALL SHEET'!$Y$534</f>
        <v/>
      </c>
      <c r="E534">
        <f>'CALL SHEET'!$AC$534</f>
        <v/>
      </c>
      <c r="F534">
        <f>IF('CALL SHEET'!$V$534="","",'CALL SHEET'!$V$534)</f>
        <v/>
      </c>
      <c r="G534">
        <f>IF('CALL SHEET'!$D$534="","",'CALL SHEET'!$D$534)</f>
        <v/>
      </c>
      <c r="H534">
        <f>IF('CALL SHEET'!$G$534="","",'CALL SHEET'!$G$534)</f>
        <v/>
      </c>
      <c r="I534">
        <f>IF('CALL SHEET'!$AT$534="","",'CALL SHEET'!$AT$534)</f>
        <v/>
      </c>
      <c r="J534">
        <f>IF('CALL SHEET'!$AX$534="","",'CALL SHEET'!$AX$534)</f>
        <v/>
      </c>
      <c r="K534">
        <f>IF('CALL SHEET'!$N$534="","",'CALL SHEET'!$N$534)</f>
        <v/>
      </c>
      <c r="L534">
        <f>IF('CALL SHEET'!$AE$534="","",'CALL SHEET'!$AE$534)</f>
        <v/>
      </c>
      <c r="M534" t="inlineStr">
        <is>
          <t>TRADE</t>
        </is>
      </c>
      <c r="N534" t="inlineStr">
        <is>
          <t>CALL SHEET · row 534</t>
        </is>
      </c>
    </row>
    <row r="535">
      <c r="A535">
        <f>IF('CALL SHEET'!$A$535="","",'CALL SHEET'!$A$535)</f>
        <v/>
      </c>
      <c r="B535">
        <f>IF('CALL SHEET'!$C$535="","",'CALL SHEET'!$C$535)</f>
        <v/>
      </c>
      <c r="C535">
        <f>'CALL SHEET'!$U$535</f>
        <v/>
      </c>
      <c r="D535">
        <f>'CALL SHEET'!$Y$535</f>
        <v/>
      </c>
      <c r="E535">
        <f>'CALL SHEET'!$AC$535</f>
        <v/>
      </c>
      <c r="F535">
        <f>IF('CALL SHEET'!$V$535="","",'CALL SHEET'!$V$535)</f>
        <v/>
      </c>
      <c r="G535">
        <f>IF('CALL SHEET'!$D$535="","",'CALL SHEET'!$D$535)</f>
        <v/>
      </c>
      <c r="H535">
        <f>IF('CALL SHEET'!$G$535="","",'CALL SHEET'!$G$535)</f>
        <v/>
      </c>
      <c r="I535">
        <f>IF('CALL SHEET'!$AT$535="","",'CALL SHEET'!$AT$535)</f>
        <v/>
      </c>
      <c r="J535">
        <f>IF('CALL SHEET'!$AX$535="","",'CALL SHEET'!$AX$535)</f>
        <v/>
      </c>
      <c r="K535">
        <f>IF('CALL SHEET'!$N$535="","",'CALL SHEET'!$N$535)</f>
        <v/>
      </c>
      <c r="L535">
        <f>IF('CALL SHEET'!$AE$535="","",'CALL SHEET'!$AE$535)</f>
        <v/>
      </c>
      <c r="M535" t="inlineStr">
        <is>
          <t>TRADE</t>
        </is>
      </c>
      <c r="N535" t="inlineStr">
        <is>
          <t>CALL SHEET · row 535</t>
        </is>
      </c>
    </row>
    <row r="536">
      <c r="A536">
        <f>IF('CALL SHEET'!$A$536="","",'CALL SHEET'!$A$536)</f>
        <v/>
      </c>
      <c r="B536">
        <f>IF('CALL SHEET'!$C$536="","",'CALL SHEET'!$C$536)</f>
        <v/>
      </c>
      <c r="C536">
        <f>'CALL SHEET'!$U$536</f>
        <v/>
      </c>
      <c r="D536">
        <f>'CALL SHEET'!$Y$536</f>
        <v/>
      </c>
      <c r="E536">
        <f>'CALL SHEET'!$AC$536</f>
        <v/>
      </c>
      <c r="F536">
        <f>IF('CALL SHEET'!$V$536="","",'CALL SHEET'!$V$536)</f>
        <v/>
      </c>
      <c r="G536">
        <f>IF('CALL SHEET'!$D$536="","",'CALL SHEET'!$D$536)</f>
        <v/>
      </c>
      <c r="H536">
        <f>IF('CALL SHEET'!$G$536="","",'CALL SHEET'!$G$536)</f>
        <v/>
      </c>
      <c r="I536">
        <f>IF('CALL SHEET'!$AT$536="","",'CALL SHEET'!$AT$536)</f>
        <v/>
      </c>
      <c r="J536">
        <f>IF('CALL SHEET'!$AX$536="","",'CALL SHEET'!$AX$536)</f>
        <v/>
      </c>
      <c r="K536">
        <f>IF('CALL SHEET'!$N$536="","",'CALL SHEET'!$N$536)</f>
        <v/>
      </c>
      <c r="L536">
        <f>IF('CALL SHEET'!$AE$536="","",'CALL SHEET'!$AE$536)</f>
        <v/>
      </c>
      <c r="M536" t="inlineStr">
        <is>
          <t>TRADE</t>
        </is>
      </c>
      <c r="N536" t="inlineStr">
        <is>
          <t>CALL SHEET · row 536</t>
        </is>
      </c>
    </row>
    <row r="537">
      <c r="A537">
        <f>IF('CALL SHEET'!$A$537="","",'CALL SHEET'!$A$537)</f>
        <v/>
      </c>
      <c r="B537">
        <f>IF('CALL SHEET'!$C$537="","",'CALL SHEET'!$C$537)</f>
        <v/>
      </c>
      <c r="C537">
        <f>'CALL SHEET'!$U$537</f>
        <v/>
      </c>
      <c r="D537">
        <f>'CALL SHEET'!$Y$537</f>
        <v/>
      </c>
      <c r="E537">
        <f>'CALL SHEET'!$AC$537</f>
        <v/>
      </c>
      <c r="F537">
        <f>IF('CALL SHEET'!$V$537="","",'CALL SHEET'!$V$537)</f>
        <v/>
      </c>
      <c r="G537">
        <f>IF('CALL SHEET'!$D$537="","",'CALL SHEET'!$D$537)</f>
        <v/>
      </c>
      <c r="H537">
        <f>IF('CALL SHEET'!$G$537="","",'CALL SHEET'!$G$537)</f>
        <v/>
      </c>
      <c r="I537">
        <f>IF('CALL SHEET'!$AT$537="","",'CALL SHEET'!$AT$537)</f>
        <v/>
      </c>
      <c r="J537">
        <f>IF('CALL SHEET'!$AX$537="","",'CALL SHEET'!$AX$537)</f>
        <v/>
      </c>
      <c r="K537">
        <f>IF('CALL SHEET'!$N$537="","",'CALL SHEET'!$N$537)</f>
        <v/>
      </c>
      <c r="L537">
        <f>IF('CALL SHEET'!$AE$537="","",'CALL SHEET'!$AE$537)</f>
        <v/>
      </c>
      <c r="M537" t="inlineStr">
        <is>
          <t>TRADE</t>
        </is>
      </c>
      <c r="N537" t="inlineStr">
        <is>
          <t>CALL SHEET · row 537</t>
        </is>
      </c>
    </row>
    <row r="538">
      <c r="A538">
        <f>IF('CALL SHEET'!$A$538="","",'CALL SHEET'!$A$538)</f>
        <v/>
      </c>
      <c r="B538">
        <f>IF('CALL SHEET'!$C$538="","",'CALL SHEET'!$C$538)</f>
        <v/>
      </c>
      <c r="C538">
        <f>'CALL SHEET'!$U$538</f>
        <v/>
      </c>
      <c r="D538">
        <f>'CALL SHEET'!$Y$538</f>
        <v/>
      </c>
      <c r="E538">
        <f>'CALL SHEET'!$AC$538</f>
        <v/>
      </c>
      <c r="F538">
        <f>IF('CALL SHEET'!$V$538="","",'CALL SHEET'!$V$538)</f>
        <v/>
      </c>
      <c r="G538">
        <f>IF('CALL SHEET'!$D$538="","",'CALL SHEET'!$D$538)</f>
        <v/>
      </c>
      <c r="H538">
        <f>IF('CALL SHEET'!$G$538="","",'CALL SHEET'!$G$538)</f>
        <v/>
      </c>
      <c r="I538">
        <f>IF('CALL SHEET'!$AT$538="","",'CALL SHEET'!$AT$538)</f>
        <v/>
      </c>
      <c r="J538">
        <f>IF('CALL SHEET'!$AX$538="","",'CALL SHEET'!$AX$538)</f>
        <v/>
      </c>
      <c r="K538">
        <f>IF('CALL SHEET'!$N$538="","",'CALL SHEET'!$N$538)</f>
        <v/>
      </c>
      <c r="L538">
        <f>IF('CALL SHEET'!$AE$538="","",'CALL SHEET'!$AE$538)</f>
        <v/>
      </c>
      <c r="M538" t="inlineStr">
        <is>
          <t>TRADE</t>
        </is>
      </c>
      <c r="N538" t="inlineStr">
        <is>
          <t>CALL SHEET · row 538</t>
        </is>
      </c>
    </row>
    <row r="539">
      <c r="A539">
        <f>IF('CALL SHEET'!$A$539="","",'CALL SHEET'!$A$539)</f>
        <v/>
      </c>
      <c r="B539">
        <f>IF('CALL SHEET'!$C$539="","",'CALL SHEET'!$C$539)</f>
        <v/>
      </c>
      <c r="C539">
        <f>'CALL SHEET'!$U$539</f>
        <v/>
      </c>
      <c r="D539">
        <f>'CALL SHEET'!$Y$539</f>
        <v/>
      </c>
      <c r="E539">
        <f>'CALL SHEET'!$AC$539</f>
        <v/>
      </c>
      <c r="F539">
        <f>IF('CALL SHEET'!$V$539="","",'CALL SHEET'!$V$539)</f>
        <v/>
      </c>
      <c r="G539">
        <f>IF('CALL SHEET'!$D$539="","",'CALL SHEET'!$D$539)</f>
        <v/>
      </c>
      <c r="H539">
        <f>IF('CALL SHEET'!$G$539="","",'CALL SHEET'!$G$539)</f>
        <v/>
      </c>
      <c r="I539">
        <f>IF('CALL SHEET'!$AT$539="","",'CALL SHEET'!$AT$539)</f>
        <v/>
      </c>
      <c r="J539">
        <f>IF('CALL SHEET'!$AX$539="","",'CALL SHEET'!$AX$539)</f>
        <v/>
      </c>
      <c r="K539">
        <f>IF('CALL SHEET'!$N$539="","",'CALL SHEET'!$N$539)</f>
        <v/>
      </c>
      <c r="L539">
        <f>IF('CALL SHEET'!$AE$539="","",'CALL SHEET'!$AE$539)</f>
        <v/>
      </c>
      <c r="M539" t="inlineStr">
        <is>
          <t>TRADE</t>
        </is>
      </c>
      <c r="N539" t="inlineStr">
        <is>
          <t>CALL SHEET · row 539</t>
        </is>
      </c>
    </row>
    <row r="540">
      <c r="A540">
        <f>IF('CALL SHEET'!$A$540="","",'CALL SHEET'!$A$540)</f>
        <v/>
      </c>
      <c r="B540">
        <f>IF('CALL SHEET'!$C$540="","",'CALL SHEET'!$C$540)</f>
        <v/>
      </c>
      <c r="C540">
        <f>'CALL SHEET'!$U$540</f>
        <v/>
      </c>
      <c r="D540">
        <f>'CALL SHEET'!$Y$540</f>
        <v/>
      </c>
      <c r="E540">
        <f>'CALL SHEET'!$AC$540</f>
        <v/>
      </c>
      <c r="F540">
        <f>IF('CALL SHEET'!$V$540="","",'CALL SHEET'!$V$540)</f>
        <v/>
      </c>
      <c r="G540">
        <f>IF('CALL SHEET'!$D$540="","",'CALL SHEET'!$D$540)</f>
        <v/>
      </c>
      <c r="H540">
        <f>IF('CALL SHEET'!$G$540="","",'CALL SHEET'!$G$540)</f>
        <v/>
      </c>
      <c r="I540">
        <f>IF('CALL SHEET'!$AT$540="","",'CALL SHEET'!$AT$540)</f>
        <v/>
      </c>
      <c r="J540">
        <f>IF('CALL SHEET'!$AX$540="","",'CALL SHEET'!$AX$540)</f>
        <v/>
      </c>
      <c r="K540">
        <f>IF('CALL SHEET'!$N$540="","",'CALL SHEET'!$N$540)</f>
        <v/>
      </c>
      <c r="L540">
        <f>IF('CALL SHEET'!$AE$540="","",'CALL SHEET'!$AE$540)</f>
        <v/>
      </c>
      <c r="M540" t="inlineStr">
        <is>
          <t>TRADE</t>
        </is>
      </c>
      <c r="N540" t="inlineStr">
        <is>
          <t>CALL SHEET · row 540</t>
        </is>
      </c>
    </row>
    <row r="541">
      <c r="A541">
        <f>IF('CALL SHEET'!$A$541="","",'CALL SHEET'!$A$541)</f>
        <v/>
      </c>
      <c r="B541">
        <f>IF('CALL SHEET'!$C$541="","",'CALL SHEET'!$C$541)</f>
        <v/>
      </c>
      <c r="C541">
        <f>'CALL SHEET'!$U$541</f>
        <v/>
      </c>
      <c r="D541">
        <f>'CALL SHEET'!$Y$541</f>
        <v/>
      </c>
      <c r="E541">
        <f>'CALL SHEET'!$AC$541</f>
        <v/>
      </c>
      <c r="F541">
        <f>IF('CALL SHEET'!$V$541="","",'CALL SHEET'!$V$541)</f>
        <v/>
      </c>
      <c r="G541">
        <f>IF('CALL SHEET'!$D$541="","",'CALL SHEET'!$D$541)</f>
        <v/>
      </c>
      <c r="H541">
        <f>IF('CALL SHEET'!$G$541="","",'CALL SHEET'!$G$541)</f>
        <v/>
      </c>
      <c r="I541">
        <f>IF('CALL SHEET'!$AT$541="","",'CALL SHEET'!$AT$541)</f>
        <v/>
      </c>
      <c r="J541">
        <f>IF('CALL SHEET'!$AX$541="","",'CALL SHEET'!$AX$541)</f>
        <v/>
      </c>
      <c r="K541">
        <f>IF('CALL SHEET'!$N$541="","",'CALL SHEET'!$N$541)</f>
        <v/>
      </c>
      <c r="L541">
        <f>IF('CALL SHEET'!$AE$541="","",'CALL SHEET'!$AE$541)</f>
        <v/>
      </c>
      <c r="M541" t="inlineStr">
        <is>
          <t>TRADE</t>
        </is>
      </c>
      <c r="N541" t="inlineStr">
        <is>
          <t>CALL SHEET · row 541</t>
        </is>
      </c>
    </row>
    <row r="542">
      <c r="A542">
        <f>IF('CALL SHEET'!$A$542="","",'CALL SHEET'!$A$542)</f>
        <v/>
      </c>
      <c r="B542">
        <f>IF('CALL SHEET'!$C$542="","",'CALL SHEET'!$C$542)</f>
        <v/>
      </c>
      <c r="C542">
        <f>'CALL SHEET'!$U$542</f>
        <v/>
      </c>
      <c r="D542">
        <f>'CALL SHEET'!$Y$542</f>
        <v/>
      </c>
      <c r="E542">
        <f>'CALL SHEET'!$AC$542</f>
        <v/>
      </c>
      <c r="F542">
        <f>IF('CALL SHEET'!$V$542="","",'CALL SHEET'!$V$542)</f>
        <v/>
      </c>
      <c r="G542">
        <f>IF('CALL SHEET'!$D$542="","",'CALL SHEET'!$D$542)</f>
        <v/>
      </c>
      <c r="H542">
        <f>IF('CALL SHEET'!$G$542="","",'CALL SHEET'!$G$542)</f>
        <v/>
      </c>
      <c r="I542">
        <f>IF('CALL SHEET'!$AT$542="","",'CALL SHEET'!$AT$542)</f>
        <v/>
      </c>
      <c r="J542">
        <f>IF('CALL SHEET'!$AX$542="","",'CALL SHEET'!$AX$542)</f>
        <v/>
      </c>
      <c r="K542">
        <f>IF('CALL SHEET'!$N$542="","",'CALL SHEET'!$N$542)</f>
        <v/>
      </c>
      <c r="L542">
        <f>IF('CALL SHEET'!$AE$542="","",'CALL SHEET'!$AE$542)</f>
        <v/>
      </c>
      <c r="M542" t="inlineStr">
        <is>
          <t>TRADE</t>
        </is>
      </c>
      <c r="N542" t="inlineStr">
        <is>
          <t>CALL SHEET · row 542</t>
        </is>
      </c>
    </row>
    <row r="543">
      <c r="A543">
        <f>IF('CALL SHEET'!$A$543="","",'CALL SHEET'!$A$543)</f>
        <v/>
      </c>
      <c r="B543">
        <f>IF('CALL SHEET'!$C$543="","",'CALL SHEET'!$C$543)</f>
        <v/>
      </c>
      <c r="C543">
        <f>'CALL SHEET'!$U$543</f>
        <v/>
      </c>
      <c r="D543">
        <f>'CALL SHEET'!$Y$543</f>
        <v/>
      </c>
      <c r="E543">
        <f>'CALL SHEET'!$AC$543</f>
        <v/>
      </c>
      <c r="F543">
        <f>IF('CALL SHEET'!$V$543="","",'CALL SHEET'!$V$543)</f>
        <v/>
      </c>
      <c r="G543">
        <f>IF('CALL SHEET'!$D$543="","",'CALL SHEET'!$D$543)</f>
        <v/>
      </c>
      <c r="H543">
        <f>IF('CALL SHEET'!$G$543="","",'CALL SHEET'!$G$543)</f>
        <v/>
      </c>
      <c r="I543">
        <f>IF('CALL SHEET'!$AT$543="","",'CALL SHEET'!$AT$543)</f>
        <v/>
      </c>
      <c r="J543">
        <f>IF('CALL SHEET'!$AX$543="","",'CALL SHEET'!$AX$543)</f>
        <v/>
      </c>
      <c r="K543">
        <f>IF('CALL SHEET'!$N$543="","",'CALL SHEET'!$N$543)</f>
        <v/>
      </c>
      <c r="L543">
        <f>IF('CALL SHEET'!$AE$543="","",'CALL SHEET'!$AE$543)</f>
        <v/>
      </c>
      <c r="M543" t="inlineStr">
        <is>
          <t>TRADE</t>
        </is>
      </c>
      <c r="N543" t="inlineStr">
        <is>
          <t>CALL SHEET · row 543</t>
        </is>
      </c>
    </row>
    <row r="544">
      <c r="A544">
        <f>IF('CALL SHEET'!$A$544="","",'CALL SHEET'!$A$544)</f>
        <v/>
      </c>
      <c r="B544">
        <f>IF('CALL SHEET'!$C$544="","",'CALL SHEET'!$C$544)</f>
        <v/>
      </c>
      <c r="C544">
        <f>'CALL SHEET'!$U$544</f>
        <v/>
      </c>
      <c r="D544">
        <f>'CALL SHEET'!$Y$544</f>
        <v/>
      </c>
      <c r="E544">
        <f>'CALL SHEET'!$AC$544</f>
        <v/>
      </c>
      <c r="F544">
        <f>IF('CALL SHEET'!$V$544="","",'CALL SHEET'!$V$544)</f>
        <v/>
      </c>
      <c r="G544">
        <f>IF('CALL SHEET'!$D$544="","",'CALL SHEET'!$D$544)</f>
        <v/>
      </c>
      <c r="H544">
        <f>IF('CALL SHEET'!$G$544="","",'CALL SHEET'!$G$544)</f>
        <v/>
      </c>
      <c r="I544">
        <f>IF('CALL SHEET'!$AT$544="","",'CALL SHEET'!$AT$544)</f>
        <v/>
      </c>
      <c r="J544">
        <f>IF('CALL SHEET'!$AX$544="","",'CALL SHEET'!$AX$544)</f>
        <v/>
      </c>
      <c r="K544">
        <f>IF('CALL SHEET'!$N$544="","",'CALL SHEET'!$N$544)</f>
        <v/>
      </c>
      <c r="L544">
        <f>IF('CALL SHEET'!$AE$544="","",'CALL SHEET'!$AE$544)</f>
        <v/>
      </c>
      <c r="M544" t="inlineStr">
        <is>
          <t>TRADE</t>
        </is>
      </c>
      <c r="N544" t="inlineStr">
        <is>
          <t>CALL SHEET · row 544</t>
        </is>
      </c>
    </row>
    <row r="545">
      <c r="A545">
        <f>IF('CALL SHEET'!$A$545="","",'CALL SHEET'!$A$545)</f>
        <v/>
      </c>
      <c r="B545">
        <f>IF('CALL SHEET'!$C$545="","",'CALL SHEET'!$C$545)</f>
        <v/>
      </c>
      <c r="C545">
        <f>'CALL SHEET'!$U$545</f>
        <v/>
      </c>
      <c r="D545">
        <f>'CALL SHEET'!$Y$545</f>
        <v/>
      </c>
      <c r="E545">
        <f>'CALL SHEET'!$AC$545</f>
        <v/>
      </c>
      <c r="F545">
        <f>IF('CALL SHEET'!$V$545="","",'CALL SHEET'!$V$545)</f>
        <v/>
      </c>
      <c r="G545">
        <f>IF('CALL SHEET'!$D$545="","",'CALL SHEET'!$D$545)</f>
        <v/>
      </c>
      <c r="H545">
        <f>IF('CALL SHEET'!$G$545="","",'CALL SHEET'!$G$545)</f>
        <v/>
      </c>
      <c r="I545">
        <f>IF('CALL SHEET'!$AT$545="","",'CALL SHEET'!$AT$545)</f>
        <v/>
      </c>
      <c r="J545">
        <f>IF('CALL SHEET'!$AX$545="","",'CALL SHEET'!$AX$545)</f>
        <v/>
      </c>
      <c r="K545">
        <f>IF('CALL SHEET'!$N$545="","",'CALL SHEET'!$N$545)</f>
        <v/>
      </c>
      <c r="L545">
        <f>IF('CALL SHEET'!$AE$545="","",'CALL SHEET'!$AE$545)</f>
        <v/>
      </c>
      <c r="M545" t="inlineStr">
        <is>
          <t>TRADE</t>
        </is>
      </c>
      <c r="N545" t="inlineStr">
        <is>
          <t>CALL SHEET · row 545</t>
        </is>
      </c>
    </row>
    <row r="546">
      <c r="A546">
        <f>IF('CALL SHEET'!$A$546="","",'CALL SHEET'!$A$546)</f>
        <v/>
      </c>
      <c r="B546">
        <f>IF('CALL SHEET'!$C$546="","",'CALL SHEET'!$C$546)</f>
        <v/>
      </c>
      <c r="C546">
        <f>'CALL SHEET'!$U$546</f>
        <v/>
      </c>
      <c r="D546">
        <f>'CALL SHEET'!$Y$546</f>
        <v/>
      </c>
      <c r="E546">
        <f>'CALL SHEET'!$AC$546</f>
        <v/>
      </c>
      <c r="F546">
        <f>IF('CALL SHEET'!$V$546="","",'CALL SHEET'!$V$546)</f>
        <v/>
      </c>
      <c r="G546">
        <f>IF('CALL SHEET'!$D$546="","",'CALL SHEET'!$D$546)</f>
        <v/>
      </c>
      <c r="H546">
        <f>IF('CALL SHEET'!$G$546="","",'CALL SHEET'!$G$546)</f>
        <v/>
      </c>
      <c r="I546">
        <f>IF('CALL SHEET'!$AT$546="","",'CALL SHEET'!$AT$546)</f>
        <v/>
      </c>
      <c r="J546">
        <f>IF('CALL SHEET'!$AX$546="","",'CALL SHEET'!$AX$546)</f>
        <v/>
      </c>
      <c r="K546">
        <f>IF('CALL SHEET'!$N$546="","",'CALL SHEET'!$N$546)</f>
        <v/>
      </c>
      <c r="L546">
        <f>IF('CALL SHEET'!$AE$546="","",'CALL SHEET'!$AE$546)</f>
        <v/>
      </c>
      <c r="M546" t="inlineStr">
        <is>
          <t>TRADE</t>
        </is>
      </c>
      <c r="N546" t="inlineStr">
        <is>
          <t>CALL SHEET · row 546</t>
        </is>
      </c>
    </row>
    <row r="547">
      <c r="A547">
        <f>IF('CALL SHEET'!$A$547="","",'CALL SHEET'!$A$547)</f>
        <v/>
      </c>
      <c r="B547">
        <f>IF('CALL SHEET'!$C$547="","",'CALL SHEET'!$C$547)</f>
        <v/>
      </c>
      <c r="C547">
        <f>'CALL SHEET'!$U$547</f>
        <v/>
      </c>
      <c r="D547">
        <f>'CALL SHEET'!$Y$547</f>
        <v/>
      </c>
      <c r="E547">
        <f>'CALL SHEET'!$AC$547</f>
        <v/>
      </c>
      <c r="F547">
        <f>IF('CALL SHEET'!$V$547="","",'CALL SHEET'!$V$547)</f>
        <v/>
      </c>
      <c r="G547">
        <f>IF('CALL SHEET'!$D$547="","",'CALL SHEET'!$D$547)</f>
        <v/>
      </c>
      <c r="H547">
        <f>IF('CALL SHEET'!$G$547="","",'CALL SHEET'!$G$547)</f>
        <v/>
      </c>
      <c r="I547">
        <f>IF('CALL SHEET'!$AT$547="","",'CALL SHEET'!$AT$547)</f>
        <v/>
      </c>
      <c r="J547">
        <f>IF('CALL SHEET'!$AX$547="","",'CALL SHEET'!$AX$547)</f>
        <v/>
      </c>
      <c r="K547">
        <f>IF('CALL SHEET'!$N$547="","",'CALL SHEET'!$N$547)</f>
        <v/>
      </c>
      <c r="L547">
        <f>IF('CALL SHEET'!$AE$547="","",'CALL SHEET'!$AE$547)</f>
        <v/>
      </c>
      <c r="M547" t="inlineStr">
        <is>
          <t>TRADE</t>
        </is>
      </c>
      <c r="N547" t="inlineStr">
        <is>
          <t>CALL SHEET · row 547</t>
        </is>
      </c>
    </row>
    <row r="548">
      <c r="A548">
        <f>IF('CALL SHEET'!$A$548="","",'CALL SHEET'!$A$548)</f>
        <v/>
      </c>
      <c r="B548">
        <f>IF('CALL SHEET'!$C$548="","",'CALL SHEET'!$C$548)</f>
        <v/>
      </c>
      <c r="C548">
        <f>'CALL SHEET'!$U$548</f>
        <v/>
      </c>
      <c r="D548">
        <f>'CALL SHEET'!$Y$548</f>
        <v/>
      </c>
      <c r="E548">
        <f>'CALL SHEET'!$AC$548</f>
        <v/>
      </c>
      <c r="F548">
        <f>IF('CALL SHEET'!$V$548="","",'CALL SHEET'!$V$548)</f>
        <v/>
      </c>
      <c r="G548">
        <f>IF('CALL SHEET'!$D$548="","",'CALL SHEET'!$D$548)</f>
        <v/>
      </c>
      <c r="H548">
        <f>IF('CALL SHEET'!$G$548="","",'CALL SHEET'!$G$548)</f>
        <v/>
      </c>
      <c r="I548">
        <f>IF('CALL SHEET'!$AT$548="","",'CALL SHEET'!$AT$548)</f>
        <v/>
      </c>
      <c r="J548">
        <f>IF('CALL SHEET'!$AX$548="","",'CALL SHEET'!$AX$548)</f>
        <v/>
      </c>
      <c r="K548">
        <f>IF('CALL SHEET'!$N$548="","",'CALL SHEET'!$N$548)</f>
        <v/>
      </c>
      <c r="L548">
        <f>IF('CALL SHEET'!$AE$548="","",'CALL SHEET'!$AE$548)</f>
        <v/>
      </c>
      <c r="M548" t="inlineStr">
        <is>
          <t>TRADE</t>
        </is>
      </c>
      <c r="N548" t="inlineStr">
        <is>
          <t>CALL SHEET · row 548</t>
        </is>
      </c>
    </row>
    <row r="549">
      <c r="A549">
        <f>IF('CALL SHEET'!$A$549="","",'CALL SHEET'!$A$549)</f>
        <v/>
      </c>
      <c r="B549">
        <f>IF('CALL SHEET'!$C$549="","",'CALL SHEET'!$C$549)</f>
        <v/>
      </c>
      <c r="C549">
        <f>'CALL SHEET'!$U$549</f>
        <v/>
      </c>
      <c r="D549">
        <f>'CALL SHEET'!$Y$549</f>
        <v/>
      </c>
      <c r="E549">
        <f>'CALL SHEET'!$AC$549</f>
        <v/>
      </c>
      <c r="F549">
        <f>IF('CALL SHEET'!$V$549="","",'CALL SHEET'!$V$549)</f>
        <v/>
      </c>
      <c r="G549">
        <f>IF('CALL SHEET'!$D$549="","",'CALL SHEET'!$D$549)</f>
        <v/>
      </c>
      <c r="H549">
        <f>IF('CALL SHEET'!$G$549="","",'CALL SHEET'!$G$549)</f>
        <v/>
      </c>
      <c r="I549">
        <f>IF('CALL SHEET'!$AT$549="","",'CALL SHEET'!$AT$549)</f>
        <v/>
      </c>
      <c r="J549">
        <f>IF('CALL SHEET'!$AX$549="","",'CALL SHEET'!$AX$549)</f>
        <v/>
      </c>
      <c r="K549">
        <f>IF('CALL SHEET'!$N$549="","",'CALL SHEET'!$N$549)</f>
        <v/>
      </c>
      <c r="L549">
        <f>IF('CALL SHEET'!$AE$549="","",'CALL SHEET'!$AE$549)</f>
        <v/>
      </c>
      <c r="M549" t="inlineStr">
        <is>
          <t>TRADE</t>
        </is>
      </c>
      <c r="N549" t="inlineStr">
        <is>
          <t>CALL SHEET · row 549</t>
        </is>
      </c>
    </row>
    <row r="550">
      <c r="A550">
        <f>IF('CALL SHEET'!$A$550="","",'CALL SHEET'!$A$550)</f>
        <v/>
      </c>
      <c r="B550">
        <f>IF('CALL SHEET'!$C$550="","",'CALL SHEET'!$C$550)</f>
        <v/>
      </c>
      <c r="C550">
        <f>'CALL SHEET'!$U$550</f>
        <v/>
      </c>
      <c r="D550">
        <f>'CALL SHEET'!$Y$550</f>
        <v/>
      </c>
      <c r="E550">
        <f>'CALL SHEET'!$AC$550</f>
        <v/>
      </c>
      <c r="F550">
        <f>IF('CALL SHEET'!$V$550="","",'CALL SHEET'!$V$550)</f>
        <v/>
      </c>
      <c r="G550">
        <f>IF('CALL SHEET'!$D$550="","",'CALL SHEET'!$D$550)</f>
        <v/>
      </c>
      <c r="H550">
        <f>IF('CALL SHEET'!$G$550="","",'CALL SHEET'!$G$550)</f>
        <v/>
      </c>
      <c r="I550">
        <f>IF('CALL SHEET'!$AT$550="","",'CALL SHEET'!$AT$550)</f>
        <v/>
      </c>
      <c r="J550">
        <f>IF('CALL SHEET'!$AX$550="","",'CALL SHEET'!$AX$550)</f>
        <v/>
      </c>
      <c r="K550">
        <f>IF('CALL SHEET'!$N$550="","",'CALL SHEET'!$N$550)</f>
        <v/>
      </c>
      <c r="L550">
        <f>IF('CALL SHEET'!$AE$550="","",'CALL SHEET'!$AE$550)</f>
        <v/>
      </c>
      <c r="M550" t="inlineStr">
        <is>
          <t>TRADE</t>
        </is>
      </c>
      <c r="N550" t="inlineStr">
        <is>
          <t>CALL SHEET · row 550</t>
        </is>
      </c>
    </row>
    <row r="551">
      <c r="A551">
        <f>IF('CALL SHEET'!$A$551="","",'CALL SHEET'!$A$551)</f>
        <v/>
      </c>
      <c r="B551">
        <f>IF('CALL SHEET'!$C$551="","",'CALL SHEET'!$C$551)</f>
        <v/>
      </c>
      <c r="C551">
        <f>'CALL SHEET'!$U$551</f>
        <v/>
      </c>
      <c r="D551">
        <f>'CALL SHEET'!$Y$551</f>
        <v/>
      </c>
      <c r="E551">
        <f>'CALL SHEET'!$AC$551</f>
        <v/>
      </c>
      <c r="F551">
        <f>IF('CALL SHEET'!$V$551="","",'CALL SHEET'!$V$551)</f>
        <v/>
      </c>
      <c r="G551">
        <f>IF('CALL SHEET'!$D$551="","",'CALL SHEET'!$D$551)</f>
        <v/>
      </c>
      <c r="H551">
        <f>IF('CALL SHEET'!$G$551="","",'CALL SHEET'!$G$551)</f>
        <v/>
      </c>
      <c r="I551">
        <f>IF('CALL SHEET'!$AT$551="","",'CALL SHEET'!$AT$551)</f>
        <v/>
      </c>
      <c r="J551">
        <f>IF('CALL SHEET'!$AX$551="","",'CALL SHEET'!$AX$551)</f>
        <v/>
      </c>
      <c r="K551">
        <f>IF('CALL SHEET'!$N$551="","",'CALL SHEET'!$N$551)</f>
        <v/>
      </c>
      <c r="L551">
        <f>IF('CALL SHEET'!$AE$551="","",'CALL SHEET'!$AE$551)</f>
        <v/>
      </c>
      <c r="M551" t="inlineStr">
        <is>
          <t>TRADE</t>
        </is>
      </c>
      <c r="N551" t="inlineStr">
        <is>
          <t>CALL SHEET · row 551</t>
        </is>
      </c>
    </row>
    <row r="552">
      <c r="A552">
        <f>IF('CALL SHEET'!$A$552="","",'CALL SHEET'!$A$552)</f>
        <v/>
      </c>
      <c r="B552">
        <f>IF('CALL SHEET'!$C$552="","",'CALL SHEET'!$C$552)</f>
        <v/>
      </c>
      <c r="C552">
        <f>'CALL SHEET'!$U$552</f>
        <v/>
      </c>
      <c r="D552">
        <f>'CALL SHEET'!$Y$552</f>
        <v/>
      </c>
      <c r="E552">
        <f>'CALL SHEET'!$AC$552</f>
        <v/>
      </c>
      <c r="F552">
        <f>IF('CALL SHEET'!$V$552="","",'CALL SHEET'!$V$552)</f>
        <v/>
      </c>
      <c r="G552">
        <f>IF('CALL SHEET'!$D$552="","",'CALL SHEET'!$D$552)</f>
        <v/>
      </c>
      <c r="H552">
        <f>IF('CALL SHEET'!$G$552="","",'CALL SHEET'!$G$552)</f>
        <v/>
      </c>
      <c r="I552">
        <f>IF('CALL SHEET'!$AT$552="","",'CALL SHEET'!$AT$552)</f>
        <v/>
      </c>
      <c r="J552">
        <f>IF('CALL SHEET'!$AX$552="","",'CALL SHEET'!$AX$552)</f>
        <v/>
      </c>
      <c r="K552">
        <f>IF('CALL SHEET'!$N$552="","",'CALL SHEET'!$N$552)</f>
        <v/>
      </c>
      <c r="L552">
        <f>IF('CALL SHEET'!$AE$552="","",'CALL SHEET'!$AE$552)</f>
        <v/>
      </c>
      <c r="M552" t="inlineStr">
        <is>
          <t>TRADE</t>
        </is>
      </c>
      <c r="N552" t="inlineStr">
        <is>
          <t>CALL SHEET · row 552</t>
        </is>
      </c>
    </row>
    <row r="553">
      <c r="A553">
        <f>IF('CALL SHEET'!$A$553="","",'CALL SHEET'!$A$553)</f>
        <v/>
      </c>
      <c r="B553">
        <f>IF('CALL SHEET'!$C$553="","",'CALL SHEET'!$C$553)</f>
        <v/>
      </c>
      <c r="C553">
        <f>'CALL SHEET'!$U$553</f>
        <v/>
      </c>
      <c r="D553">
        <f>'CALL SHEET'!$Y$553</f>
        <v/>
      </c>
      <c r="E553">
        <f>'CALL SHEET'!$AC$553</f>
        <v/>
      </c>
      <c r="F553">
        <f>IF('CALL SHEET'!$V$553="","",'CALL SHEET'!$V$553)</f>
        <v/>
      </c>
      <c r="G553">
        <f>IF('CALL SHEET'!$D$553="","",'CALL SHEET'!$D$553)</f>
        <v/>
      </c>
      <c r="H553">
        <f>IF('CALL SHEET'!$G$553="","",'CALL SHEET'!$G$553)</f>
        <v/>
      </c>
      <c r="I553">
        <f>IF('CALL SHEET'!$AT$553="","",'CALL SHEET'!$AT$553)</f>
        <v/>
      </c>
      <c r="J553">
        <f>IF('CALL SHEET'!$AX$553="","",'CALL SHEET'!$AX$553)</f>
        <v/>
      </c>
      <c r="K553">
        <f>IF('CALL SHEET'!$N$553="","",'CALL SHEET'!$N$553)</f>
        <v/>
      </c>
      <c r="L553">
        <f>IF('CALL SHEET'!$AE$553="","",'CALL SHEET'!$AE$553)</f>
        <v/>
      </c>
      <c r="M553" t="inlineStr">
        <is>
          <t>TRADE</t>
        </is>
      </c>
      <c r="N553" t="inlineStr">
        <is>
          <t>CALL SHEET · row 553</t>
        </is>
      </c>
    </row>
    <row r="554">
      <c r="A554">
        <f>IF('CALL SHEET'!$A$554="","",'CALL SHEET'!$A$554)</f>
        <v/>
      </c>
      <c r="B554">
        <f>IF('CALL SHEET'!$C$554="","",'CALL SHEET'!$C$554)</f>
        <v/>
      </c>
      <c r="C554">
        <f>'CALL SHEET'!$U$554</f>
        <v/>
      </c>
      <c r="D554">
        <f>'CALL SHEET'!$Y$554</f>
        <v/>
      </c>
      <c r="E554">
        <f>'CALL SHEET'!$AC$554</f>
        <v/>
      </c>
      <c r="F554">
        <f>IF('CALL SHEET'!$V$554="","",'CALL SHEET'!$V$554)</f>
        <v/>
      </c>
      <c r="G554">
        <f>IF('CALL SHEET'!$D$554="","",'CALL SHEET'!$D$554)</f>
        <v/>
      </c>
      <c r="H554">
        <f>IF('CALL SHEET'!$G$554="","",'CALL SHEET'!$G$554)</f>
        <v/>
      </c>
      <c r="I554">
        <f>IF('CALL SHEET'!$AT$554="","",'CALL SHEET'!$AT$554)</f>
        <v/>
      </c>
      <c r="J554">
        <f>IF('CALL SHEET'!$AX$554="","",'CALL SHEET'!$AX$554)</f>
        <v/>
      </c>
      <c r="K554">
        <f>IF('CALL SHEET'!$N$554="","",'CALL SHEET'!$N$554)</f>
        <v/>
      </c>
      <c r="L554">
        <f>IF('CALL SHEET'!$AE$554="","",'CALL SHEET'!$AE$554)</f>
        <v/>
      </c>
      <c r="M554" t="inlineStr">
        <is>
          <t>TRADE</t>
        </is>
      </c>
      <c r="N554" t="inlineStr">
        <is>
          <t>CALL SHEET · row 554</t>
        </is>
      </c>
    </row>
    <row r="555">
      <c r="A555">
        <f>IF('CALL SHEET'!$A$555="","",'CALL SHEET'!$A$555)</f>
        <v/>
      </c>
      <c r="B555">
        <f>IF('CALL SHEET'!$C$555="","",'CALL SHEET'!$C$555)</f>
        <v/>
      </c>
      <c r="C555">
        <f>'CALL SHEET'!$U$555</f>
        <v/>
      </c>
      <c r="D555">
        <f>'CALL SHEET'!$Y$555</f>
        <v/>
      </c>
      <c r="E555">
        <f>'CALL SHEET'!$AC$555</f>
        <v/>
      </c>
      <c r="F555">
        <f>IF('CALL SHEET'!$V$555="","",'CALL SHEET'!$V$555)</f>
        <v/>
      </c>
      <c r="G555">
        <f>IF('CALL SHEET'!$D$555="","",'CALL SHEET'!$D$555)</f>
        <v/>
      </c>
      <c r="H555">
        <f>IF('CALL SHEET'!$G$555="","",'CALL SHEET'!$G$555)</f>
        <v/>
      </c>
      <c r="I555">
        <f>IF('CALL SHEET'!$AT$555="","",'CALL SHEET'!$AT$555)</f>
        <v/>
      </c>
      <c r="J555">
        <f>IF('CALL SHEET'!$AX$555="","",'CALL SHEET'!$AX$555)</f>
        <v/>
      </c>
      <c r="K555">
        <f>IF('CALL SHEET'!$N$555="","",'CALL SHEET'!$N$555)</f>
        <v/>
      </c>
      <c r="L555">
        <f>IF('CALL SHEET'!$AE$555="","",'CALL SHEET'!$AE$555)</f>
        <v/>
      </c>
      <c r="M555" t="inlineStr">
        <is>
          <t>TRADE</t>
        </is>
      </c>
      <c r="N555" t="inlineStr">
        <is>
          <t>CALL SHEET · row 555</t>
        </is>
      </c>
    </row>
    <row r="556">
      <c r="A556">
        <f>IF('FINANCIAL CREDITORS'!$A$2="","",'FINANCIAL CREDITORS'!$A$2)</f>
        <v/>
      </c>
      <c r="B556">
        <f>IF('FINANCIAL CREDITORS'!$C$2="","",'FINANCIAL CREDITORS'!$C$2)</f>
        <v/>
      </c>
      <c r="C556">
        <f>'FINANCIAL CREDITORS'!$U$2</f>
        <v/>
      </c>
      <c r="D556">
        <f>'FINANCIAL CREDITORS'!$Y$2</f>
        <v/>
      </c>
      <c r="E556">
        <f>'FINANCIAL CREDITORS'!$AC$2</f>
        <v/>
      </c>
      <c r="F556">
        <f>IF('FINANCIAL CREDITORS'!$V$2="","",'FINANCIAL CREDITORS'!$V$2)</f>
        <v/>
      </c>
      <c r="G556">
        <f>IF('FINANCIAL CREDITORS'!$D$2="","",'FINANCIAL CREDITORS'!$D$2)</f>
        <v/>
      </c>
      <c r="H556">
        <f>IF('FINANCIAL CREDITORS'!$G$2="","",'FINANCIAL CREDITORS'!$G$2)</f>
        <v/>
      </c>
      <c r="I556">
        <f>IF('FINANCIAL CREDITORS'!$AT$2="","",'FINANCIAL CREDITORS'!$AT$2)</f>
        <v/>
      </c>
      <c r="J556">
        <f>IF('FINANCIAL CREDITORS'!$AX$2="","",'FINANCIAL CREDITORS'!$AX$2)</f>
        <v/>
      </c>
      <c r="K556">
        <f>IF('FINANCIAL CREDITORS'!$N$2="","",'FINANCIAL CREDITORS'!$N$2)</f>
        <v/>
      </c>
      <c r="L556">
        <f>IF('FINANCIAL CREDITORS'!$AE$2="","",'FINANCIAL CREDITORS'!$AE$2)</f>
        <v/>
      </c>
      <c r="M556" t="inlineStr">
        <is>
          <t>FINANCIAL</t>
        </is>
      </c>
      <c r="N556" t="inlineStr">
        <is>
          <t>FINANCIAL CREDITORS · row 2</t>
        </is>
      </c>
    </row>
    <row r="557">
      <c r="A557">
        <f>IF('FINANCIAL CREDITORS'!$A$3="","",'FINANCIAL CREDITORS'!$A$3)</f>
        <v/>
      </c>
      <c r="B557">
        <f>IF('FINANCIAL CREDITORS'!$C$3="","",'FINANCIAL CREDITORS'!$C$3)</f>
        <v/>
      </c>
      <c r="C557">
        <f>'FINANCIAL CREDITORS'!$U$3</f>
        <v/>
      </c>
      <c r="D557">
        <f>'FINANCIAL CREDITORS'!$Y$3</f>
        <v/>
      </c>
      <c r="E557">
        <f>'FINANCIAL CREDITORS'!$AC$3</f>
        <v/>
      </c>
      <c r="F557">
        <f>IF('FINANCIAL CREDITORS'!$V$3="","",'FINANCIAL CREDITORS'!$V$3)</f>
        <v/>
      </c>
      <c r="G557">
        <f>IF('FINANCIAL CREDITORS'!$D$3="","",'FINANCIAL CREDITORS'!$D$3)</f>
        <v/>
      </c>
      <c r="H557">
        <f>IF('FINANCIAL CREDITORS'!$G$3="","",'FINANCIAL CREDITORS'!$G$3)</f>
        <v/>
      </c>
      <c r="I557">
        <f>IF('FINANCIAL CREDITORS'!$AT$3="","",'FINANCIAL CREDITORS'!$AT$3)</f>
        <v/>
      </c>
      <c r="J557">
        <f>IF('FINANCIAL CREDITORS'!$AX$3="","",'FINANCIAL CREDITORS'!$AX$3)</f>
        <v/>
      </c>
      <c r="K557">
        <f>IF('FINANCIAL CREDITORS'!$N$3="","",'FINANCIAL CREDITORS'!$N$3)</f>
        <v/>
      </c>
      <c r="L557">
        <f>IF('FINANCIAL CREDITORS'!$AE$3="","",'FINANCIAL CREDITORS'!$AE$3)</f>
        <v/>
      </c>
      <c r="M557" t="inlineStr">
        <is>
          <t>FINANCIAL</t>
        </is>
      </c>
      <c r="N557" t="inlineStr">
        <is>
          <t>FINANCIAL CREDITORS · row 3</t>
        </is>
      </c>
    </row>
    <row r="558">
      <c r="A558">
        <f>IF('FINANCIAL CREDITORS'!$A$4="","",'FINANCIAL CREDITORS'!$A$4)</f>
        <v/>
      </c>
      <c r="B558">
        <f>IF('FINANCIAL CREDITORS'!$C$4="","",'FINANCIAL CREDITORS'!$C$4)</f>
        <v/>
      </c>
      <c r="C558">
        <f>'FINANCIAL CREDITORS'!$U$4</f>
        <v/>
      </c>
      <c r="D558">
        <f>'FINANCIAL CREDITORS'!$Y$4</f>
        <v/>
      </c>
      <c r="E558">
        <f>'FINANCIAL CREDITORS'!$AC$4</f>
        <v/>
      </c>
      <c r="F558">
        <f>IF('FINANCIAL CREDITORS'!$V$4="","",'FINANCIAL CREDITORS'!$V$4)</f>
        <v/>
      </c>
      <c r="G558">
        <f>IF('FINANCIAL CREDITORS'!$D$4="","",'FINANCIAL CREDITORS'!$D$4)</f>
        <v/>
      </c>
      <c r="H558">
        <f>IF('FINANCIAL CREDITORS'!$G$4="","",'FINANCIAL CREDITORS'!$G$4)</f>
        <v/>
      </c>
      <c r="I558">
        <f>IF('FINANCIAL CREDITORS'!$AT$4="","",'FINANCIAL CREDITORS'!$AT$4)</f>
        <v/>
      </c>
      <c r="J558">
        <f>IF('FINANCIAL CREDITORS'!$AX$4="","",'FINANCIAL CREDITORS'!$AX$4)</f>
        <v/>
      </c>
      <c r="K558">
        <f>IF('FINANCIAL CREDITORS'!$N$4="","",'FINANCIAL CREDITORS'!$N$4)</f>
        <v/>
      </c>
      <c r="L558">
        <f>IF('FINANCIAL CREDITORS'!$AE$4="","",'FINANCIAL CREDITORS'!$AE$4)</f>
        <v/>
      </c>
      <c r="M558" t="inlineStr">
        <is>
          <t>FINANCIAL</t>
        </is>
      </c>
      <c r="N558" t="inlineStr">
        <is>
          <t>FINANCIAL CREDITORS · row 4</t>
        </is>
      </c>
    </row>
    <row r="559">
      <c r="A559">
        <f>IF('FINANCIAL CREDITORS'!$A$5="","",'FINANCIAL CREDITORS'!$A$5)</f>
        <v/>
      </c>
      <c r="B559">
        <f>IF('FINANCIAL CREDITORS'!$C$5="","",'FINANCIAL CREDITORS'!$C$5)</f>
        <v/>
      </c>
      <c r="C559">
        <f>'FINANCIAL CREDITORS'!$U$5</f>
        <v/>
      </c>
      <c r="D559">
        <f>'FINANCIAL CREDITORS'!$Y$5</f>
        <v/>
      </c>
      <c r="E559">
        <f>'FINANCIAL CREDITORS'!$AC$5</f>
        <v/>
      </c>
      <c r="F559">
        <f>IF('FINANCIAL CREDITORS'!$V$5="","",'FINANCIAL CREDITORS'!$V$5)</f>
        <v/>
      </c>
      <c r="G559">
        <f>IF('FINANCIAL CREDITORS'!$D$5="","",'FINANCIAL CREDITORS'!$D$5)</f>
        <v/>
      </c>
      <c r="H559">
        <f>IF('FINANCIAL CREDITORS'!$G$5="","",'FINANCIAL CREDITORS'!$G$5)</f>
        <v/>
      </c>
      <c r="I559">
        <f>IF('FINANCIAL CREDITORS'!$AT$5="","",'FINANCIAL CREDITORS'!$AT$5)</f>
        <v/>
      </c>
      <c r="J559">
        <f>IF('FINANCIAL CREDITORS'!$AX$5="","",'FINANCIAL CREDITORS'!$AX$5)</f>
        <v/>
      </c>
      <c r="K559">
        <f>IF('FINANCIAL CREDITORS'!$N$5="","",'FINANCIAL CREDITORS'!$N$5)</f>
        <v/>
      </c>
      <c r="L559">
        <f>IF('FINANCIAL CREDITORS'!$AE$5="","",'FINANCIAL CREDITORS'!$AE$5)</f>
        <v/>
      </c>
      <c r="M559" t="inlineStr">
        <is>
          <t>FINANCIAL</t>
        </is>
      </c>
      <c r="N559" t="inlineStr">
        <is>
          <t>FINANCIAL CREDITORS · row 5</t>
        </is>
      </c>
    </row>
    <row r="560">
      <c r="A560">
        <f>IF('FINANCIAL CREDITORS'!$A$6="","",'FINANCIAL CREDITORS'!$A$6)</f>
        <v/>
      </c>
      <c r="B560">
        <f>IF('FINANCIAL CREDITORS'!$C$6="","",'FINANCIAL CREDITORS'!$C$6)</f>
        <v/>
      </c>
      <c r="C560">
        <f>'FINANCIAL CREDITORS'!$U$6</f>
        <v/>
      </c>
      <c r="D560">
        <f>'FINANCIAL CREDITORS'!$Y$6</f>
        <v/>
      </c>
      <c r="E560">
        <f>'FINANCIAL CREDITORS'!$AC$6</f>
        <v/>
      </c>
      <c r="F560">
        <f>IF('FINANCIAL CREDITORS'!$V$6="","",'FINANCIAL CREDITORS'!$V$6)</f>
        <v/>
      </c>
      <c r="G560">
        <f>IF('FINANCIAL CREDITORS'!$D$6="","",'FINANCIAL CREDITORS'!$D$6)</f>
        <v/>
      </c>
      <c r="H560">
        <f>IF('FINANCIAL CREDITORS'!$G$6="","",'FINANCIAL CREDITORS'!$G$6)</f>
        <v/>
      </c>
      <c r="I560">
        <f>IF('FINANCIAL CREDITORS'!$AT$6="","",'FINANCIAL CREDITORS'!$AT$6)</f>
        <v/>
      </c>
      <c r="J560">
        <f>IF('FINANCIAL CREDITORS'!$AX$6="","",'FINANCIAL CREDITORS'!$AX$6)</f>
        <v/>
      </c>
      <c r="K560">
        <f>IF('FINANCIAL CREDITORS'!$N$6="","",'FINANCIAL CREDITORS'!$N$6)</f>
        <v/>
      </c>
      <c r="L560">
        <f>IF('FINANCIAL CREDITORS'!$AE$6="","",'FINANCIAL CREDITORS'!$AE$6)</f>
        <v/>
      </c>
      <c r="M560" t="inlineStr">
        <is>
          <t>FINANCIAL</t>
        </is>
      </c>
      <c r="N560" t="inlineStr">
        <is>
          <t>FINANCIAL CREDITORS · row 6</t>
        </is>
      </c>
    </row>
    <row r="561">
      <c r="A561">
        <f>IF('FINANCIAL CREDITORS'!$A$7="","",'FINANCIAL CREDITORS'!$A$7)</f>
        <v/>
      </c>
      <c r="B561">
        <f>IF('FINANCIAL CREDITORS'!$C$7="","",'FINANCIAL CREDITORS'!$C$7)</f>
        <v/>
      </c>
      <c r="C561">
        <f>'FINANCIAL CREDITORS'!$U$7</f>
        <v/>
      </c>
      <c r="D561">
        <f>'FINANCIAL CREDITORS'!$Y$7</f>
        <v/>
      </c>
      <c r="E561">
        <f>'FINANCIAL CREDITORS'!$AC$7</f>
        <v/>
      </c>
      <c r="F561">
        <f>IF('FINANCIAL CREDITORS'!$V$7="","",'FINANCIAL CREDITORS'!$V$7)</f>
        <v/>
      </c>
      <c r="G561">
        <f>IF('FINANCIAL CREDITORS'!$D$7="","",'FINANCIAL CREDITORS'!$D$7)</f>
        <v/>
      </c>
      <c r="H561">
        <f>IF('FINANCIAL CREDITORS'!$G$7="","",'FINANCIAL CREDITORS'!$G$7)</f>
        <v/>
      </c>
      <c r="I561">
        <f>IF('FINANCIAL CREDITORS'!$AT$7="","",'FINANCIAL CREDITORS'!$AT$7)</f>
        <v/>
      </c>
      <c r="J561">
        <f>IF('FINANCIAL CREDITORS'!$AX$7="","",'FINANCIAL CREDITORS'!$AX$7)</f>
        <v/>
      </c>
      <c r="K561">
        <f>IF('FINANCIAL CREDITORS'!$N$7="","",'FINANCIAL CREDITORS'!$N$7)</f>
        <v/>
      </c>
      <c r="L561">
        <f>IF('FINANCIAL CREDITORS'!$AE$7="","",'FINANCIAL CREDITORS'!$AE$7)</f>
        <v/>
      </c>
      <c r="M561" t="inlineStr">
        <is>
          <t>FINANCIAL</t>
        </is>
      </c>
      <c r="N561" t="inlineStr">
        <is>
          <t>FINANCIAL CREDITORS · row 7</t>
        </is>
      </c>
    </row>
    <row r="562">
      <c r="A562">
        <f>IF('FINANCIAL CREDITORS'!$A$8="","",'FINANCIAL CREDITORS'!$A$8)</f>
        <v/>
      </c>
      <c r="B562">
        <f>IF('FINANCIAL CREDITORS'!$C$8="","",'FINANCIAL CREDITORS'!$C$8)</f>
        <v/>
      </c>
      <c r="C562">
        <f>'FINANCIAL CREDITORS'!$U$8</f>
        <v/>
      </c>
      <c r="D562">
        <f>'FINANCIAL CREDITORS'!$Y$8</f>
        <v/>
      </c>
      <c r="E562">
        <f>'FINANCIAL CREDITORS'!$AC$8</f>
        <v/>
      </c>
      <c r="F562">
        <f>IF('FINANCIAL CREDITORS'!$V$8="","",'FINANCIAL CREDITORS'!$V$8)</f>
        <v/>
      </c>
      <c r="G562">
        <f>IF('FINANCIAL CREDITORS'!$D$8="","",'FINANCIAL CREDITORS'!$D$8)</f>
        <v/>
      </c>
      <c r="H562">
        <f>IF('FINANCIAL CREDITORS'!$G$8="","",'FINANCIAL CREDITORS'!$G$8)</f>
        <v/>
      </c>
      <c r="I562">
        <f>IF('FINANCIAL CREDITORS'!$AT$8="","",'FINANCIAL CREDITORS'!$AT$8)</f>
        <v/>
      </c>
      <c r="J562">
        <f>IF('FINANCIAL CREDITORS'!$AX$8="","",'FINANCIAL CREDITORS'!$AX$8)</f>
        <v/>
      </c>
      <c r="K562">
        <f>IF('FINANCIAL CREDITORS'!$N$8="","",'FINANCIAL CREDITORS'!$N$8)</f>
        <v/>
      </c>
      <c r="L562">
        <f>IF('FINANCIAL CREDITORS'!$AE$8="","",'FINANCIAL CREDITORS'!$AE$8)</f>
        <v/>
      </c>
      <c r="M562" t="inlineStr">
        <is>
          <t>FINANCIAL</t>
        </is>
      </c>
      <c r="N562" t="inlineStr">
        <is>
          <t>FINANCIAL CREDITORS · row 8</t>
        </is>
      </c>
    </row>
    <row r="563">
      <c r="A563">
        <f>IF('FINANCIAL CREDITORS'!$A$9="","",'FINANCIAL CREDITORS'!$A$9)</f>
        <v/>
      </c>
      <c r="B563">
        <f>IF('FINANCIAL CREDITORS'!$C$9="","",'FINANCIAL CREDITORS'!$C$9)</f>
        <v/>
      </c>
      <c r="C563">
        <f>'FINANCIAL CREDITORS'!$U$9</f>
        <v/>
      </c>
      <c r="D563">
        <f>'FINANCIAL CREDITORS'!$Y$9</f>
        <v/>
      </c>
      <c r="E563">
        <f>'FINANCIAL CREDITORS'!$AC$9</f>
        <v/>
      </c>
      <c r="F563">
        <f>IF('FINANCIAL CREDITORS'!$V$9="","",'FINANCIAL CREDITORS'!$V$9)</f>
        <v/>
      </c>
      <c r="G563">
        <f>IF('FINANCIAL CREDITORS'!$D$9="","",'FINANCIAL CREDITORS'!$D$9)</f>
        <v/>
      </c>
      <c r="H563">
        <f>IF('FINANCIAL CREDITORS'!$G$9="","",'FINANCIAL CREDITORS'!$G$9)</f>
        <v/>
      </c>
      <c r="I563">
        <f>IF('FINANCIAL CREDITORS'!$AT$9="","",'FINANCIAL CREDITORS'!$AT$9)</f>
        <v/>
      </c>
      <c r="J563">
        <f>IF('FINANCIAL CREDITORS'!$AX$9="","",'FINANCIAL CREDITORS'!$AX$9)</f>
        <v/>
      </c>
      <c r="K563">
        <f>IF('FINANCIAL CREDITORS'!$N$9="","",'FINANCIAL CREDITORS'!$N$9)</f>
        <v/>
      </c>
      <c r="L563">
        <f>IF('FINANCIAL CREDITORS'!$AE$9="","",'FINANCIAL CREDITORS'!$AE$9)</f>
        <v/>
      </c>
      <c r="M563" t="inlineStr">
        <is>
          <t>FINANCIAL</t>
        </is>
      </c>
      <c r="N563" t="inlineStr">
        <is>
          <t>FINANCIAL CREDITORS · row 9</t>
        </is>
      </c>
    </row>
    <row r="564">
      <c r="A564">
        <f>IF('FINANCIAL CREDITORS'!$A$10="","",'FINANCIAL CREDITORS'!$A$10)</f>
        <v/>
      </c>
      <c r="B564">
        <f>IF('FINANCIAL CREDITORS'!$C$10="","",'FINANCIAL CREDITORS'!$C$10)</f>
        <v/>
      </c>
      <c r="C564">
        <f>'FINANCIAL CREDITORS'!$U$10</f>
        <v/>
      </c>
      <c r="D564">
        <f>'FINANCIAL CREDITORS'!$Y$10</f>
        <v/>
      </c>
      <c r="E564">
        <f>'FINANCIAL CREDITORS'!$AC$10</f>
        <v/>
      </c>
      <c r="F564">
        <f>IF('FINANCIAL CREDITORS'!$V$10="","",'FINANCIAL CREDITORS'!$V$10)</f>
        <v/>
      </c>
      <c r="G564">
        <f>IF('FINANCIAL CREDITORS'!$D$10="","",'FINANCIAL CREDITORS'!$D$10)</f>
        <v/>
      </c>
      <c r="H564">
        <f>IF('FINANCIAL CREDITORS'!$G$10="","",'FINANCIAL CREDITORS'!$G$10)</f>
        <v/>
      </c>
      <c r="I564">
        <f>IF('FINANCIAL CREDITORS'!$AT$10="","",'FINANCIAL CREDITORS'!$AT$10)</f>
        <v/>
      </c>
      <c r="J564">
        <f>IF('FINANCIAL CREDITORS'!$AX$10="","",'FINANCIAL CREDITORS'!$AX$10)</f>
        <v/>
      </c>
      <c r="K564">
        <f>IF('FINANCIAL CREDITORS'!$N$10="","",'FINANCIAL CREDITORS'!$N$10)</f>
        <v/>
      </c>
      <c r="L564">
        <f>IF('FINANCIAL CREDITORS'!$AE$10="","",'FINANCIAL CREDITORS'!$AE$10)</f>
        <v/>
      </c>
      <c r="M564" t="inlineStr">
        <is>
          <t>FINANCIAL</t>
        </is>
      </c>
      <c r="N564" t="inlineStr">
        <is>
          <t>FINANCIAL CREDITORS · row 10</t>
        </is>
      </c>
    </row>
    <row r="565">
      <c r="A565">
        <f>IF('FINANCIAL CREDITORS'!$A$11="","",'FINANCIAL CREDITORS'!$A$11)</f>
        <v/>
      </c>
      <c r="B565">
        <f>IF('FINANCIAL CREDITORS'!$C$11="","",'FINANCIAL CREDITORS'!$C$11)</f>
        <v/>
      </c>
      <c r="C565">
        <f>'FINANCIAL CREDITORS'!$U$11</f>
        <v/>
      </c>
      <c r="D565">
        <f>'FINANCIAL CREDITORS'!$Y$11</f>
        <v/>
      </c>
      <c r="E565">
        <f>'FINANCIAL CREDITORS'!$AC$11</f>
        <v/>
      </c>
      <c r="F565">
        <f>IF('FINANCIAL CREDITORS'!$V$11="","",'FINANCIAL CREDITORS'!$V$11)</f>
        <v/>
      </c>
      <c r="G565">
        <f>IF('FINANCIAL CREDITORS'!$D$11="","",'FINANCIAL CREDITORS'!$D$11)</f>
        <v/>
      </c>
      <c r="H565">
        <f>IF('FINANCIAL CREDITORS'!$G$11="","",'FINANCIAL CREDITORS'!$G$11)</f>
        <v/>
      </c>
      <c r="I565">
        <f>IF('FINANCIAL CREDITORS'!$AT$11="","",'FINANCIAL CREDITORS'!$AT$11)</f>
        <v/>
      </c>
      <c r="J565">
        <f>IF('FINANCIAL CREDITORS'!$AX$11="","",'FINANCIAL CREDITORS'!$AX$11)</f>
        <v/>
      </c>
      <c r="K565">
        <f>IF('FINANCIAL CREDITORS'!$N$11="","",'FINANCIAL CREDITORS'!$N$11)</f>
        <v/>
      </c>
      <c r="L565">
        <f>IF('FINANCIAL CREDITORS'!$AE$11="","",'FINANCIAL CREDITORS'!$AE$11)</f>
        <v/>
      </c>
      <c r="M565" t="inlineStr">
        <is>
          <t>FINANCIAL</t>
        </is>
      </c>
      <c r="N565" t="inlineStr">
        <is>
          <t>FINANCIAL CREDITORS · row 11</t>
        </is>
      </c>
    </row>
    <row r="566">
      <c r="A566">
        <f>IF('FINANCIAL CREDITORS'!$A$12="","",'FINANCIAL CREDITORS'!$A$12)</f>
        <v/>
      </c>
      <c r="B566">
        <f>IF('FINANCIAL CREDITORS'!$C$12="","",'FINANCIAL CREDITORS'!$C$12)</f>
        <v/>
      </c>
      <c r="C566">
        <f>'FINANCIAL CREDITORS'!$U$12</f>
        <v/>
      </c>
      <c r="D566">
        <f>'FINANCIAL CREDITORS'!$Y$12</f>
        <v/>
      </c>
      <c r="E566">
        <f>'FINANCIAL CREDITORS'!$AC$12</f>
        <v/>
      </c>
      <c r="F566">
        <f>IF('FINANCIAL CREDITORS'!$V$12="","",'FINANCIAL CREDITORS'!$V$12)</f>
        <v/>
      </c>
      <c r="G566">
        <f>IF('FINANCIAL CREDITORS'!$D$12="","",'FINANCIAL CREDITORS'!$D$12)</f>
        <v/>
      </c>
      <c r="H566">
        <f>IF('FINANCIAL CREDITORS'!$G$12="","",'FINANCIAL CREDITORS'!$G$12)</f>
        <v/>
      </c>
      <c r="I566">
        <f>IF('FINANCIAL CREDITORS'!$AT$12="","",'FINANCIAL CREDITORS'!$AT$12)</f>
        <v/>
      </c>
      <c r="J566">
        <f>IF('FINANCIAL CREDITORS'!$AX$12="","",'FINANCIAL CREDITORS'!$AX$12)</f>
        <v/>
      </c>
      <c r="K566">
        <f>IF('FINANCIAL CREDITORS'!$N$12="","",'FINANCIAL CREDITORS'!$N$12)</f>
        <v/>
      </c>
      <c r="L566">
        <f>IF('FINANCIAL CREDITORS'!$AE$12="","",'FINANCIAL CREDITORS'!$AE$12)</f>
        <v/>
      </c>
      <c r="M566" t="inlineStr">
        <is>
          <t>FINANCIAL</t>
        </is>
      </c>
      <c r="N566" t="inlineStr">
        <is>
          <t>FINANCIAL CREDITORS · row 12</t>
        </is>
      </c>
    </row>
    <row r="567">
      <c r="A567">
        <f>IF('FINANCIAL CREDITORS'!$A$13="","",'FINANCIAL CREDITORS'!$A$13)</f>
        <v/>
      </c>
      <c r="B567">
        <f>IF('FINANCIAL CREDITORS'!$C$13="","",'FINANCIAL CREDITORS'!$C$13)</f>
        <v/>
      </c>
      <c r="C567">
        <f>'FINANCIAL CREDITORS'!$U$13</f>
        <v/>
      </c>
      <c r="D567">
        <f>'FINANCIAL CREDITORS'!$Y$13</f>
        <v/>
      </c>
      <c r="E567">
        <f>'FINANCIAL CREDITORS'!$AC$13</f>
        <v/>
      </c>
      <c r="F567">
        <f>IF('FINANCIAL CREDITORS'!$V$13="","",'FINANCIAL CREDITORS'!$V$13)</f>
        <v/>
      </c>
      <c r="G567">
        <f>IF('FINANCIAL CREDITORS'!$D$13="","",'FINANCIAL CREDITORS'!$D$13)</f>
        <v/>
      </c>
      <c r="H567">
        <f>IF('FINANCIAL CREDITORS'!$G$13="","",'FINANCIAL CREDITORS'!$G$13)</f>
        <v/>
      </c>
      <c r="I567">
        <f>IF('FINANCIAL CREDITORS'!$AT$13="","",'FINANCIAL CREDITORS'!$AT$13)</f>
        <v/>
      </c>
      <c r="J567">
        <f>IF('FINANCIAL CREDITORS'!$AX$13="","",'FINANCIAL CREDITORS'!$AX$13)</f>
        <v/>
      </c>
      <c r="K567">
        <f>IF('FINANCIAL CREDITORS'!$N$13="","",'FINANCIAL CREDITORS'!$N$13)</f>
        <v/>
      </c>
      <c r="L567">
        <f>IF('FINANCIAL CREDITORS'!$AE$13="","",'FINANCIAL CREDITORS'!$AE$13)</f>
        <v/>
      </c>
      <c r="M567" t="inlineStr">
        <is>
          <t>FINANCIAL</t>
        </is>
      </c>
      <c r="N567" t="inlineStr">
        <is>
          <t>FINANCIAL CREDITORS · row 13</t>
        </is>
      </c>
    </row>
    <row r="568">
      <c r="A568">
        <f>IF('FINANCIAL CREDITORS'!$A$14="","",'FINANCIAL CREDITORS'!$A$14)</f>
        <v/>
      </c>
      <c r="B568">
        <f>IF('FINANCIAL CREDITORS'!$C$14="","",'FINANCIAL CREDITORS'!$C$14)</f>
        <v/>
      </c>
      <c r="C568">
        <f>'FINANCIAL CREDITORS'!$U$14</f>
        <v/>
      </c>
      <c r="D568">
        <f>'FINANCIAL CREDITORS'!$Y$14</f>
        <v/>
      </c>
      <c r="E568">
        <f>'FINANCIAL CREDITORS'!$AC$14</f>
        <v/>
      </c>
      <c r="F568">
        <f>IF('FINANCIAL CREDITORS'!$V$14="","",'FINANCIAL CREDITORS'!$V$14)</f>
        <v/>
      </c>
      <c r="G568">
        <f>IF('FINANCIAL CREDITORS'!$D$14="","",'FINANCIAL CREDITORS'!$D$14)</f>
        <v/>
      </c>
      <c r="H568">
        <f>IF('FINANCIAL CREDITORS'!$G$14="","",'FINANCIAL CREDITORS'!$G$14)</f>
        <v/>
      </c>
      <c r="I568">
        <f>IF('FINANCIAL CREDITORS'!$AT$14="","",'FINANCIAL CREDITORS'!$AT$14)</f>
        <v/>
      </c>
      <c r="J568">
        <f>IF('FINANCIAL CREDITORS'!$AX$14="","",'FINANCIAL CREDITORS'!$AX$14)</f>
        <v/>
      </c>
      <c r="K568">
        <f>IF('FINANCIAL CREDITORS'!$N$14="","",'FINANCIAL CREDITORS'!$N$14)</f>
        <v/>
      </c>
      <c r="L568">
        <f>IF('FINANCIAL CREDITORS'!$AE$14="","",'FINANCIAL CREDITORS'!$AE$14)</f>
        <v/>
      </c>
      <c r="M568" t="inlineStr">
        <is>
          <t>FINANCIAL</t>
        </is>
      </c>
      <c r="N568" t="inlineStr">
        <is>
          <t>FINANCIAL CREDITORS · row 14</t>
        </is>
      </c>
    </row>
    <row r="569">
      <c r="A569">
        <f>IF('FINANCIAL CREDITORS'!$A$15="","",'FINANCIAL CREDITORS'!$A$15)</f>
        <v/>
      </c>
      <c r="B569">
        <f>IF('FINANCIAL CREDITORS'!$C$15="","",'FINANCIAL CREDITORS'!$C$15)</f>
        <v/>
      </c>
      <c r="C569">
        <f>'FINANCIAL CREDITORS'!$U$15</f>
        <v/>
      </c>
      <c r="D569">
        <f>'FINANCIAL CREDITORS'!$Y$15</f>
        <v/>
      </c>
      <c r="E569">
        <f>'FINANCIAL CREDITORS'!$AC$15</f>
        <v/>
      </c>
      <c r="F569">
        <f>IF('FINANCIAL CREDITORS'!$V$15="","",'FINANCIAL CREDITORS'!$V$15)</f>
        <v/>
      </c>
      <c r="G569">
        <f>IF('FINANCIAL CREDITORS'!$D$15="","",'FINANCIAL CREDITORS'!$D$15)</f>
        <v/>
      </c>
      <c r="H569">
        <f>IF('FINANCIAL CREDITORS'!$G$15="","",'FINANCIAL CREDITORS'!$G$15)</f>
        <v/>
      </c>
      <c r="I569">
        <f>IF('FINANCIAL CREDITORS'!$AT$15="","",'FINANCIAL CREDITORS'!$AT$15)</f>
        <v/>
      </c>
      <c r="J569">
        <f>IF('FINANCIAL CREDITORS'!$AX$15="","",'FINANCIAL CREDITORS'!$AX$15)</f>
        <v/>
      </c>
      <c r="K569">
        <f>IF('FINANCIAL CREDITORS'!$N$15="","",'FINANCIAL CREDITORS'!$N$15)</f>
        <v/>
      </c>
      <c r="L569">
        <f>IF('FINANCIAL CREDITORS'!$AE$15="","",'FINANCIAL CREDITORS'!$AE$15)</f>
        <v/>
      </c>
      <c r="M569" t="inlineStr">
        <is>
          <t>FINANCIAL</t>
        </is>
      </c>
      <c r="N569" t="inlineStr">
        <is>
          <t>FINANCIAL CREDITORS · row 15</t>
        </is>
      </c>
    </row>
    <row r="570">
      <c r="A570">
        <f>IF('FINANCIAL CREDITORS'!$A$16="","",'FINANCIAL CREDITORS'!$A$16)</f>
        <v/>
      </c>
      <c r="B570">
        <f>IF('FINANCIAL CREDITORS'!$C$16="","",'FINANCIAL CREDITORS'!$C$16)</f>
        <v/>
      </c>
      <c r="C570">
        <f>'FINANCIAL CREDITORS'!$U$16</f>
        <v/>
      </c>
      <c r="D570">
        <f>'FINANCIAL CREDITORS'!$Y$16</f>
        <v/>
      </c>
      <c r="E570">
        <f>'FINANCIAL CREDITORS'!$AC$16</f>
        <v/>
      </c>
      <c r="F570">
        <f>IF('FINANCIAL CREDITORS'!$V$16="","",'FINANCIAL CREDITORS'!$V$16)</f>
        <v/>
      </c>
      <c r="G570">
        <f>IF('FINANCIAL CREDITORS'!$D$16="","",'FINANCIAL CREDITORS'!$D$16)</f>
        <v/>
      </c>
      <c r="H570">
        <f>IF('FINANCIAL CREDITORS'!$G$16="","",'FINANCIAL CREDITORS'!$G$16)</f>
        <v/>
      </c>
      <c r="I570">
        <f>IF('FINANCIAL CREDITORS'!$AT$16="","",'FINANCIAL CREDITORS'!$AT$16)</f>
        <v/>
      </c>
      <c r="J570">
        <f>IF('FINANCIAL CREDITORS'!$AX$16="","",'FINANCIAL CREDITORS'!$AX$16)</f>
        <v/>
      </c>
      <c r="K570">
        <f>IF('FINANCIAL CREDITORS'!$N$16="","",'FINANCIAL CREDITORS'!$N$16)</f>
        <v/>
      </c>
      <c r="L570">
        <f>IF('FINANCIAL CREDITORS'!$AE$16="","",'FINANCIAL CREDITORS'!$AE$16)</f>
        <v/>
      </c>
      <c r="M570" t="inlineStr">
        <is>
          <t>FINANCIAL</t>
        </is>
      </c>
      <c r="N570" t="inlineStr">
        <is>
          <t>FINANCIAL CREDITORS · row 16</t>
        </is>
      </c>
    </row>
    <row r="571">
      <c r="A571">
        <f>IF('FINANCIAL CREDITORS'!$A$17="","",'FINANCIAL CREDITORS'!$A$17)</f>
        <v/>
      </c>
      <c r="B571">
        <f>IF('FINANCIAL CREDITORS'!$C$17="","",'FINANCIAL CREDITORS'!$C$17)</f>
        <v/>
      </c>
      <c r="C571">
        <f>'FINANCIAL CREDITORS'!$U$17</f>
        <v/>
      </c>
      <c r="D571">
        <f>'FINANCIAL CREDITORS'!$Y$17</f>
        <v/>
      </c>
      <c r="E571">
        <f>'FINANCIAL CREDITORS'!$AC$17</f>
        <v/>
      </c>
      <c r="F571">
        <f>IF('FINANCIAL CREDITORS'!$V$17="","",'FINANCIAL CREDITORS'!$V$17)</f>
        <v/>
      </c>
      <c r="G571">
        <f>IF('FINANCIAL CREDITORS'!$D$17="","",'FINANCIAL CREDITORS'!$D$17)</f>
        <v/>
      </c>
      <c r="H571">
        <f>IF('FINANCIAL CREDITORS'!$G$17="","",'FINANCIAL CREDITORS'!$G$17)</f>
        <v/>
      </c>
      <c r="I571">
        <f>IF('FINANCIAL CREDITORS'!$AT$17="","",'FINANCIAL CREDITORS'!$AT$17)</f>
        <v/>
      </c>
      <c r="J571">
        <f>IF('FINANCIAL CREDITORS'!$AX$17="","",'FINANCIAL CREDITORS'!$AX$17)</f>
        <v/>
      </c>
      <c r="K571">
        <f>IF('FINANCIAL CREDITORS'!$N$17="","",'FINANCIAL CREDITORS'!$N$17)</f>
        <v/>
      </c>
      <c r="L571">
        <f>IF('FINANCIAL CREDITORS'!$AE$17="","",'FINANCIAL CREDITORS'!$AE$17)</f>
        <v/>
      </c>
      <c r="M571" t="inlineStr">
        <is>
          <t>FINANCIAL</t>
        </is>
      </c>
      <c r="N571" t="inlineStr">
        <is>
          <t>FINANCIAL CREDITORS · row 17</t>
        </is>
      </c>
    </row>
    <row r="572">
      <c r="A572">
        <f>IF('FINANCIAL CREDITORS'!$A$18="","",'FINANCIAL CREDITORS'!$A$18)</f>
        <v/>
      </c>
      <c r="B572">
        <f>IF('FINANCIAL CREDITORS'!$C$18="","",'FINANCIAL CREDITORS'!$C$18)</f>
        <v/>
      </c>
      <c r="C572">
        <f>'FINANCIAL CREDITORS'!$U$18</f>
        <v/>
      </c>
      <c r="D572">
        <f>'FINANCIAL CREDITORS'!$Y$18</f>
        <v/>
      </c>
      <c r="E572">
        <f>'FINANCIAL CREDITORS'!$AC$18</f>
        <v/>
      </c>
      <c r="F572">
        <f>IF('FINANCIAL CREDITORS'!$V$18="","",'FINANCIAL CREDITORS'!$V$18)</f>
        <v/>
      </c>
      <c r="G572">
        <f>IF('FINANCIAL CREDITORS'!$D$18="","",'FINANCIAL CREDITORS'!$D$18)</f>
        <v/>
      </c>
      <c r="H572">
        <f>IF('FINANCIAL CREDITORS'!$G$18="","",'FINANCIAL CREDITORS'!$G$18)</f>
        <v/>
      </c>
      <c r="I572">
        <f>IF('FINANCIAL CREDITORS'!$AT$18="","",'FINANCIAL CREDITORS'!$AT$18)</f>
        <v/>
      </c>
      <c r="J572">
        <f>IF('FINANCIAL CREDITORS'!$AX$18="","",'FINANCIAL CREDITORS'!$AX$18)</f>
        <v/>
      </c>
      <c r="K572">
        <f>IF('FINANCIAL CREDITORS'!$N$18="","",'FINANCIAL CREDITORS'!$N$18)</f>
        <v/>
      </c>
      <c r="L572">
        <f>IF('FINANCIAL CREDITORS'!$AE$18="","",'FINANCIAL CREDITORS'!$AE$18)</f>
        <v/>
      </c>
      <c r="M572" t="inlineStr">
        <is>
          <t>FINANCIAL</t>
        </is>
      </c>
      <c r="N572" t="inlineStr">
        <is>
          <t>FINANCIAL CREDITORS · row 18</t>
        </is>
      </c>
    </row>
    <row r="573">
      <c r="A573">
        <f>IF('FINANCIAL CREDITORS'!$A$19="","",'FINANCIAL CREDITORS'!$A$19)</f>
        <v/>
      </c>
      <c r="B573">
        <f>IF('FINANCIAL CREDITORS'!$C$19="","",'FINANCIAL CREDITORS'!$C$19)</f>
        <v/>
      </c>
      <c r="C573">
        <f>'FINANCIAL CREDITORS'!$U$19</f>
        <v/>
      </c>
      <c r="D573">
        <f>'FINANCIAL CREDITORS'!$Y$19</f>
        <v/>
      </c>
      <c r="E573">
        <f>'FINANCIAL CREDITORS'!$AC$19</f>
        <v/>
      </c>
      <c r="F573">
        <f>IF('FINANCIAL CREDITORS'!$V$19="","",'FINANCIAL CREDITORS'!$V$19)</f>
        <v/>
      </c>
      <c r="G573">
        <f>IF('FINANCIAL CREDITORS'!$D$19="","",'FINANCIAL CREDITORS'!$D$19)</f>
        <v/>
      </c>
      <c r="H573">
        <f>IF('FINANCIAL CREDITORS'!$G$19="","",'FINANCIAL CREDITORS'!$G$19)</f>
        <v/>
      </c>
      <c r="I573">
        <f>IF('FINANCIAL CREDITORS'!$AT$19="","",'FINANCIAL CREDITORS'!$AT$19)</f>
        <v/>
      </c>
      <c r="J573">
        <f>IF('FINANCIAL CREDITORS'!$AX$19="","",'FINANCIAL CREDITORS'!$AX$19)</f>
        <v/>
      </c>
      <c r="K573">
        <f>IF('FINANCIAL CREDITORS'!$N$19="","",'FINANCIAL CREDITORS'!$N$19)</f>
        <v/>
      </c>
      <c r="L573">
        <f>IF('FINANCIAL CREDITORS'!$AE$19="","",'FINANCIAL CREDITORS'!$AE$19)</f>
        <v/>
      </c>
      <c r="M573" t="inlineStr">
        <is>
          <t>FINANCIAL</t>
        </is>
      </c>
      <c r="N573" t="inlineStr">
        <is>
          <t>FINANCIAL CREDITORS · row 19</t>
        </is>
      </c>
    </row>
    <row r="574">
      <c r="A574">
        <f>IF('FINANCIAL CREDITORS'!$A$20="","",'FINANCIAL CREDITORS'!$A$20)</f>
        <v/>
      </c>
      <c r="B574">
        <f>IF('FINANCIAL CREDITORS'!$C$20="","",'FINANCIAL CREDITORS'!$C$20)</f>
        <v/>
      </c>
      <c r="C574">
        <f>'FINANCIAL CREDITORS'!$U$20</f>
        <v/>
      </c>
      <c r="D574">
        <f>'FINANCIAL CREDITORS'!$Y$20</f>
        <v/>
      </c>
      <c r="E574">
        <f>'FINANCIAL CREDITORS'!$AC$20</f>
        <v/>
      </c>
      <c r="F574">
        <f>IF('FINANCIAL CREDITORS'!$V$20="","",'FINANCIAL CREDITORS'!$V$20)</f>
        <v/>
      </c>
      <c r="G574">
        <f>IF('FINANCIAL CREDITORS'!$D$20="","",'FINANCIAL CREDITORS'!$D$20)</f>
        <v/>
      </c>
      <c r="H574">
        <f>IF('FINANCIAL CREDITORS'!$G$20="","",'FINANCIAL CREDITORS'!$G$20)</f>
        <v/>
      </c>
      <c r="I574">
        <f>IF('FINANCIAL CREDITORS'!$AT$20="","",'FINANCIAL CREDITORS'!$AT$20)</f>
        <v/>
      </c>
      <c r="J574">
        <f>IF('FINANCIAL CREDITORS'!$AX$20="","",'FINANCIAL CREDITORS'!$AX$20)</f>
        <v/>
      </c>
      <c r="K574">
        <f>IF('FINANCIAL CREDITORS'!$N$20="","",'FINANCIAL CREDITORS'!$N$20)</f>
        <v/>
      </c>
      <c r="L574">
        <f>IF('FINANCIAL CREDITORS'!$AE$20="","",'FINANCIAL CREDITORS'!$AE$20)</f>
        <v/>
      </c>
      <c r="M574" t="inlineStr">
        <is>
          <t>FINANCIAL</t>
        </is>
      </c>
      <c r="N574" t="inlineStr">
        <is>
          <t>FINANCIAL CREDITORS · row 20</t>
        </is>
      </c>
    </row>
    <row r="575">
      <c r="A575">
        <f>IF('FINANCIAL CREDITORS'!$A$21="","",'FINANCIAL CREDITORS'!$A$21)</f>
        <v/>
      </c>
      <c r="B575">
        <f>IF('FINANCIAL CREDITORS'!$C$21="","",'FINANCIAL CREDITORS'!$C$21)</f>
        <v/>
      </c>
      <c r="C575">
        <f>'FINANCIAL CREDITORS'!$U$21</f>
        <v/>
      </c>
      <c r="D575">
        <f>'FINANCIAL CREDITORS'!$Y$21</f>
        <v/>
      </c>
      <c r="E575">
        <f>'FINANCIAL CREDITORS'!$AC$21</f>
        <v/>
      </c>
      <c r="F575">
        <f>IF('FINANCIAL CREDITORS'!$V$21="","",'FINANCIAL CREDITORS'!$V$21)</f>
        <v/>
      </c>
      <c r="G575">
        <f>IF('FINANCIAL CREDITORS'!$D$21="","",'FINANCIAL CREDITORS'!$D$21)</f>
        <v/>
      </c>
      <c r="H575">
        <f>IF('FINANCIAL CREDITORS'!$G$21="","",'FINANCIAL CREDITORS'!$G$21)</f>
        <v/>
      </c>
      <c r="I575">
        <f>IF('FINANCIAL CREDITORS'!$AT$21="","",'FINANCIAL CREDITORS'!$AT$21)</f>
        <v/>
      </c>
      <c r="J575">
        <f>IF('FINANCIAL CREDITORS'!$AX$21="","",'FINANCIAL CREDITORS'!$AX$21)</f>
        <v/>
      </c>
      <c r="K575">
        <f>IF('FINANCIAL CREDITORS'!$N$21="","",'FINANCIAL CREDITORS'!$N$21)</f>
        <v/>
      </c>
      <c r="L575">
        <f>IF('FINANCIAL CREDITORS'!$AE$21="","",'FINANCIAL CREDITORS'!$AE$21)</f>
        <v/>
      </c>
      <c r="M575" t="inlineStr">
        <is>
          <t>FINANCIAL</t>
        </is>
      </c>
      <c r="N575" t="inlineStr">
        <is>
          <t>FINANCIAL CREDITORS · row 21</t>
        </is>
      </c>
    </row>
    <row r="576">
      <c r="A576">
        <f>IF('FINANCIAL CREDITORS'!$A$22="","",'FINANCIAL CREDITORS'!$A$22)</f>
        <v/>
      </c>
      <c r="B576">
        <f>IF('FINANCIAL CREDITORS'!$C$22="","",'FINANCIAL CREDITORS'!$C$22)</f>
        <v/>
      </c>
      <c r="C576">
        <f>'FINANCIAL CREDITORS'!$U$22</f>
        <v/>
      </c>
      <c r="D576">
        <f>'FINANCIAL CREDITORS'!$Y$22</f>
        <v/>
      </c>
      <c r="E576">
        <f>'FINANCIAL CREDITORS'!$AC$22</f>
        <v/>
      </c>
      <c r="F576">
        <f>IF('FINANCIAL CREDITORS'!$V$22="","",'FINANCIAL CREDITORS'!$V$22)</f>
        <v/>
      </c>
      <c r="G576">
        <f>IF('FINANCIAL CREDITORS'!$D$22="","",'FINANCIAL CREDITORS'!$D$22)</f>
        <v/>
      </c>
      <c r="H576">
        <f>IF('FINANCIAL CREDITORS'!$G$22="","",'FINANCIAL CREDITORS'!$G$22)</f>
        <v/>
      </c>
      <c r="I576">
        <f>IF('FINANCIAL CREDITORS'!$AT$22="","",'FINANCIAL CREDITORS'!$AT$22)</f>
        <v/>
      </c>
      <c r="J576">
        <f>IF('FINANCIAL CREDITORS'!$AX$22="","",'FINANCIAL CREDITORS'!$AX$22)</f>
        <v/>
      </c>
      <c r="K576">
        <f>IF('FINANCIAL CREDITORS'!$N$22="","",'FINANCIAL CREDITORS'!$N$22)</f>
        <v/>
      </c>
      <c r="L576">
        <f>IF('FINANCIAL CREDITORS'!$AE$22="","",'FINANCIAL CREDITORS'!$AE$22)</f>
        <v/>
      </c>
      <c r="M576" t="inlineStr">
        <is>
          <t>FINANCIAL</t>
        </is>
      </c>
      <c r="N576" t="inlineStr">
        <is>
          <t>FINANCIAL CREDITORS · row 22</t>
        </is>
      </c>
    </row>
    <row r="577">
      <c r="A577">
        <f>IF('FINANCIAL CREDITORS'!$A$23="","",'FINANCIAL CREDITORS'!$A$23)</f>
        <v/>
      </c>
      <c r="B577">
        <f>IF('FINANCIAL CREDITORS'!$C$23="","",'FINANCIAL CREDITORS'!$C$23)</f>
        <v/>
      </c>
      <c r="C577">
        <f>'FINANCIAL CREDITORS'!$U$23</f>
        <v/>
      </c>
      <c r="D577">
        <f>'FINANCIAL CREDITORS'!$Y$23</f>
        <v/>
      </c>
      <c r="E577">
        <f>'FINANCIAL CREDITORS'!$AC$23</f>
        <v/>
      </c>
      <c r="F577">
        <f>IF('FINANCIAL CREDITORS'!$V$23="","",'FINANCIAL CREDITORS'!$V$23)</f>
        <v/>
      </c>
      <c r="G577">
        <f>IF('FINANCIAL CREDITORS'!$D$23="","",'FINANCIAL CREDITORS'!$D$23)</f>
        <v/>
      </c>
      <c r="H577">
        <f>IF('FINANCIAL CREDITORS'!$G$23="","",'FINANCIAL CREDITORS'!$G$23)</f>
        <v/>
      </c>
      <c r="I577">
        <f>IF('FINANCIAL CREDITORS'!$AT$23="","",'FINANCIAL CREDITORS'!$AT$23)</f>
        <v/>
      </c>
      <c r="J577">
        <f>IF('FINANCIAL CREDITORS'!$AX$23="","",'FINANCIAL CREDITORS'!$AX$23)</f>
        <v/>
      </c>
      <c r="K577">
        <f>IF('FINANCIAL CREDITORS'!$N$23="","",'FINANCIAL CREDITORS'!$N$23)</f>
        <v/>
      </c>
      <c r="L577">
        <f>IF('FINANCIAL CREDITORS'!$AE$23="","",'FINANCIAL CREDITORS'!$AE$23)</f>
        <v/>
      </c>
      <c r="M577" t="inlineStr">
        <is>
          <t>FINANCIAL</t>
        </is>
      </c>
      <c r="N577" t="inlineStr">
        <is>
          <t>FINANCIAL CREDITORS · row 23</t>
        </is>
      </c>
    </row>
    <row r="578">
      <c r="A578">
        <f>IF('FINANCIAL CREDITORS'!$A$24="","",'FINANCIAL CREDITORS'!$A$24)</f>
        <v/>
      </c>
      <c r="B578">
        <f>IF('FINANCIAL CREDITORS'!$C$24="","",'FINANCIAL CREDITORS'!$C$24)</f>
        <v/>
      </c>
      <c r="C578">
        <f>'FINANCIAL CREDITORS'!$U$24</f>
        <v/>
      </c>
      <c r="D578">
        <f>'FINANCIAL CREDITORS'!$Y$24</f>
        <v/>
      </c>
      <c r="E578">
        <f>'FINANCIAL CREDITORS'!$AC$24</f>
        <v/>
      </c>
      <c r="F578">
        <f>IF('FINANCIAL CREDITORS'!$V$24="","",'FINANCIAL CREDITORS'!$V$24)</f>
        <v/>
      </c>
      <c r="G578">
        <f>IF('FINANCIAL CREDITORS'!$D$24="","",'FINANCIAL CREDITORS'!$D$24)</f>
        <v/>
      </c>
      <c r="H578">
        <f>IF('FINANCIAL CREDITORS'!$G$24="","",'FINANCIAL CREDITORS'!$G$24)</f>
        <v/>
      </c>
      <c r="I578">
        <f>IF('FINANCIAL CREDITORS'!$AT$24="","",'FINANCIAL CREDITORS'!$AT$24)</f>
        <v/>
      </c>
      <c r="J578">
        <f>IF('FINANCIAL CREDITORS'!$AX$24="","",'FINANCIAL CREDITORS'!$AX$24)</f>
        <v/>
      </c>
      <c r="K578">
        <f>IF('FINANCIAL CREDITORS'!$N$24="","",'FINANCIAL CREDITORS'!$N$24)</f>
        <v/>
      </c>
      <c r="L578">
        <f>IF('FINANCIAL CREDITORS'!$AE$24="","",'FINANCIAL CREDITORS'!$AE$24)</f>
        <v/>
      </c>
      <c r="M578" t="inlineStr">
        <is>
          <t>FINANCIAL</t>
        </is>
      </c>
      <c r="N578" t="inlineStr">
        <is>
          <t>FINANCIAL CREDITORS · row 24</t>
        </is>
      </c>
    </row>
    <row r="579">
      <c r="A579">
        <f>IF('FINANCIAL CREDITORS'!$A$25="","",'FINANCIAL CREDITORS'!$A$25)</f>
        <v/>
      </c>
      <c r="B579">
        <f>IF('FINANCIAL CREDITORS'!$C$25="","",'FINANCIAL CREDITORS'!$C$25)</f>
        <v/>
      </c>
      <c r="C579">
        <f>'FINANCIAL CREDITORS'!$U$25</f>
        <v/>
      </c>
      <c r="D579">
        <f>'FINANCIAL CREDITORS'!$Y$25</f>
        <v/>
      </c>
      <c r="E579">
        <f>'FINANCIAL CREDITORS'!$AC$25</f>
        <v/>
      </c>
      <c r="F579">
        <f>IF('FINANCIAL CREDITORS'!$V$25="","",'FINANCIAL CREDITORS'!$V$25)</f>
        <v/>
      </c>
      <c r="G579">
        <f>IF('FINANCIAL CREDITORS'!$D$25="","",'FINANCIAL CREDITORS'!$D$25)</f>
        <v/>
      </c>
      <c r="H579">
        <f>IF('FINANCIAL CREDITORS'!$G$25="","",'FINANCIAL CREDITORS'!$G$25)</f>
        <v/>
      </c>
      <c r="I579">
        <f>IF('FINANCIAL CREDITORS'!$AT$25="","",'FINANCIAL CREDITORS'!$AT$25)</f>
        <v/>
      </c>
      <c r="J579">
        <f>IF('FINANCIAL CREDITORS'!$AX$25="","",'FINANCIAL CREDITORS'!$AX$25)</f>
        <v/>
      </c>
      <c r="K579">
        <f>IF('FINANCIAL CREDITORS'!$N$25="","",'FINANCIAL CREDITORS'!$N$25)</f>
        <v/>
      </c>
      <c r="L579">
        <f>IF('FINANCIAL CREDITORS'!$AE$25="","",'FINANCIAL CREDITORS'!$AE$25)</f>
        <v/>
      </c>
      <c r="M579" t="inlineStr">
        <is>
          <t>FINANCIAL</t>
        </is>
      </c>
      <c r="N579" t="inlineStr">
        <is>
          <t>FINANCIAL CREDITORS · row 25</t>
        </is>
      </c>
    </row>
    <row r="580">
      <c r="A580">
        <f>IF('FINANCIAL CREDITORS'!$A$26="","",'FINANCIAL CREDITORS'!$A$26)</f>
        <v/>
      </c>
      <c r="B580">
        <f>IF('FINANCIAL CREDITORS'!$C$26="","",'FINANCIAL CREDITORS'!$C$26)</f>
        <v/>
      </c>
      <c r="C580">
        <f>'FINANCIAL CREDITORS'!$U$26</f>
        <v/>
      </c>
      <c r="D580">
        <f>'FINANCIAL CREDITORS'!$Y$26</f>
        <v/>
      </c>
      <c r="E580">
        <f>'FINANCIAL CREDITORS'!$AC$26</f>
        <v/>
      </c>
      <c r="F580">
        <f>IF('FINANCIAL CREDITORS'!$V$26="","",'FINANCIAL CREDITORS'!$V$26)</f>
        <v/>
      </c>
      <c r="G580">
        <f>IF('FINANCIAL CREDITORS'!$D$26="","",'FINANCIAL CREDITORS'!$D$26)</f>
        <v/>
      </c>
      <c r="H580">
        <f>IF('FINANCIAL CREDITORS'!$G$26="","",'FINANCIAL CREDITORS'!$G$26)</f>
        <v/>
      </c>
      <c r="I580">
        <f>IF('FINANCIAL CREDITORS'!$AT$26="","",'FINANCIAL CREDITORS'!$AT$26)</f>
        <v/>
      </c>
      <c r="J580">
        <f>IF('FINANCIAL CREDITORS'!$AX$26="","",'FINANCIAL CREDITORS'!$AX$26)</f>
        <v/>
      </c>
      <c r="K580">
        <f>IF('FINANCIAL CREDITORS'!$N$26="","",'FINANCIAL CREDITORS'!$N$26)</f>
        <v/>
      </c>
      <c r="L580">
        <f>IF('FINANCIAL CREDITORS'!$AE$26="","",'FINANCIAL CREDITORS'!$AE$26)</f>
        <v/>
      </c>
      <c r="M580" t="inlineStr">
        <is>
          <t>FINANCIAL</t>
        </is>
      </c>
      <c r="N580" t="inlineStr">
        <is>
          <t>FINANCIAL CREDITORS · row 26</t>
        </is>
      </c>
    </row>
    <row r="581">
      <c r="A581">
        <f>IF('FINANCIAL CREDITORS'!$A$27="","",'FINANCIAL CREDITORS'!$A$27)</f>
        <v/>
      </c>
      <c r="B581">
        <f>IF('FINANCIAL CREDITORS'!$C$27="","",'FINANCIAL CREDITORS'!$C$27)</f>
        <v/>
      </c>
      <c r="C581">
        <f>'FINANCIAL CREDITORS'!$U$27</f>
        <v/>
      </c>
      <c r="D581">
        <f>'FINANCIAL CREDITORS'!$Y$27</f>
        <v/>
      </c>
      <c r="E581">
        <f>'FINANCIAL CREDITORS'!$AC$27</f>
        <v/>
      </c>
      <c r="F581">
        <f>IF('FINANCIAL CREDITORS'!$V$27="","",'FINANCIAL CREDITORS'!$V$27)</f>
        <v/>
      </c>
      <c r="G581">
        <f>IF('FINANCIAL CREDITORS'!$D$27="","",'FINANCIAL CREDITORS'!$D$27)</f>
        <v/>
      </c>
      <c r="H581">
        <f>IF('FINANCIAL CREDITORS'!$G$27="","",'FINANCIAL CREDITORS'!$G$27)</f>
        <v/>
      </c>
      <c r="I581">
        <f>IF('FINANCIAL CREDITORS'!$AT$27="","",'FINANCIAL CREDITORS'!$AT$27)</f>
        <v/>
      </c>
      <c r="J581">
        <f>IF('FINANCIAL CREDITORS'!$AX$27="","",'FINANCIAL CREDITORS'!$AX$27)</f>
        <v/>
      </c>
      <c r="K581">
        <f>IF('FINANCIAL CREDITORS'!$N$27="","",'FINANCIAL CREDITORS'!$N$27)</f>
        <v/>
      </c>
      <c r="L581">
        <f>IF('FINANCIAL CREDITORS'!$AE$27="","",'FINANCIAL CREDITORS'!$AE$27)</f>
        <v/>
      </c>
      <c r="M581" t="inlineStr">
        <is>
          <t>FINANCIAL</t>
        </is>
      </c>
      <c r="N581" t="inlineStr">
        <is>
          <t>FINANCIAL CREDITORS · row 27</t>
        </is>
      </c>
    </row>
    <row r="582">
      <c r="A582">
        <f>IF('FINANCIAL CREDITORS'!$A$28="","",'FINANCIAL CREDITORS'!$A$28)</f>
        <v/>
      </c>
      <c r="B582">
        <f>IF('FINANCIAL CREDITORS'!$C$28="","",'FINANCIAL CREDITORS'!$C$28)</f>
        <v/>
      </c>
      <c r="C582">
        <f>'FINANCIAL CREDITORS'!$U$28</f>
        <v/>
      </c>
      <c r="D582">
        <f>'FINANCIAL CREDITORS'!$Y$28</f>
        <v/>
      </c>
      <c r="E582">
        <f>'FINANCIAL CREDITORS'!$AC$28</f>
        <v/>
      </c>
      <c r="F582">
        <f>IF('FINANCIAL CREDITORS'!$V$28="","",'FINANCIAL CREDITORS'!$V$28)</f>
        <v/>
      </c>
      <c r="G582">
        <f>IF('FINANCIAL CREDITORS'!$D$28="","",'FINANCIAL CREDITORS'!$D$28)</f>
        <v/>
      </c>
      <c r="H582">
        <f>IF('FINANCIAL CREDITORS'!$G$28="","",'FINANCIAL CREDITORS'!$G$28)</f>
        <v/>
      </c>
      <c r="I582">
        <f>IF('FINANCIAL CREDITORS'!$AT$28="","",'FINANCIAL CREDITORS'!$AT$28)</f>
        <v/>
      </c>
      <c r="J582">
        <f>IF('FINANCIAL CREDITORS'!$AX$28="","",'FINANCIAL CREDITORS'!$AX$28)</f>
        <v/>
      </c>
      <c r="K582">
        <f>IF('FINANCIAL CREDITORS'!$N$28="","",'FINANCIAL CREDITORS'!$N$28)</f>
        <v/>
      </c>
      <c r="L582">
        <f>IF('FINANCIAL CREDITORS'!$AE$28="","",'FINANCIAL CREDITORS'!$AE$28)</f>
        <v/>
      </c>
      <c r="M582" t="inlineStr">
        <is>
          <t>FINANCIAL</t>
        </is>
      </c>
      <c r="N582" t="inlineStr">
        <is>
          <t>FINANCIAL CREDITORS · row 28</t>
        </is>
      </c>
    </row>
    <row r="583">
      <c r="A583">
        <f>IF('FINANCIAL CREDITORS'!$A$29="","",'FINANCIAL CREDITORS'!$A$29)</f>
        <v/>
      </c>
      <c r="B583">
        <f>IF('FINANCIAL CREDITORS'!$C$29="","",'FINANCIAL CREDITORS'!$C$29)</f>
        <v/>
      </c>
      <c r="C583">
        <f>'FINANCIAL CREDITORS'!$U$29</f>
        <v/>
      </c>
      <c r="D583">
        <f>'FINANCIAL CREDITORS'!$Y$29</f>
        <v/>
      </c>
      <c r="E583">
        <f>'FINANCIAL CREDITORS'!$AC$29</f>
        <v/>
      </c>
      <c r="F583">
        <f>IF('FINANCIAL CREDITORS'!$V$29="","",'FINANCIAL CREDITORS'!$V$29)</f>
        <v/>
      </c>
      <c r="G583">
        <f>IF('FINANCIAL CREDITORS'!$D$29="","",'FINANCIAL CREDITORS'!$D$29)</f>
        <v/>
      </c>
      <c r="H583">
        <f>IF('FINANCIAL CREDITORS'!$G$29="","",'FINANCIAL CREDITORS'!$G$29)</f>
        <v/>
      </c>
      <c r="I583">
        <f>IF('FINANCIAL CREDITORS'!$AT$29="","",'FINANCIAL CREDITORS'!$AT$29)</f>
        <v/>
      </c>
      <c r="J583">
        <f>IF('FINANCIAL CREDITORS'!$AX$29="","",'FINANCIAL CREDITORS'!$AX$29)</f>
        <v/>
      </c>
      <c r="K583">
        <f>IF('FINANCIAL CREDITORS'!$N$29="","",'FINANCIAL CREDITORS'!$N$29)</f>
        <v/>
      </c>
      <c r="L583">
        <f>IF('FINANCIAL CREDITORS'!$AE$29="","",'FINANCIAL CREDITORS'!$AE$29)</f>
        <v/>
      </c>
      <c r="M583" t="inlineStr">
        <is>
          <t>FINANCIAL</t>
        </is>
      </c>
      <c r="N583" t="inlineStr">
        <is>
          <t>FINANCIAL CREDITORS · row 29</t>
        </is>
      </c>
    </row>
    <row r="584">
      <c r="A584">
        <f>IF('FINANCIAL CREDITORS'!$A$30="","",'FINANCIAL CREDITORS'!$A$30)</f>
        <v/>
      </c>
      <c r="B584">
        <f>IF('FINANCIAL CREDITORS'!$C$30="","",'FINANCIAL CREDITORS'!$C$30)</f>
        <v/>
      </c>
      <c r="C584">
        <f>'FINANCIAL CREDITORS'!$U$30</f>
        <v/>
      </c>
      <c r="D584">
        <f>'FINANCIAL CREDITORS'!$Y$30</f>
        <v/>
      </c>
      <c r="E584">
        <f>'FINANCIAL CREDITORS'!$AC$30</f>
        <v/>
      </c>
      <c r="F584">
        <f>IF('FINANCIAL CREDITORS'!$V$30="","",'FINANCIAL CREDITORS'!$V$30)</f>
        <v/>
      </c>
      <c r="G584">
        <f>IF('FINANCIAL CREDITORS'!$D$30="","",'FINANCIAL CREDITORS'!$D$30)</f>
        <v/>
      </c>
      <c r="H584">
        <f>IF('FINANCIAL CREDITORS'!$G$30="","",'FINANCIAL CREDITORS'!$G$30)</f>
        <v/>
      </c>
      <c r="I584">
        <f>IF('FINANCIAL CREDITORS'!$AT$30="","",'FINANCIAL CREDITORS'!$AT$30)</f>
        <v/>
      </c>
      <c r="J584">
        <f>IF('FINANCIAL CREDITORS'!$AX$30="","",'FINANCIAL CREDITORS'!$AX$30)</f>
        <v/>
      </c>
      <c r="K584">
        <f>IF('FINANCIAL CREDITORS'!$N$30="","",'FINANCIAL CREDITORS'!$N$30)</f>
        <v/>
      </c>
      <c r="L584">
        <f>IF('FINANCIAL CREDITORS'!$AE$30="","",'FINANCIAL CREDITORS'!$AE$30)</f>
        <v/>
      </c>
      <c r="M584" t="inlineStr">
        <is>
          <t>FINANCIAL</t>
        </is>
      </c>
      <c r="N584" t="inlineStr">
        <is>
          <t>FINANCIAL CREDITORS · row 30</t>
        </is>
      </c>
    </row>
    <row r="585">
      <c r="A585">
        <f>IF('FINANCIAL CREDITORS'!$A$31="","",'FINANCIAL CREDITORS'!$A$31)</f>
        <v/>
      </c>
      <c r="B585">
        <f>IF('FINANCIAL CREDITORS'!$C$31="","",'FINANCIAL CREDITORS'!$C$31)</f>
        <v/>
      </c>
      <c r="C585">
        <f>'FINANCIAL CREDITORS'!$U$31</f>
        <v/>
      </c>
      <c r="D585">
        <f>'FINANCIAL CREDITORS'!$Y$31</f>
        <v/>
      </c>
      <c r="E585">
        <f>'FINANCIAL CREDITORS'!$AC$31</f>
        <v/>
      </c>
      <c r="F585">
        <f>IF('FINANCIAL CREDITORS'!$V$31="","",'FINANCIAL CREDITORS'!$V$31)</f>
        <v/>
      </c>
      <c r="G585">
        <f>IF('FINANCIAL CREDITORS'!$D$31="","",'FINANCIAL CREDITORS'!$D$31)</f>
        <v/>
      </c>
      <c r="H585">
        <f>IF('FINANCIAL CREDITORS'!$G$31="","",'FINANCIAL CREDITORS'!$G$31)</f>
        <v/>
      </c>
      <c r="I585">
        <f>IF('FINANCIAL CREDITORS'!$AT$31="","",'FINANCIAL CREDITORS'!$AT$31)</f>
        <v/>
      </c>
      <c r="J585">
        <f>IF('FINANCIAL CREDITORS'!$AX$31="","",'FINANCIAL CREDITORS'!$AX$31)</f>
        <v/>
      </c>
      <c r="K585">
        <f>IF('FINANCIAL CREDITORS'!$N$31="","",'FINANCIAL CREDITORS'!$N$31)</f>
        <v/>
      </c>
      <c r="L585">
        <f>IF('FINANCIAL CREDITORS'!$AE$31="","",'FINANCIAL CREDITORS'!$AE$31)</f>
        <v/>
      </c>
      <c r="M585" t="inlineStr">
        <is>
          <t>FINANCIAL</t>
        </is>
      </c>
      <c r="N585" t="inlineStr">
        <is>
          <t>FINANCIAL CREDITORS · row 31</t>
        </is>
      </c>
    </row>
    <row r="586">
      <c r="A586">
        <f>IF('FINANCIAL CREDITORS'!$A$32="","",'FINANCIAL CREDITORS'!$A$32)</f>
        <v/>
      </c>
      <c r="B586">
        <f>IF('FINANCIAL CREDITORS'!$C$32="","",'FINANCIAL CREDITORS'!$C$32)</f>
        <v/>
      </c>
      <c r="C586">
        <f>'FINANCIAL CREDITORS'!$U$32</f>
        <v/>
      </c>
      <c r="D586">
        <f>'FINANCIAL CREDITORS'!$Y$32</f>
        <v/>
      </c>
      <c r="E586">
        <f>'FINANCIAL CREDITORS'!$AC$32</f>
        <v/>
      </c>
      <c r="F586">
        <f>IF('FINANCIAL CREDITORS'!$V$32="","",'FINANCIAL CREDITORS'!$V$32)</f>
        <v/>
      </c>
      <c r="G586">
        <f>IF('FINANCIAL CREDITORS'!$D$32="","",'FINANCIAL CREDITORS'!$D$32)</f>
        <v/>
      </c>
      <c r="H586">
        <f>IF('FINANCIAL CREDITORS'!$G$32="","",'FINANCIAL CREDITORS'!$G$32)</f>
        <v/>
      </c>
      <c r="I586">
        <f>IF('FINANCIAL CREDITORS'!$AT$32="","",'FINANCIAL CREDITORS'!$AT$32)</f>
        <v/>
      </c>
      <c r="J586">
        <f>IF('FINANCIAL CREDITORS'!$AX$32="","",'FINANCIAL CREDITORS'!$AX$32)</f>
        <v/>
      </c>
      <c r="K586">
        <f>IF('FINANCIAL CREDITORS'!$N$32="","",'FINANCIAL CREDITORS'!$N$32)</f>
        <v/>
      </c>
      <c r="L586">
        <f>IF('FINANCIAL CREDITORS'!$AE$32="","",'FINANCIAL CREDITORS'!$AE$32)</f>
        <v/>
      </c>
      <c r="M586" t="inlineStr">
        <is>
          <t>FINANCIAL</t>
        </is>
      </c>
      <c r="N586" t="inlineStr">
        <is>
          <t>FINANCIAL CREDITORS · row 32</t>
        </is>
      </c>
    </row>
    <row r="587">
      <c r="A587">
        <f>IF('FINANCIAL CREDITORS'!$A$33="","",'FINANCIAL CREDITORS'!$A$33)</f>
        <v/>
      </c>
      <c r="B587">
        <f>IF('FINANCIAL CREDITORS'!$C$33="","",'FINANCIAL CREDITORS'!$C$33)</f>
        <v/>
      </c>
      <c r="C587">
        <f>'FINANCIAL CREDITORS'!$U$33</f>
        <v/>
      </c>
      <c r="D587">
        <f>'FINANCIAL CREDITORS'!$Y$33</f>
        <v/>
      </c>
      <c r="E587">
        <f>'FINANCIAL CREDITORS'!$AC$33</f>
        <v/>
      </c>
      <c r="F587">
        <f>IF('FINANCIAL CREDITORS'!$V$33="","",'FINANCIAL CREDITORS'!$V$33)</f>
        <v/>
      </c>
      <c r="G587">
        <f>IF('FINANCIAL CREDITORS'!$D$33="","",'FINANCIAL CREDITORS'!$D$33)</f>
        <v/>
      </c>
      <c r="H587">
        <f>IF('FINANCIAL CREDITORS'!$G$33="","",'FINANCIAL CREDITORS'!$G$33)</f>
        <v/>
      </c>
      <c r="I587">
        <f>IF('FINANCIAL CREDITORS'!$AT$33="","",'FINANCIAL CREDITORS'!$AT$33)</f>
        <v/>
      </c>
      <c r="J587">
        <f>IF('FINANCIAL CREDITORS'!$AX$33="","",'FINANCIAL CREDITORS'!$AX$33)</f>
        <v/>
      </c>
      <c r="K587">
        <f>IF('FINANCIAL CREDITORS'!$N$33="","",'FINANCIAL CREDITORS'!$N$33)</f>
        <v/>
      </c>
      <c r="L587">
        <f>IF('FINANCIAL CREDITORS'!$AE$33="","",'FINANCIAL CREDITORS'!$AE$33)</f>
        <v/>
      </c>
      <c r="M587" t="inlineStr">
        <is>
          <t>FINANCIAL</t>
        </is>
      </c>
      <c r="N587" t="inlineStr">
        <is>
          <t>FINANCIAL CREDITORS · row 33</t>
        </is>
      </c>
    </row>
    <row r="588">
      <c r="A588">
        <f>IF('FINANCIAL CREDITORS'!$A$34="","",'FINANCIAL CREDITORS'!$A$34)</f>
        <v/>
      </c>
      <c r="B588">
        <f>IF('FINANCIAL CREDITORS'!$C$34="","",'FINANCIAL CREDITORS'!$C$34)</f>
        <v/>
      </c>
      <c r="C588">
        <f>'FINANCIAL CREDITORS'!$U$34</f>
        <v/>
      </c>
      <c r="D588">
        <f>'FINANCIAL CREDITORS'!$Y$34</f>
        <v/>
      </c>
      <c r="E588">
        <f>'FINANCIAL CREDITORS'!$AC$34</f>
        <v/>
      </c>
      <c r="F588">
        <f>IF('FINANCIAL CREDITORS'!$V$34="","",'FINANCIAL CREDITORS'!$V$34)</f>
        <v/>
      </c>
      <c r="G588">
        <f>IF('FINANCIAL CREDITORS'!$D$34="","",'FINANCIAL CREDITORS'!$D$34)</f>
        <v/>
      </c>
      <c r="H588">
        <f>IF('FINANCIAL CREDITORS'!$G$34="","",'FINANCIAL CREDITORS'!$G$34)</f>
        <v/>
      </c>
      <c r="I588">
        <f>IF('FINANCIAL CREDITORS'!$AT$34="","",'FINANCIAL CREDITORS'!$AT$34)</f>
        <v/>
      </c>
      <c r="J588">
        <f>IF('FINANCIAL CREDITORS'!$AX$34="","",'FINANCIAL CREDITORS'!$AX$34)</f>
        <v/>
      </c>
      <c r="K588">
        <f>IF('FINANCIAL CREDITORS'!$N$34="","",'FINANCIAL CREDITORS'!$N$34)</f>
        <v/>
      </c>
      <c r="L588">
        <f>IF('FINANCIAL CREDITORS'!$AE$34="","",'FINANCIAL CREDITORS'!$AE$34)</f>
        <v/>
      </c>
      <c r="M588" t="inlineStr">
        <is>
          <t>FINANCIAL</t>
        </is>
      </c>
      <c r="N588" t="inlineStr">
        <is>
          <t>FINANCIAL CREDITORS · row 34</t>
        </is>
      </c>
    </row>
    <row r="589">
      <c r="A589">
        <f>IF('FINANCIAL CREDITORS'!$A$35="","",'FINANCIAL CREDITORS'!$A$35)</f>
        <v/>
      </c>
      <c r="B589">
        <f>IF('FINANCIAL CREDITORS'!$C$35="","",'FINANCIAL CREDITORS'!$C$35)</f>
        <v/>
      </c>
      <c r="C589">
        <f>'FINANCIAL CREDITORS'!$U$35</f>
        <v/>
      </c>
      <c r="D589">
        <f>'FINANCIAL CREDITORS'!$Y$35</f>
        <v/>
      </c>
      <c r="E589">
        <f>'FINANCIAL CREDITORS'!$AC$35</f>
        <v/>
      </c>
      <c r="F589">
        <f>IF('FINANCIAL CREDITORS'!$V$35="","",'FINANCIAL CREDITORS'!$V$35)</f>
        <v/>
      </c>
      <c r="G589">
        <f>IF('FINANCIAL CREDITORS'!$D$35="","",'FINANCIAL CREDITORS'!$D$35)</f>
        <v/>
      </c>
      <c r="H589">
        <f>IF('FINANCIAL CREDITORS'!$G$35="","",'FINANCIAL CREDITORS'!$G$35)</f>
        <v/>
      </c>
      <c r="I589">
        <f>IF('FINANCIAL CREDITORS'!$AT$35="","",'FINANCIAL CREDITORS'!$AT$35)</f>
        <v/>
      </c>
      <c r="J589">
        <f>IF('FINANCIAL CREDITORS'!$AX$35="","",'FINANCIAL CREDITORS'!$AX$35)</f>
        <v/>
      </c>
      <c r="K589">
        <f>IF('FINANCIAL CREDITORS'!$N$35="","",'FINANCIAL CREDITORS'!$N$35)</f>
        <v/>
      </c>
      <c r="L589">
        <f>IF('FINANCIAL CREDITORS'!$AE$35="","",'FINANCIAL CREDITORS'!$AE$35)</f>
        <v/>
      </c>
      <c r="M589" t="inlineStr">
        <is>
          <t>FINANCIAL</t>
        </is>
      </c>
      <c r="N589" t="inlineStr">
        <is>
          <t>FINANCIAL CREDITORS · row 35</t>
        </is>
      </c>
    </row>
    <row r="590">
      <c r="A590">
        <f>IF('FINANCIAL CREDITORS'!$A$36="","",'FINANCIAL CREDITORS'!$A$36)</f>
        <v/>
      </c>
      <c r="B590">
        <f>IF('FINANCIAL CREDITORS'!$C$36="","",'FINANCIAL CREDITORS'!$C$36)</f>
        <v/>
      </c>
      <c r="C590">
        <f>'FINANCIAL CREDITORS'!$U$36</f>
        <v/>
      </c>
      <c r="D590">
        <f>'FINANCIAL CREDITORS'!$Y$36</f>
        <v/>
      </c>
      <c r="E590">
        <f>'FINANCIAL CREDITORS'!$AC$36</f>
        <v/>
      </c>
      <c r="F590">
        <f>IF('FINANCIAL CREDITORS'!$V$36="","",'FINANCIAL CREDITORS'!$V$36)</f>
        <v/>
      </c>
      <c r="G590">
        <f>IF('FINANCIAL CREDITORS'!$D$36="","",'FINANCIAL CREDITORS'!$D$36)</f>
        <v/>
      </c>
      <c r="H590">
        <f>IF('FINANCIAL CREDITORS'!$G$36="","",'FINANCIAL CREDITORS'!$G$36)</f>
        <v/>
      </c>
      <c r="I590">
        <f>IF('FINANCIAL CREDITORS'!$AT$36="","",'FINANCIAL CREDITORS'!$AT$36)</f>
        <v/>
      </c>
      <c r="J590">
        <f>IF('FINANCIAL CREDITORS'!$AX$36="","",'FINANCIAL CREDITORS'!$AX$36)</f>
        <v/>
      </c>
      <c r="K590">
        <f>IF('FINANCIAL CREDITORS'!$N$36="","",'FINANCIAL CREDITORS'!$N$36)</f>
        <v/>
      </c>
      <c r="L590">
        <f>IF('FINANCIAL CREDITORS'!$AE$36="","",'FINANCIAL CREDITORS'!$AE$36)</f>
        <v/>
      </c>
      <c r="M590" t="inlineStr">
        <is>
          <t>FINANCIAL</t>
        </is>
      </c>
      <c r="N590" t="inlineStr">
        <is>
          <t>FINANCIAL CREDITORS · row 36</t>
        </is>
      </c>
    </row>
    <row r="591">
      <c r="A591">
        <f>IF('FINANCIAL CREDITORS'!$A$37="","",'FINANCIAL CREDITORS'!$A$37)</f>
        <v/>
      </c>
      <c r="B591">
        <f>IF('FINANCIAL CREDITORS'!$C$37="","",'FINANCIAL CREDITORS'!$C$37)</f>
        <v/>
      </c>
      <c r="C591">
        <f>'FINANCIAL CREDITORS'!$U$37</f>
        <v/>
      </c>
      <c r="D591">
        <f>'FINANCIAL CREDITORS'!$Y$37</f>
        <v/>
      </c>
      <c r="E591">
        <f>'FINANCIAL CREDITORS'!$AC$37</f>
        <v/>
      </c>
      <c r="F591">
        <f>IF('FINANCIAL CREDITORS'!$V$37="","",'FINANCIAL CREDITORS'!$V$37)</f>
        <v/>
      </c>
      <c r="G591">
        <f>IF('FINANCIAL CREDITORS'!$D$37="","",'FINANCIAL CREDITORS'!$D$37)</f>
        <v/>
      </c>
      <c r="H591">
        <f>IF('FINANCIAL CREDITORS'!$G$37="","",'FINANCIAL CREDITORS'!$G$37)</f>
        <v/>
      </c>
      <c r="I591">
        <f>IF('FINANCIAL CREDITORS'!$AT$37="","",'FINANCIAL CREDITORS'!$AT$37)</f>
        <v/>
      </c>
      <c r="J591">
        <f>IF('FINANCIAL CREDITORS'!$AX$37="","",'FINANCIAL CREDITORS'!$AX$37)</f>
        <v/>
      </c>
      <c r="K591">
        <f>IF('FINANCIAL CREDITORS'!$N$37="","",'FINANCIAL CREDITORS'!$N$37)</f>
        <v/>
      </c>
      <c r="L591">
        <f>IF('FINANCIAL CREDITORS'!$AE$37="","",'FINANCIAL CREDITORS'!$AE$37)</f>
        <v/>
      </c>
      <c r="M591" t="inlineStr">
        <is>
          <t>FINANCIAL</t>
        </is>
      </c>
      <c r="N591" t="inlineStr">
        <is>
          <t>FINANCIAL CREDITORS · row 37</t>
        </is>
      </c>
    </row>
    <row r="592">
      <c r="A592">
        <f>IF('FINANCIAL CREDITORS'!$A$38="","",'FINANCIAL CREDITORS'!$A$38)</f>
        <v/>
      </c>
      <c r="B592">
        <f>IF('FINANCIAL CREDITORS'!$C$38="","",'FINANCIAL CREDITORS'!$C$38)</f>
        <v/>
      </c>
      <c r="C592">
        <f>'FINANCIAL CREDITORS'!$U$38</f>
        <v/>
      </c>
      <c r="D592">
        <f>'FINANCIAL CREDITORS'!$Y$38</f>
        <v/>
      </c>
      <c r="E592">
        <f>'FINANCIAL CREDITORS'!$AC$38</f>
        <v/>
      </c>
      <c r="F592">
        <f>IF('FINANCIAL CREDITORS'!$V$38="","",'FINANCIAL CREDITORS'!$V$38)</f>
        <v/>
      </c>
      <c r="G592">
        <f>IF('FINANCIAL CREDITORS'!$D$38="","",'FINANCIAL CREDITORS'!$D$38)</f>
        <v/>
      </c>
      <c r="H592">
        <f>IF('FINANCIAL CREDITORS'!$G$38="","",'FINANCIAL CREDITORS'!$G$38)</f>
        <v/>
      </c>
      <c r="I592">
        <f>IF('FINANCIAL CREDITORS'!$AT$38="","",'FINANCIAL CREDITORS'!$AT$38)</f>
        <v/>
      </c>
      <c r="J592">
        <f>IF('FINANCIAL CREDITORS'!$AX$38="","",'FINANCIAL CREDITORS'!$AX$38)</f>
        <v/>
      </c>
      <c r="K592">
        <f>IF('FINANCIAL CREDITORS'!$N$38="","",'FINANCIAL CREDITORS'!$N$38)</f>
        <v/>
      </c>
      <c r="L592">
        <f>IF('FINANCIAL CREDITORS'!$AE$38="","",'FINANCIAL CREDITORS'!$AE$38)</f>
        <v/>
      </c>
      <c r="M592" t="inlineStr">
        <is>
          <t>FINANCIAL</t>
        </is>
      </c>
      <c r="N592" t="inlineStr">
        <is>
          <t>FINANCIAL CREDITORS · row 38</t>
        </is>
      </c>
    </row>
    <row r="593">
      <c r="A593">
        <f>IF('FINANCIAL CREDITORS'!$A$39="","",'FINANCIAL CREDITORS'!$A$39)</f>
        <v/>
      </c>
      <c r="B593">
        <f>IF('FINANCIAL CREDITORS'!$C$39="","",'FINANCIAL CREDITORS'!$C$39)</f>
        <v/>
      </c>
      <c r="C593">
        <f>'FINANCIAL CREDITORS'!$U$39</f>
        <v/>
      </c>
      <c r="D593">
        <f>'FINANCIAL CREDITORS'!$Y$39</f>
        <v/>
      </c>
      <c r="E593">
        <f>'FINANCIAL CREDITORS'!$AC$39</f>
        <v/>
      </c>
      <c r="F593">
        <f>IF('FINANCIAL CREDITORS'!$V$39="","",'FINANCIAL CREDITORS'!$V$39)</f>
        <v/>
      </c>
      <c r="G593">
        <f>IF('FINANCIAL CREDITORS'!$D$39="","",'FINANCIAL CREDITORS'!$D$39)</f>
        <v/>
      </c>
      <c r="H593">
        <f>IF('FINANCIAL CREDITORS'!$G$39="","",'FINANCIAL CREDITORS'!$G$39)</f>
        <v/>
      </c>
      <c r="I593">
        <f>IF('FINANCIAL CREDITORS'!$AT$39="","",'FINANCIAL CREDITORS'!$AT$39)</f>
        <v/>
      </c>
      <c r="J593">
        <f>IF('FINANCIAL CREDITORS'!$AX$39="","",'FINANCIAL CREDITORS'!$AX$39)</f>
        <v/>
      </c>
      <c r="K593">
        <f>IF('FINANCIAL CREDITORS'!$N$39="","",'FINANCIAL CREDITORS'!$N$39)</f>
        <v/>
      </c>
      <c r="L593">
        <f>IF('FINANCIAL CREDITORS'!$AE$39="","",'FINANCIAL CREDITORS'!$AE$39)</f>
        <v/>
      </c>
      <c r="M593" t="inlineStr">
        <is>
          <t>FINANCIAL</t>
        </is>
      </c>
      <c r="N593" t="inlineStr">
        <is>
          <t>FINANCIAL CREDITORS · row 39</t>
        </is>
      </c>
    </row>
    <row r="594">
      <c r="A594">
        <f>IF('FINANCIAL CREDITORS'!$A$40="","",'FINANCIAL CREDITORS'!$A$40)</f>
        <v/>
      </c>
      <c r="B594">
        <f>IF('FINANCIAL CREDITORS'!$C$40="","",'FINANCIAL CREDITORS'!$C$40)</f>
        <v/>
      </c>
      <c r="C594">
        <f>'FINANCIAL CREDITORS'!$U$40</f>
        <v/>
      </c>
      <c r="D594">
        <f>'FINANCIAL CREDITORS'!$Y$40</f>
        <v/>
      </c>
      <c r="E594">
        <f>'FINANCIAL CREDITORS'!$AC$40</f>
        <v/>
      </c>
      <c r="F594">
        <f>IF('FINANCIAL CREDITORS'!$V$40="","",'FINANCIAL CREDITORS'!$V$40)</f>
        <v/>
      </c>
      <c r="G594">
        <f>IF('FINANCIAL CREDITORS'!$D$40="","",'FINANCIAL CREDITORS'!$D$40)</f>
        <v/>
      </c>
      <c r="H594">
        <f>IF('FINANCIAL CREDITORS'!$G$40="","",'FINANCIAL CREDITORS'!$G$40)</f>
        <v/>
      </c>
      <c r="I594">
        <f>IF('FINANCIAL CREDITORS'!$AT$40="","",'FINANCIAL CREDITORS'!$AT$40)</f>
        <v/>
      </c>
      <c r="J594">
        <f>IF('FINANCIAL CREDITORS'!$AX$40="","",'FINANCIAL CREDITORS'!$AX$40)</f>
        <v/>
      </c>
      <c r="K594">
        <f>IF('FINANCIAL CREDITORS'!$N$40="","",'FINANCIAL CREDITORS'!$N$40)</f>
        <v/>
      </c>
      <c r="L594">
        <f>IF('FINANCIAL CREDITORS'!$AE$40="","",'FINANCIAL CREDITORS'!$AE$40)</f>
        <v/>
      </c>
      <c r="M594" t="inlineStr">
        <is>
          <t>FINANCIAL</t>
        </is>
      </c>
      <c r="N594" t="inlineStr">
        <is>
          <t>FINANCIAL CREDITORS · row 40</t>
        </is>
      </c>
    </row>
    <row r="595">
      <c r="A595">
        <f>IF('FINANCIAL CREDITORS'!$A$41="","",'FINANCIAL CREDITORS'!$A$41)</f>
        <v/>
      </c>
      <c r="B595">
        <f>IF('FINANCIAL CREDITORS'!$C$41="","",'FINANCIAL CREDITORS'!$C$41)</f>
        <v/>
      </c>
      <c r="C595">
        <f>'FINANCIAL CREDITORS'!$U$41</f>
        <v/>
      </c>
      <c r="D595">
        <f>'FINANCIAL CREDITORS'!$Y$41</f>
        <v/>
      </c>
      <c r="E595">
        <f>'FINANCIAL CREDITORS'!$AC$41</f>
        <v/>
      </c>
      <c r="F595">
        <f>IF('FINANCIAL CREDITORS'!$V$41="","",'FINANCIAL CREDITORS'!$V$41)</f>
        <v/>
      </c>
      <c r="G595">
        <f>IF('FINANCIAL CREDITORS'!$D$41="","",'FINANCIAL CREDITORS'!$D$41)</f>
        <v/>
      </c>
      <c r="H595">
        <f>IF('FINANCIAL CREDITORS'!$G$41="","",'FINANCIAL CREDITORS'!$G$41)</f>
        <v/>
      </c>
      <c r="I595">
        <f>IF('FINANCIAL CREDITORS'!$AT$41="","",'FINANCIAL CREDITORS'!$AT$41)</f>
        <v/>
      </c>
      <c r="J595">
        <f>IF('FINANCIAL CREDITORS'!$AX$41="","",'FINANCIAL CREDITORS'!$AX$41)</f>
        <v/>
      </c>
      <c r="K595">
        <f>IF('FINANCIAL CREDITORS'!$N$41="","",'FINANCIAL CREDITORS'!$N$41)</f>
        <v/>
      </c>
      <c r="L595">
        <f>IF('FINANCIAL CREDITORS'!$AE$41="","",'FINANCIAL CREDITORS'!$AE$41)</f>
        <v/>
      </c>
      <c r="M595" t="inlineStr">
        <is>
          <t>FINANCIAL</t>
        </is>
      </c>
      <c r="N595" t="inlineStr">
        <is>
          <t>FINANCIAL CREDITORS · row 41</t>
        </is>
      </c>
    </row>
    <row r="596">
      <c r="A596">
        <f>IF('FINANCIAL CREDITORS'!$A$42="","",'FINANCIAL CREDITORS'!$A$42)</f>
        <v/>
      </c>
      <c r="B596">
        <f>IF('FINANCIAL CREDITORS'!$C$42="","",'FINANCIAL CREDITORS'!$C$42)</f>
        <v/>
      </c>
      <c r="C596">
        <f>'FINANCIAL CREDITORS'!$U$42</f>
        <v/>
      </c>
      <c r="D596">
        <f>'FINANCIAL CREDITORS'!$Y$42</f>
        <v/>
      </c>
      <c r="E596">
        <f>'FINANCIAL CREDITORS'!$AC$42</f>
        <v/>
      </c>
      <c r="F596">
        <f>IF('FINANCIAL CREDITORS'!$V$42="","",'FINANCIAL CREDITORS'!$V$42)</f>
        <v/>
      </c>
      <c r="G596">
        <f>IF('FINANCIAL CREDITORS'!$D$42="","",'FINANCIAL CREDITORS'!$D$42)</f>
        <v/>
      </c>
      <c r="H596">
        <f>IF('FINANCIAL CREDITORS'!$G$42="","",'FINANCIAL CREDITORS'!$G$42)</f>
        <v/>
      </c>
      <c r="I596">
        <f>IF('FINANCIAL CREDITORS'!$AT$42="","",'FINANCIAL CREDITORS'!$AT$42)</f>
        <v/>
      </c>
      <c r="J596">
        <f>IF('FINANCIAL CREDITORS'!$AX$42="","",'FINANCIAL CREDITORS'!$AX$42)</f>
        <v/>
      </c>
      <c r="K596">
        <f>IF('FINANCIAL CREDITORS'!$N$42="","",'FINANCIAL CREDITORS'!$N$42)</f>
        <v/>
      </c>
      <c r="L596">
        <f>IF('FINANCIAL CREDITORS'!$AE$42="","",'FINANCIAL CREDITORS'!$AE$42)</f>
        <v/>
      </c>
      <c r="M596" t="inlineStr">
        <is>
          <t>FINANCIAL</t>
        </is>
      </c>
      <c r="N596" t="inlineStr">
        <is>
          <t>FINANCIAL CREDITORS · row 42</t>
        </is>
      </c>
    </row>
    <row r="597">
      <c r="A597">
        <f>IF('FINANCIAL CREDITORS'!$A$43="","",'FINANCIAL CREDITORS'!$A$43)</f>
        <v/>
      </c>
      <c r="B597">
        <f>IF('FINANCIAL CREDITORS'!$C$43="","",'FINANCIAL CREDITORS'!$C$43)</f>
        <v/>
      </c>
      <c r="C597">
        <f>'FINANCIAL CREDITORS'!$U$43</f>
        <v/>
      </c>
      <c r="D597">
        <f>'FINANCIAL CREDITORS'!$Y$43</f>
        <v/>
      </c>
      <c r="E597">
        <f>'FINANCIAL CREDITORS'!$AC$43</f>
        <v/>
      </c>
      <c r="F597">
        <f>IF('FINANCIAL CREDITORS'!$V$43="","",'FINANCIAL CREDITORS'!$V$43)</f>
        <v/>
      </c>
      <c r="G597">
        <f>IF('FINANCIAL CREDITORS'!$D$43="","",'FINANCIAL CREDITORS'!$D$43)</f>
        <v/>
      </c>
      <c r="H597">
        <f>IF('FINANCIAL CREDITORS'!$G$43="","",'FINANCIAL CREDITORS'!$G$43)</f>
        <v/>
      </c>
      <c r="I597">
        <f>IF('FINANCIAL CREDITORS'!$AT$43="","",'FINANCIAL CREDITORS'!$AT$43)</f>
        <v/>
      </c>
      <c r="J597">
        <f>IF('FINANCIAL CREDITORS'!$AX$43="","",'FINANCIAL CREDITORS'!$AX$43)</f>
        <v/>
      </c>
      <c r="K597">
        <f>IF('FINANCIAL CREDITORS'!$N$43="","",'FINANCIAL CREDITORS'!$N$43)</f>
        <v/>
      </c>
      <c r="L597">
        <f>IF('FINANCIAL CREDITORS'!$AE$43="","",'FINANCIAL CREDITORS'!$AE$43)</f>
        <v/>
      </c>
      <c r="M597" t="inlineStr">
        <is>
          <t>FINANCIAL</t>
        </is>
      </c>
      <c r="N597" t="inlineStr">
        <is>
          <t>FINANCIAL CREDITORS · row 43</t>
        </is>
      </c>
    </row>
    <row r="598">
      <c r="A598">
        <f>IF('FINANCIAL CREDITORS'!$A$44="","",'FINANCIAL CREDITORS'!$A$44)</f>
        <v/>
      </c>
      <c r="B598">
        <f>IF('FINANCIAL CREDITORS'!$C$44="","",'FINANCIAL CREDITORS'!$C$44)</f>
        <v/>
      </c>
      <c r="C598">
        <f>'FINANCIAL CREDITORS'!$U$44</f>
        <v/>
      </c>
      <c r="D598">
        <f>'FINANCIAL CREDITORS'!$Y$44</f>
        <v/>
      </c>
      <c r="E598">
        <f>'FINANCIAL CREDITORS'!$AC$44</f>
        <v/>
      </c>
      <c r="F598">
        <f>IF('FINANCIAL CREDITORS'!$V$44="","",'FINANCIAL CREDITORS'!$V$44)</f>
        <v/>
      </c>
      <c r="G598">
        <f>IF('FINANCIAL CREDITORS'!$D$44="","",'FINANCIAL CREDITORS'!$D$44)</f>
        <v/>
      </c>
      <c r="H598">
        <f>IF('FINANCIAL CREDITORS'!$G$44="","",'FINANCIAL CREDITORS'!$G$44)</f>
        <v/>
      </c>
      <c r="I598">
        <f>IF('FINANCIAL CREDITORS'!$AT$44="","",'FINANCIAL CREDITORS'!$AT$44)</f>
        <v/>
      </c>
      <c r="J598">
        <f>IF('FINANCIAL CREDITORS'!$AX$44="","",'FINANCIAL CREDITORS'!$AX$44)</f>
        <v/>
      </c>
      <c r="K598">
        <f>IF('FINANCIAL CREDITORS'!$N$44="","",'FINANCIAL CREDITORS'!$N$44)</f>
        <v/>
      </c>
      <c r="L598">
        <f>IF('FINANCIAL CREDITORS'!$AE$44="","",'FINANCIAL CREDITORS'!$AE$44)</f>
        <v/>
      </c>
      <c r="M598" t="inlineStr">
        <is>
          <t>FINANCIAL</t>
        </is>
      </c>
      <c r="N598" t="inlineStr">
        <is>
          <t>FINANCIAL CREDITORS · row 44</t>
        </is>
      </c>
    </row>
    <row r="599">
      <c r="A599">
        <f>IF('FINANCIAL CREDITORS'!$A$45="","",'FINANCIAL CREDITORS'!$A$45)</f>
        <v/>
      </c>
      <c r="B599">
        <f>IF('FINANCIAL CREDITORS'!$C$45="","",'FINANCIAL CREDITORS'!$C$45)</f>
        <v/>
      </c>
      <c r="C599">
        <f>'FINANCIAL CREDITORS'!$U$45</f>
        <v/>
      </c>
      <c r="D599">
        <f>'FINANCIAL CREDITORS'!$Y$45</f>
        <v/>
      </c>
      <c r="E599">
        <f>'FINANCIAL CREDITORS'!$AC$45</f>
        <v/>
      </c>
      <c r="F599">
        <f>IF('FINANCIAL CREDITORS'!$V$45="","",'FINANCIAL CREDITORS'!$V$45)</f>
        <v/>
      </c>
      <c r="G599">
        <f>IF('FINANCIAL CREDITORS'!$D$45="","",'FINANCIAL CREDITORS'!$D$45)</f>
        <v/>
      </c>
      <c r="H599">
        <f>IF('FINANCIAL CREDITORS'!$G$45="","",'FINANCIAL CREDITORS'!$G$45)</f>
        <v/>
      </c>
      <c r="I599">
        <f>IF('FINANCIAL CREDITORS'!$AT$45="","",'FINANCIAL CREDITORS'!$AT$45)</f>
        <v/>
      </c>
      <c r="J599">
        <f>IF('FINANCIAL CREDITORS'!$AX$45="","",'FINANCIAL CREDITORS'!$AX$45)</f>
        <v/>
      </c>
      <c r="K599">
        <f>IF('FINANCIAL CREDITORS'!$N$45="","",'FINANCIAL CREDITORS'!$N$45)</f>
        <v/>
      </c>
      <c r="L599">
        <f>IF('FINANCIAL CREDITORS'!$AE$45="","",'FINANCIAL CREDITORS'!$AE$45)</f>
        <v/>
      </c>
      <c r="M599" t="inlineStr">
        <is>
          <t>FINANCIAL</t>
        </is>
      </c>
      <c r="N599" t="inlineStr">
        <is>
          <t>FINANCIAL CREDITORS · row 45</t>
        </is>
      </c>
    </row>
    <row r="600">
      <c r="A600">
        <f>IF('FINANCIAL CREDITORS'!$A$46="","",'FINANCIAL CREDITORS'!$A$46)</f>
        <v/>
      </c>
      <c r="B600">
        <f>IF('FINANCIAL CREDITORS'!$C$46="","",'FINANCIAL CREDITORS'!$C$46)</f>
        <v/>
      </c>
      <c r="C600">
        <f>'FINANCIAL CREDITORS'!$U$46</f>
        <v/>
      </c>
      <c r="D600">
        <f>'FINANCIAL CREDITORS'!$Y$46</f>
        <v/>
      </c>
      <c r="E600">
        <f>'FINANCIAL CREDITORS'!$AC$46</f>
        <v/>
      </c>
      <c r="F600">
        <f>IF('FINANCIAL CREDITORS'!$V$46="","",'FINANCIAL CREDITORS'!$V$46)</f>
        <v/>
      </c>
      <c r="G600">
        <f>IF('FINANCIAL CREDITORS'!$D$46="","",'FINANCIAL CREDITORS'!$D$46)</f>
        <v/>
      </c>
      <c r="H600">
        <f>IF('FINANCIAL CREDITORS'!$G$46="","",'FINANCIAL CREDITORS'!$G$46)</f>
        <v/>
      </c>
      <c r="I600">
        <f>IF('FINANCIAL CREDITORS'!$AT$46="","",'FINANCIAL CREDITORS'!$AT$46)</f>
        <v/>
      </c>
      <c r="J600">
        <f>IF('FINANCIAL CREDITORS'!$AX$46="","",'FINANCIAL CREDITORS'!$AX$46)</f>
        <v/>
      </c>
      <c r="K600">
        <f>IF('FINANCIAL CREDITORS'!$N$46="","",'FINANCIAL CREDITORS'!$N$46)</f>
        <v/>
      </c>
      <c r="L600">
        <f>IF('FINANCIAL CREDITORS'!$AE$46="","",'FINANCIAL CREDITORS'!$AE$46)</f>
        <v/>
      </c>
      <c r="M600" t="inlineStr">
        <is>
          <t>FINANCIAL</t>
        </is>
      </c>
      <c r="N600" t="inlineStr">
        <is>
          <t>FINANCIAL CREDITORS · row 46</t>
        </is>
      </c>
    </row>
    <row r="601">
      <c r="A601">
        <f>IF('FINANCIAL CREDITORS'!$A$47="","",'FINANCIAL CREDITORS'!$A$47)</f>
        <v/>
      </c>
      <c r="B601">
        <f>IF('FINANCIAL CREDITORS'!$C$47="","",'FINANCIAL CREDITORS'!$C$47)</f>
        <v/>
      </c>
      <c r="C601">
        <f>'FINANCIAL CREDITORS'!$U$47</f>
        <v/>
      </c>
      <c r="D601">
        <f>'FINANCIAL CREDITORS'!$Y$47</f>
        <v/>
      </c>
      <c r="E601">
        <f>'FINANCIAL CREDITORS'!$AC$47</f>
        <v/>
      </c>
      <c r="F601">
        <f>IF('FINANCIAL CREDITORS'!$V$47="","",'FINANCIAL CREDITORS'!$V$47)</f>
        <v/>
      </c>
      <c r="G601">
        <f>IF('FINANCIAL CREDITORS'!$D$47="","",'FINANCIAL CREDITORS'!$D$47)</f>
        <v/>
      </c>
      <c r="H601">
        <f>IF('FINANCIAL CREDITORS'!$G$47="","",'FINANCIAL CREDITORS'!$G$47)</f>
        <v/>
      </c>
      <c r="I601">
        <f>IF('FINANCIAL CREDITORS'!$AT$47="","",'FINANCIAL CREDITORS'!$AT$47)</f>
        <v/>
      </c>
      <c r="J601">
        <f>IF('FINANCIAL CREDITORS'!$AX$47="","",'FINANCIAL CREDITORS'!$AX$47)</f>
        <v/>
      </c>
      <c r="K601">
        <f>IF('FINANCIAL CREDITORS'!$N$47="","",'FINANCIAL CREDITORS'!$N$47)</f>
        <v/>
      </c>
      <c r="L601">
        <f>IF('FINANCIAL CREDITORS'!$AE$47="","",'FINANCIAL CREDITORS'!$AE$47)</f>
        <v/>
      </c>
      <c r="M601" t="inlineStr">
        <is>
          <t>FINANCIAL</t>
        </is>
      </c>
      <c r="N601" t="inlineStr">
        <is>
          <t>FINANCIAL CREDITORS · row 47</t>
        </is>
      </c>
    </row>
    <row r="602">
      <c r="A602">
        <f>IF('FINANCIAL CREDITORS'!$A$48="","",'FINANCIAL CREDITORS'!$A$48)</f>
        <v/>
      </c>
      <c r="B602">
        <f>IF('FINANCIAL CREDITORS'!$C$48="","",'FINANCIAL CREDITORS'!$C$48)</f>
        <v/>
      </c>
      <c r="C602">
        <f>'FINANCIAL CREDITORS'!$U$48</f>
        <v/>
      </c>
      <c r="D602">
        <f>'FINANCIAL CREDITORS'!$Y$48</f>
        <v/>
      </c>
      <c r="E602">
        <f>'FINANCIAL CREDITORS'!$AC$48</f>
        <v/>
      </c>
      <c r="F602">
        <f>IF('FINANCIAL CREDITORS'!$V$48="","",'FINANCIAL CREDITORS'!$V$48)</f>
        <v/>
      </c>
      <c r="G602">
        <f>IF('FINANCIAL CREDITORS'!$D$48="","",'FINANCIAL CREDITORS'!$D$48)</f>
        <v/>
      </c>
      <c r="H602">
        <f>IF('FINANCIAL CREDITORS'!$G$48="","",'FINANCIAL CREDITORS'!$G$48)</f>
        <v/>
      </c>
      <c r="I602">
        <f>IF('FINANCIAL CREDITORS'!$AT$48="","",'FINANCIAL CREDITORS'!$AT$48)</f>
        <v/>
      </c>
      <c r="J602">
        <f>IF('FINANCIAL CREDITORS'!$AX$48="","",'FINANCIAL CREDITORS'!$AX$48)</f>
        <v/>
      </c>
      <c r="K602">
        <f>IF('FINANCIAL CREDITORS'!$N$48="","",'FINANCIAL CREDITORS'!$N$48)</f>
        <v/>
      </c>
      <c r="L602">
        <f>IF('FINANCIAL CREDITORS'!$AE$48="","",'FINANCIAL CREDITORS'!$AE$48)</f>
        <v/>
      </c>
      <c r="M602" t="inlineStr">
        <is>
          <t>FINANCIAL</t>
        </is>
      </c>
      <c r="N602" t="inlineStr">
        <is>
          <t>FINANCIAL CREDITORS · row 48</t>
        </is>
      </c>
    </row>
    <row r="603">
      <c r="A603">
        <f>IF('FINANCIAL CREDITORS'!$A$49="","",'FINANCIAL CREDITORS'!$A$49)</f>
        <v/>
      </c>
      <c r="B603">
        <f>IF('FINANCIAL CREDITORS'!$C$49="","",'FINANCIAL CREDITORS'!$C$49)</f>
        <v/>
      </c>
      <c r="C603">
        <f>'FINANCIAL CREDITORS'!$U$49</f>
        <v/>
      </c>
      <c r="D603">
        <f>'FINANCIAL CREDITORS'!$Y$49</f>
        <v/>
      </c>
      <c r="E603">
        <f>'FINANCIAL CREDITORS'!$AC$49</f>
        <v/>
      </c>
      <c r="F603">
        <f>IF('FINANCIAL CREDITORS'!$V$49="","",'FINANCIAL CREDITORS'!$V$49)</f>
        <v/>
      </c>
      <c r="G603">
        <f>IF('FINANCIAL CREDITORS'!$D$49="","",'FINANCIAL CREDITORS'!$D$49)</f>
        <v/>
      </c>
      <c r="H603">
        <f>IF('FINANCIAL CREDITORS'!$G$49="","",'FINANCIAL CREDITORS'!$G$49)</f>
        <v/>
      </c>
      <c r="I603">
        <f>IF('FINANCIAL CREDITORS'!$AT$49="","",'FINANCIAL CREDITORS'!$AT$49)</f>
        <v/>
      </c>
      <c r="J603">
        <f>IF('FINANCIAL CREDITORS'!$AX$49="","",'FINANCIAL CREDITORS'!$AX$49)</f>
        <v/>
      </c>
      <c r="K603">
        <f>IF('FINANCIAL CREDITORS'!$N$49="","",'FINANCIAL CREDITORS'!$N$49)</f>
        <v/>
      </c>
      <c r="L603">
        <f>IF('FINANCIAL CREDITORS'!$AE$49="","",'FINANCIAL CREDITORS'!$AE$49)</f>
        <v/>
      </c>
      <c r="M603" t="inlineStr">
        <is>
          <t>FINANCIAL</t>
        </is>
      </c>
      <c r="N603" t="inlineStr">
        <is>
          <t>FINANCIAL CREDITORS · row 49</t>
        </is>
      </c>
    </row>
    <row r="604">
      <c r="A604">
        <f>IF('FINANCIAL CREDITORS'!$A$50="","",'FINANCIAL CREDITORS'!$A$50)</f>
        <v/>
      </c>
      <c r="B604">
        <f>IF('FINANCIAL CREDITORS'!$C$50="","",'FINANCIAL CREDITORS'!$C$50)</f>
        <v/>
      </c>
      <c r="C604">
        <f>'FINANCIAL CREDITORS'!$U$50</f>
        <v/>
      </c>
      <c r="D604">
        <f>'FINANCIAL CREDITORS'!$Y$50</f>
        <v/>
      </c>
      <c r="E604">
        <f>'FINANCIAL CREDITORS'!$AC$50</f>
        <v/>
      </c>
      <c r="F604">
        <f>IF('FINANCIAL CREDITORS'!$V$50="","",'FINANCIAL CREDITORS'!$V$50)</f>
        <v/>
      </c>
      <c r="G604">
        <f>IF('FINANCIAL CREDITORS'!$D$50="","",'FINANCIAL CREDITORS'!$D$50)</f>
        <v/>
      </c>
      <c r="H604">
        <f>IF('FINANCIAL CREDITORS'!$G$50="","",'FINANCIAL CREDITORS'!$G$50)</f>
        <v/>
      </c>
      <c r="I604">
        <f>IF('FINANCIAL CREDITORS'!$AT$50="","",'FINANCIAL CREDITORS'!$AT$50)</f>
        <v/>
      </c>
      <c r="J604">
        <f>IF('FINANCIAL CREDITORS'!$AX$50="","",'FINANCIAL CREDITORS'!$AX$50)</f>
        <v/>
      </c>
      <c r="K604">
        <f>IF('FINANCIAL CREDITORS'!$N$50="","",'FINANCIAL CREDITORS'!$N$50)</f>
        <v/>
      </c>
      <c r="L604">
        <f>IF('FINANCIAL CREDITORS'!$AE$50="","",'FINANCIAL CREDITORS'!$AE$50)</f>
        <v/>
      </c>
      <c r="M604" t="inlineStr">
        <is>
          <t>FINANCIAL</t>
        </is>
      </c>
      <c r="N604" t="inlineStr">
        <is>
          <t>FINANCIAL CREDITORS · row 50</t>
        </is>
      </c>
    </row>
    <row r="605">
      <c r="A605">
        <f>IF('FINANCIAL CREDITORS'!$A$51="","",'FINANCIAL CREDITORS'!$A$51)</f>
        <v/>
      </c>
      <c r="B605">
        <f>IF('FINANCIAL CREDITORS'!$C$51="","",'FINANCIAL CREDITORS'!$C$51)</f>
        <v/>
      </c>
      <c r="C605">
        <f>'FINANCIAL CREDITORS'!$U$51</f>
        <v/>
      </c>
      <c r="D605">
        <f>'FINANCIAL CREDITORS'!$Y$51</f>
        <v/>
      </c>
      <c r="E605">
        <f>'FINANCIAL CREDITORS'!$AC$51</f>
        <v/>
      </c>
      <c r="F605">
        <f>IF('FINANCIAL CREDITORS'!$V$51="","",'FINANCIAL CREDITORS'!$V$51)</f>
        <v/>
      </c>
      <c r="G605">
        <f>IF('FINANCIAL CREDITORS'!$D$51="","",'FINANCIAL CREDITORS'!$D$51)</f>
        <v/>
      </c>
      <c r="H605">
        <f>IF('FINANCIAL CREDITORS'!$G$51="","",'FINANCIAL CREDITORS'!$G$51)</f>
        <v/>
      </c>
      <c r="I605">
        <f>IF('FINANCIAL CREDITORS'!$AT$51="","",'FINANCIAL CREDITORS'!$AT$51)</f>
        <v/>
      </c>
      <c r="J605">
        <f>IF('FINANCIAL CREDITORS'!$AX$51="","",'FINANCIAL CREDITORS'!$AX$51)</f>
        <v/>
      </c>
      <c r="K605">
        <f>IF('FINANCIAL CREDITORS'!$N$51="","",'FINANCIAL CREDITORS'!$N$51)</f>
        <v/>
      </c>
      <c r="L605">
        <f>IF('FINANCIAL CREDITORS'!$AE$51="","",'FINANCIAL CREDITORS'!$AE$51)</f>
        <v/>
      </c>
      <c r="M605" t="inlineStr">
        <is>
          <t>FINANCIAL</t>
        </is>
      </c>
      <c r="N605" t="inlineStr">
        <is>
          <t>FINANCIAL CREDITORS · row 51</t>
        </is>
      </c>
    </row>
    <row r="606">
      <c r="A606">
        <f>IF('FINANCIAL CREDITORS'!$A$52="","",'FINANCIAL CREDITORS'!$A$52)</f>
        <v/>
      </c>
      <c r="B606">
        <f>IF('FINANCIAL CREDITORS'!$C$52="","",'FINANCIAL CREDITORS'!$C$52)</f>
        <v/>
      </c>
      <c r="C606">
        <f>'FINANCIAL CREDITORS'!$U$52</f>
        <v/>
      </c>
      <c r="D606">
        <f>'FINANCIAL CREDITORS'!$Y$52</f>
        <v/>
      </c>
      <c r="E606">
        <f>'FINANCIAL CREDITORS'!$AC$52</f>
        <v/>
      </c>
      <c r="F606">
        <f>IF('FINANCIAL CREDITORS'!$V$52="","",'FINANCIAL CREDITORS'!$V$52)</f>
        <v/>
      </c>
      <c r="G606">
        <f>IF('FINANCIAL CREDITORS'!$D$52="","",'FINANCIAL CREDITORS'!$D$52)</f>
        <v/>
      </c>
      <c r="H606">
        <f>IF('FINANCIAL CREDITORS'!$G$52="","",'FINANCIAL CREDITORS'!$G$52)</f>
        <v/>
      </c>
      <c r="I606">
        <f>IF('FINANCIAL CREDITORS'!$AT$52="","",'FINANCIAL CREDITORS'!$AT$52)</f>
        <v/>
      </c>
      <c r="J606">
        <f>IF('FINANCIAL CREDITORS'!$AX$52="","",'FINANCIAL CREDITORS'!$AX$52)</f>
        <v/>
      </c>
      <c r="K606">
        <f>IF('FINANCIAL CREDITORS'!$N$52="","",'FINANCIAL CREDITORS'!$N$52)</f>
        <v/>
      </c>
      <c r="L606">
        <f>IF('FINANCIAL CREDITORS'!$AE$52="","",'FINANCIAL CREDITORS'!$AE$52)</f>
        <v/>
      </c>
      <c r="M606" t="inlineStr">
        <is>
          <t>FINANCIAL</t>
        </is>
      </c>
      <c r="N606" t="inlineStr">
        <is>
          <t>FINANCIAL CREDITORS · row 52</t>
        </is>
      </c>
    </row>
    <row r="607">
      <c r="A607">
        <f>IF('FINANCIAL CREDITORS'!$A$53="","",'FINANCIAL CREDITORS'!$A$53)</f>
        <v/>
      </c>
      <c r="B607">
        <f>IF('FINANCIAL CREDITORS'!$C$53="","",'FINANCIAL CREDITORS'!$C$53)</f>
        <v/>
      </c>
      <c r="C607">
        <f>'FINANCIAL CREDITORS'!$U$53</f>
        <v/>
      </c>
      <c r="D607">
        <f>'FINANCIAL CREDITORS'!$Y$53</f>
        <v/>
      </c>
      <c r="E607">
        <f>'FINANCIAL CREDITORS'!$AC$53</f>
        <v/>
      </c>
      <c r="F607">
        <f>IF('FINANCIAL CREDITORS'!$V$53="","",'FINANCIAL CREDITORS'!$V$53)</f>
        <v/>
      </c>
      <c r="G607">
        <f>IF('FINANCIAL CREDITORS'!$D$53="","",'FINANCIAL CREDITORS'!$D$53)</f>
        <v/>
      </c>
      <c r="H607">
        <f>IF('FINANCIAL CREDITORS'!$G$53="","",'FINANCIAL CREDITORS'!$G$53)</f>
        <v/>
      </c>
      <c r="I607">
        <f>IF('FINANCIAL CREDITORS'!$AT$53="","",'FINANCIAL CREDITORS'!$AT$53)</f>
        <v/>
      </c>
      <c r="J607">
        <f>IF('FINANCIAL CREDITORS'!$AX$53="","",'FINANCIAL CREDITORS'!$AX$53)</f>
        <v/>
      </c>
      <c r="K607">
        <f>IF('FINANCIAL CREDITORS'!$N$53="","",'FINANCIAL CREDITORS'!$N$53)</f>
        <v/>
      </c>
      <c r="L607">
        <f>IF('FINANCIAL CREDITORS'!$AE$53="","",'FINANCIAL CREDITORS'!$AE$53)</f>
        <v/>
      </c>
      <c r="M607" t="inlineStr">
        <is>
          <t>FINANCIAL</t>
        </is>
      </c>
      <c r="N607" t="inlineStr">
        <is>
          <t>FINANCIAL CREDITORS · row 53</t>
        </is>
      </c>
    </row>
    <row r="608">
      <c r="A608">
        <f>IF('FINANCIAL CREDITORS'!$A$54="","",'FINANCIAL CREDITORS'!$A$54)</f>
        <v/>
      </c>
      <c r="B608">
        <f>IF('FINANCIAL CREDITORS'!$C$54="","",'FINANCIAL CREDITORS'!$C$54)</f>
        <v/>
      </c>
      <c r="C608">
        <f>'FINANCIAL CREDITORS'!$U$54</f>
        <v/>
      </c>
      <c r="D608">
        <f>'FINANCIAL CREDITORS'!$Y$54</f>
        <v/>
      </c>
      <c r="E608">
        <f>'FINANCIAL CREDITORS'!$AC$54</f>
        <v/>
      </c>
      <c r="F608">
        <f>IF('FINANCIAL CREDITORS'!$V$54="","",'FINANCIAL CREDITORS'!$V$54)</f>
        <v/>
      </c>
      <c r="G608">
        <f>IF('FINANCIAL CREDITORS'!$D$54="","",'FINANCIAL CREDITORS'!$D$54)</f>
        <v/>
      </c>
      <c r="H608">
        <f>IF('FINANCIAL CREDITORS'!$G$54="","",'FINANCIAL CREDITORS'!$G$54)</f>
        <v/>
      </c>
      <c r="I608">
        <f>IF('FINANCIAL CREDITORS'!$AT$54="","",'FINANCIAL CREDITORS'!$AT$54)</f>
        <v/>
      </c>
      <c r="J608">
        <f>IF('FINANCIAL CREDITORS'!$AX$54="","",'FINANCIAL CREDITORS'!$AX$54)</f>
        <v/>
      </c>
      <c r="K608">
        <f>IF('FINANCIAL CREDITORS'!$N$54="","",'FINANCIAL CREDITORS'!$N$54)</f>
        <v/>
      </c>
      <c r="L608">
        <f>IF('FINANCIAL CREDITORS'!$AE$54="","",'FINANCIAL CREDITORS'!$AE$54)</f>
        <v/>
      </c>
      <c r="M608" t="inlineStr">
        <is>
          <t>FINANCIAL</t>
        </is>
      </c>
      <c r="N608" t="inlineStr">
        <is>
          <t>FINANCIAL CREDITORS · row 54</t>
        </is>
      </c>
    </row>
    <row r="609">
      <c r="A609">
        <f>IF('FINANCIAL CREDITORS'!$A$55="","",'FINANCIAL CREDITORS'!$A$55)</f>
        <v/>
      </c>
      <c r="B609">
        <f>IF('FINANCIAL CREDITORS'!$C$55="","",'FINANCIAL CREDITORS'!$C$55)</f>
        <v/>
      </c>
      <c r="C609">
        <f>'FINANCIAL CREDITORS'!$U$55</f>
        <v/>
      </c>
      <c r="D609">
        <f>'FINANCIAL CREDITORS'!$Y$55</f>
        <v/>
      </c>
      <c r="E609">
        <f>'FINANCIAL CREDITORS'!$AC$55</f>
        <v/>
      </c>
      <c r="F609">
        <f>IF('FINANCIAL CREDITORS'!$V$55="","",'FINANCIAL CREDITORS'!$V$55)</f>
        <v/>
      </c>
      <c r="G609">
        <f>IF('FINANCIAL CREDITORS'!$D$55="","",'FINANCIAL CREDITORS'!$D$55)</f>
        <v/>
      </c>
      <c r="H609">
        <f>IF('FINANCIAL CREDITORS'!$G$55="","",'FINANCIAL CREDITORS'!$G$55)</f>
        <v/>
      </c>
      <c r="I609">
        <f>IF('FINANCIAL CREDITORS'!$AT$55="","",'FINANCIAL CREDITORS'!$AT$55)</f>
        <v/>
      </c>
      <c r="J609">
        <f>IF('FINANCIAL CREDITORS'!$AX$55="","",'FINANCIAL CREDITORS'!$AX$55)</f>
        <v/>
      </c>
      <c r="K609">
        <f>IF('FINANCIAL CREDITORS'!$N$55="","",'FINANCIAL CREDITORS'!$N$55)</f>
        <v/>
      </c>
      <c r="L609">
        <f>IF('FINANCIAL CREDITORS'!$AE$55="","",'FINANCIAL CREDITORS'!$AE$55)</f>
        <v/>
      </c>
      <c r="M609" t="inlineStr">
        <is>
          <t>FINANCIAL</t>
        </is>
      </c>
      <c r="N609" t="inlineStr">
        <is>
          <t>FINANCIAL CREDITORS · row 55</t>
        </is>
      </c>
    </row>
    <row r="610">
      <c r="A610">
        <f>IF('FINANCIAL CREDITORS'!$A$56="","",'FINANCIAL CREDITORS'!$A$56)</f>
        <v/>
      </c>
      <c r="B610">
        <f>IF('FINANCIAL CREDITORS'!$C$56="","",'FINANCIAL CREDITORS'!$C$56)</f>
        <v/>
      </c>
      <c r="C610">
        <f>'FINANCIAL CREDITORS'!$U$56</f>
        <v/>
      </c>
      <c r="D610">
        <f>'FINANCIAL CREDITORS'!$Y$56</f>
        <v/>
      </c>
      <c r="E610">
        <f>'FINANCIAL CREDITORS'!$AC$56</f>
        <v/>
      </c>
      <c r="F610">
        <f>IF('FINANCIAL CREDITORS'!$V$56="","",'FINANCIAL CREDITORS'!$V$56)</f>
        <v/>
      </c>
      <c r="G610">
        <f>IF('FINANCIAL CREDITORS'!$D$56="","",'FINANCIAL CREDITORS'!$D$56)</f>
        <v/>
      </c>
      <c r="H610">
        <f>IF('FINANCIAL CREDITORS'!$G$56="","",'FINANCIAL CREDITORS'!$G$56)</f>
        <v/>
      </c>
      <c r="I610">
        <f>IF('FINANCIAL CREDITORS'!$AT$56="","",'FINANCIAL CREDITORS'!$AT$56)</f>
        <v/>
      </c>
      <c r="J610">
        <f>IF('FINANCIAL CREDITORS'!$AX$56="","",'FINANCIAL CREDITORS'!$AX$56)</f>
        <v/>
      </c>
      <c r="K610">
        <f>IF('FINANCIAL CREDITORS'!$N$56="","",'FINANCIAL CREDITORS'!$N$56)</f>
        <v/>
      </c>
      <c r="L610">
        <f>IF('FINANCIAL CREDITORS'!$AE$56="","",'FINANCIAL CREDITORS'!$AE$56)</f>
        <v/>
      </c>
      <c r="M610" t="inlineStr">
        <is>
          <t>FINANCIAL</t>
        </is>
      </c>
      <c r="N610" t="inlineStr">
        <is>
          <t>FINANCIAL CREDITORS · row 56</t>
        </is>
      </c>
    </row>
    <row r="611">
      <c r="A611">
        <f>IF('FINANCIAL CREDITORS'!$A$57="","",'FINANCIAL CREDITORS'!$A$57)</f>
        <v/>
      </c>
      <c r="B611">
        <f>IF('FINANCIAL CREDITORS'!$C$57="","",'FINANCIAL CREDITORS'!$C$57)</f>
        <v/>
      </c>
      <c r="C611">
        <f>'FINANCIAL CREDITORS'!$U$57</f>
        <v/>
      </c>
      <c r="D611">
        <f>'FINANCIAL CREDITORS'!$Y$57</f>
        <v/>
      </c>
      <c r="E611">
        <f>'FINANCIAL CREDITORS'!$AC$57</f>
        <v/>
      </c>
      <c r="F611">
        <f>IF('FINANCIAL CREDITORS'!$V$57="","",'FINANCIAL CREDITORS'!$V$57)</f>
        <v/>
      </c>
      <c r="G611">
        <f>IF('FINANCIAL CREDITORS'!$D$57="","",'FINANCIAL CREDITORS'!$D$57)</f>
        <v/>
      </c>
      <c r="H611">
        <f>IF('FINANCIAL CREDITORS'!$G$57="","",'FINANCIAL CREDITORS'!$G$57)</f>
        <v/>
      </c>
      <c r="I611">
        <f>IF('FINANCIAL CREDITORS'!$AT$57="","",'FINANCIAL CREDITORS'!$AT$57)</f>
        <v/>
      </c>
      <c r="J611">
        <f>IF('FINANCIAL CREDITORS'!$AX$57="","",'FINANCIAL CREDITORS'!$AX$57)</f>
        <v/>
      </c>
      <c r="K611">
        <f>IF('FINANCIAL CREDITORS'!$N$57="","",'FINANCIAL CREDITORS'!$N$57)</f>
        <v/>
      </c>
      <c r="L611">
        <f>IF('FINANCIAL CREDITORS'!$AE$57="","",'FINANCIAL CREDITORS'!$AE$57)</f>
        <v/>
      </c>
      <c r="M611" t="inlineStr">
        <is>
          <t>FINANCIAL</t>
        </is>
      </c>
      <c r="N611" t="inlineStr">
        <is>
          <t>FINANCIAL CREDITORS · row 57</t>
        </is>
      </c>
    </row>
    <row r="612">
      <c r="A612">
        <f>IF('FINANCIAL CREDITORS'!$A$58="","",'FINANCIAL CREDITORS'!$A$58)</f>
        <v/>
      </c>
      <c r="B612">
        <f>IF('FINANCIAL CREDITORS'!$C$58="","",'FINANCIAL CREDITORS'!$C$58)</f>
        <v/>
      </c>
      <c r="C612">
        <f>'FINANCIAL CREDITORS'!$U$58</f>
        <v/>
      </c>
      <c r="D612">
        <f>'FINANCIAL CREDITORS'!$Y$58</f>
        <v/>
      </c>
      <c r="E612">
        <f>'FINANCIAL CREDITORS'!$AC$58</f>
        <v/>
      </c>
      <c r="F612">
        <f>IF('FINANCIAL CREDITORS'!$V$58="","",'FINANCIAL CREDITORS'!$V$58)</f>
        <v/>
      </c>
      <c r="G612">
        <f>IF('FINANCIAL CREDITORS'!$D$58="","",'FINANCIAL CREDITORS'!$D$58)</f>
        <v/>
      </c>
      <c r="H612">
        <f>IF('FINANCIAL CREDITORS'!$G$58="","",'FINANCIAL CREDITORS'!$G$58)</f>
        <v/>
      </c>
      <c r="I612">
        <f>IF('FINANCIAL CREDITORS'!$AT$58="","",'FINANCIAL CREDITORS'!$AT$58)</f>
        <v/>
      </c>
      <c r="J612">
        <f>IF('FINANCIAL CREDITORS'!$AX$58="","",'FINANCIAL CREDITORS'!$AX$58)</f>
        <v/>
      </c>
      <c r="K612">
        <f>IF('FINANCIAL CREDITORS'!$N$58="","",'FINANCIAL CREDITORS'!$N$58)</f>
        <v/>
      </c>
      <c r="L612">
        <f>IF('FINANCIAL CREDITORS'!$AE$58="","",'FINANCIAL CREDITORS'!$AE$58)</f>
        <v/>
      </c>
      <c r="M612" t="inlineStr">
        <is>
          <t>FINANCIAL</t>
        </is>
      </c>
      <c r="N612" t="inlineStr">
        <is>
          <t>FINANCIAL CREDITORS · row 58</t>
        </is>
      </c>
    </row>
    <row r="613">
      <c r="A613">
        <f>IF('FINANCIAL CREDITORS'!$A$59="","",'FINANCIAL CREDITORS'!$A$59)</f>
        <v/>
      </c>
      <c r="B613">
        <f>IF('FINANCIAL CREDITORS'!$C$59="","",'FINANCIAL CREDITORS'!$C$59)</f>
        <v/>
      </c>
      <c r="C613">
        <f>'FINANCIAL CREDITORS'!$U$59</f>
        <v/>
      </c>
      <c r="D613">
        <f>'FINANCIAL CREDITORS'!$Y$59</f>
        <v/>
      </c>
      <c r="E613">
        <f>'FINANCIAL CREDITORS'!$AC$59</f>
        <v/>
      </c>
      <c r="F613">
        <f>IF('FINANCIAL CREDITORS'!$V$59="","",'FINANCIAL CREDITORS'!$V$59)</f>
        <v/>
      </c>
      <c r="G613">
        <f>IF('FINANCIAL CREDITORS'!$D$59="","",'FINANCIAL CREDITORS'!$D$59)</f>
        <v/>
      </c>
      <c r="H613">
        <f>IF('FINANCIAL CREDITORS'!$G$59="","",'FINANCIAL CREDITORS'!$G$59)</f>
        <v/>
      </c>
      <c r="I613">
        <f>IF('FINANCIAL CREDITORS'!$AT$59="","",'FINANCIAL CREDITORS'!$AT$59)</f>
        <v/>
      </c>
      <c r="J613">
        <f>IF('FINANCIAL CREDITORS'!$AX$59="","",'FINANCIAL CREDITORS'!$AX$59)</f>
        <v/>
      </c>
      <c r="K613">
        <f>IF('FINANCIAL CREDITORS'!$N$59="","",'FINANCIAL CREDITORS'!$N$59)</f>
        <v/>
      </c>
      <c r="L613">
        <f>IF('FINANCIAL CREDITORS'!$AE$59="","",'FINANCIAL CREDITORS'!$AE$59)</f>
        <v/>
      </c>
      <c r="M613" t="inlineStr">
        <is>
          <t>FINANCIAL</t>
        </is>
      </c>
      <c r="N613" t="inlineStr">
        <is>
          <t>FINANCIAL CREDITORS · row 59</t>
        </is>
      </c>
    </row>
    <row r="614">
      <c r="A614">
        <f>IF('FINANCIAL CREDITORS'!$A$60="","",'FINANCIAL CREDITORS'!$A$60)</f>
        <v/>
      </c>
      <c r="B614">
        <f>IF('FINANCIAL CREDITORS'!$C$60="","",'FINANCIAL CREDITORS'!$C$60)</f>
        <v/>
      </c>
      <c r="C614">
        <f>'FINANCIAL CREDITORS'!$U$60</f>
        <v/>
      </c>
      <c r="D614">
        <f>'FINANCIAL CREDITORS'!$Y$60</f>
        <v/>
      </c>
      <c r="E614">
        <f>'FINANCIAL CREDITORS'!$AC$60</f>
        <v/>
      </c>
      <c r="F614">
        <f>IF('FINANCIAL CREDITORS'!$V$60="","",'FINANCIAL CREDITORS'!$V$60)</f>
        <v/>
      </c>
      <c r="G614">
        <f>IF('FINANCIAL CREDITORS'!$D$60="","",'FINANCIAL CREDITORS'!$D$60)</f>
        <v/>
      </c>
      <c r="H614">
        <f>IF('FINANCIAL CREDITORS'!$G$60="","",'FINANCIAL CREDITORS'!$G$60)</f>
        <v/>
      </c>
      <c r="I614">
        <f>IF('FINANCIAL CREDITORS'!$AT$60="","",'FINANCIAL CREDITORS'!$AT$60)</f>
        <v/>
      </c>
      <c r="J614">
        <f>IF('FINANCIAL CREDITORS'!$AX$60="","",'FINANCIAL CREDITORS'!$AX$60)</f>
        <v/>
      </c>
      <c r="K614">
        <f>IF('FINANCIAL CREDITORS'!$N$60="","",'FINANCIAL CREDITORS'!$N$60)</f>
        <v/>
      </c>
      <c r="L614">
        <f>IF('FINANCIAL CREDITORS'!$AE$60="","",'FINANCIAL CREDITORS'!$AE$60)</f>
        <v/>
      </c>
      <c r="M614" t="inlineStr">
        <is>
          <t>FINANCIAL</t>
        </is>
      </c>
      <c r="N614" t="inlineStr">
        <is>
          <t>FINANCIAL CREDITORS · row 60</t>
        </is>
      </c>
    </row>
    <row r="615">
      <c r="A615">
        <f>IF('FINANCIAL CREDITORS'!$A$61="","",'FINANCIAL CREDITORS'!$A$61)</f>
        <v/>
      </c>
      <c r="B615">
        <f>IF('FINANCIAL CREDITORS'!$C$61="","",'FINANCIAL CREDITORS'!$C$61)</f>
        <v/>
      </c>
      <c r="C615">
        <f>'FINANCIAL CREDITORS'!$U$61</f>
        <v/>
      </c>
      <c r="D615">
        <f>'FINANCIAL CREDITORS'!$Y$61</f>
        <v/>
      </c>
      <c r="E615">
        <f>'FINANCIAL CREDITORS'!$AC$61</f>
        <v/>
      </c>
      <c r="F615">
        <f>IF('FINANCIAL CREDITORS'!$V$61="","",'FINANCIAL CREDITORS'!$V$61)</f>
        <v/>
      </c>
      <c r="G615">
        <f>IF('FINANCIAL CREDITORS'!$D$61="","",'FINANCIAL CREDITORS'!$D$61)</f>
        <v/>
      </c>
      <c r="H615">
        <f>IF('FINANCIAL CREDITORS'!$G$61="","",'FINANCIAL CREDITORS'!$G$61)</f>
        <v/>
      </c>
      <c r="I615">
        <f>IF('FINANCIAL CREDITORS'!$AT$61="","",'FINANCIAL CREDITORS'!$AT$61)</f>
        <v/>
      </c>
      <c r="J615">
        <f>IF('FINANCIAL CREDITORS'!$AX$61="","",'FINANCIAL CREDITORS'!$AX$61)</f>
        <v/>
      </c>
      <c r="K615">
        <f>IF('FINANCIAL CREDITORS'!$N$61="","",'FINANCIAL CREDITORS'!$N$61)</f>
        <v/>
      </c>
      <c r="L615">
        <f>IF('FINANCIAL CREDITORS'!$AE$61="","",'FINANCIAL CREDITORS'!$AE$61)</f>
        <v/>
      </c>
      <c r="M615" t="inlineStr">
        <is>
          <t>FINANCIAL</t>
        </is>
      </c>
      <c r="N615" t="inlineStr">
        <is>
          <t>FINANCIAL CREDITORS · row 61</t>
        </is>
      </c>
    </row>
    <row r="616">
      <c r="A616">
        <f>IF('FINANCIAL CREDITORS'!$A$62="","",'FINANCIAL CREDITORS'!$A$62)</f>
        <v/>
      </c>
      <c r="B616">
        <f>IF('FINANCIAL CREDITORS'!$C$62="","",'FINANCIAL CREDITORS'!$C$62)</f>
        <v/>
      </c>
      <c r="C616">
        <f>'FINANCIAL CREDITORS'!$U$62</f>
        <v/>
      </c>
      <c r="D616">
        <f>'FINANCIAL CREDITORS'!$Y$62</f>
        <v/>
      </c>
      <c r="E616">
        <f>'FINANCIAL CREDITORS'!$AC$62</f>
        <v/>
      </c>
      <c r="F616">
        <f>IF('FINANCIAL CREDITORS'!$V$62="","",'FINANCIAL CREDITORS'!$V$62)</f>
        <v/>
      </c>
      <c r="G616">
        <f>IF('FINANCIAL CREDITORS'!$D$62="","",'FINANCIAL CREDITORS'!$D$62)</f>
        <v/>
      </c>
      <c r="H616">
        <f>IF('FINANCIAL CREDITORS'!$G$62="","",'FINANCIAL CREDITORS'!$G$62)</f>
        <v/>
      </c>
      <c r="I616">
        <f>IF('FINANCIAL CREDITORS'!$AT$62="","",'FINANCIAL CREDITORS'!$AT$62)</f>
        <v/>
      </c>
      <c r="J616">
        <f>IF('FINANCIAL CREDITORS'!$AX$62="","",'FINANCIAL CREDITORS'!$AX$62)</f>
        <v/>
      </c>
      <c r="K616">
        <f>IF('FINANCIAL CREDITORS'!$N$62="","",'FINANCIAL CREDITORS'!$N$62)</f>
        <v/>
      </c>
      <c r="L616">
        <f>IF('FINANCIAL CREDITORS'!$AE$62="","",'FINANCIAL CREDITORS'!$AE$62)</f>
        <v/>
      </c>
      <c r="M616" t="inlineStr">
        <is>
          <t>FINANCIAL</t>
        </is>
      </c>
      <c r="N616" t="inlineStr">
        <is>
          <t>FINANCIAL CREDITORS · row 62</t>
        </is>
      </c>
    </row>
    <row r="617">
      <c r="A617">
        <f>IF('FINANCIAL CREDITORS'!$A$63="","",'FINANCIAL CREDITORS'!$A$63)</f>
        <v/>
      </c>
      <c r="B617">
        <f>IF('FINANCIAL CREDITORS'!$C$63="","",'FINANCIAL CREDITORS'!$C$63)</f>
        <v/>
      </c>
      <c r="C617">
        <f>'FINANCIAL CREDITORS'!$U$63</f>
        <v/>
      </c>
      <c r="D617">
        <f>'FINANCIAL CREDITORS'!$Y$63</f>
        <v/>
      </c>
      <c r="E617">
        <f>'FINANCIAL CREDITORS'!$AC$63</f>
        <v/>
      </c>
      <c r="F617">
        <f>IF('FINANCIAL CREDITORS'!$V$63="","",'FINANCIAL CREDITORS'!$V$63)</f>
        <v/>
      </c>
      <c r="G617">
        <f>IF('FINANCIAL CREDITORS'!$D$63="","",'FINANCIAL CREDITORS'!$D$63)</f>
        <v/>
      </c>
      <c r="H617">
        <f>IF('FINANCIAL CREDITORS'!$G$63="","",'FINANCIAL CREDITORS'!$G$63)</f>
        <v/>
      </c>
      <c r="I617">
        <f>IF('FINANCIAL CREDITORS'!$AT$63="","",'FINANCIAL CREDITORS'!$AT$63)</f>
        <v/>
      </c>
      <c r="J617">
        <f>IF('FINANCIAL CREDITORS'!$AX$63="","",'FINANCIAL CREDITORS'!$AX$63)</f>
        <v/>
      </c>
      <c r="K617">
        <f>IF('FINANCIAL CREDITORS'!$N$63="","",'FINANCIAL CREDITORS'!$N$63)</f>
        <v/>
      </c>
      <c r="L617">
        <f>IF('FINANCIAL CREDITORS'!$AE$63="","",'FINANCIAL CREDITORS'!$AE$63)</f>
        <v/>
      </c>
      <c r="M617" t="inlineStr">
        <is>
          <t>FINANCIAL</t>
        </is>
      </c>
      <c r="N617" t="inlineStr">
        <is>
          <t>FINANCIAL CREDITORS · row 63</t>
        </is>
      </c>
    </row>
    <row r="618">
      <c r="A618">
        <f>IF('FINANCIAL CREDITORS'!$A$64="","",'FINANCIAL CREDITORS'!$A$64)</f>
        <v/>
      </c>
      <c r="B618">
        <f>IF('FINANCIAL CREDITORS'!$C$64="","",'FINANCIAL CREDITORS'!$C$64)</f>
        <v/>
      </c>
      <c r="C618">
        <f>'FINANCIAL CREDITORS'!$U$64</f>
        <v/>
      </c>
      <c r="D618">
        <f>'FINANCIAL CREDITORS'!$Y$64</f>
        <v/>
      </c>
      <c r="E618">
        <f>'FINANCIAL CREDITORS'!$AC$64</f>
        <v/>
      </c>
      <c r="F618">
        <f>IF('FINANCIAL CREDITORS'!$V$64="","",'FINANCIAL CREDITORS'!$V$64)</f>
        <v/>
      </c>
      <c r="G618">
        <f>IF('FINANCIAL CREDITORS'!$D$64="","",'FINANCIAL CREDITORS'!$D$64)</f>
        <v/>
      </c>
      <c r="H618">
        <f>IF('FINANCIAL CREDITORS'!$G$64="","",'FINANCIAL CREDITORS'!$G$64)</f>
        <v/>
      </c>
      <c r="I618">
        <f>IF('FINANCIAL CREDITORS'!$AT$64="","",'FINANCIAL CREDITORS'!$AT$64)</f>
        <v/>
      </c>
      <c r="J618">
        <f>IF('FINANCIAL CREDITORS'!$AX$64="","",'FINANCIAL CREDITORS'!$AX$64)</f>
        <v/>
      </c>
      <c r="K618">
        <f>IF('FINANCIAL CREDITORS'!$N$64="","",'FINANCIAL CREDITORS'!$N$64)</f>
        <v/>
      </c>
      <c r="L618">
        <f>IF('FINANCIAL CREDITORS'!$AE$64="","",'FINANCIAL CREDITORS'!$AE$64)</f>
        <v/>
      </c>
      <c r="M618" t="inlineStr">
        <is>
          <t>FINANCIAL</t>
        </is>
      </c>
      <c r="N618" t="inlineStr">
        <is>
          <t>FINANCIAL CREDITORS · row 64</t>
        </is>
      </c>
    </row>
    <row r="619">
      <c r="A619">
        <f>IF('FINANCIAL CREDITORS'!$A$65="","",'FINANCIAL CREDITORS'!$A$65)</f>
        <v/>
      </c>
      <c r="B619">
        <f>IF('FINANCIAL CREDITORS'!$C$65="","",'FINANCIAL CREDITORS'!$C$65)</f>
        <v/>
      </c>
      <c r="C619">
        <f>'FINANCIAL CREDITORS'!$U$65</f>
        <v/>
      </c>
      <c r="D619">
        <f>'FINANCIAL CREDITORS'!$Y$65</f>
        <v/>
      </c>
      <c r="E619">
        <f>'FINANCIAL CREDITORS'!$AC$65</f>
        <v/>
      </c>
      <c r="F619">
        <f>IF('FINANCIAL CREDITORS'!$V$65="","",'FINANCIAL CREDITORS'!$V$65)</f>
        <v/>
      </c>
      <c r="G619">
        <f>IF('FINANCIAL CREDITORS'!$D$65="","",'FINANCIAL CREDITORS'!$D$65)</f>
        <v/>
      </c>
      <c r="H619">
        <f>IF('FINANCIAL CREDITORS'!$G$65="","",'FINANCIAL CREDITORS'!$G$65)</f>
        <v/>
      </c>
      <c r="I619">
        <f>IF('FINANCIAL CREDITORS'!$AT$65="","",'FINANCIAL CREDITORS'!$AT$65)</f>
        <v/>
      </c>
      <c r="J619">
        <f>IF('FINANCIAL CREDITORS'!$AX$65="","",'FINANCIAL CREDITORS'!$AX$65)</f>
        <v/>
      </c>
      <c r="K619">
        <f>IF('FINANCIAL CREDITORS'!$N$65="","",'FINANCIAL CREDITORS'!$N$65)</f>
        <v/>
      </c>
      <c r="L619">
        <f>IF('FINANCIAL CREDITORS'!$AE$65="","",'FINANCIAL CREDITORS'!$AE$65)</f>
        <v/>
      </c>
      <c r="M619" t="inlineStr">
        <is>
          <t>FINANCIAL</t>
        </is>
      </c>
      <c r="N619" t="inlineStr">
        <is>
          <t>FINANCIAL CREDITORS · row 65</t>
        </is>
      </c>
    </row>
    <row r="620">
      <c r="A620">
        <f>IF('FINANCIAL CREDITORS'!$A$66="","",'FINANCIAL CREDITORS'!$A$66)</f>
        <v/>
      </c>
      <c r="B620">
        <f>IF('FINANCIAL CREDITORS'!$C$66="","",'FINANCIAL CREDITORS'!$C$66)</f>
        <v/>
      </c>
      <c r="C620">
        <f>'FINANCIAL CREDITORS'!$U$66</f>
        <v/>
      </c>
      <c r="D620">
        <f>'FINANCIAL CREDITORS'!$Y$66</f>
        <v/>
      </c>
      <c r="E620">
        <f>'FINANCIAL CREDITORS'!$AC$66</f>
        <v/>
      </c>
      <c r="F620">
        <f>IF('FINANCIAL CREDITORS'!$V$66="","",'FINANCIAL CREDITORS'!$V$66)</f>
        <v/>
      </c>
      <c r="G620">
        <f>IF('FINANCIAL CREDITORS'!$D$66="","",'FINANCIAL CREDITORS'!$D$66)</f>
        <v/>
      </c>
      <c r="H620">
        <f>IF('FINANCIAL CREDITORS'!$G$66="","",'FINANCIAL CREDITORS'!$G$66)</f>
        <v/>
      </c>
      <c r="I620">
        <f>IF('FINANCIAL CREDITORS'!$AT$66="","",'FINANCIAL CREDITORS'!$AT$66)</f>
        <v/>
      </c>
      <c r="J620">
        <f>IF('FINANCIAL CREDITORS'!$AX$66="","",'FINANCIAL CREDITORS'!$AX$66)</f>
        <v/>
      </c>
      <c r="K620">
        <f>IF('FINANCIAL CREDITORS'!$N$66="","",'FINANCIAL CREDITORS'!$N$66)</f>
        <v/>
      </c>
      <c r="L620">
        <f>IF('FINANCIAL CREDITORS'!$AE$66="","",'FINANCIAL CREDITORS'!$AE$66)</f>
        <v/>
      </c>
      <c r="M620" t="inlineStr">
        <is>
          <t>FINANCIAL</t>
        </is>
      </c>
      <c r="N620" t="inlineStr">
        <is>
          <t>FINANCIAL CREDITORS · row 66</t>
        </is>
      </c>
    </row>
    <row r="621">
      <c r="A621">
        <f>IF('FINANCIAL CREDITORS'!$A$67="","",'FINANCIAL CREDITORS'!$A$67)</f>
        <v/>
      </c>
      <c r="B621">
        <f>IF('FINANCIAL CREDITORS'!$C$67="","",'FINANCIAL CREDITORS'!$C$67)</f>
        <v/>
      </c>
      <c r="C621">
        <f>'FINANCIAL CREDITORS'!$U$67</f>
        <v/>
      </c>
      <c r="D621">
        <f>'FINANCIAL CREDITORS'!$Y$67</f>
        <v/>
      </c>
      <c r="E621">
        <f>'FINANCIAL CREDITORS'!$AC$67</f>
        <v/>
      </c>
      <c r="F621">
        <f>IF('FINANCIAL CREDITORS'!$V$67="","",'FINANCIAL CREDITORS'!$V$67)</f>
        <v/>
      </c>
      <c r="G621">
        <f>IF('FINANCIAL CREDITORS'!$D$67="","",'FINANCIAL CREDITORS'!$D$67)</f>
        <v/>
      </c>
      <c r="H621">
        <f>IF('FINANCIAL CREDITORS'!$G$67="","",'FINANCIAL CREDITORS'!$G$67)</f>
        <v/>
      </c>
      <c r="I621">
        <f>IF('FINANCIAL CREDITORS'!$AT$67="","",'FINANCIAL CREDITORS'!$AT$67)</f>
        <v/>
      </c>
      <c r="J621">
        <f>IF('FINANCIAL CREDITORS'!$AX$67="","",'FINANCIAL CREDITORS'!$AX$67)</f>
        <v/>
      </c>
      <c r="K621">
        <f>IF('FINANCIAL CREDITORS'!$N$67="","",'FINANCIAL CREDITORS'!$N$67)</f>
        <v/>
      </c>
      <c r="L621">
        <f>IF('FINANCIAL CREDITORS'!$AE$67="","",'FINANCIAL CREDITORS'!$AE$67)</f>
        <v/>
      </c>
      <c r="M621" t="inlineStr">
        <is>
          <t>FINANCIAL</t>
        </is>
      </c>
      <c r="N621" t="inlineStr">
        <is>
          <t>FINANCIAL CREDITORS · row 67</t>
        </is>
      </c>
    </row>
    <row r="622">
      <c r="A622">
        <f>IF('FINANCIAL CREDITORS'!$A$68="","",'FINANCIAL CREDITORS'!$A$68)</f>
        <v/>
      </c>
      <c r="B622">
        <f>IF('FINANCIAL CREDITORS'!$C$68="","",'FINANCIAL CREDITORS'!$C$68)</f>
        <v/>
      </c>
      <c r="C622">
        <f>'FINANCIAL CREDITORS'!$U$68</f>
        <v/>
      </c>
      <c r="D622">
        <f>'FINANCIAL CREDITORS'!$Y$68</f>
        <v/>
      </c>
      <c r="E622">
        <f>'FINANCIAL CREDITORS'!$AC$68</f>
        <v/>
      </c>
      <c r="F622">
        <f>IF('FINANCIAL CREDITORS'!$V$68="","",'FINANCIAL CREDITORS'!$V$68)</f>
        <v/>
      </c>
      <c r="G622">
        <f>IF('FINANCIAL CREDITORS'!$D$68="","",'FINANCIAL CREDITORS'!$D$68)</f>
        <v/>
      </c>
      <c r="H622">
        <f>IF('FINANCIAL CREDITORS'!$G$68="","",'FINANCIAL CREDITORS'!$G$68)</f>
        <v/>
      </c>
      <c r="I622">
        <f>IF('FINANCIAL CREDITORS'!$AT$68="","",'FINANCIAL CREDITORS'!$AT$68)</f>
        <v/>
      </c>
      <c r="J622">
        <f>IF('FINANCIAL CREDITORS'!$AX$68="","",'FINANCIAL CREDITORS'!$AX$68)</f>
        <v/>
      </c>
      <c r="K622">
        <f>IF('FINANCIAL CREDITORS'!$N$68="","",'FINANCIAL CREDITORS'!$N$68)</f>
        <v/>
      </c>
      <c r="L622">
        <f>IF('FINANCIAL CREDITORS'!$AE$68="","",'FINANCIAL CREDITORS'!$AE$68)</f>
        <v/>
      </c>
      <c r="M622" t="inlineStr">
        <is>
          <t>FINANCIAL</t>
        </is>
      </c>
      <c r="N622" t="inlineStr">
        <is>
          <t>FINANCIAL CREDITORS · row 68</t>
        </is>
      </c>
    </row>
    <row r="623">
      <c r="A623">
        <f>IF('FINANCIAL CREDITORS'!$A$69="","",'FINANCIAL CREDITORS'!$A$69)</f>
        <v/>
      </c>
      <c r="B623">
        <f>IF('FINANCIAL CREDITORS'!$C$69="","",'FINANCIAL CREDITORS'!$C$69)</f>
        <v/>
      </c>
      <c r="C623">
        <f>'FINANCIAL CREDITORS'!$U$69</f>
        <v/>
      </c>
      <c r="D623">
        <f>'FINANCIAL CREDITORS'!$Y$69</f>
        <v/>
      </c>
      <c r="E623">
        <f>'FINANCIAL CREDITORS'!$AC$69</f>
        <v/>
      </c>
      <c r="F623">
        <f>IF('FINANCIAL CREDITORS'!$V$69="","",'FINANCIAL CREDITORS'!$V$69)</f>
        <v/>
      </c>
      <c r="G623">
        <f>IF('FINANCIAL CREDITORS'!$D$69="","",'FINANCIAL CREDITORS'!$D$69)</f>
        <v/>
      </c>
      <c r="H623">
        <f>IF('FINANCIAL CREDITORS'!$G$69="","",'FINANCIAL CREDITORS'!$G$69)</f>
        <v/>
      </c>
      <c r="I623">
        <f>IF('FINANCIAL CREDITORS'!$AT$69="","",'FINANCIAL CREDITORS'!$AT$69)</f>
        <v/>
      </c>
      <c r="J623">
        <f>IF('FINANCIAL CREDITORS'!$AX$69="","",'FINANCIAL CREDITORS'!$AX$69)</f>
        <v/>
      </c>
      <c r="K623">
        <f>IF('FINANCIAL CREDITORS'!$N$69="","",'FINANCIAL CREDITORS'!$N$69)</f>
        <v/>
      </c>
      <c r="L623">
        <f>IF('FINANCIAL CREDITORS'!$AE$69="","",'FINANCIAL CREDITORS'!$AE$69)</f>
        <v/>
      </c>
      <c r="M623" t="inlineStr">
        <is>
          <t>FINANCIAL</t>
        </is>
      </c>
      <c r="N623" t="inlineStr">
        <is>
          <t>FINANCIAL CREDITORS · row 69</t>
        </is>
      </c>
    </row>
    <row r="624">
      <c r="A624">
        <f>IF('FINANCIAL CREDITORS'!$A$70="","",'FINANCIAL CREDITORS'!$A$70)</f>
        <v/>
      </c>
      <c r="B624">
        <f>IF('FINANCIAL CREDITORS'!$C$70="","",'FINANCIAL CREDITORS'!$C$70)</f>
        <v/>
      </c>
      <c r="C624">
        <f>'FINANCIAL CREDITORS'!$U$70</f>
        <v/>
      </c>
      <c r="D624">
        <f>'FINANCIAL CREDITORS'!$Y$70</f>
        <v/>
      </c>
      <c r="E624">
        <f>'FINANCIAL CREDITORS'!$AC$70</f>
        <v/>
      </c>
      <c r="F624">
        <f>IF('FINANCIAL CREDITORS'!$V$70="","",'FINANCIAL CREDITORS'!$V$70)</f>
        <v/>
      </c>
      <c r="G624">
        <f>IF('FINANCIAL CREDITORS'!$D$70="","",'FINANCIAL CREDITORS'!$D$70)</f>
        <v/>
      </c>
      <c r="H624">
        <f>IF('FINANCIAL CREDITORS'!$G$70="","",'FINANCIAL CREDITORS'!$G$70)</f>
        <v/>
      </c>
      <c r="I624">
        <f>IF('FINANCIAL CREDITORS'!$AT$70="","",'FINANCIAL CREDITORS'!$AT$70)</f>
        <v/>
      </c>
      <c r="J624">
        <f>IF('FINANCIAL CREDITORS'!$AX$70="","",'FINANCIAL CREDITORS'!$AX$70)</f>
        <v/>
      </c>
      <c r="K624">
        <f>IF('FINANCIAL CREDITORS'!$N$70="","",'FINANCIAL CREDITORS'!$N$70)</f>
        <v/>
      </c>
      <c r="L624">
        <f>IF('FINANCIAL CREDITORS'!$AE$70="","",'FINANCIAL CREDITORS'!$AE$70)</f>
        <v/>
      </c>
      <c r="M624" t="inlineStr">
        <is>
          <t>FINANCIAL</t>
        </is>
      </c>
      <c r="N624" t="inlineStr">
        <is>
          <t>FINANCIAL CREDITORS · row 70</t>
        </is>
      </c>
    </row>
    <row r="625">
      <c r="A625">
        <f>IF('FINANCIAL CREDITORS'!$A$71="","",'FINANCIAL CREDITORS'!$A$71)</f>
        <v/>
      </c>
      <c r="B625">
        <f>IF('FINANCIAL CREDITORS'!$C$71="","",'FINANCIAL CREDITORS'!$C$71)</f>
        <v/>
      </c>
      <c r="C625">
        <f>'FINANCIAL CREDITORS'!$U$71</f>
        <v/>
      </c>
      <c r="D625">
        <f>'FINANCIAL CREDITORS'!$Y$71</f>
        <v/>
      </c>
      <c r="E625">
        <f>'FINANCIAL CREDITORS'!$AC$71</f>
        <v/>
      </c>
      <c r="F625">
        <f>IF('FINANCIAL CREDITORS'!$V$71="","",'FINANCIAL CREDITORS'!$V$71)</f>
        <v/>
      </c>
      <c r="G625">
        <f>IF('FINANCIAL CREDITORS'!$D$71="","",'FINANCIAL CREDITORS'!$D$71)</f>
        <v/>
      </c>
      <c r="H625">
        <f>IF('FINANCIAL CREDITORS'!$G$71="","",'FINANCIAL CREDITORS'!$G$71)</f>
        <v/>
      </c>
      <c r="I625">
        <f>IF('FINANCIAL CREDITORS'!$AT$71="","",'FINANCIAL CREDITORS'!$AT$71)</f>
        <v/>
      </c>
      <c r="J625">
        <f>IF('FINANCIAL CREDITORS'!$AX$71="","",'FINANCIAL CREDITORS'!$AX$71)</f>
        <v/>
      </c>
      <c r="K625">
        <f>IF('FINANCIAL CREDITORS'!$N$71="","",'FINANCIAL CREDITORS'!$N$71)</f>
        <v/>
      </c>
      <c r="L625">
        <f>IF('FINANCIAL CREDITORS'!$AE$71="","",'FINANCIAL CREDITORS'!$AE$71)</f>
        <v/>
      </c>
      <c r="M625" t="inlineStr">
        <is>
          <t>FINANCIAL</t>
        </is>
      </c>
      <c r="N625" t="inlineStr">
        <is>
          <t>FINANCIAL CREDITORS · row 71</t>
        </is>
      </c>
    </row>
    <row r="626">
      <c r="A626">
        <f>IF('FINANCIAL CREDITORS'!$A$72="","",'FINANCIAL CREDITORS'!$A$72)</f>
        <v/>
      </c>
      <c r="B626">
        <f>IF('FINANCIAL CREDITORS'!$C$72="","",'FINANCIAL CREDITORS'!$C$72)</f>
        <v/>
      </c>
      <c r="C626">
        <f>'FINANCIAL CREDITORS'!$U$72</f>
        <v/>
      </c>
      <c r="D626">
        <f>'FINANCIAL CREDITORS'!$Y$72</f>
        <v/>
      </c>
      <c r="E626">
        <f>'FINANCIAL CREDITORS'!$AC$72</f>
        <v/>
      </c>
      <c r="F626">
        <f>IF('FINANCIAL CREDITORS'!$V$72="","",'FINANCIAL CREDITORS'!$V$72)</f>
        <v/>
      </c>
      <c r="G626">
        <f>IF('FINANCIAL CREDITORS'!$D$72="","",'FINANCIAL CREDITORS'!$D$72)</f>
        <v/>
      </c>
      <c r="H626">
        <f>IF('FINANCIAL CREDITORS'!$G$72="","",'FINANCIAL CREDITORS'!$G$72)</f>
        <v/>
      </c>
      <c r="I626">
        <f>IF('FINANCIAL CREDITORS'!$AT$72="","",'FINANCIAL CREDITORS'!$AT$72)</f>
        <v/>
      </c>
      <c r="J626">
        <f>IF('FINANCIAL CREDITORS'!$AX$72="","",'FINANCIAL CREDITORS'!$AX$72)</f>
        <v/>
      </c>
      <c r="K626">
        <f>IF('FINANCIAL CREDITORS'!$N$72="","",'FINANCIAL CREDITORS'!$N$72)</f>
        <v/>
      </c>
      <c r="L626">
        <f>IF('FINANCIAL CREDITORS'!$AE$72="","",'FINANCIAL CREDITORS'!$AE$72)</f>
        <v/>
      </c>
      <c r="M626" t="inlineStr">
        <is>
          <t>FINANCIAL</t>
        </is>
      </c>
      <c r="N626" t="inlineStr">
        <is>
          <t>FINANCIAL CREDITORS · row 72</t>
        </is>
      </c>
    </row>
    <row r="627">
      <c r="A627">
        <f>IF('FINANCIAL CREDITORS'!$A$73="","",'FINANCIAL CREDITORS'!$A$73)</f>
        <v/>
      </c>
      <c r="B627">
        <f>IF('FINANCIAL CREDITORS'!$C$73="","",'FINANCIAL CREDITORS'!$C$73)</f>
        <v/>
      </c>
      <c r="C627">
        <f>'FINANCIAL CREDITORS'!$U$73</f>
        <v/>
      </c>
      <c r="D627">
        <f>'FINANCIAL CREDITORS'!$Y$73</f>
        <v/>
      </c>
      <c r="E627">
        <f>'FINANCIAL CREDITORS'!$AC$73</f>
        <v/>
      </c>
      <c r="F627">
        <f>IF('FINANCIAL CREDITORS'!$V$73="","",'FINANCIAL CREDITORS'!$V$73)</f>
        <v/>
      </c>
      <c r="G627">
        <f>IF('FINANCIAL CREDITORS'!$D$73="","",'FINANCIAL CREDITORS'!$D$73)</f>
        <v/>
      </c>
      <c r="H627">
        <f>IF('FINANCIAL CREDITORS'!$G$73="","",'FINANCIAL CREDITORS'!$G$73)</f>
        <v/>
      </c>
      <c r="I627">
        <f>IF('FINANCIAL CREDITORS'!$AT$73="","",'FINANCIAL CREDITORS'!$AT$73)</f>
        <v/>
      </c>
      <c r="J627">
        <f>IF('FINANCIAL CREDITORS'!$AX$73="","",'FINANCIAL CREDITORS'!$AX$73)</f>
        <v/>
      </c>
      <c r="K627">
        <f>IF('FINANCIAL CREDITORS'!$N$73="","",'FINANCIAL CREDITORS'!$N$73)</f>
        <v/>
      </c>
      <c r="L627">
        <f>IF('FINANCIAL CREDITORS'!$AE$73="","",'FINANCIAL CREDITORS'!$AE$73)</f>
        <v/>
      </c>
      <c r="M627" t="inlineStr">
        <is>
          <t>FINANCIAL</t>
        </is>
      </c>
      <c r="N627" t="inlineStr">
        <is>
          <t>FINANCIAL CREDITORS · row 73</t>
        </is>
      </c>
    </row>
    <row r="628">
      <c r="A628">
        <f>IF('FINANCIAL CREDITORS'!$A$74="","",'FINANCIAL CREDITORS'!$A$74)</f>
        <v/>
      </c>
      <c r="B628">
        <f>IF('FINANCIAL CREDITORS'!$C$74="","",'FINANCIAL CREDITORS'!$C$74)</f>
        <v/>
      </c>
      <c r="C628">
        <f>'FINANCIAL CREDITORS'!$U$74</f>
        <v/>
      </c>
      <c r="D628">
        <f>'FINANCIAL CREDITORS'!$Y$74</f>
        <v/>
      </c>
      <c r="E628">
        <f>'FINANCIAL CREDITORS'!$AC$74</f>
        <v/>
      </c>
      <c r="F628">
        <f>IF('FINANCIAL CREDITORS'!$V$74="","",'FINANCIAL CREDITORS'!$V$74)</f>
        <v/>
      </c>
      <c r="G628">
        <f>IF('FINANCIAL CREDITORS'!$D$74="","",'FINANCIAL CREDITORS'!$D$74)</f>
        <v/>
      </c>
      <c r="H628">
        <f>IF('FINANCIAL CREDITORS'!$G$74="","",'FINANCIAL CREDITORS'!$G$74)</f>
        <v/>
      </c>
      <c r="I628">
        <f>IF('FINANCIAL CREDITORS'!$AT$74="","",'FINANCIAL CREDITORS'!$AT$74)</f>
        <v/>
      </c>
      <c r="J628">
        <f>IF('FINANCIAL CREDITORS'!$AX$74="","",'FINANCIAL CREDITORS'!$AX$74)</f>
        <v/>
      </c>
      <c r="K628">
        <f>IF('FINANCIAL CREDITORS'!$N$74="","",'FINANCIAL CREDITORS'!$N$74)</f>
        <v/>
      </c>
      <c r="L628">
        <f>IF('FINANCIAL CREDITORS'!$AE$74="","",'FINANCIAL CREDITORS'!$AE$74)</f>
        <v/>
      </c>
      <c r="M628" t="inlineStr">
        <is>
          <t>FINANCIAL</t>
        </is>
      </c>
      <c r="N628" t="inlineStr">
        <is>
          <t>FINANCIAL CREDITORS · row 74</t>
        </is>
      </c>
    </row>
    <row r="629">
      <c r="A629">
        <f>IF('FINANCIAL CREDITORS'!$A$75="","",'FINANCIAL CREDITORS'!$A$75)</f>
        <v/>
      </c>
      <c r="B629">
        <f>IF('FINANCIAL CREDITORS'!$C$75="","",'FINANCIAL CREDITORS'!$C$75)</f>
        <v/>
      </c>
      <c r="C629">
        <f>'FINANCIAL CREDITORS'!$U$75</f>
        <v/>
      </c>
      <c r="D629">
        <f>'FINANCIAL CREDITORS'!$Y$75</f>
        <v/>
      </c>
      <c r="E629">
        <f>'FINANCIAL CREDITORS'!$AC$75</f>
        <v/>
      </c>
      <c r="F629">
        <f>IF('FINANCIAL CREDITORS'!$V$75="","",'FINANCIAL CREDITORS'!$V$75)</f>
        <v/>
      </c>
      <c r="G629">
        <f>IF('FINANCIAL CREDITORS'!$D$75="","",'FINANCIAL CREDITORS'!$D$75)</f>
        <v/>
      </c>
      <c r="H629">
        <f>IF('FINANCIAL CREDITORS'!$G$75="","",'FINANCIAL CREDITORS'!$G$75)</f>
        <v/>
      </c>
      <c r="I629">
        <f>IF('FINANCIAL CREDITORS'!$AT$75="","",'FINANCIAL CREDITORS'!$AT$75)</f>
        <v/>
      </c>
      <c r="J629">
        <f>IF('FINANCIAL CREDITORS'!$AX$75="","",'FINANCIAL CREDITORS'!$AX$75)</f>
        <v/>
      </c>
      <c r="K629">
        <f>IF('FINANCIAL CREDITORS'!$N$75="","",'FINANCIAL CREDITORS'!$N$75)</f>
        <v/>
      </c>
      <c r="L629">
        <f>IF('FINANCIAL CREDITORS'!$AE$75="","",'FINANCIAL CREDITORS'!$AE$75)</f>
        <v/>
      </c>
      <c r="M629" t="inlineStr">
        <is>
          <t>FINANCIAL</t>
        </is>
      </c>
      <c r="N629" t="inlineStr">
        <is>
          <t>FINANCIAL CREDITORS · row 75</t>
        </is>
      </c>
    </row>
    <row r="630">
      <c r="A630">
        <f>IF('FINANCIAL CREDITORS'!$A$76="","",'FINANCIAL CREDITORS'!$A$76)</f>
        <v/>
      </c>
      <c r="B630">
        <f>IF('FINANCIAL CREDITORS'!$C$76="","",'FINANCIAL CREDITORS'!$C$76)</f>
        <v/>
      </c>
      <c r="C630">
        <f>'FINANCIAL CREDITORS'!$U$76</f>
        <v/>
      </c>
      <c r="D630">
        <f>'FINANCIAL CREDITORS'!$Y$76</f>
        <v/>
      </c>
      <c r="E630">
        <f>'FINANCIAL CREDITORS'!$AC$76</f>
        <v/>
      </c>
      <c r="F630">
        <f>IF('FINANCIAL CREDITORS'!$V$76="","",'FINANCIAL CREDITORS'!$V$76)</f>
        <v/>
      </c>
      <c r="G630">
        <f>IF('FINANCIAL CREDITORS'!$D$76="","",'FINANCIAL CREDITORS'!$D$76)</f>
        <v/>
      </c>
      <c r="H630">
        <f>IF('FINANCIAL CREDITORS'!$G$76="","",'FINANCIAL CREDITORS'!$G$76)</f>
        <v/>
      </c>
      <c r="I630">
        <f>IF('FINANCIAL CREDITORS'!$AT$76="","",'FINANCIAL CREDITORS'!$AT$76)</f>
        <v/>
      </c>
      <c r="J630">
        <f>IF('FINANCIAL CREDITORS'!$AX$76="","",'FINANCIAL CREDITORS'!$AX$76)</f>
        <v/>
      </c>
      <c r="K630">
        <f>IF('FINANCIAL CREDITORS'!$N$76="","",'FINANCIAL CREDITORS'!$N$76)</f>
        <v/>
      </c>
      <c r="L630">
        <f>IF('FINANCIAL CREDITORS'!$AE$76="","",'FINANCIAL CREDITORS'!$AE$76)</f>
        <v/>
      </c>
      <c r="M630" t="inlineStr">
        <is>
          <t>FINANCIAL</t>
        </is>
      </c>
      <c r="N630" t="inlineStr">
        <is>
          <t>FINANCIAL CREDITORS · row 76</t>
        </is>
      </c>
    </row>
    <row r="631">
      <c r="A631">
        <f>IF('FINANCIAL CREDITORS'!$A$77="","",'FINANCIAL CREDITORS'!$A$77)</f>
        <v/>
      </c>
      <c r="B631">
        <f>IF('FINANCIAL CREDITORS'!$C$77="","",'FINANCIAL CREDITORS'!$C$77)</f>
        <v/>
      </c>
      <c r="C631">
        <f>'FINANCIAL CREDITORS'!$U$77</f>
        <v/>
      </c>
      <c r="D631">
        <f>'FINANCIAL CREDITORS'!$Y$77</f>
        <v/>
      </c>
      <c r="E631">
        <f>'FINANCIAL CREDITORS'!$AC$77</f>
        <v/>
      </c>
      <c r="F631">
        <f>IF('FINANCIAL CREDITORS'!$V$77="","",'FINANCIAL CREDITORS'!$V$77)</f>
        <v/>
      </c>
      <c r="G631">
        <f>IF('FINANCIAL CREDITORS'!$D$77="","",'FINANCIAL CREDITORS'!$D$77)</f>
        <v/>
      </c>
      <c r="H631">
        <f>IF('FINANCIAL CREDITORS'!$G$77="","",'FINANCIAL CREDITORS'!$G$77)</f>
        <v/>
      </c>
      <c r="I631">
        <f>IF('FINANCIAL CREDITORS'!$AT$77="","",'FINANCIAL CREDITORS'!$AT$77)</f>
        <v/>
      </c>
      <c r="J631">
        <f>IF('FINANCIAL CREDITORS'!$AX$77="","",'FINANCIAL CREDITORS'!$AX$77)</f>
        <v/>
      </c>
      <c r="K631">
        <f>IF('FINANCIAL CREDITORS'!$N$77="","",'FINANCIAL CREDITORS'!$N$77)</f>
        <v/>
      </c>
      <c r="L631">
        <f>IF('FINANCIAL CREDITORS'!$AE$77="","",'FINANCIAL CREDITORS'!$AE$77)</f>
        <v/>
      </c>
      <c r="M631" t="inlineStr">
        <is>
          <t>FINANCIAL</t>
        </is>
      </c>
      <c r="N631" t="inlineStr">
        <is>
          <t>FINANCIAL CREDITORS · row 77</t>
        </is>
      </c>
    </row>
    <row r="632">
      <c r="A632">
        <f>IF('FINANCIAL CREDITORS'!$A$78="","",'FINANCIAL CREDITORS'!$A$78)</f>
        <v/>
      </c>
      <c r="B632">
        <f>IF('FINANCIAL CREDITORS'!$C$78="","",'FINANCIAL CREDITORS'!$C$78)</f>
        <v/>
      </c>
      <c r="C632">
        <f>'FINANCIAL CREDITORS'!$U$78</f>
        <v/>
      </c>
      <c r="D632">
        <f>'FINANCIAL CREDITORS'!$Y$78</f>
        <v/>
      </c>
      <c r="E632">
        <f>'FINANCIAL CREDITORS'!$AC$78</f>
        <v/>
      </c>
      <c r="F632">
        <f>IF('FINANCIAL CREDITORS'!$V$78="","",'FINANCIAL CREDITORS'!$V$78)</f>
        <v/>
      </c>
      <c r="G632">
        <f>IF('FINANCIAL CREDITORS'!$D$78="","",'FINANCIAL CREDITORS'!$D$78)</f>
        <v/>
      </c>
      <c r="H632">
        <f>IF('FINANCIAL CREDITORS'!$G$78="","",'FINANCIAL CREDITORS'!$G$78)</f>
        <v/>
      </c>
      <c r="I632">
        <f>IF('FINANCIAL CREDITORS'!$AT$78="","",'FINANCIAL CREDITORS'!$AT$78)</f>
        <v/>
      </c>
      <c r="J632">
        <f>IF('FINANCIAL CREDITORS'!$AX$78="","",'FINANCIAL CREDITORS'!$AX$78)</f>
        <v/>
      </c>
      <c r="K632">
        <f>IF('FINANCIAL CREDITORS'!$N$78="","",'FINANCIAL CREDITORS'!$N$78)</f>
        <v/>
      </c>
      <c r="L632">
        <f>IF('FINANCIAL CREDITORS'!$AE$78="","",'FINANCIAL CREDITORS'!$AE$78)</f>
        <v/>
      </c>
      <c r="M632" t="inlineStr">
        <is>
          <t>FINANCIAL</t>
        </is>
      </c>
      <c r="N632" t="inlineStr">
        <is>
          <t>FINANCIAL CREDITORS · row 78</t>
        </is>
      </c>
    </row>
    <row r="633">
      <c r="A633">
        <f>IF('FINANCIAL CREDITORS'!$A$79="","",'FINANCIAL CREDITORS'!$A$79)</f>
        <v/>
      </c>
      <c r="B633">
        <f>IF('FINANCIAL CREDITORS'!$C$79="","",'FINANCIAL CREDITORS'!$C$79)</f>
        <v/>
      </c>
      <c r="C633">
        <f>'FINANCIAL CREDITORS'!$U$79</f>
        <v/>
      </c>
      <c r="D633">
        <f>'FINANCIAL CREDITORS'!$Y$79</f>
        <v/>
      </c>
      <c r="E633">
        <f>'FINANCIAL CREDITORS'!$AC$79</f>
        <v/>
      </c>
      <c r="F633">
        <f>IF('FINANCIAL CREDITORS'!$V$79="","",'FINANCIAL CREDITORS'!$V$79)</f>
        <v/>
      </c>
      <c r="G633">
        <f>IF('FINANCIAL CREDITORS'!$D$79="","",'FINANCIAL CREDITORS'!$D$79)</f>
        <v/>
      </c>
      <c r="H633">
        <f>IF('FINANCIAL CREDITORS'!$G$79="","",'FINANCIAL CREDITORS'!$G$79)</f>
        <v/>
      </c>
      <c r="I633">
        <f>IF('FINANCIAL CREDITORS'!$AT$79="","",'FINANCIAL CREDITORS'!$AT$79)</f>
        <v/>
      </c>
      <c r="J633">
        <f>IF('FINANCIAL CREDITORS'!$AX$79="","",'FINANCIAL CREDITORS'!$AX$79)</f>
        <v/>
      </c>
      <c r="K633">
        <f>IF('FINANCIAL CREDITORS'!$N$79="","",'FINANCIAL CREDITORS'!$N$79)</f>
        <v/>
      </c>
      <c r="L633">
        <f>IF('FINANCIAL CREDITORS'!$AE$79="","",'FINANCIAL CREDITORS'!$AE$79)</f>
        <v/>
      </c>
      <c r="M633" t="inlineStr">
        <is>
          <t>FINANCIAL</t>
        </is>
      </c>
      <c r="N633" t="inlineStr">
        <is>
          <t>FINANCIAL CREDITORS · row 79</t>
        </is>
      </c>
    </row>
    <row r="634">
      <c r="A634">
        <f>IF('FINANCIAL CREDITORS'!$A$80="","",'FINANCIAL CREDITORS'!$A$80)</f>
        <v/>
      </c>
      <c r="B634">
        <f>IF('FINANCIAL CREDITORS'!$C$80="","",'FINANCIAL CREDITORS'!$C$80)</f>
        <v/>
      </c>
      <c r="C634">
        <f>'FINANCIAL CREDITORS'!$U$80</f>
        <v/>
      </c>
      <c r="D634">
        <f>'FINANCIAL CREDITORS'!$Y$80</f>
        <v/>
      </c>
      <c r="E634">
        <f>'FINANCIAL CREDITORS'!$AC$80</f>
        <v/>
      </c>
      <c r="F634">
        <f>IF('FINANCIAL CREDITORS'!$V$80="","",'FINANCIAL CREDITORS'!$V$80)</f>
        <v/>
      </c>
      <c r="G634">
        <f>IF('FINANCIAL CREDITORS'!$D$80="","",'FINANCIAL CREDITORS'!$D$80)</f>
        <v/>
      </c>
      <c r="H634">
        <f>IF('FINANCIAL CREDITORS'!$G$80="","",'FINANCIAL CREDITORS'!$G$80)</f>
        <v/>
      </c>
      <c r="I634">
        <f>IF('FINANCIAL CREDITORS'!$AT$80="","",'FINANCIAL CREDITORS'!$AT$80)</f>
        <v/>
      </c>
      <c r="J634">
        <f>IF('FINANCIAL CREDITORS'!$AX$80="","",'FINANCIAL CREDITORS'!$AX$80)</f>
        <v/>
      </c>
      <c r="K634">
        <f>IF('FINANCIAL CREDITORS'!$N$80="","",'FINANCIAL CREDITORS'!$N$80)</f>
        <v/>
      </c>
      <c r="L634">
        <f>IF('FINANCIAL CREDITORS'!$AE$80="","",'FINANCIAL CREDITORS'!$AE$80)</f>
        <v/>
      </c>
      <c r="M634" t="inlineStr">
        <is>
          <t>FINANCIAL</t>
        </is>
      </c>
      <c r="N634" t="inlineStr">
        <is>
          <t>FINANCIAL CREDITORS · row 80</t>
        </is>
      </c>
    </row>
    <row r="635">
      <c r="A635">
        <f>IF('FINANCIAL CREDITORS'!$A$81="","",'FINANCIAL CREDITORS'!$A$81)</f>
        <v/>
      </c>
      <c r="B635">
        <f>IF('FINANCIAL CREDITORS'!$C$81="","",'FINANCIAL CREDITORS'!$C$81)</f>
        <v/>
      </c>
      <c r="C635">
        <f>'FINANCIAL CREDITORS'!$U$81</f>
        <v/>
      </c>
      <c r="D635">
        <f>'FINANCIAL CREDITORS'!$Y$81</f>
        <v/>
      </c>
      <c r="E635">
        <f>'FINANCIAL CREDITORS'!$AC$81</f>
        <v/>
      </c>
      <c r="F635">
        <f>IF('FINANCIAL CREDITORS'!$V$81="","",'FINANCIAL CREDITORS'!$V$81)</f>
        <v/>
      </c>
      <c r="G635">
        <f>IF('FINANCIAL CREDITORS'!$D$81="","",'FINANCIAL CREDITORS'!$D$81)</f>
        <v/>
      </c>
      <c r="H635">
        <f>IF('FINANCIAL CREDITORS'!$G$81="","",'FINANCIAL CREDITORS'!$G$81)</f>
        <v/>
      </c>
      <c r="I635">
        <f>IF('FINANCIAL CREDITORS'!$AT$81="","",'FINANCIAL CREDITORS'!$AT$81)</f>
        <v/>
      </c>
      <c r="J635">
        <f>IF('FINANCIAL CREDITORS'!$AX$81="","",'FINANCIAL CREDITORS'!$AX$81)</f>
        <v/>
      </c>
      <c r="K635">
        <f>IF('FINANCIAL CREDITORS'!$N$81="","",'FINANCIAL CREDITORS'!$N$81)</f>
        <v/>
      </c>
      <c r="L635">
        <f>IF('FINANCIAL CREDITORS'!$AE$81="","",'FINANCIAL CREDITORS'!$AE$81)</f>
        <v/>
      </c>
      <c r="M635" t="inlineStr">
        <is>
          <t>FINANCIAL</t>
        </is>
      </c>
      <c r="N635" t="inlineStr">
        <is>
          <t>FINANCIAL CREDITORS · row 81</t>
        </is>
      </c>
    </row>
    <row r="636">
      <c r="A636">
        <f>IF('FINANCIAL CREDITORS'!$A$82="","",'FINANCIAL CREDITORS'!$A$82)</f>
        <v/>
      </c>
      <c r="B636">
        <f>IF('FINANCIAL CREDITORS'!$C$82="","",'FINANCIAL CREDITORS'!$C$82)</f>
        <v/>
      </c>
      <c r="C636">
        <f>'FINANCIAL CREDITORS'!$U$82</f>
        <v/>
      </c>
      <c r="D636">
        <f>'FINANCIAL CREDITORS'!$Y$82</f>
        <v/>
      </c>
      <c r="E636">
        <f>'FINANCIAL CREDITORS'!$AC$82</f>
        <v/>
      </c>
      <c r="F636">
        <f>IF('FINANCIAL CREDITORS'!$V$82="","",'FINANCIAL CREDITORS'!$V$82)</f>
        <v/>
      </c>
      <c r="G636">
        <f>IF('FINANCIAL CREDITORS'!$D$82="","",'FINANCIAL CREDITORS'!$D$82)</f>
        <v/>
      </c>
      <c r="H636">
        <f>IF('FINANCIAL CREDITORS'!$G$82="","",'FINANCIAL CREDITORS'!$G$82)</f>
        <v/>
      </c>
      <c r="I636">
        <f>IF('FINANCIAL CREDITORS'!$AT$82="","",'FINANCIAL CREDITORS'!$AT$82)</f>
        <v/>
      </c>
      <c r="J636">
        <f>IF('FINANCIAL CREDITORS'!$AX$82="","",'FINANCIAL CREDITORS'!$AX$82)</f>
        <v/>
      </c>
      <c r="K636">
        <f>IF('FINANCIAL CREDITORS'!$N$82="","",'FINANCIAL CREDITORS'!$N$82)</f>
        <v/>
      </c>
      <c r="L636">
        <f>IF('FINANCIAL CREDITORS'!$AE$82="","",'FINANCIAL CREDITORS'!$AE$82)</f>
        <v/>
      </c>
      <c r="M636" t="inlineStr">
        <is>
          <t>FINANCIAL</t>
        </is>
      </c>
      <c r="N636" t="inlineStr">
        <is>
          <t>FINANCIAL CREDITORS · row 82</t>
        </is>
      </c>
    </row>
    <row r="637">
      <c r="A637">
        <f>IF('FINANCIAL CREDITORS'!$A$83="","",'FINANCIAL CREDITORS'!$A$83)</f>
        <v/>
      </c>
      <c r="B637">
        <f>IF('FINANCIAL CREDITORS'!$C$83="","",'FINANCIAL CREDITORS'!$C$83)</f>
        <v/>
      </c>
      <c r="C637">
        <f>'FINANCIAL CREDITORS'!$U$83</f>
        <v/>
      </c>
      <c r="D637">
        <f>'FINANCIAL CREDITORS'!$Y$83</f>
        <v/>
      </c>
      <c r="E637">
        <f>'FINANCIAL CREDITORS'!$AC$83</f>
        <v/>
      </c>
      <c r="F637">
        <f>IF('FINANCIAL CREDITORS'!$V$83="","",'FINANCIAL CREDITORS'!$V$83)</f>
        <v/>
      </c>
      <c r="G637">
        <f>IF('FINANCIAL CREDITORS'!$D$83="","",'FINANCIAL CREDITORS'!$D$83)</f>
        <v/>
      </c>
      <c r="H637">
        <f>IF('FINANCIAL CREDITORS'!$G$83="","",'FINANCIAL CREDITORS'!$G$83)</f>
        <v/>
      </c>
      <c r="I637">
        <f>IF('FINANCIAL CREDITORS'!$AT$83="","",'FINANCIAL CREDITORS'!$AT$83)</f>
        <v/>
      </c>
      <c r="J637">
        <f>IF('FINANCIAL CREDITORS'!$AX$83="","",'FINANCIAL CREDITORS'!$AX$83)</f>
        <v/>
      </c>
      <c r="K637">
        <f>IF('FINANCIAL CREDITORS'!$N$83="","",'FINANCIAL CREDITORS'!$N$83)</f>
        <v/>
      </c>
      <c r="L637">
        <f>IF('FINANCIAL CREDITORS'!$AE$83="","",'FINANCIAL CREDITORS'!$AE$83)</f>
        <v/>
      </c>
      <c r="M637" t="inlineStr">
        <is>
          <t>FINANCIAL</t>
        </is>
      </c>
      <c r="N637" t="inlineStr">
        <is>
          <t>FINANCIAL CREDITORS · row 83</t>
        </is>
      </c>
    </row>
    <row r="638">
      <c r="A638">
        <f>IF('FINANCIAL CREDITORS'!$A$84="","",'FINANCIAL CREDITORS'!$A$84)</f>
        <v/>
      </c>
      <c r="B638">
        <f>IF('FINANCIAL CREDITORS'!$C$84="","",'FINANCIAL CREDITORS'!$C$84)</f>
        <v/>
      </c>
      <c r="C638">
        <f>'FINANCIAL CREDITORS'!$U$84</f>
        <v/>
      </c>
      <c r="D638">
        <f>'FINANCIAL CREDITORS'!$Y$84</f>
        <v/>
      </c>
      <c r="E638">
        <f>'FINANCIAL CREDITORS'!$AC$84</f>
        <v/>
      </c>
      <c r="F638">
        <f>IF('FINANCIAL CREDITORS'!$V$84="","",'FINANCIAL CREDITORS'!$V$84)</f>
        <v/>
      </c>
      <c r="G638">
        <f>IF('FINANCIAL CREDITORS'!$D$84="","",'FINANCIAL CREDITORS'!$D$84)</f>
        <v/>
      </c>
      <c r="H638">
        <f>IF('FINANCIAL CREDITORS'!$G$84="","",'FINANCIAL CREDITORS'!$G$84)</f>
        <v/>
      </c>
      <c r="I638">
        <f>IF('FINANCIAL CREDITORS'!$AT$84="","",'FINANCIAL CREDITORS'!$AT$84)</f>
        <v/>
      </c>
      <c r="J638">
        <f>IF('FINANCIAL CREDITORS'!$AX$84="","",'FINANCIAL CREDITORS'!$AX$84)</f>
        <v/>
      </c>
      <c r="K638">
        <f>IF('FINANCIAL CREDITORS'!$N$84="","",'FINANCIAL CREDITORS'!$N$84)</f>
        <v/>
      </c>
      <c r="L638">
        <f>IF('FINANCIAL CREDITORS'!$AE$84="","",'FINANCIAL CREDITORS'!$AE$84)</f>
        <v/>
      </c>
      <c r="M638" t="inlineStr">
        <is>
          <t>FINANCIAL</t>
        </is>
      </c>
      <c r="N638" t="inlineStr">
        <is>
          <t>FINANCIAL CREDITORS · row 84</t>
        </is>
      </c>
    </row>
    <row r="639">
      <c r="A639">
        <f>IF('FINANCIAL CREDITORS'!$A$85="","",'FINANCIAL CREDITORS'!$A$85)</f>
        <v/>
      </c>
      <c r="B639">
        <f>IF('FINANCIAL CREDITORS'!$C$85="","",'FINANCIAL CREDITORS'!$C$85)</f>
        <v/>
      </c>
      <c r="C639">
        <f>'FINANCIAL CREDITORS'!$U$85</f>
        <v/>
      </c>
      <c r="D639">
        <f>'FINANCIAL CREDITORS'!$Y$85</f>
        <v/>
      </c>
      <c r="E639">
        <f>'FINANCIAL CREDITORS'!$AC$85</f>
        <v/>
      </c>
      <c r="F639">
        <f>IF('FINANCIAL CREDITORS'!$V$85="","",'FINANCIAL CREDITORS'!$V$85)</f>
        <v/>
      </c>
      <c r="G639">
        <f>IF('FINANCIAL CREDITORS'!$D$85="","",'FINANCIAL CREDITORS'!$D$85)</f>
        <v/>
      </c>
      <c r="H639">
        <f>IF('FINANCIAL CREDITORS'!$G$85="","",'FINANCIAL CREDITORS'!$G$85)</f>
        <v/>
      </c>
      <c r="I639">
        <f>IF('FINANCIAL CREDITORS'!$AT$85="","",'FINANCIAL CREDITORS'!$AT$85)</f>
        <v/>
      </c>
      <c r="J639">
        <f>IF('FINANCIAL CREDITORS'!$AX$85="","",'FINANCIAL CREDITORS'!$AX$85)</f>
        <v/>
      </c>
      <c r="K639">
        <f>IF('FINANCIAL CREDITORS'!$N$85="","",'FINANCIAL CREDITORS'!$N$85)</f>
        <v/>
      </c>
      <c r="L639">
        <f>IF('FINANCIAL CREDITORS'!$AE$85="","",'FINANCIAL CREDITORS'!$AE$85)</f>
        <v/>
      </c>
      <c r="M639" t="inlineStr">
        <is>
          <t>FINANCIAL</t>
        </is>
      </c>
      <c r="N639" t="inlineStr">
        <is>
          <t>FINANCIAL CREDITORS · row 85</t>
        </is>
      </c>
    </row>
    <row r="640">
      <c r="A640">
        <f>IF('FINANCIAL CREDITORS'!$A$86="","",'FINANCIAL CREDITORS'!$A$86)</f>
        <v/>
      </c>
      <c r="B640">
        <f>IF('FINANCIAL CREDITORS'!$C$86="","",'FINANCIAL CREDITORS'!$C$86)</f>
        <v/>
      </c>
      <c r="C640">
        <f>'FINANCIAL CREDITORS'!$U$86</f>
        <v/>
      </c>
      <c r="D640">
        <f>'FINANCIAL CREDITORS'!$Y$86</f>
        <v/>
      </c>
      <c r="E640">
        <f>'FINANCIAL CREDITORS'!$AC$86</f>
        <v/>
      </c>
      <c r="F640">
        <f>IF('FINANCIAL CREDITORS'!$V$86="","",'FINANCIAL CREDITORS'!$V$86)</f>
        <v/>
      </c>
      <c r="G640">
        <f>IF('FINANCIAL CREDITORS'!$D$86="","",'FINANCIAL CREDITORS'!$D$86)</f>
        <v/>
      </c>
      <c r="H640">
        <f>IF('FINANCIAL CREDITORS'!$G$86="","",'FINANCIAL CREDITORS'!$G$86)</f>
        <v/>
      </c>
      <c r="I640">
        <f>IF('FINANCIAL CREDITORS'!$AT$86="","",'FINANCIAL CREDITORS'!$AT$86)</f>
        <v/>
      </c>
      <c r="J640">
        <f>IF('FINANCIAL CREDITORS'!$AX$86="","",'FINANCIAL CREDITORS'!$AX$86)</f>
        <v/>
      </c>
      <c r="K640">
        <f>IF('FINANCIAL CREDITORS'!$N$86="","",'FINANCIAL CREDITORS'!$N$86)</f>
        <v/>
      </c>
      <c r="L640">
        <f>IF('FINANCIAL CREDITORS'!$AE$86="","",'FINANCIAL CREDITORS'!$AE$86)</f>
        <v/>
      </c>
      <c r="M640" t="inlineStr">
        <is>
          <t>FINANCIAL</t>
        </is>
      </c>
      <c r="N640" t="inlineStr">
        <is>
          <t>FINANCIAL CREDITORS · row 86</t>
        </is>
      </c>
    </row>
    <row r="641">
      <c r="A641">
        <f>IF('FINANCIAL CREDITORS'!$A$87="","",'FINANCIAL CREDITORS'!$A$87)</f>
        <v/>
      </c>
      <c r="B641">
        <f>IF('FINANCIAL CREDITORS'!$C$87="","",'FINANCIAL CREDITORS'!$C$87)</f>
        <v/>
      </c>
      <c r="C641">
        <f>'FINANCIAL CREDITORS'!$U$87</f>
        <v/>
      </c>
      <c r="D641">
        <f>'FINANCIAL CREDITORS'!$Y$87</f>
        <v/>
      </c>
      <c r="E641">
        <f>'FINANCIAL CREDITORS'!$AC$87</f>
        <v/>
      </c>
      <c r="F641">
        <f>IF('FINANCIAL CREDITORS'!$V$87="","",'FINANCIAL CREDITORS'!$V$87)</f>
        <v/>
      </c>
      <c r="G641">
        <f>IF('FINANCIAL CREDITORS'!$D$87="","",'FINANCIAL CREDITORS'!$D$87)</f>
        <v/>
      </c>
      <c r="H641">
        <f>IF('FINANCIAL CREDITORS'!$G$87="","",'FINANCIAL CREDITORS'!$G$87)</f>
        <v/>
      </c>
      <c r="I641">
        <f>IF('FINANCIAL CREDITORS'!$AT$87="","",'FINANCIAL CREDITORS'!$AT$87)</f>
        <v/>
      </c>
      <c r="J641">
        <f>IF('FINANCIAL CREDITORS'!$AX$87="","",'FINANCIAL CREDITORS'!$AX$87)</f>
        <v/>
      </c>
      <c r="K641">
        <f>IF('FINANCIAL CREDITORS'!$N$87="","",'FINANCIAL CREDITORS'!$N$87)</f>
        <v/>
      </c>
      <c r="L641">
        <f>IF('FINANCIAL CREDITORS'!$AE$87="","",'FINANCIAL CREDITORS'!$AE$87)</f>
        <v/>
      </c>
      <c r="M641" t="inlineStr">
        <is>
          <t>FINANCIAL</t>
        </is>
      </c>
      <c r="N641" t="inlineStr">
        <is>
          <t>FINANCIAL CREDITORS · row 87</t>
        </is>
      </c>
    </row>
    <row r="642">
      <c r="A642">
        <f>IF('FINANCIAL CREDITORS'!$A$88="","",'FINANCIAL CREDITORS'!$A$88)</f>
        <v/>
      </c>
      <c r="B642">
        <f>IF('FINANCIAL CREDITORS'!$C$88="","",'FINANCIAL CREDITORS'!$C$88)</f>
        <v/>
      </c>
      <c r="C642">
        <f>'FINANCIAL CREDITORS'!$U$88</f>
        <v/>
      </c>
      <c r="D642">
        <f>'FINANCIAL CREDITORS'!$Y$88</f>
        <v/>
      </c>
      <c r="E642">
        <f>'FINANCIAL CREDITORS'!$AC$88</f>
        <v/>
      </c>
      <c r="F642">
        <f>IF('FINANCIAL CREDITORS'!$V$88="","",'FINANCIAL CREDITORS'!$V$88)</f>
        <v/>
      </c>
      <c r="G642">
        <f>IF('FINANCIAL CREDITORS'!$D$88="","",'FINANCIAL CREDITORS'!$D$88)</f>
        <v/>
      </c>
      <c r="H642">
        <f>IF('FINANCIAL CREDITORS'!$G$88="","",'FINANCIAL CREDITORS'!$G$88)</f>
        <v/>
      </c>
      <c r="I642">
        <f>IF('FINANCIAL CREDITORS'!$AT$88="","",'FINANCIAL CREDITORS'!$AT$88)</f>
        <v/>
      </c>
      <c r="J642">
        <f>IF('FINANCIAL CREDITORS'!$AX$88="","",'FINANCIAL CREDITORS'!$AX$88)</f>
        <v/>
      </c>
      <c r="K642">
        <f>IF('FINANCIAL CREDITORS'!$N$88="","",'FINANCIAL CREDITORS'!$N$88)</f>
        <v/>
      </c>
      <c r="L642">
        <f>IF('FINANCIAL CREDITORS'!$AE$88="","",'FINANCIAL CREDITORS'!$AE$88)</f>
        <v/>
      </c>
      <c r="M642" t="inlineStr">
        <is>
          <t>FINANCIAL</t>
        </is>
      </c>
      <c r="N642" t="inlineStr">
        <is>
          <t>FINANCIAL CREDITORS · row 88</t>
        </is>
      </c>
    </row>
    <row r="643">
      <c r="A643">
        <f>IF('FINANCIAL CREDITORS'!$A$89="","",'FINANCIAL CREDITORS'!$A$89)</f>
        <v/>
      </c>
      <c r="B643">
        <f>IF('FINANCIAL CREDITORS'!$C$89="","",'FINANCIAL CREDITORS'!$C$89)</f>
        <v/>
      </c>
      <c r="C643">
        <f>'FINANCIAL CREDITORS'!$U$89</f>
        <v/>
      </c>
      <c r="D643">
        <f>'FINANCIAL CREDITORS'!$Y$89</f>
        <v/>
      </c>
      <c r="E643">
        <f>'FINANCIAL CREDITORS'!$AC$89</f>
        <v/>
      </c>
      <c r="F643">
        <f>IF('FINANCIAL CREDITORS'!$V$89="","",'FINANCIAL CREDITORS'!$V$89)</f>
        <v/>
      </c>
      <c r="G643">
        <f>IF('FINANCIAL CREDITORS'!$D$89="","",'FINANCIAL CREDITORS'!$D$89)</f>
        <v/>
      </c>
      <c r="H643">
        <f>IF('FINANCIAL CREDITORS'!$G$89="","",'FINANCIAL CREDITORS'!$G$89)</f>
        <v/>
      </c>
      <c r="I643">
        <f>IF('FINANCIAL CREDITORS'!$AT$89="","",'FINANCIAL CREDITORS'!$AT$89)</f>
        <v/>
      </c>
      <c r="J643">
        <f>IF('FINANCIAL CREDITORS'!$AX$89="","",'FINANCIAL CREDITORS'!$AX$89)</f>
        <v/>
      </c>
      <c r="K643">
        <f>IF('FINANCIAL CREDITORS'!$N$89="","",'FINANCIAL CREDITORS'!$N$89)</f>
        <v/>
      </c>
      <c r="L643">
        <f>IF('FINANCIAL CREDITORS'!$AE$89="","",'FINANCIAL CREDITORS'!$AE$89)</f>
        <v/>
      </c>
      <c r="M643" t="inlineStr">
        <is>
          <t>FINANCIAL</t>
        </is>
      </c>
      <c r="N643" t="inlineStr">
        <is>
          <t>FINANCIAL CREDITORS · row 89</t>
        </is>
      </c>
    </row>
    <row r="644">
      <c r="A644">
        <f>IF('FINANCIAL CREDITORS'!$A$90="","",'FINANCIAL CREDITORS'!$A$90)</f>
        <v/>
      </c>
      <c r="B644">
        <f>IF('FINANCIAL CREDITORS'!$C$90="","",'FINANCIAL CREDITORS'!$C$90)</f>
        <v/>
      </c>
      <c r="C644">
        <f>'FINANCIAL CREDITORS'!$U$90</f>
        <v/>
      </c>
      <c r="D644">
        <f>'FINANCIAL CREDITORS'!$Y$90</f>
        <v/>
      </c>
      <c r="E644">
        <f>'FINANCIAL CREDITORS'!$AC$90</f>
        <v/>
      </c>
      <c r="F644">
        <f>IF('FINANCIAL CREDITORS'!$V$90="","",'FINANCIAL CREDITORS'!$V$90)</f>
        <v/>
      </c>
      <c r="G644">
        <f>IF('FINANCIAL CREDITORS'!$D$90="","",'FINANCIAL CREDITORS'!$D$90)</f>
        <v/>
      </c>
      <c r="H644">
        <f>IF('FINANCIAL CREDITORS'!$G$90="","",'FINANCIAL CREDITORS'!$G$90)</f>
        <v/>
      </c>
      <c r="I644">
        <f>IF('FINANCIAL CREDITORS'!$AT$90="","",'FINANCIAL CREDITORS'!$AT$90)</f>
        <v/>
      </c>
      <c r="J644">
        <f>IF('FINANCIAL CREDITORS'!$AX$90="","",'FINANCIAL CREDITORS'!$AX$90)</f>
        <v/>
      </c>
      <c r="K644">
        <f>IF('FINANCIAL CREDITORS'!$N$90="","",'FINANCIAL CREDITORS'!$N$90)</f>
        <v/>
      </c>
      <c r="L644">
        <f>IF('FINANCIAL CREDITORS'!$AE$90="","",'FINANCIAL CREDITORS'!$AE$90)</f>
        <v/>
      </c>
      <c r="M644" t="inlineStr">
        <is>
          <t>FINANCIAL</t>
        </is>
      </c>
      <c r="N644" t="inlineStr">
        <is>
          <t>FINANCIAL CREDITORS · row 90</t>
        </is>
      </c>
    </row>
    <row r="645">
      <c r="A645">
        <f>IF('FINANCIAL CREDITORS'!$A$91="","",'FINANCIAL CREDITORS'!$A$91)</f>
        <v/>
      </c>
      <c r="B645">
        <f>IF('FINANCIAL CREDITORS'!$C$91="","",'FINANCIAL CREDITORS'!$C$91)</f>
        <v/>
      </c>
      <c r="C645">
        <f>'FINANCIAL CREDITORS'!$U$91</f>
        <v/>
      </c>
      <c r="D645">
        <f>'FINANCIAL CREDITORS'!$Y$91</f>
        <v/>
      </c>
      <c r="E645">
        <f>'FINANCIAL CREDITORS'!$AC$91</f>
        <v/>
      </c>
      <c r="F645">
        <f>IF('FINANCIAL CREDITORS'!$V$91="","",'FINANCIAL CREDITORS'!$V$91)</f>
        <v/>
      </c>
      <c r="G645">
        <f>IF('FINANCIAL CREDITORS'!$D$91="","",'FINANCIAL CREDITORS'!$D$91)</f>
        <v/>
      </c>
      <c r="H645">
        <f>IF('FINANCIAL CREDITORS'!$G$91="","",'FINANCIAL CREDITORS'!$G$91)</f>
        <v/>
      </c>
      <c r="I645">
        <f>IF('FINANCIAL CREDITORS'!$AT$91="","",'FINANCIAL CREDITORS'!$AT$91)</f>
        <v/>
      </c>
      <c r="J645">
        <f>IF('FINANCIAL CREDITORS'!$AX$91="","",'FINANCIAL CREDITORS'!$AX$91)</f>
        <v/>
      </c>
      <c r="K645">
        <f>IF('FINANCIAL CREDITORS'!$N$91="","",'FINANCIAL CREDITORS'!$N$91)</f>
        <v/>
      </c>
      <c r="L645">
        <f>IF('FINANCIAL CREDITORS'!$AE$91="","",'FINANCIAL CREDITORS'!$AE$91)</f>
        <v/>
      </c>
      <c r="M645" t="inlineStr">
        <is>
          <t>FINANCIAL</t>
        </is>
      </c>
      <c r="N645" t="inlineStr">
        <is>
          <t>FINANCIAL CREDITORS · row 91</t>
        </is>
      </c>
    </row>
    <row r="646">
      <c r="A646">
        <f>IF('FINANCIAL CREDITORS'!$A$92="","",'FINANCIAL CREDITORS'!$A$92)</f>
        <v/>
      </c>
      <c r="B646">
        <f>IF('FINANCIAL CREDITORS'!$C$92="","",'FINANCIAL CREDITORS'!$C$92)</f>
        <v/>
      </c>
      <c r="C646">
        <f>'FINANCIAL CREDITORS'!$U$92</f>
        <v/>
      </c>
      <c r="D646">
        <f>'FINANCIAL CREDITORS'!$Y$92</f>
        <v/>
      </c>
      <c r="E646">
        <f>'FINANCIAL CREDITORS'!$AC$92</f>
        <v/>
      </c>
      <c r="F646">
        <f>IF('FINANCIAL CREDITORS'!$V$92="","",'FINANCIAL CREDITORS'!$V$92)</f>
        <v/>
      </c>
      <c r="G646">
        <f>IF('FINANCIAL CREDITORS'!$D$92="","",'FINANCIAL CREDITORS'!$D$92)</f>
        <v/>
      </c>
      <c r="H646">
        <f>IF('FINANCIAL CREDITORS'!$G$92="","",'FINANCIAL CREDITORS'!$G$92)</f>
        <v/>
      </c>
      <c r="I646">
        <f>IF('FINANCIAL CREDITORS'!$AT$92="","",'FINANCIAL CREDITORS'!$AT$92)</f>
        <v/>
      </c>
      <c r="J646">
        <f>IF('FINANCIAL CREDITORS'!$AX$92="","",'FINANCIAL CREDITORS'!$AX$92)</f>
        <v/>
      </c>
      <c r="K646">
        <f>IF('FINANCIAL CREDITORS'!$N$92="","",'FINANCIAL CREDITORS'!$N$92)</f>
        <v/>
      </c>
      <c r="L646">
        <f>IF('FINANCIAL CREDITORS'!$AE$92="","",'FINANCIAL CREDITORS'!$AE$92)</f>
        <v/>
      </c>
      <c r="M646" t="inlineStr">
        <is>
          <t>FINANCIAL</t>
        </is>
      </c>
      <c r="N646" t="inlineStr">
        <is>
          <t>FINANCIAL CREDITORS · row 92</t>
        </is>
      </c>
    </row>
    <row r="647">
      <c r="A647">
        <f>IF('FINANCIAL CREDITORS'!$A$93="","",'FINANCIAL CREDITORS'!$A$93)</f>
        <v/>
      </c>
      <c r="B647">
        <f>IF('FINANCIAL CREDITORS'!$C$93="","",'FINANCIAL CREDITORS'!$C$93)</f>
        <v/>
      </c>
      <c r="C647">
        <f>'FINANCIAL CREDITORS'!$U$93</f>
        <v/>
      </c>
      <c r="D647">
        <f>'FINANCIAL CREDITORS'!$Y$93</f>
        <v/>
      </c>
      <c r="E647">
        <f>'FINANCIAL CREDITORS'!$AC$93</f>
        <v/>
      </c>
      <c r="F647">
        <f>IF('FINANCIAL CREDITORS'!$V$93="","",'FINANCIAL CREDITORS'!$V$93)</f>
        <v/>
      </c>
      <c r="G647">
        <f>IF('FINANCIAL CREDITORS'!$D$93="","",'FINANCIAL CREDITORS'!$D$93)</f>
        <v/>
      </c>
      <c r="H647">
        <f>IF('FINANCIAL CREDITORS'!$G$93="","",'FINANCIAL CREDITORS'!$G$93)</f>
        <v/>
      </c>
      <c r="I647">
        <f>IF('FINANCIAL CREDITORS'!$AT$93="","",'FINANCIAL CREDITORS'!$AT$93)</f>
        <v/>
      </c>
      <c r="J647">
        <f>IF('FINANCIAL CREDITORS'!$AX$93="","",'FINANCIAL CREDITORS'!$AX$93)</f>
        <v/>
      </c>
      <c r="K647">
        <f>IF('FINANCIAL CREDITORS'!$N$93="","",'FINANCIAL CREDITORS'!$N$93)</f>
        <v/>
      </c>
      <c r="L647">
        <f>IF('FINANCIAL CREDITORS'!$AE$93="","",'FINANCIAL CREDITORS'!$AE$93)</f>
        <v/>
      </c>
      <c r="M647" t="inlineStr">
        <is>
          <t>FINANCIAL</t>
        </is>
      </c>
      <c r="N647" t="inlineStr">
        <is>
          <t>FINANCIAL CREDITORS · row 93</t>
        </is>
      </c>
    </row>
    <row r="648">
      <c r="A648">
        <f>IF('FINANCIAL CREDITORS'!$A$94="","",'FINANCIAL CREDITORS'!$A$94)</f>
        <v/>
      </c>
      <c r="B648">
        <f>IF('FINANCIAL CREDITORS'!$C$94="","",'FINANCIAL CREDITORS'!$C$94)</f>
        <v/>
      </c>
      <c r="C648">
        <f>'FINANCIAL CREDITORS'!$U$94</f>
        <v/>
      </c>
      <c r="D648">
        <f>'FINANCIAL CREDITORS'!$Y$94</f>
        <v/>
      </c>
      <c r="E648">
        <f>'FINANCIAL CREDITORS'!$AC$94</f>
        <v/>
      </c>
      <c r="F648">
        <f>IF('FINANCIAL CREDITORS'!$V$94="","",'FINANCIAL CREDITORS'!$V$94)</f>
        <v/>
      </c>
      <c r="G648">
        <f>IF('FINANCIAL CREDITORS'!$D$94="","",'FINANCIAL CREDITORS'!$D$94)</f>
        <v/>
      </c>
      <c r="H648">
        <f>IF('FINANCIAL CREDITORS'!$G$94="","",'FINANCIAL CREDITORS'!$G$94)</f>
        <v/>
      </c>
      <c r="I648">
        <f>IF('FINANCIAL CREDITORS'!$AT$94="","",'FINANCIAL CREDITORS'!$AT$94)</f>
        <v/>
      </c>
      <c r="J648">
        <f>IF('FINANCIAL CREDITORS'!$AX$94="","",'FINANCIAL CREDITORS'!$AX$94)</f>
        <v/>
      </c>
      <c r="K648">
        <f>IF('FINANCIAL CREDITORS'!$N$94="","",'FINANCIAL CREDITORS'!$N$94)</f>
        <v/>
      </c>
      <c r="L648">
        <f>IF('FINANCIAL CREDITORS'!$AE$94="","",'FINANCIAL CREDITORS'!$AE$94)</f>
        <v/>
      </c>
      <c r="M648" t="inlineStr">
        <is>
          <t>FINANCIAL</t>
        </is>
      </c>
      <c r="N648" t="inlineStr">
        <is>
          <t>FINANCIAL CREDITORS · row 94</t>
        </is>
      </c>
    </row>
    <row r="649">
      <c r="A649">
        <f>IF('FINANCIAL CREDITORS'!$A$95="","",'FINANCIAL CREDITORS'!$A$95)</f>
        <v/>
      </c>
      <c r="B649">
        <f>IF('FINANCIAL CREDITORS'!$C$95="","",'FINANCIAL CREDITORS'!$C$95)</f>
        <v/>
      </c>
      <c r="C649">
        <f>'FINANCIAL CREDITORS'!$U$95</f>
        <v/>
      </c>
      <c r="D649">
        <f>'FINANCIAL CREDITORS'!$Y$95</f>
        <v/>
      </c>
      <c r="E649">
        <f>'FINANCIAL CREDITORS'!$AC$95</f>
        <v/>
      </c>
      <c r="F649">
        <f>IF('FINANCIAL CREDITORS'!$V$95="","",'FINANCIAL CREDITORS'!$V$95)</f>
        <v/>
      </c>
      <c r="G649">
        <f>IF('FINANCIAL CREDITORS'!$D$95="","",'FINANCIAL CREDITORS'!$D$95)</f>
        <v/>
      </c>
      <c r="H649">
        <f>IF('FINANCIAL CREDITORS'!$G$95="","",'FINANCIAL CREDITORS'!$G$95)</f>
        <v/>
      </c>
      <c r="I649">
        <f>IF('FINANCIAL CREDITORS'!$AT$95="","",'FINANCIAL CREDITORS'!$AT$95)</f>
        <v/>
      </c>
      <c r="J649">
        <f>IF('FINANCIAL CREDITORS'!$AX$95="","",'FINANCIAL CREDITORS'!$AX$95)</f>
        <v/>
      </c>
      <c r="K649">
        <f>IF('FINANCIAL CREDITORS'!$N$95="","",'FINANCIAL CREDITORS'!$N$95)</f>
        <v/>
      </c>
      <c r="L649">
        <f>IF('FINANCIAL CREDITORS'!$AE$95="","",'FINANCIAL CREDITORS'!$AE$95)</f>
        <v/>
      </c>
      <c r="M649" t="inlineStr">
        <is>
          <t>FINANCIAL</t>
        </is>
      </c>
      <c r="N649" t="inlineStr">
        <is>
          <t>FINANCIAL CREDITORS · row 95</t>
        </is>
      </c>
    </row>
    <row r="650">
      <c r="A650">
        <f>IF('FINANCIAL CREDITORS'!$A$96="","",'FINANCIAL CREDITORS'!$A$96)</f>
        <v/>
      </c>
      <c r="B650">
        <f>IF('FINANCIAL CREDITORS'!$C$96="","",'FINANCIAL CREDITORS'!$C$96)</f>
        <v/>
      </c>
      <c r="C650">
        <f>'FINANCIAL CREDITORS'!$U$96</f>
        <v/>
      </c>
      <c r="D650">
        <f>'FINANCIAL CREDITORS'!$Y$96</f>
        <v/>
      </c>
      <c r="E650">
        <f>'FINANCIAL CREDITORS'!$AC$96</f>
        <v/>
      </c>
      <c r="F650">
        <f>IF('FINANCIAL CREDITORS'!$V$96="","",'FINANCIAL CREDITORS'!$V$96)</f>
        <v/>
      </c>
      <c r="G650">
        <f>IF('FINANCIAL CREDITORS'!$D$96="","",'FINANCIAL CREDITORS'!$D$96)</f>
        <v/>
      </c>
      <c r="H650">
        <f>IF('FINANCIAL CREDITORS'!$G$96="","",'FINANCIAL CREDITORS'!$G$96)</f>
        <v/>
      </c>
      <c r="I650">
        <f>IF('FINANCIAL CREDITORS'!$AT$96="","",'FINANCIAL CREDITORS'!$AT$96)</f>
        <v/>
      </c>
      <c r="J650">
        <f>IF('FINANCIAL CREDITORS'!$AX$96="","",'FINANCIAL CREDITORS'!$AX$96)</f>
        <v/>
      </c>
      <c r="K650">
        <f>IF('FINANCIAL CREDITORS'!$N$96="","",'FINANCIAL CREDITORS'!$N$96)</f>
        <v/>
      </c>
      <c r="L650">
        <f>IF('FINANCIAL CREDITORS'!$AE$96="","",'FINANCIAL CREDITORS'!$AE$96)</f>
        <v/>
      </c>
      <c r="M650" t="inlineStr">
        <is>
          <t>FINANCIAL</t>
        </is>
      </c>
      <c r="N650" t="inlineStr">
        <is>
          <t>FINANCIAL CREDITORS · row 96</t>
        </is>
      </c>
    </row>
    <row r="651">
      <c r="A651">
        <f>IF('FINANCIAL CREDITORS'!$A$97="","",'FINANCIAL CREDITORS'!$A$97)</f>
        <v/>
      </c>
      <c r="B651">
        <f>IF('FINANCIAL CREDITORS'!$C$97="","",'FINANCIAL CREDITORS'!$C$97)</f>
        <v/>
      </c>
      <c r="C651">
        <f>'FINANCIAL CREDITORS'!$U$97</f>
        <v/>
      </c>
      <c r="D651">
        <f>'FINANCIAL CREDITORS'!$Y$97</f>
        <v/>
      </c>
      <c r="E651">
        <f>'FINANCIAL CREDITORS'!$AC$97</f>
        <v/>
      </c>
      <c r="F651">
        <f>IF('FINANCIAL CREDITORS'!$V$97="","",'FINANCIAL CREDITORS'!$V$97)</f>
        <v/>
      </c>
      <c r="G651">
        <f>IF('FINANCIAL CREDITORS'!$D$97="","",'FINANCIAL CREDITORS'!$D$97)</f>
        <v/>
      </c>
      <c r="H651">
        <f>IF('FINANCIAL CREDITORS'!$G$97="","",'FINANCIAL CREDITORS'!$G$97)</f>
        <v/>
      </c>
      <c r="I651">
        <f>IF('FINANCIAL CREDITORS'!$AT$97="","",'FINANCIAL CREDITORS'!$AT$97)</f>
        <v/>
      </c>
      <c r="J651">
        <f>IF('FINANCIAL CREDITORS'!$AX$97="","",'FINANCIAL CREDITORS'!$AX$97)</f>
        <v/>
      </c>
      <c r="K651">
        <f>IF('FINANCIAL CREDITORS'!$N$97="","",'FINANCIAL CREDITORS'!$N$97)</f>
        <v/>
      </c>
      <c r="L651">
        <f>IF('FINANCIAL CREDITORS'!$AE$97="","",'FINANCIAL CREDITORS'!$AE$97)</f>
        <v/>
      </c>
      <c r="M651" t="inlineStr">
        <is>
          <t>FINANCIAL</t>
        </is>
      </c>
      <c r="N651" t="inlineStr">
        <is>
          <t>FINANCIAL CREDITORS · row 97</t>
        </is>
      </c>
    </row>
    <row r="652">
      <c r="A652">
        <f>IF('FINANCIAL CREDITORS'!$A$98="","",'FINANCIAL CREDITORS'!$A$98)</f>
        <v/>
      </c>
      <c r="B652">
        <f>IF('FINANCIAL CREDITORS'!$C$98="","",'FINANCIAL CREDITORS'!$C$98)</f>
        <v/>
      </c>
      <c r="C652">
        <f>'FINANCIAL CREDITORS'!$U$98</f>
        <v/>
      </c>
      <c r="D652">
        <f>'FINANCIAL CREDITORS'!$Y$98</f>
        <v/>
      </c>
      <c r="E652">
        <f>'FINANCIAL CREDITORS'!$AC$98</f>
        <v/>
      </c>
      <c r="F652">
        <f>IF('FINANCIAL CREDITORS'!$V$98="","",'FINANCIAL CREDITORS'!$V$98)</f>
        <v/>
      </c>
      <c r="G652">
        <f>IF('FINANCIAL CREDITORS'!$D$98="","",'FINANCIAL CREDITORS'!$D$98)</f>
        <v/>
      </c>
      <c r="H652">
        <f>IF('FINANCIAL CREDITORS'!$G$98="","",'FINANCIAL CREDITORS'!$G$98)</f>
        <v/>
      </c>
      <c r="I652">
        <f>IF('FINANCIAL CREDITORS'!$AT$98="","",'FINANCIAL CREDITORS'!$AT$98)</f>
        <v/>
      </c>
      <c r="J652">
        <f>IF('FINANCIAL CREDITORS'!$AX$98="","",'FINANCIAL CREDITORS'!$AX$98)</f>
        <v/>
      </c>
      <c r="K652">
        <f>IF('FINANCIAL CREDITORS'!$N$98="","",'FINANCIAL CREDITORS'!$N$98)</f>
        <v/>
      </c>
      <c r="L652">
        <f>IF('FINANCIAL CREDITORS'!$AE$98="","",'FINANCIAL CREDITORS'!$AE$98)</f>
        <v/>
      </c>
      <c r="M652" t="inlineStr">
        <is>
          <t>FINANCIAL</t>
        </is>
      </c>
      <c r="N652" t="inlineStr">
        <is>
          <t>FINANCIAL CREDITORS · row 98</t>
        </is>
      </c>
    </row>
    <row r="653">
      <c r="A653">
        <f>IF('FINANCIAL CREDITORS'!$A$99="","",'FINANCIAL CREDITORS'!$A$99)</f>
        <v/>
      </c>
      <c r="B653">
        <f>IF('FINANCIAL CREDITORS'!$C$99="","",'FINANCIAL CREDITORS'!$C$99)</f>
        <v/>
      </c>
      <c r="C653">
        <f>'FINANCIAL CREDITORS'!$U$99</f>
        <v/>
      </c>
      <c r="D653">
        <f>'FINANCIAL CREDITORS'!$Y$99</f>
        <v/>
      </c>
      <c r="E653">
        <f>'FINANCIAL CREDITORS'!$AC$99</f>
        <v/>
      </c>
      <c r="F653">
        <f>IF('FINANCIAL CREDITORS'!$V$99="","",'FINANCIAL CREDITORS'!$V$99)</f>
        <v/>
      </c>
      <c r="G653">
        <f>IF('FINANCIAL CREDITORS'!$D$99="","",'FINANCIAL CREDITORS'!$D$99)</f>
        <v/>
      </c>
      <c r="H653">
        <f>IF('FINANCIAL CREDITORS'!$G$99="","",'FINANCIAL CREDITORS'!$G$99)</f>
        <v/>
      </c>
      <c r="I653">
        <f>IF('FINANCIAL CREDITORS'!$AT$99="","",'FINANCIAL CREDITORS'!$AT$99)</f>
        <v/>
      </c>
      <c r="J653">
        <f>IF('FINANCIAL CREDITORS'!$AX$99="","",'FINANCIAL CREDITORS'!$AX$99)</f>
        <v/>
      </c>
      <c r="K653">
        <f>IF('FINANCIAL CREDITORS'!$N$99="","",'FINANCIAL CREDITORS'!$N$99)</f>
        <v/>
      </c>
      <c r="L653">
        <f>IF('FINANCIAL CREDITORS'!$AE$99="","",'FINANCIAL CREDITORS'!$AE$99)</f>
        <v/>
      </c>
      <c r="M653" t="inlineStr">
        <is>
          <t>FINANCIAL</t>
        </is>
      </c>
      <c r="N653" t="inlineStr">
        <is>
          <t>FINANCIAL CREDITORS · row 99</t>
        </is>
      </c>
    </row>
    <row r="654">
      <c r="A654">
        <f>IF('FINANCIAL CREDITORS'!$A$100="","",'FINANCIAL CREDITORS'!$A$100)</f>
        <v/>
      </c>
      <c r="B654">
        <f>IF('FINANCIAL CREDITORS'!$C$100="","",'FINANCIAL CREDITORS'!$C$100)</f>
        <v/>
      </c>
      <c r="C654">
        <f>'FINANCIAL CREDITORS'!$U$100</f>
        <v/>
      </c>
      <c r="D654">
        <f>'FINANCIAL CREDITORS'!$Y$100</f>
        <v/>
      </c>
      <c r="E654">
        <f>'FINANCIAL CREDITORS'!$AC$100</f>
        <v/>
      </c>
      <c r="F654">
        <f>IF('FINANCIAL CREDITORS'!$V$100="","",'FINANCIAL CREDITORS'!$V$100)</f>
        <v/>
      </c>
      <c r="G654">
        <f>IF('FINANCIAL CREDITORS'!$D$100="","",'FINANCIAL CREDITORS'!$D$100)</f>
        <v/>
      </c>
      <c r="H654">
        <f>IF('FINANCIAL CREDITORS'!$G$100="","",'FINANCIAL CREDITORS'!$G$100)</f>
        <v/>
      </c>
      <c r="I654">
        <f>IF('FINANCIAL CREDITORS'!$AT$100="","",'FINANCIAL CREDITORS'!$AT$100)</f>
        <v/>
      </c>
      <c r="J654">
        <f>IF('FINANCIAL CREDITORS'!$AX$100="","",'FINANCIAL CREDITORS'!$AX$100)</f>
        <v/>
      </c>
      <c r="K654">
        <f>IF('FINANCIAL CREDITORS'!$N$100="","",'FINANCIAL CREDITORS'!$N$100)</f>
        <v/>
      </c>
      <c r="L654">
        <f>IF('FINANCIAL CREDITORS'!$AE$100="","",'FINANCIAL CREDITORS'!$AE$100)</f>
        <v/>
      </c>
      <c r="M654" t="inlineStr">
        <is>
          <t>FINANCIAL</t>
        </is>
      </c>
      <c r="N654" t="inlineStr">
        <is>
          <t>FINANCIAL CREDITORS · row 100</t>
        </is>
      </c>
    </row>
    <row r="655">
      <c r="A655">
        <f>IF('FINANCIAL CREDITORS'!$A$101="","",'FINANCIAL CREDITORS'!$A$101)</f>
        <v/>
      </c>
      <c r="B655">
        <f>IF('FINANCIAL CREDITORS'!$C$101="","",'FINANCIAL CREDITORS'!$C$101)</f>
        <v/>
      </c>
      <c r="C655">
        <f>'FINANCIAL CREDITORS'!$U$101</f>
        <v/>
      </c>
      <c r="D655">
        <f>'FINANCIAL CREDITORS'!$Y$101</f>
        <v/>
      </c>
      <c r="E655">
        <f>'FINANCIAL CREDITORS'!$AC$101</f>
        <v/>
      </c>
      <c r="F655">
        <f>IF('FINANCIAL CREDITORS'!$V$101="","",'FINANCIAL CREDITORS'!$V$101)</f>
        <v/>
      </c>
      <c r="G655">
        <f>IF('FINANCIAL CREDITORS'!$D$101="","",'FINANCIAL CREDITORS'!$D$101)</f>
        <v/>
      </c>
      <c r="H655">
        <f>IF('FINANCIAL CREDITORS'!$G$101="","",'FINANCIAL CREDITORS'!$G$101)</f>
        <v/>
      </c>
      <c r="I655">
        <f>IF('FINANCIAL CREDITORS'!$AT$101="","",'FINANCIAL CREDITORS'!$AT$101)</f>
        <v/>
      </c>
      <c r="J655">
        <f>IF('FINANCIAL CREDITORS'!$AX$101="","",'FINANCIAL CREDITORS'!$AX$101)</f>
        <v/>
      </c>
      <c r="K655">
        <f>IF('FINANCIAL CREDITORS'!$N$101="","",'FINANCIAL CREDITORS'!$N$101)</f>
        <v/>
      </c>
      <c r="L655">
        <f>IF('FINANCIAL CREDITORS'!$AE$101="","",'FINANCIAL CREDITORS'!$AE$101)</f>
        <v/>
      </c>
      <c r="M655" t="inlineStr">
        <is>
          <t>FINANCIAL</t>
        </is>
      </c>
      <c r="N655" t="inlineStr">
        <is>
          <t>FINANCIAL CREDITORS · row 101</t>
        </is>
      </c>
    </row>
    <row r="656">
      <c r="A656">
        <f>IF('FINANCIAL CREDITORS'!$A$102="","",'FINANCIAL CREDITORS'!$A$102)</f>
        <v/>
      </c>
      <c r="B656">
        <f>IF('FINANCIAL CREDITORS'!$C$102="","",'FINANCIAL CREDITORS'!$C$102)</f>
        <v/>
      </c>
      <c r="C656">
        <f>'FINANCIAL CREDITORS'!$U$102</f>
        <v/>
      </c>
      <c r="D656">
        <f>'FINANCIAL CREDITORS'!$Y$102</f>
        <v/>
      </c>
      <c r="E656">
        <f>'FINANCIAL CREDITORS'!$AC$102</f>
        <v/>
      </c>
      <c r="F656">
        <f>IF('FINANCIAL CREDITORS'!$V$102="","",'FINANCIAL CREDITORS'!$V$102)</f>
        <v/>
      </c>
      <c r="G656">
        <f>IF('FINANCIAL CREDITORS'!$D$102="","",'FINANCIAL CREDITORS'!$D$102)</f>
        <v/>
      </c>
      <c r="H656">
        <f>IF('FINANCIAL CREDITORS'!$G$102="","",'FINANCIAL CREDITORS'!$G$102)</f>
        <v/>
      </c>
      <c r="I656">
        <f>IF('FINANCIAL CREDITORS'!$AT$102="","",'FINANCIAL CREDITORS'!$AT$102)</f>
        <v/>
      </c>
      <c r="J656">
        <f>IF('FINANCIAL CREDITORS'!$AX$102="","",'FINANCIAL CREDITORS'!$AX$102)</f>
        <v/>
      </c>
      <c r="K656">
        <f>IF('FINANCIAL CREDITORS'!$N$102="","",'FINANCIAL CREDITORS'!$N$102)</f>
        <v/>
      </c>
      <c r="L656">
        <f>IF('FINANCIAL CREDITORS'!$AE$102="","",'FINANCIAL CREDITORS'!$AE$102)</f>
        <v/>
      </c>
      <c r="M656" t="inlineStr">
        <is>
          <t>FINANCIAL</t>
        </is>
      </c>
      <c r="N656" t="inlineStr">
        <is>
          <t>FINANCIAL CREDITORS · row 102</t>
        </is>
      </c>
    </row>
    <row r="657">
      <c r="A657">
        <f>IF('FINANCIAL CREDITORS'!$A$103="","",'FINANCIAL CREDITORS'!$A$103)</f>
        <v/>
      </c>
      <c r="B657">
        <f>IF('FINANCIAL CREDITORS'!$C$103="","",'FINANCIAL CREDITORS'!$C$103)</f>
        <v/>
      </c>
      <c r="C657">
        <f>'FINANCIAL CREDITORS'!$U$103</f>
        <v/>
      </c>
      <c r="D657">
        <f>'FINANCIAL CREDITORS'!$Y$103</f>
        <v/>
      </c>
      <c r="E657">
        <f>'FINANCIAL CREDITORS'!$AC$103</f>
        <v/>
      </c>
      <c r="F657">
        <f>IF('FINANCIAL CREDITORS'!$V$103="","",'FINANCIAL CREDITORS'!$V$103)</f>
        <v/>
      </c>
      <c r="G657">
        <f>IF('FINANCIAL CREDITORS'!$D$103="","",'FINANCIAL CREDITORS'!$D$103)</f>
        <v/>
      </c>
      <c r="H657">
        <f>IF('FINANCIAL CREDITORS'!$G$103="","",'FINANCIAL CREDITORS'!$G$103)</f>
        <v/>
      </c>
      <c r="I657">
        <f>IF('FINANCIAL CREDITORS'!$AT$103="","",'FINANCIAL CREDITORS'!$AT$103)</f>
        <v/>
      </c>
      <c r="J657">
        <f>IF('FINANCIAL CREDITORS'!$AX$103="","",'FINANCIAL CREDITORS'!$AX$103)</f>
        <v/>
      </c>
      <c r="K657">
        <f>IF('FINANCIAL CREDITORS'!$N$103="","",'FINANCIAL CREDITORS'!$N$103)</f>
        <v/>
      </c>
      <c r="L657">
        <f>IF('FINANCIAL CREDITORS'!$AE$103="","",'FINANCIAL CREDITORS'!$AE$103)</f>
        <v/>
      </c>
      <c r="M657" t="inlineStr">
        <is>
          <t>FINANCIAL</t>
        </is>
      </c>
      <c r="N657" t="inlineStr">
        <is>
          <t>FINANCIAL CREDITORS · row 103</t>
        </is>
      </c>
    </row>
    <row r="658">
      <c r="A658">
        <f>IF('FINANCIAL CREDITORS'!$A$104="","",'FINANCIAL CREDITORS'!$A$104)</f>
        <v/>
      </c>
      <c r="B658">
        <f>IF('FINANCIAL CREDITORS'!$C$104="","",'FINANCIAL CREDITORS'!$C$104)</f>
        <v/>
      </c>
      <c r="C658">
        <f>'FINANCIAL CREDITORS'!$U$104</f>
        <v/>
      </c>
      <c r="D658">
        <f>'FINANCIAL CREDITORS'!$Y$104</f>
        <v/>
      </c>
      <c r="E658">
        <f>'FINANCIAL CREDITORS'!$AC$104</f>
        <v/>
      </c>
      <c r="F658">
        <f>IF('FINANCIAL CREDITORS'!$V$104="","",'FINANCIAL CREDITORS'!$V$104)</f>
        <v/>
      </c>
      <c r="G658">
        <f>IF('FINANCIAL CREDITORS'!$D$104="","",'FINANCIAL CREDITORS'!$D$104)</f>
        <v/>
      </c>
      <c r="H658">
        <f>IF('FINANCIAL CREDITORS'!$G$104="","",'FINANCIAL CREDITORS'!$G$104)</f>
        <v/>
      </c>
      <c r="I658">
        <f>IF('FINANCIAL CREDITORS'!$AT$104="","",'FINANCIAL CREDITORS'!$AT$104)</f>
        <v/>
      </c>
      <c r="J658">
        <f>IF('FINANCIAL CREDITORS'!$AX$104="","",'FINANCIAL CREDITORS'!$AX$104)</f>
        <v/>
      </c>
      <c r="K658">
        <f>IF('FINANCIAL CREDITORS'!$N$104="","",'FINANCIAL CREDITORS'!$N$104)</f>
        <v/>
      </c>
      <c r="L658">
        <f>IF('FINANCIAL CREDITORS'!$AE$104="","",'FINANCIAL CREDITORS'!$AE$104)</f>
        <v/>
      </c>
      <c r="M658" t="inlineStr">
        <is>
          <t>FINANCIAL</t>
        </is>
      </c>
      <c r="N658" t="inlineStr">
        <is>
          <t>FINANCIAL CREDITORS · row 104</t>
        </is>
      </c>
    </row>
    <row r="659">
      <c r="A659">
        <f>IF('FINANCIAL CREDITORS'!$A$105="","",'FINANCIAL CREDITORS'!$A$105)</f>
        <v/>
      </c>
      <c r="B659">
        <f>IF('FINANCIAL CREDITORS'!$C$105="","",'FINANCIAL CREDITORS'!$C$105)</f>
        <v/>
      </c>
      <c r="C659">
        <f>'FINANCIAL CREDITORS'!$U$105</f>
        <v/>
      </c>
      <c r="D659">
        <f>'FINANCIAL CREDITORS'!$Y$105</f>
        <v/>
      </c>
      <c r="E659">
        <f>'FINANCIAL CREDITORS'!$AC$105</f>
        <v/>
      </c>
      <c r="F659">
        <f>IF('FINANCIAL CREDITORS'!$V$105="","",'FINANCIAL CREDITORS'!$V$105)</f>
        <v/>
      </c>
      <c r="G659">
        <f>IF('FINANCIAL CREDITORS'!$D$105="","",'FINANCIAL CREDITORS'!$D$105)</f>
        <v/>
      </c>
      <c r="H659">
        <f>IF('FINANCIAL CREDITORS'!$G$105="","",'FINANCIAL CREDITORS'!$G$105)</f>
        <v/>
      </c>
      <c r="I659">
        <f>IF('FINANCIAL CREDITORS'!$AT$105="","",'FINANCIAL CREDITORS'!$AT$105)</f>
        <v/>
      </c>
      <c r="J659">
        <f>IF('FINANCIAL CREDITORS'!$AX$105="","",'FINANCIAL CREDITORS'!$AX$105)</f>
        <v/>
      </c>
      <c r="K659">
        <f>IF('FINANCIAL CREDITORS'!$N$105="","",'FINANCIAL CREDITORS'!$N$105)</f>
        <v/>
      </c>
      <c r="L659">
        <f>IF('FINANCIAL CREDITORS'!$AE$105="","",'FINANCIAL CREDITORS'!$AE$105)</f>
        <v/>
      </c>
      <c r="M659" t="inlineStr">
        <is>
          <t>FINANCIAL</t>
        </is>
      </c>
      <c r="N659" t="inlineStr">
        <is>
          <t>FINANCIAL CREDITORS · row 105</t>
        </is>
      </c>
    </row>
    <row r="660">
      <c r="A660">
        <f>IF('FINANCIAL CREDITORS'!$A$106="","",'FINANCIAL CREDITORS'!$A$106)</f>
        <v/>
      </c>
      <c r="B660">
        <f>IF('FINANCIAL CREDITORS'!$C$106="","",'FINANCIAL CREDITORS'!$C$106)</f>
        <v/>
      </c>
      <c r="C660">
        <f>'FINANCIAL CREDITORS'!$U$106</f>
        <v/>
      </c>
      <c r="D660">
        <f>'FINANCIAL CREDITORS'!$Y$106</f>
        <v/>
      </c>
      <c r="E660">
        <f>'FINANCIAL CREDITORS'!$AC$106</f>
        <v/>
      </c>
      <c r="F660">
        <f>IF('FINANCIAL CREDITORS'!$V$106="","",'FINANCIAL CREDITORS'!$V$106)</f>
        <v/>
      </c>
      <c r="G660">
        <f>IF('FINANCIAL CREDITORS'!$D$106="","",'FINANCIAL CREDITORS'!$D$106)</f>
        <v/>
      </c>
      <c r="H660">
        <f>IF('FINANCIAL CREDITORS'!$G$106="","",'FINANCIAL CREDITORS'!$G$106)</f>
        <v/>
      </c>
      <c r="I660">
        <f>IF('FINANCIAL CREDITORS'!$AT$106="","",'FINANCIAL CREDITORS'!$AT$106)</f>
        <v/>
      </c>
      <c r="J660">
        <f>IF('FINANCIAL CREDITORS'!$AX$106="","",'FINANCIAL CREDITORS'!$AX$106)</f>
        <v/>
      </c>
      <c r="K660">
        <f>IF('FINANCIAL CREDITORS'!$N$106="","",'FINANCIAL CREDITORS'!$N$106)</f>
        <v/>
      </c>
      <c r="L660">
        <f>IF('FINANCIAL CREDITORS'!$AE$106="","",'FINANCIAL CREDITORS'!$AE$106)</f>
        <v/>
      </c>
      <c r="M660" t="inlineStr">
        <is>
          <t>FINANCIAL</t>
        </is>
      </c>
      <c r="N660" t="inlineStr">
        <is>
          <t>FINANCIAL CREDITORS · row 106</t>
        </is>
      </c>
    </row>
    <row r="661">
      <c r="A661">
        <f>IF('FINANCIAL CREDITORS'!$A$107="","",'FINANCIAL CREDITORS'!$A$107)</f>
        <v/>
      </c>
      <c r="B661">
        <f>IF('FINANCIAL CREDITORS'!$C$107="","",'FINANCIAL CREDITORS'!$C$107)</f>
        <v/>
      </c>
      <c r="C661">
        <f>'FINANCIAL CREDITORS'!$U$107</f>
        <v/>
      </c>
      <c r="D661">
        <f>'FINANCIAL CREDITORS'!$Y$107</f>
        <v/>
      </c>
      <c r="E661">
        <f>'FINANCIAL CREDITORS'!$AC$107</f>
        <v/>
      </c>
      <c r="F661">
        <f>IF('FINANCIAL CREDITORS'!$V$107="","",'FINANCIAL CREDITORS'!$V$107)</f>
        <v/>
      </c>
      <c r="G661">
        <f>IF('FINANCIAL CREDITORS'!$D$107="","",'FINANCIAL CREDITORS'!$D$107)</f>
        <v/>
      </c>
      <c r="H661">
        <f>IF('FINANCIAL CREDITORS'!$G$107="","",'FINANCIAL CREDITORS'!$G$107)</f>
        <v/>
      </c>
      <c r="I661">
        <f>IF('FINANCIAL CREDITORS'!$AT$107="","",'FINANCIAL CREDITORS'!$AT$107)</f>
        <v/>
      </c>
      <c r="J661">
        <f>IF('FINANCIAL CREDITORS'!$AX$107="","",'FINANCIAL CREDITORS'!$AX$107)</f>
        <v/>
      </c>
      <c r="K661">
        <f>IF('FINANCIAL CREDITORS'!$N$107="","",'FINANCIAL CREDITORS'!$N$107)</f>
        <v/>
      </c>
      <c r="L661">
        <f>IF('FINANCIAL CREDITORS'!$AE$107="","",'FINANCIAL CREDITORS'!$AE$107)</f>
        <v/>
      </c>
      <c r="M661" t="inlineStr">
        <is>
          <t>FINANCIAL</t>
        </is>
      </c>
      <c r="N661" t="inlineStr">
        <is>
          <t>FINANCIAL CREDITORS · row 107</t>
        </is>
      </c>
    </row>
    <row r="662">
      <c r="A662">
        <f>IF('FINANCIAL CREDITORS'!$A$108="","",'FINANCIAL CREDITORS'!$A$108)</f>
        <v/>
      </c>
      <c r="B662">
        <f>IF('FINANCIAL CREDITORS'!$C$108="","",'FINANCIAL CREDITORS'!$C$108)</f>
        <v/>
      </c>
      <c r="C662">
        <f>'FINANCIAL CREDITORS'!$U$108</f>
        <v/>
      </c>
      <c r="D662">
        <f>'FINANCIAL CREDITORS'!$Y$108</f>
        <v/>
      </c>
      <c r="E662">
        <f>'FINANCIAL CREDITORS'!$AC$108</f>
        <v/>
      </c>
      <c r="F662">
        <f>IF('FINANCIAL CREDITORS'!$V$108="","",'FINANCIAL CREDITORS'!$V$108)</f>
        <v/>
      </c>
      <c r="G662">
        <f>IF('FINANCIAL CREDITORS'!$D$108="","",'FINANCIAL CREDITORS'!$D$108)</f>
        <v/>
      </c>
      <c r="H662">
        <f>IF('FINANCIAL CREDITORS'!$G$108="","",'FINANCIAL CREDITORS'!$G$108)</f>
        <v/>
      </c>
      <c r="I662">
        <f>IF('FINANCIAL CREDITORS'!$AT$108="","",'FINANCIAL CREDITORS'!$AT$108)</f>
        <v/>
      </c>
      <c r="J662">
        <f>IF('FINANCIAL CREDITORS'!$AX$108="","",'FINANCIAL CREDITORS'!$AX$108)</f>
        <v/>
      </c>
      <c r="K662">
        <f>IF('FINANCIAL CREDITORS'!$N$108="","",'FINANCIAL CREDITORS'!$N$108)</f>
        <v/>
      </c>
      <c r="L662">
        <f>IF('FINANCIAL CREDITORS'!$AE$108="","",'FINANCIAL CREDITORS'!$AE$108)</f>
        <v/>
      </c>
      <c r="M662" t="inlineStr">
        <is>
          <t>FINANCIAL</t>
        </is>
      </c>
      <c r="N662" t="inlineStr">
        <is>
          <t>FINANCIAL CREDITORS · row 108</t>
        </is>
      </c>
    </row>
    <row r="663">
      <c r="A663">
        <f>IF('FINANCIAL CREDITORS'!$A$109="","",'FINANCIAL CREDITORS'!$A$109)</f>
        <v/>
      </c>
      <c r="B663">
        <f>IF('FINANCIAL CREDITORS'!$C$109="","",'FINANCIAL CREDITORS'!$C$109)</f>
        <v/>
      </c>
      <c r="C663">
        <f>'FINANCIAL CREDITORS'!$U$109</f>
        <v/>
      </c>
      <c r="D663">
        <f>'FINANCIAL CREDITORS'!$Y$109</f>
        <v/>
      </c>
      <c r="E663">
        <f>'FINANCIAL CREDITORS'!$AC$109</f>
        <v/>
      </c>
      <c r="F663">
        <f>IF('FINANCIAL CREDITORS'!$V$109="","",'FINANCIAL CREDITORS'!$V$109)</f>
        <v/>
      </c>
      <c r="G663">
        <f>IF('FINANCIAL CREDITORS'!$D$109="","",'FINANCIAL CREDITORS'!$D$109)</f>
        <v/>
      </c>
      <c r="H663">
        <f>IF('FINANCIAL CREDITORS'!$G$109="","",'FINANCIAL CREDITORS'!$G$109)</f>
        <v/>
      </c>
      <c r="I663">
        <f>IF('FINANCIAL CREDITORS'!$AT$109="","",'FINANCIAL CREDITORS'!$AT$109)</f>
        <v/>
      </c>
      <c r="J663">
        <f>IF('FINANCIAL CREDITORS'!$AX$109="","",'FINANCIAL CREDITORS'!$AX$109)</f>
        <v/>
      </c>
      <c r="K663">
        <f>IF('FINANCIAL CREDITORS'!$N$109="","",'FINANCIAL CREDITORS'!$N$109)</f>
        <v/>
      </c>
      <c r="L663">
        <f>IF('FINANCIAL CREDITORS'!$AE$109="","",'FINANCIAL CREDITORS'!$AE$109)</f>
        <v/>
      </c>
      <c r="M663" t="inlineStr">
        <is>
          <t>FINANCIAL</t>
        </is>
      </c>
      <c r="N663" t="inlineStr">
        <is>
          <t>FINANCIAL CREDITORS · row 109</t>
        </is>
      </c>
    </row>
    <row r="664">
      <c r="A664">
        <f>IF('FINANCIAL CREDITORS'!$A$110="","",'FINANCIAL CREDITORS'!$A$110)</f>
        <v/>
      </c>
      <c r="B664">
        <f>IF('FINANCIAL CREDITORS'!$C$110="","",'FINANCIAL CREDITORS'!$C$110)</f>
        <v/>
      </c>
      <c r="C664">
        <f>'FINANCIAL CREDITORS'!$U$110</f>
        <v/>
      </c>
      <c r="D664">
        <f>'FINANCIAL CREDITORS'!$Y$110</f>
        <v/>
      </c>
      <c r="E664">
        <f>'FINANCIAL CREDITORS'!$AC$110</f>
        <v/>
      </c>
      <c r="F664">
        <f>IF('FINANCIAL CREDITORS'!$V$110="","",'FINANCIAL CREDITORS'!$V$110)</f>
        <v/>
      </c>
      <c r="G664">
        <f>IF('FINANCIAL CREDITORS'!$D$110="","",'FINANCIAL CREDITORS'!$D$110)</f>
        <v/>
      </c>
      <c r="H664">
        <f>IF('FINANCIAL CREDITORS'!$G$110="","",'FINANCIAL CREDITORS'!$G$110)</f>
        <v/>
      </c>
      <c r="I664">
        <f>IF('FINANCIAL CREDITORS'!$AT$110="","",'FINANCIAL CREDITORS'!$AT$110)</f>
        <v/>
      </c>
      <c r="J664">
        <f>IF('FINANCIAL CREDITORS'!$AX$110="","",'FINANCIAL CREDITORS'!$AX$110)</f>
        <v/>
      </c>
      <c r="K664">
        <f>IF('FINANCIAL CREDITORS'!$N$110="","",'FINANCIAL CREDITORS'!$N$110)</f>
        <v/>
      </c>
      <c r="L664">
        <f>IF('FINANCIAL CREDITORS'!$AE$110="","",'FINANCIAL CREDITORS'!$AE$110)</f>
        <v/>
      </c>
      <c r="M664" t="inlineStr">
        <is>
          <t>FINANCIAL</t>
        </is>
      </c>
      <c r="N664" t="inlineStr">
        <is>
          <t>FINANCIAL CREDITORS · row 110</t>
        </is>
      </c>
    </row>
    <row r="665">
      <c r="A665">
        <f>IF('FINANCIAL CREDITORS'!$A$111="","",'FINANCIAL CREDITORS'!$A$111)</f>
        <v/>
      </c>
      <c r="B665">
        <f>IF('FINANCIAL CREDITORS'!$C$111="","",'FINANCIAL CREDITORS'!$C$111)</f>
        <v/>
      </c>
      <c r="C665">
        <f>'FINANCIAL CREDITORS'!$U$111</f>
        <v/>
      </c>
      <c r="D665">
        <f>'FINANCIAL CREDITORS'!$Y$111</f>
        <v/>
      </c>
      <c r="E665">
        <f>'FINANCIAL CREDITORS'!$AC$111</f>
        <v/>
      </c>
      <c r="F665">
        <f>IF('FINANCIAL CREDITORS'!$V$111="","",'FINANCIAL CREDITORS'!$V$111)</f>
        <v/>
      </c>
      <c r="G665">
        <f>IF('FINANCIAL CREDITORS'!$D$111="","",'FINANCIAL CREDITORS'!$D$111)</f>
        <v/>
      </c>
      <c r="H665">
        <f>IF('FINANCIAL CREDITORS'!$G$111="","",'FINANCIAL CREDITORS'!$G$111)</f>
        <v/>
      </c>
      <c r="I665">
        <f>IF('FINANCIAL CREDITORS'!$AT$111="","",'FINANCIAL CREDITORS'!$AT$111)</f>
        <v/>
      </c>
      <c r="J665">
        <f>IF('FINANCIAL CREDITORS'!$AX$111="","",'FINANCIAL CREDITORS'!$AX$111)</f>
        <v/>
      </c>
      <c r="K665">
        <f>IF('FINANCIAL CREDITORS'!$N$111="","",'FINANCIAL CREDITORS'!$N$111)</f>
        <v/>
      </c>
      <c r="L665">
        <f>IF('FINANCIAL CREDITORS'!$AE$111="","",'FINANCIAL CREDITORS'!$AE$111)</f>
        <v/>
      </c>
      <c r="M665" t="inlineStr">
        <is>
          <t>FINANCIAL</t>
        </is>
      </c>
      <c r="N665" t="inlineStr">
        <is>
          <t>FINANCIAL CREDITORS · row 111</t>
        </is>
      </c>
    </row>
    <row r="666">
      <c r="A666">
        <f>IF('FINANCIAL CREDITORS'!$A$112="","",'FINANCIAL CREDITORS'!$A$112)</f>
        <v/>
      </c>
      <c r="B666">
        <f>IF('FINANCIAL CREDITORS'!$C$112="","",'FINANCIAL CREDITORS'!$C$112)</f>
        <v/>
      </c>
      <c r="C666">
        <f>'FINANCIAL CREDITORS'!$U$112</f>
        <v/>
      </c>
      <c r="D666">
        <f>'FINANCIAL CREDITORS'!$Y$112</f>
        <v/>
      </c>
      <c r="E666">
        <f>'FINANCIAL CREDITORS'!$AC$112</f>
        <v/>
      </c>
      <c r="F666">
        <f>IF('FINANCIAL CREDITORS'!$V$112="","",'FINANCIAL CREDITORS'!$V$112)</f>
        <v/>
      </c>
      <c r="G666">
        <f>IF('FINANCIAL CREDITORS'!$D$112="","",'FINANCIAL CREDITORS'!$D$112)</f>
        <v/>
      </c>
      <c r="H666">
        <f>IF('FINANCIAL CREDITORS'!$G$112="","",'FINANCIAL CREDITORS'!$G$112)</f>
        <v/>
      </c>
      <c r="I666">
        <f>IF('FINANCIAL CREDITORS'!$AT$112="","",'FINANCIAL CREDITORS'!$AT$112)</f>
        <v/>
      </c>
      <c r="J666">
        <f>IF('FINANCIAL CREDITORS'!$AX$112="","",'FINANCIAL CREDITORS'!$AX$112)</f>
        <v/>
      </c>
      <c r="K666">
        <f>IF('FINANCIAL CREDITORS'!$N$112="","",'FINANCIAL CREDITORS'!$N$112)</f>
        <v/>
      </c>
      <c r="L666">
        <f>IF('FINANCIAL CREDITORS'!$AE$112="","",'FINANCIAL CREDITORS'!$AE$112)</f>
        <v/>
      </c>
      <c r="M666" t="inlineStr">
        <is>
          <t>FINANCIAL</t>
        </is>
      </c>
      <c r="N666" t="inlineStr">
        <is>
          <t>FINANCIAL CREDITORS · row 112</t>
        </is>
      </c>
    </row>
    <row r="667">
      <c r="A667">
        <f>IF('FINANCIAL CREDITORS'!$A$113="","",'FINANCIAL CREDITORS'!$A$113)</f>
        <v/>
      </c>
      <c r="B667">
        <f>IF('FINANCIAL CREDITORS'!$C$113="","",'FINANCIAL CREDITORS'!$C$113)</f>
        <v/>
      </c>
      <c r="C667">
        <f>'FINANCIAL CREDITORS'!$U$113</f>
        <v/>
      </c>
      <c r="D667">
        <f>'FINANCIAL CREDITORS'!$Y$113</f>
        <v/>
      </c>
      <c r="E667">
        <f>'FINANCIAL CREDITORS'!$AC$113</f>
        <v/>
      </c>
      <c r="F667">
        <f>IF('FINANCIAL CREDITORS'!$V$113="","",'FINANCIAL CREDITORS'!$V$113)</f>
        <v/>
      </c>
      <c r="G667">
        <f>IF('FINANCIAL CREDITORS'!$D$113="","",'FINANCIAL CREDITORS'!$D$113)</f>
        <v/>
      </c>
      <c r="H667">
        <f>IF('FINANCIAL CREDITORS'!$G$113="","",'FINANCIAL CREDITORS'!$G$113)</f>
        <v/>
      </c>
      <c r="I667">
        <f>IF('FINANCIAL CREDITORS'!$AT$113="","",'FINANCIAL CREDITORS'!$AT$113)</f>
        <v/>
      </c>
      <c r="J667">
        <f>IF('FINANCIAL CREDITORS'!$AX$113="","",'FINANCIAL CREDITORS'!$AX$113)</f>
        <v/>
      </c>
      <c r="K667">
        <f>IF('FINANCIAL CREDITORS'!$N$113="","",'FINANCIAL CREDITORS'!$N$113)</f>
        <v/>
      </c>
      <c r="L667">
        <f>IF('FINANCIAL CREDITORS'!$AE$113="","",'FINANCIAL CREDITORS'!$AE$113)</f>
        <v/>
      </c>
      <c r="M667" t="inlineStr">
        <is>
          <t>FINANCIAL</t>
        </is>
      </c>
      <c r="N667" t="inlineStr">
        <is>
          <t>FINANCIAL CREDITORS · row 113</t>
        </is>
      </c>
    </row>
    <row r="668">
      <c r="A668">
        <f>IF('FINANCIAL CREDITORS'!$A$114="","",'FINANCIAL CREDITORS'!$A$114)</f>
        <v/>
      </c>
      <c r="B668">
        <f>IF('FINANCIAL CREDITORS'!$C$114="","",'FINANCIAL CREDITORS'!$C$114)</f>
        <v/>
      </c>
      <c r="C668">
        <f>'FINANCIAL CREDITORS'!$U$114</f>
        <v/>
      </c>
      <c r="D668">
        <f>'FINANCIAL CREDITORS'!$Y$114</f>
        <v/>
      </c>
      <c r="E668">
        <f>'FINANCIAL CREDITORS'!$AC$114</f>
        <v/>
      </c>
      <c r="F668">
        <f>IF('FINANCIAL CREDITORS'!$V$114="","",'FINANCIAL CREDITORS'!$V$114)</f>
        <v/>
      </c>
      <c r="G668">
        <f>IF('FINANCIAL CREDITORS'!$D$114="","",'FINANCIAL CREDITORS'!$D$114)</f>
        <v/>
      </c>
      <c r="H668">
        <f>IF('FINANCIAL CREDITORS'!$G$114="","",'FINANCIAL CREDITORS'!$G$114)</f>
        <v/>
      </c>
      <c r="I668">
        <f>IF('FINANCIAL CREDITORS'!$AT$114="","",'FINANCIAL CREDITORS'!$AT$114)</f>
        <v/>
      </c>
      <c r="J668">
        <f>IF('FINANCIAL CREDITORS'!$AX$114="","",'FINANCIAL CREDITORS'!$AX$114)</f>
        <v/>
      </c>
      <c r="K668">
        <f>IF('FINANCIAL CREDITORS'!$N$114="","",'FINANCIAL CREDITORS'!$N$114)</f>
        <v/>
      </c>
      <c r="L668">
        <f>IF('FINANCIAL CREDITORS'!$AE$114="","",'FINANCIAL CREDITORS'!$AE$114)</f>
        <v/>
      </c>
      <c r="M668" t="inlineStr">
        <is>
          <t>FINANCIAL</t>
        </is>
      </c>
      <c r="N668" t="inlineStr">
        <is>
          <t>FINANCIAL CREDITORS · row 114</t>
        </is>
      </c>
    </row>
    <row r="669">
      <c r="A669">
        <f>IF('FINANCIAL CREDITORS'!$A$115="","",'FINANCIAL CREDITORS'!$A$115)</f>
        <v/>
      </c>
      <c r="B669">
        <f>IF('FINANCIAL CREDITORS'!$C$115="","",'FINANCIAL CREDITORS'!$C$115)</f>
        <v/>
      </c>
      <c r="C669">
        <f>'FINANCIAL CREDITORS'!$U$115</f>
        <v/>
      </c>
      <c r="D669">
        <f>'FINANCIAL CREDITORS'!$Y$115</f>
        <v/>
      </c>
      <c r="E669">
        <f>'FINANCIAL CREDITORS'!$AC$115</f>
        <v/>
      </c>
      <c r="F669">
        <f>IF('FINANCIAL CREDITORS'!$V$115="","",'FINANCIAL CREDITORS'!$V$115)</f>
        <v/>
      </c>
      <c r="G669">
        <f>IF('FINANCIAL CREDITORS'!$D$115="","",'FINANCIAL CREDITORS'!$D$115)</f>
        <v/>
      </c>
      <c r="H669">
        <f>IF('FINANCIAL CREDITORS'!$G$115="","",'FINANCIAL CREDITORS'!$G$115)</f>
        <v/>
      </c>
      <c r="I669">
        <f>IF('FINANCIAL CREDITORS'!$AT$115="","",'FINANCIAL CREDITORS'!$AT$115)</f>
        <v/>
      </c>
      <c r="J669">
        <f>IF('FINANCIAL CREDITORS'!$AX$115="","",'FINANCIAL CREDITORS'!$AX$115)</f>
        <v/>
      </c>
      <c r="K669">
        <f>IF('FINANCIAL CREDITORS'!$N$115="","",'FINANCIAL CREDITORS'!$N$115)</f>
        <v/>
      </c>
      <c r="L669">
        <f>IF('FINANCIAL CREDITORS'!$AE$115="","",'FINANCIAL CREDITORS'!$AE$115)</f>
        <v/>
      </c>
      <c r="M669" t="inlineStr">
        <is>
          <t>FINANCIAL</t>
        </is>
      </c>
      <c r="N669" t="inlineStr">
        <is>
          <t>FINANCIAL CREDITORS · row 115</t>
        </is>
      </c>
    </row>
    <row r="670">
      <c r="A670">
        <f>IF('FINANCIAL CREDITORS'!$A$116="","",'FINANCIAL CREDITORS'!$A$116)</f>
        <v/>
      </c>
      <c r="B670">
        <f>IF('FINANCIAL CREDITORS'!$C$116="","",'FINANCIAL CREDITORS'!$C$116)</f>
        <v/>
      </c>
      <c r="C670">
        <f>'FINANCIAL CREDITORS'!$U$116</f>
        <v/>
      </c>
      <c r="D670">
        <f>'FINANCIAL CREDITORS'!$Y$116</f>
        <v/>
      </c>
      <c r="E670">
        <f>'FINANCIAL CREDITORS'!$AC$116</f>
        <v/>
      </c>
      <c r="F670">
        <f>IF('FINANCIAL CREDITORS'!$V$116="","",'FINANCIAL CREDITORS'!$V$116)</f>
        <v/>
      </c>
      <c r="G670">
        <f>IF('FINANCIAL CREDITORS'!$D$116="","",'FINANCIAL CREDITORS'!$D$116)</f>
        <v/>
      </c>
      <c r="H670">
        <f>IF('FINANCIAL CREDITORS'!$G$116="","",'FINANCIAL CREDITORS'!$G$116)</f>
        <v/>
      </c>
      <c r="I670">
        <f>IF('FINANCIAL CREDITORS'!$AT$116="","",'FINANCIAL CREDITORS'!$AT$116)</f>
        <v/>
      </c>
      <c r="J670">
        <f>IF('FINANCIAL CREDITORS'!$AX$116="","",'FINANCIAL CREDITORS'!$AX$116)</f>
        <v/>
      </c>
      <c r="K670">
        <f>IF('FINANCIAL CREDITORS'!$N$116="","",'FINANCIAL CREDITORS'!$N$116)</f>
        <v/>
      </c>
      <c r="L670">
        <f>IF('FINANCIAL CREDITORS'!$AE$116="","",'FINANCIAL CREDITORS'!$AE$116)</f>
        <v/>
      </c>
      <c r="M670" t="inlineStr">
        <is>
          <t>FINANCIAL</t>
        </is>
      </c>
      <c r="N670" t="inlineStr">
        <is>
          <t>FINANCIAL CREDITORS · row 116</t>
        </is>
      </c>
    </row>
    <row r="671">
      <c r="A671">
        <f>IF('FINANCIAL CREDITORS'!$A$117="","",'FINANCIAL CREDITORS'!$A$117)</f>
        <v/>
      </c>
      <c r="B671">
        <f>IF('FINANCIAL CREDITORS'!$C$117="","",'FINANCIAL CREDITORS'!$C$117)</f>
        <v/>
      </c>
      <c r="C671">
        <f>'FINANCIAL CREDITORS'!$U$117</f>
        <v/>
      </c>
      <c r="D671">
        <f>'FINANCIAL CREDITORS'!$Y$117</f>
        <v/>
      </c>
      <c r="E671">
        <f>'FINANCIAL CREDITORS'!$AC$117</f>
        <v/>
      </c>
      <c r="F671">
        <f>IF('FINANCIAL CREDITORS'!$V$117="","",'FINANCIAL CREDITORS'!$V$117)</f>
        <v/>
      </c>
      <c r="G671">
        <f>IF('FINANCIAL CREDITORS'!$D$117="","",'FINANCIAL CREDITORS'!$D$117)</f>
        <v/>
      </c>
      <c r="H671">
        <f>IF('FINANCIAL CREDITORS'!$G$117="","",'FINANCIAL CREDITORS'!$G$117)</f>
        <v/>
      </c>
      <c r="I671">
        <f>IF('FINANCIAL CREDITORS'!$AT$117="","",'FINANCIAL CREDITORS'!$AT$117)</f>
        <v/>
      </c>
      <c r="J671">
        <f>IF('FINANCIAL CREDITORS'!$AX$117="","",'FINANCIAL CREDITORS'!$AX$117)</f>
        <v/>
      </c>
      <c r="K671">
        <f>IF('FINANCIAL CREDITORS'!$N$117="","",'FINANCIAL CREDITORS'!$N$117)</f>
        <v/>
      </c>
      <c r="L671">
        <f>IF('FINANCIAL CREDITORS'!$AE$117="","",'FINANCIAL CREDITORS'!$AE$117)</f>
        <v/>
      </c>
      <c r="M671" t="inlineStr">
        <is>
          <t>FINANCIAL</t>
        </is>
      </c>
      <c r="N671" t="inlineStr">
        <is>
          <t>FINANCIAL CREDITORS · row 117</t>
        </is>
      </c>
    </row>
    <row r="672">
      <c r="A672">
        <f>IF('FINANCIAL CREDITORS'!$A$118="","",'FINANCIAL CREDITORS'!$A$118)</f>
        <v/>
      </c>
      <c r="B672">
        <f>IF('FINANCIAL CREDITORS'!$C$118="","",'FINANCIAL CREDITORS'!$C$118)</f>
        <v/>
      </c>
      <c r="C672">
        <f>'FINANCIAL CREDITORS'!$U$118</f>
        <v/>
      </c>
      <c r="D672">
        <f>'FINANCIAL CREDITORS'!$Y$118</f>
        <v/>
      </c>
      <c r="E672">
        <f>'FINANCIAL CREDITORS'!$AC$118</f>
        <v/>
      </c>
      <c r="F672">
        <f>IF('FINANCIAL CREDITORS'!$V$118="","",'FINANCIAL CREDITORS'!$V$118)</f>
        <v/>
      </c>
      <c r="G672">
        <f>IF('FINANCIAL CREDITORS'!$D$118="","",'FINANCIAL CREDITORS'!$D$118)</f>
        <v/>
      </c>
      <c r="H672">
        <f>IF('FINANCIAL CREDITORS'!$G$118="","",'FINANCIAL CREDITORS'!$G$118)</f>
        <v/>
      </c>
      <c r="I672">
        <f>IF('FINANCIAL CREDITORS'!$AT$118="","",'FINANCIAL CREDITORS'!$AT$118)</f>
        <v/>
      </c>
      <c r="J672">
        <f>IF('FINANCIAL CREDITORS'!$AX$118="","",'FINANCIAL CREDITORS'!$AX$118)</f>
        <v/>
      </c>
      <c r="K672">
        <f>IF('FINANCIAL CREDITORS'!$N$118="","",'FINANCIAL CREDITORS'!$N$118)</f>
        <v/>
      </c>
      <c r="L672">
        <f>IF('FINANCIAL CREDITORS'!$AE$118="","",'FINANCIAL CREDITORS'!$AE$118)</f>
        <v/>
      </c>
      <c r="M672" t="inlineStr">
        <is>
          <t>FINANCIAL</t>
        </is>
      </c>
      <c r="N672" t="inlineStr">
        <is>
          <t>FINANCIAL CREDITORS · row 118</t>
        </is>
      </c>
    </row>
    <row r="673">
      <c r="A673">
        <f>IF('FINANCIAL CREDITORS'!$A$119="","",'FINANCIAL CREDITORS'!$A$119)</f>
        <v/>
      </c>
      <c r="B673">
        <f>IF('FINANCIAL CREDITORS'!$C$119="","",'FINANCIAL CREDITORS'!$C$119)</f>
        <v/>
      </c>
      <c r="C673">
        <f>'FINANCIAL CREDITORS'!$U$119</f>
        <v/>
      </c>
      <c r="D673">
        <f>'FINANCIAL CREDITORS'!$Y$119</f>
        <v/>
      </c>
      <c r="E673">
        <f>'FINANCIAL CREDITORS'!$AC$119</f>
        <v/>
      </c>
      <c r="F673">
        <f>IF('FINANCIAL CREDITORS'!$V$119="","",'FINANCIAL CREDITORS'!$V$119)</f>
        <v/>
      </c>
      <c r="G673">
        <f>IF('FINANCIAL CREDITORS'!$D$119="","",'FINANCIAL CREDITORS'!$D$119)</f>
        <v/>
      </c>
      <c r="H673">
        <f>IF('FINANCIAL CREDITORS'!$G$119="","",'FINANCIAL CREDITORS'!$G$119)</f>
        <v/>
      </c>
      <c r="I673">
        <f>IF('FINANCIAL CREDITORS'!$AT$119="","",'FINANCIAL CREDITORS'!$AT$119)</f>
        <v/>
      </c>
      <c r="J673">
        <f>IF('FINANCIAL CREDITORS'!$AX$119="","",'FINANCIAL CREDITORS'!$AX$119)</f>
        <v/>
      </c>
      <c r="K673">
        <f>IF('FINANCIAL CREDITORS'!$N$119="","",'FINANCIAL CREDITORS'!$N$119)</f>
        <v/>
      </c>
      <c r="L673">
        <f>IF('FINANCIAL CREDITORS'!$AE$119="","",'FINANCIAL CREDITORS'!$AE$119)</f>
        <v/>
      </c>
      <c r="M673" t="inlineStr">
        <is>
          <t>FINANCIAL</t>
        </is>
      </c>
      <c r="N673" t="inlineStr">
        <is>
          <t>FINANCIAL CREDITORS · row 119</t>
        </is>
      </c>
    </row>
    <row r="674">
      <c r="A674">
        <f>IF('FINANCIAL CREDITORS'!$A$120="","",'FINANCIAL CREDITORS'!$A$120)</f>
        <v/>
      </c>
      <c r="B674">
        <f>IF('FINANCIAL CREDITORS'!$C$120="","",'FINANCIAL CREDITORS'!$C$120)</f>
        <v/>
      </c>
      <c r="C674">
        <f>'FINANCIAL CREDITORS'!$U$120</f>
        <v/>
      </c>
      <c r="D674">
        <f>'FINANCIAL CREDITORS'!$Y$120</f>
        <v/>
      </c>
      <c r="E674">
        <f>'FINANCIAL CREDITORS'!$AC$120</f>
        <v/>
      </c>
      <c r="F674">
        <f>IF('FINANCIAL CREDITORS'!$V$120="","",'FINANCIAL CREDITORS'!$V$120)</f>
        <v/>
      </c>
      <c r="G674">
        <f>IF('FINANCIAL CREDITORS'!$D$120="","",'FINANCIAL CREDITORS'!$D$120)</f>
        <v/>
      </c>
      <c r="H674">
        <f>IF('FINANCIAL CREDITORS'!$G$120="","",'FINANCIAL CREDITORS'!$G$120)</f>
        <v/>
      </c>
      <c r="I674">
        <f>IF('FINANCIAL CREDITORS'!$AT$120="","",'FINANCIAL CREDITORS'!$AT$120)</f>
        <v/>
      </c>
      <c r="J674">
        <f>IF('FINANCIAL CREDITORS'!$AX$120="","",'FINANCIAL CREDITORS'!$AX$120)</f>
        <v/>
      </c>
      <c r="K674">
        <f>IF('FINANCIAL CREDITORS'!$N$120="","",'FINANCIAL CREDITORS'!$N$120)</f>
        <v/>
      </c>
      <c r="L674">
        <f>IF('FINANCIAL CREDITORS'!$AE$120="","",'FINANCIAL CREDITORS'!$AE$120)</f>
        <v/>
      </c>
      <c r="M674" t="inlineStr">
        <is>
          <t>FINANCIAL</t>
        </is>
      </c>
      <c r="N674" t="inlineStr">
        <is>
          <t>FINANCIAL CREDITORS · row 120</t>
        </is>
      </c>
    </row>
    <row r="675">
      <c r="A675">
        <f>IF('FINANCIAL CREDITORS'!$A$121="","",'FINANCIAL CREDITORS'!$A$121)</f>
        <v/>
      </c>
      <c r="B675">
        <f>IF('FINANCIAL CREDITORS'!$C$121="","",'FINANCIAL CREDITORS'!$C$121)</f>
        <v/>
      </c>
      <c r="C675">
        <f>'FINANCIAL CREDITORS'!$U$121</f>
        <v/>
      </c>
      <c r="D675">
        <f>'FINANCIAL CREDITORS'!$Y$121</f>
        <v/>
      </c>
      <c r="E675">
        <f>'FINANCIAL CREDITORS'!$AC$121</f>
        <v/>
      </c>
      <c r="F675">
        <f>IF('FINANCIAL CREDITORS'!$V$121="","",'FINANCIAL CREDITORS'!$V$121)</f>
        <v/>
      </c>
      <c r="G675">
        <f>IF('FINANCIAL CREDITORS'!$D$121="","",'FINANCIAL CREDITORS'!$D$121)</f>
        <v/>
      </c>
      <c r="H675">
        <f>IF('FINANCIAL CREDITORS'!$G$121="","",'FINANCIAL CREDITORS'!$G$121)</f>
        <v/>
      </c>
      <c r="I675">
        <f>IF('FINANCIAL CREDITORS'!$AT$121="","",'FINANCIAL CREDITORS'!$AT$121)</f>
        <v/>
      </c>
      <c r="J675">
        <f>IF('FINANCIAL CREDITORS'!$AX$121="","",'FINANCIAL CREDITORS'!$AX$121)</f>
        <v/>
      </c>
      <c r="K675">
        <f>IF('FINANCIAL CREDITORS'!$N$121="","",'FINANCIAL CREDITORS'!$N$121)</f>
        <v/>
      </c>
      <c r="L675">
        <f>IF('FINANCIAL CREDITORS'!$AE$121="","",'FINANCIAL CREDITORS'!$AE$121)</f>
        <v/>
      </c>
      <c r="M675" t="inlineStr">
        <is>
          <t>FINANCIAL</t>
        </is>
      </c>
      <c r="N675" t="inlineStr">
        <is>
          <t>FINANCIAL CREDITORS · row 121</t>
        </is>
      </c>
    </row>
    <row r="676">
      <c r="A676">
        <f>IF('FINANCIAL CREDITORS'!$A$122="","",'FINANCIAL CREDITORS'!$A$122)</f>
        <v/>
      </c>
      <c r="B676">
        <f>IF('FINANCIAL CREDITORS'!$C$122="","",'FINANCIAL CREDITORS'!$C$122)</f>
        <v/>
      </c>
      <c r="C676">
        <f>'FINANCIAL CREDITORS'!$U$122</f>
        <v/>
      </c>
      <c r="D676">
        <f>'FINANCIAL CREDITORS'!$Y$122</f>
        <v/>
      </c>
      <c r="E676">
        <f>'FINANCIAL CREDITORS'!$AC$122</f>
        <v/>
      </c>
      <c r="F676">
        <f>IF('FINANCIAL CREDITORS'!$V$122="","",'FINANCIAL CREDITORS'!$V$122)</f>
        <v/>
      </c>
      <c r="G676">
        <f>IF('FINANCIAL CREDITORS'!$D$122="","",'FINANCIAL CREDITORS'!$D$122)</f>
        <v/>
      </c>
      <c r="H676">
        <f>IF('FINANCIAL CREDITORS'!$G$122="","",'FINANCIAL CREDITORS'!$G$122)</f>
        <v/>
      </c>
      <c r="I676">
        <f>IF('FINANCIAL CREDITORS'!$AT$122="","",'FINANCIAL CREDITORS'!$AT$122)</f>
        <v/>
      </c>
      <c r="J676">
        <f>IF('FINANCIAL CREDITORS'!$AX$122="","",'FINANCIAL CREDITORS'!$AX$122)</f>
        <v/>
      </c>
      <c r="K676">
        <f>IF('FINANCIAL CREDITORS'!$N$122="","",'FINANCIAL CREDITORS'!$N$122)</f>
        <v/>
      </c>
      <c r="L676">
        <f>IF('FINANCIAL CREDITORS'!$AE$122="","",'FINANCIAL CREDITORS'!$AE$122)</f>
        <v/>
      </c>
      <c r="M676" t="inlineStr">
        <is>
          <t>FINANCIAL</t>
        </is>
      </c>
      <c r="N676" t="inlineStr">
        <is>
          <t>FINANCIAL CREDITORS · row 122</t>
        </is>
      </c>
    </row>
    <row r="677">
      <c r="A677">
        <f>IF('FINANCIAL CREDITORS'!$A$123="","",'FINANCIAL CREDITORS'!$A$123)</f>
        <v/>
      </c>
      <c r="B677">
        <f>IF('FINANCIAL CREDITORS'!$C$123="","",'FINANCIAL CREDITORS'!$C$123)</f>
        <v/>
      </c>
      <c r="C677">
        <f>'FINANCIAL CREDITORS'!$U$123</f>
        <v/>
      </c>
      <c r="D677">
        <f>'FINANCIAL CREDITORS'!$Y$123</f>
        <v/>
      </c>
      <c r="E677">
        <f>'FINANCIAL CREDITORS'!$AC$123</f>
        <v/>
      </c>
      <c r="F677">
        <f>IF('FINANCIAL CREDITORS'!$V$123="","",'FINANCIAL CREDITORS'!$V$123)</f>
        <v/>
      </c>
      <c r="G677">
        <f>IF('FINANCIAL CREDITORS'!$D$123="","",'FINANCIAL CREDITORS'!$D$123)</f>
        <v/>
      </c>
      <c r="H677">
        <f>IF('FINANCIAL CREDITORS'!$G$123="","",'FINANCIAL CREDITORS'!$G$123)</f>
        <v/>
      </c>
      <c r="I677">
        <f>IF('FINANCIAL CREDITORS'!$AT$123="","",'FINANCIAL CREDITORS'!$AT$123)</f>
        <v/>
      </c>
      <c r="J677">
        <f>IF('FINANCIAL CREDITORS'!$AX$123="","",'FINANCIAL CREDITORS'!$AX$123)</f>
        <v/>
      </c>
      <c r="K677">
        <f>IF('FINANCIAL CREDITORS'!$N$123="","",'FINANCIAL CREDITORS'!$N$123)</f>
        <v/>
      </c>
      <c r="L677">
        <f>IF('FINANCIAL CREDITORS'!$AE$123="","",'FINANCIAL CREDITORS'!$AE$123)</f>
        <v/>
      </c>
      <c r="M677" t="inlineStr">
        <is>
          <t>FINANCIAL</t>
        </is>
      </c>
      <c r="N677" t="inlineStr">
        <is>
          <t>FINANCIAL CREDITORS · row 123</t>
        </is>
      </c>
    </row>
    <row r="678">
      <c r="A678">
        <f>IF('FINANCIAL CREDITORS'!$A$124="","",'FINANCIAL CREDITORS'!$A$124)</f>
        <v/>
      </c>
      <c r="B678">
        <f>IF('FINANCIAL CREDITORS'!$C$124="","",'FINANCIAL CREDITORS'!$C$124)</f>
        <v/>
      </c>
      <c r="C678">
        <f>'FINANCIAL CREDITORS'!$U$124</f>
        <v/>
      </c>
      <c r="D678">
        <f>'FINANCIAL CREDITORS'!$Y$124</f>
        <v/>
      </c>
      <c r="E678">
        <f>'FINANCIAL CREDITORS'!$AC$124</f>
        <v/>
      </c>
      <c r="F678">
        <f>IF('FINANCIAL CREDITORS'!$V$124="","",'FINANCIAL CREDITORS'!$V$124)</f>
        <v/>
      </c>
      <c r="G678">
        <f>IF('FINANCIAL CREDITORS'!$D$124="","",'FINANCIAL CREDITORS'!$D$124)</f>
        <v/>
      </c>
      <c r="H678">
        <f>IF('FINANCIAL CREDITORS'!$G$124="","",'FINANCIAL CREDITORS'!$G$124)</f>
        <v/>
      </c>
      <c r="I678">
        <f>IF('FINANCIAL CREDITORS'!$AT$124="","",'FINANCIAL CREDITORS'!$AT$124)</f>
        <v/>
      </c>
      <c r="J678">
        <f>IF('FINANCIAL CREDITORS'!$AX$124="","",'FINANCIAL CREDITORS'!$AX$124)</f>
        <v/>
      </c>
      <c r="K678">
        <f>IF('FINANCIAL CREDITORS'!$N$124="","",'FINANCIAL CREDITORS'!$N$124)</f>
        <v/>
      </c>
      <c r="L678">
        <f>IF('FINANCIAL CREDITORS'!$AE$124="","",'FINANCIAL CREDITORS'!$AE$124)</f>
        <v/>
      </c>
      <c r="M678" t="inlineStr">
        <is>
          <t>FINANCIAL</t>
        </is>
      </c>
      <c r="N678" t="inlineStr">
        <is>
          <t>FINANCIAL CREDITORS · row 124</t>
        </is>
      </c>
    </row>
    <row r="679">
      <c r="A679">
        <f>IF('FINANCIAL CREDITORS'!$A$125="","",'FINANCIAL CREDITORS'!$A$125)</f>
        <v/>
      </c>
      <c r="B679">
        <f>IF('FINANCIAL CREDITORS'!$C$125="","",'FINANCIAL CREDITORS'!$C$125)</f>
        <v/>
      </c>
      <c r="C679">
        <f>'FINANCIAL CREDITORS'!$U$125</f>
        <v/>
      </c>
      <c r="D679">
        <f>'FINANCIAL CREDITORS'!$Y$125</f>
        <v/>
      </c>
      <c r="E679">
        <f>'FINANCIAL CREDITORS'!$AC$125</f>
        <v/>
      </c>
      <c r="F679">
        <f>IF('FINANCIAL CREDITORS'!$V$125="","",'FINANCIAL CREDITORS'!$V$125)</f>
        <v/>
      </c>
      <c r="G679">
        <f>IF('FINANCIAL CREDITORS'!$D$125="","",'FINANCIAL CREDITORS'!$D$125)</f>
        <v/>
      </c>
      <c r="H679">
        <f>IF('FINANCIAL CREDITORS'!$G$125="","",'FINANCIAL CREDITORS'!$G$125)</f>
        <v/>
      </c>
      <c r="I679">
        <f>IF('FINANCIAL CREDITORS'!$AT$125="","",'FINANCIAL CREDITORS'!$AT$125)</f>
        <v/>
      </c>
      <c r="J679">
        <f>IF('FINANCIAL CREDITORS'!$AX$125="","",'FINANCIAL CREDITORS'!$AX$125)</f>
        <v/>
      </c>
      <c r="K679">
        <f>IF('FINANCIAL CREDITORS'!$N$125="","",'FINANCIAL CREDITORS'!$N$125)</f>
        <v/>
      </c>
      <c r="L679">
        <f>IF('FINANCIAL CREDITORS'!$AE$125="","",'FINANCIAL CREDITORS'!$AE$125)</f>
        <v/>
      </c>
      <c r="M679" t="inlineStr">
        <is>
          <t>FINANCIAL</t>
        </is>
      </c>
      <c r="N679" t="inlineStr">
        <is>
          <t>FINANCIAL CREDITORS · row 125</t>
        </is>
      </c>
    </row>
    <row r="680">
      <c r="A680">
        <f>IF('FINANCIAL CREDITORS'!$A$126="","",'FINANCIAL CREDITORS'!$A$126)</f>
        <v/>
      </c>
      <c r="B680">
        <f>IF('FINANCIAL CREDITORS'!$C$126="","",'FINANCIAL CREDITORS'!$C$126)</f>
        <v/>
      </c>
      <c r="C680">
        <f>'FINANCIAL CREDITORS'!$U$126</f>
        <v/>
      </c>
      <c r="D680">
        <f>'FINANCIAL CREDITORS'!$Y$126</f>
        <v/>
      </c>
      <c r="E680">
        <f>'FINANCIAL CREDITORS'!$AC$126</f>
        <v/>
      </c>
      <c r="F680">
        <f>IF('FINANCIAL CREDITORS'!$V$126="","",'FINANCIAL CREDITORS'!$V$126)</f>
        <v/>
      </c>
      <c r="G680">
        <f>IF('FINANCIAL CREDITORS'!$D$126="","",'FINANCIAL CREDITORS'!$D$126)</f>
        <v/>
      </c>
      <c r="H680">
        <f>IF('FINANCIAL CREDITORS'!$G$126="","",'FINANCIAL CREDITORS'!$G$126)</f>
        <v/>
      </c>
      <c r="I680">
        <f>IF('FINANCIAL CREDITORS'!$AT$126="","",'FINANCIAL CREDITORS'!$AT$126)</f>
        <v/>
      </c>
      <c r="J680">
        <f>IF('FINANCIAL CREDITORS'!$AX$126="","",'FINANCIAL CREDITORS'!$AX$126)</f>
        <v/>
      </c>
      <c r="K680">
        <f>IF('FINANCIAL CREDITORS'!$N$126="","",'FINANCIAL CREDITORS'!$N$126)</f>
        <v/>
      </c>
      <c r="L680">
        <f>IF('FINANCIAL CREDITORS'!$AE$126="","",'FINANCIAL CREDITORS'!$AE$126)</f>
        <v/>
      </c>
      <c r="M680" t="inlineStr">
        <is>
          <t>FINANCIAL</t>
        </is>
      </c>
      <c r="N680" t="inlineStr">
        <is>
          <t>FINANCIAL CREDITORS · row 126</t>
        </is>
      </c>
    </row>
    <row r="681">
      <c r="A681">
        <f>IF('FINANCIAL CREDITORS'!$A$127="","",'FINANCIAL CREDITORS'!$A$127)</f>
        <v/>
      </c>
      <c r="B681">
        <f>IF('FINANCIAL CREDITORS'!$C$127="","",'FINANCIAL CREDITORS'!$C$127)</f>
        <v/>
      </c>
      <c r="C681">
        <f>'FINANCIAL CREDITORS'!$U$127</f>
        <v/>
      </c>
      <c r="D681">
        <f>'FINANCIAL CREDITORS'!$Y$127</f>
        <v/>
      </c>
      <c r="E681">
        <f>'FINANCIAL CREDITORS'!$AC$127</f>
        <v/>
      </c>
      <c r="F681">
        <f>IF('FINANCIAL CREDITORS'!$V$127="","",'FINANCIAL CREDITORS'!$V$127)</f>
        <v/>
      </c>
      <c r="G681">
        <f>IF('FINANCIAL CREDITORS'!$D$127="","",'FINANCIAL CREDITORS'!$D$127)</f>
        <v/>
      </c>
      <c r="H681">
        <f>IF('FINANCIAL CREDITORS'!$G$127="","",'FINANCIAL CREDITORS'!$G$127)</f>
        <v/>
      </c>
      <c r="I681">
        <f>IF('FINANCIAL CREDITORS'!$AT$127="","",'FINANCIAL CREDITORS'!$AT$127)</f>
        <v/>
      </c>
      <c r="J681">
        <f>IF('FINANCIAL CREDITORS'!$AX$127="","",'FINANCIAL CREDITORS'!$AX$127)</f>
        <v/>
      </c>
      <c r="K681">
        <f>IF('FINANCIAL CREDITORS'!$N$127="","",'FINANCIAL CREDITORS'!$N$127)</f>
        <v/>
      </c>
      <c r="L681">
        <f>IF('FINANCIAL CREDITORS'!$AE$127="","",'FINANCIAL CREDITORS'!$AE$127)</f>
        <v/>
      </c>
      <c r="M681" t="inlineStr">
        <is>
          <t>FINANCIAL</t>
        </is>
      </c>
      <c r="N681" t="inlineStr">
        <is>
          <t>FINANCIAL CREDITORS · row 127</t>
        </is>
      </c>
    </row>
    <row r="682">
      <c r="A682">
        <f>IF('FINANCIAL CREDITORS'!$A$128="","",'FINANCIAL CREDITORS'!$A$128)</f>
        <v/>
      </c>
      <c r="B682">
        <f>IF('FINANCIAL CREDITORS'!$C$128="","",'FINANCIAL CREDITORS'!$C$128)</f>
        <v/>
      </c>
      <c r="C682">
        <f>'FINANCIAL CREDITORS'!$U$128</f>
        <v/>
      </c>
      <c r="D682">
        <f>'FINANCIAL CREDITORS'!$Y$128</f>
        <v/>
      </c>
      <c r="E682">
        <f>'FINANCIAL CREDITORS'!$AC$128</f>
        <v/>
      </c>
      <c r="F682">
        <f>IF('FINANCIAL CREDITORS'!$V$128="","",'FINANCIAL CREDITORS'!$V$128)</f>
        <v/>
      </c>
      <c r="G682">
        <f>IF('FINANCIAL CREDITORS'!$D$128="","",'FINANCIAL CREDITORS'!$D$128)</f>
        <v/>
      </c>
      <c r="H682">
        <f>IF('FINANCIAL CREDITORS'!$G$128="","",'FINANCIAL CREDITORS'!$G$128)</f>
        <v/>
      </c>
      <c r="I682">
        <f>IF('FINANCIAL CREDITORS'!$AT$128="","",'FINANCIAL CREDITORS'!$AT$128)</f>
        <v/>
      </c>
      <c r="J682">
        <f>IF('FINANCIAL CREDITORS'!$AX$128="","",'FINANCIAL CREDITORS'!$AX$128)</f>
        <v/>
      </c>
      <c r="K682">
        <f>IF('FINANCIAL CREDITORS'!$N$128="","",'FINANCIAL CREDITORS'!$N$128)</f>
        <v/>
      </c>
      <c r="L682">
        <f>IF('FINANCIAL CREDITORS'!$AE$128="","",'FINANCIAL CREDITORS'!$AE$128)</f>
        <v/>
      </c>
      <c r="M682" t="inlineStr">
        <is>
          <t>FINANCIAL</t>
        </is>
      </c>
      <c r="N682" t="inlineStr">
        <is>
          <t>FINANCIAL CREDITORS · row 128</t>
        </is>
      </c>
    </row>
    <row r="683">
      <c r="A683">
        <f>IF('FINANCIAL CREDITORS'!$A$129="","",'FINANCIAL CREDITORS'!$A$129)</f>
        <v/>
      </c>
      <c r="B683">
        <f>IF('FINANCIAL CREDITORS'!$C$129="","",'FINANCIAL CREDITORS'!$C$129)</f>
        <v/>
      </c>
      <c r="C683">
        <f>'FINANCIAL CREDITORS'!$U$129</f>
        <v/>
      </c>
      <c r="D683">
        <f>'FINANCIAL CREDITORS'!$Y$129</f>
        <v/>
      </c>
      <c r="E683">
        <f>'FINANCIAL CREDITORS'!$AC$129</f>
        <v/>
      </c>
      <c r="F683">
        <f>IF('FINANCIAL CREDITORS'!$V$129="","",'FINANCIAL CREDITORS'!$V$129)</f>
        <v/>
      </c>
      <c r="G683">
        <f>IF('FINANCIAL CREDITORS'!$D$129="","",'FINANCIAL CREDITORS'!$D$129)</f>
        <v/>
      </c>
      <c r="H683">
        <f>IF('FINANCIAL CREDITORS'!$G$129="","",'FINANCIAL CREDITORS'!$G$129)</f>
        <v/>
      </c>
      <c r="I683">
        <f>IF('FINANCIAL CREDITORS'!$AT$129="","",'FINANCIAL CREDITORS'!$AT$129)</f>
        <v/>
      </c>
      <c r="J683">
        <f>IF('FINANCIAL CREDITORS'!$AX$129="","",'FINANCIAL CREDITORS'!$AX$129)</f>
        <v/>
      </c>
      <c r="K683">
        <f>IF('FINANCIAL CREDITORS'!$N$129="","",'FINANCIAL CREDITORS'!$N$129)</f>
        <v/>
      </c>
      <c r="L683">
        <f>IF('FINANCIAL CREDITORS'!$AE$129="","",'FINANCIAL CREDITORS'!$AE$129)</f>
        <v/>
      </c>
      <c r="M683" t="inlineStr">
        <is>
          <t>FINANCIAL</t>
        </is>
      </c>
      <c r="N683" t="inlineStr">
        <is>
          <t>FINANCIAL CREDITORS · row 129</t>
        </is>
      </c>
    </row>
    <row r="684">
      <c r="A684">
        <f>IF('FINANCIAL CREDITORS'!$A$130="","",'FINANCIAL CREDITORS'!$A$130)</f>
        <v/>
      </c>
      <c r="B684">
        <f>IF('FINANCIAL CREDITORS'!$C$130="","",'FINANCIAL CREDITORS'!$C$130)</f>
        <v/>
      </c>
      <c r="C684">
        <f>'FINANCIAL CREDITORS'!$U$130</f>
        <v/>
      </c>
      <c r="D684">
        <f>'FINANCIAL CREDITORS'!$Y$130</f>
        <v/>
      </c>
      <c r="E684">
        <f>'FINANCIAL CREDITORS'!$AC$130</f>
        <v/>
      </c>
      <c r="F684">
        <f>IF('FINANCIAL CREDITORS'!$V$130="","",'FINANCIAL CREDITORS'!$V$130)</f>
        <v/>
      </c>
      <c r="G684">
        <f>IF('FINANCIAL CREDITORS'!$D$130="","",'FINANCIAL CREDITORS'!$D$130)</f>
        <v/>
      </c>
      <c r="H684">
        <f>IF('FINANCIAL CREDITORS'!$G$130="","",'FINANCIAL CREDITORS'!$G$130)</f>
        <v/>
      </c>
      <c r="I684">
        <f>IF('FINANCIAL CREDITORS'!$AT$130="","",'FINANCIAL CREDITORS'!$AT$130)</f>
        <v/>
      </c>
      <c r="J684">
        <f>IF('FINANCIAL CREDITORS'!$AX$130="","",'FINANCIAL CREDITORS'!$AX$130)</f>
        <v/>
      </c>
      <c r="K684">
        <f>IF('FINANCIAL CREDITORS'!$N$130="","",'FINANCIAL CREDITORS'!$N$130)</f>
        <v/>
      </c>
      <c r="L684">
        <f>IF('FINANCIAL CREDITORS'!$AE$130="","",'FINANCIAL CREDITORS'!$AE$130)</f>
        <v/>
      </c>
      <c r="M684" t="inlineStr">
        <is>
          <t>FINANCIAL</t>
        </is>
      </c>
      <c r="N684" t="inlineStr">
        <is>
          <t>FINANCIAL CREDITORS · row 130</t>
        </is>
      </c>
    </row>
    <row r="685">
      <c r="A685">
        <f>IF('FINANCIAL CREDITORS'!$A$131="","",'FINANCIAL CREDITORS'!$A$131)</f>
        <v/>
      </c>
      <c r="B685">
        <f>IF('FINANCIAL CREDITORS'!$C$131="","",'FINANCIAL CREDITORS'!$C$131)</f>
        <v/>
      </c>
      <c r="C685">
        <f>'FINANCIAL CREDITORS'!$U$131</f>
        <v/>
      </c>
      <c r="D685">
        <f>'FINANCIAL CREDITORS'!$Y$131</f>
        <v/>
      </c>
      <c r="E685">
        <f>'FINANCIAL CREDITORS'!$AC$131</f>
        <v/>
      </c>
      <c r="F685">
        <f>IF('FINANCIAL CREDITORS'!$V$131="","",'FINANCIAL CREDITORS'!$V$131)</f>
        <v/>
      </c>
      <c r="G685">
        <f>IF('FINANCIAL CREDITORS'!$D$131="","",'FINANCIAL CREDITORS'!$D$131)</f>
        <v/>
      </c>
      <c r="H685">
        <f>IF('FINANCIAL CREDITORS'!$G$131="","",'FINANCIAL CREDITORS'!$G$131)</f>
        <v/>
      </c>
      <c r="I685">
        <f>IF('FINANCIAL CREDITORS'!$AT$131="","",'FINANCIAL CREDITORS'!$AT$131)</f>
        <v/>
      </c>
      <c r="J685">
        <f>IF('FINANCIAL CREDITORS'!$AX$131="","",'FINANCIAL CREDITORS'!$AX$131)</f>
        <v/>
      </c>
      <c r="K685">
        <f>IF('FINANCIAL CREDITORS'!$N$131="","",'FINANCIAL CREDITORS'!$N$131)</f>
        <v/>
      </c>
      <c r="L685">
        <f>IF('FINANCIAL CREDITORS'!$AE$131="","",'FINANCIAL CREDITORS'!$AE$131)</f>
        <v/>
      </c>
      <c r="M685" t="inlineStr">
        <is>
          <t>FINANCIAL</t>
        </is>
      </c>
      <c r="N685" t="inlineStr">
        <is>
          <t>FINANCIAL CREDITORS · row 131</t>
        </is>
      </c>
    </row>
    <row r="686">
      <c r="A686">
        <f>IF('FINANCIAL CREDITORS'!$A$132="","",'FINANCIAL CREDITORS'!$A$132)</f>
        <v/>
      </c>
      <c r="B686">
        <f>IF('FINANCIAL CREDITORS'!$C$132="","",'FINANCIAL CREDITORS'!$C$132)</f>
        <v/>
      </c>
      <c r="C686">
        <f>'FINANCIAL CREDITORS'!$U$132</f>
        <v/>
      </c>
      <c r="D686">
        <f>'FINANCIAL CREDITORS'!$Y$132</f>
        <v/>
      </c>
      <c r="E686">
        <f>'FINANCIAL CREDITORS'!$AC$132</f>
        <v/>
      </c>
      <c r="F686">
        <f>IF('FINANCIAL CREDITORS'!$V$132="","",'FINANCIAL CREDITORS'!$V$132)</f>
        <v/>
      </c>
      <c r="G686">
        <f>IF('FINANCIAL CREDITORS'!$D$132="","",'FINANCIAL CREDITORS'!$D$132)</f>
        <v/>
      </c>
      <c r="H686">
        <f>IF('FINANCIAL CREDITORS'!$G$132="","",'FINANCIAL CREDITORS'!$G$132)</f>
        <v/>
      </c>
      <c r="I686">
        <f>IF('FINANCIAL CREDITORS'!$AT$132="","",'FINANCIAL CREDITORS'!$AT$132)</f>
        <v/>
      </c>
      <c r="J686">
        <f>IF('FINANCIAL CREDITORS'!$AX$132="","",'FINANCIAL CREDITORS'!$AX$132)</f>
        <v/>
      </c>
      <c r="K686">
        <f>IF('FINANCIAL CREDITORS'!$N$132="","",'FINANCIAL CREDITORS'!$N$132)</f>
        <v/>
      </c>
      <c r="L686">
        <f>IF('FINANCIAL CREDITORS'!$AE$132="","",'FINANCIAL CREDITORS'!$AE$132)</f>
        <v/>
      </c>
      <c r="M686" t="inlineStr">
        <is>
          <t>FINANCIAL</t>
        </is>
      </c>
      <c r="N686" t="inlineStr">
        <is>
          <t>FINANCIAL CREDITORS · row 132</t>
        </is>
      </c>
    </row>
    <row r="687">
      <c r="A687">
        <f>IF('FINANCIAL CREDITORS'!$A$133="","",'FINANCIAL CREDITORS'!$A$133)</f>
        <v/>
      </c>
      <c r="B687">
        <f>IF('FINANCIAL CREDITORS'!$C$133="","",'FINANCIAL CREDITORS'!$C$133)</f>
        <v/>
      </c>
      <c r="C687">
        <f>'FINANCIAL CREDITORS'!$U$133</f>
        <v/>
      </c>
      <c r="D687">
        <f>'FINANCIAL CREDITORS'!$Y$133</f>
        <v/>
      </c>
      <c r="E687">
        <f>'FINANCIAL CREDITORS'!$AC$133</f>
        <v/>
      </c>
      <c r="F687">
        <f>IF('FINANCIAL CREDITORS'!$V$133="","",'FINANCIAL CREDITORS'!$V$133)</f>
        <v/>
      </c>
      <c r="G687">
        <f>IF('FINANCIAL CREDITORS'!$D$133="","",'FINANCIAL CREDITORS'!$D$133)</f>
        <v/>
      </c>
      <c r="H687">
        <f>IF('FINANCIAL CREDITORS'!$G$133="","",'FINANCIAL CREDITORS'!$G$133)</f>
        <v/>
      </c>
      <c r="I687">
        <f>IF('FINANCIAL CREDITORS'!$AT$133="","",'FINANCIAL CREDITORS'!$AT$133)</f>
        <v/>
      </c>
      <c r="J687">
        <f>IF('FINANCIAL CREDITORS'!$AX$133="","",'FINANCIAL CREDITORS'!$AX$133)</f>
        <v/>
      </c>
      <c r="K687">
        <f>IF('FINANCIAL CREDITORS'!$N$133="","",'FINANCIAL CREDITORS'!$N$133)</f>
        <v/>
      </c>
      <c r="L687">
        <f>IF('FINANCIAL CREDITORS'!$AE$133="","",'FINANCIAL CREDITORS'!$AE$133)</f>
        <v/>
      </c>
      <c r="M687" t="inlineStr">
        <is>
          <t>FINANCIAL</t>
        </is>
      </c>
      <c r="N687" t="inlineStr">
        <is>
          <t>FINANCIAL CREDITORS · row 133</t>
        </is>
      </c>
    </row>
    <row r="688">
      <c r="A688">
        <f>IF('FINANCIAL CREDITORS'!$A$134="","",'FINANCIAL CREDITORS'!$A$134)</f>
        <v/>
      </c>
      <c r="B688">
        <f>IF('FINANCIAL CREDITORS'!$C$134="","",'FINANCIAL CREDITORS'!$C$134)</f>
        <v/>
      </c>
      <c r="C688">
        <f>'FINANCIAL CREDITORS'!$U$134</f>
        <v/>
      </c>
      <c r="D688">
        <f>'FINANCIAL CREDITORS'!$Y$134</f>
        <v/>
      </c>
      <c r="E688">
        <f>'FINANCIAL CREDITORS'!$AC$134</f>
        <v/>
      </c>
      <c r="F688">
        <f>IF('FINANCIAL CREDITORS'!$V$134="","",'FINANCIAL CREDITORS'!$V$134)</f>
        <v/>
      </c>
      <c r="G688">
        <f>IF('FINANCIAL CREDITORS'!$D$134="","",'FINANCIAL CREDITORS'!$D$134)</f>
        <v/>
      </c>
      <c r="H688">
        <f>IF('FINANCIAL CREDITORS'!$G$134="","",'FINANCIAL CREDITORS'!$G$134)</f>
        <v/>
      </c>
      <c r="I688">
        <f>IF('FINANCIAL CREDITORS'!$AT$134="","",'FINANCIAL CREDITORS'!$AT$134)</f>
        <v/>
      </c>
      <c r="J688">
        <f>IF('FINANCIAL CREDITORS'!$AX$134="","",'FINANCIAL CREDITORS'!$AX$134)</f>
        <v/>
      </c>
      <c r="K688">
        <f>IF('FINANCIAL CREDITORS'!$N$134="","",'FINANCIAL CREDITORS'!$N$134)</f>
        <v/>
      </c>
      <c r="L688">
        <f>IF('FINANCIAL CREDITORS'!$AE$134="","",'FINANCIAL CREDITORS'!$AE$134)</f>
        <v/>
      </c>
      <c r="M688" t="inlineStr">
        <is>
          <t>FINANCIAL</t>
        </is>
      </c>
      <c r="N688" t="inlineStr">
        <is>
          <t>FINANCIAL CREDITORS · row 134</t>
        </is>
      </c>
    </row>
    <row r="689">
      <c r="A689">
        <f>IF('FINANCIAL CREDITORS'!$A$135="","",'FINANCIAL CREDITORS'!$A$135)</f>
        <v/>
      </c>
      <c r="B689">
        <f>IF('FINANCIAL CREDITORS'!$C$135="","",'FINANCIAL CREDITORS'!$C$135)</f>
        <v/>
      </c>
      <c r="C689">
        <f>'FINANCIAL CREDITORS'!$U$135</f>
        <v/>
      </c>
      <c r="D689">
        <f>'FINANCIAL CREDITORS'!$Y$135</f>
        <v/>
      </c>
      <c r="E689">
        <f>'FINANCIAL CREDITORS'!$AC$135</f>
        <v/>
      </c>
      <c r="F689">
        <f>IF('FINANCIAL CREDITORS'!$V$135="","",'FINANCIAL CREDITORS'!$V$135)</f>
        <v/>
      </c>
      <c r="G689">
        <f>IF('FINANCIAL CREDITORS'!$D$135="","",'FINANCIAL CREDITORS'!$D$135)</f>
        <v/>
      </c>
      <c r="H689">
        <f>IF('FINANCIAL CREDITORS'!$G$135="","",'FINANCIAL CREDITORS'!$G$135)</f>
        <v/>
      </c>
      <c r="I689">
        <f>IF('FINANCIAL CREDITORS'!$AT$135="","",'FINANCIAL CREDITORS'!$AT$135)</f>
        <v/>
      </c>
      <c r="J689">
        <f>IF('FINANCIAL CREDITORS'!$AX$135="","",'FINANCIAL CREDITORS'!$AX$135)</f>
        <v/>
      </c>
      <c r="K689">
        <f>IF('FINANCIAL CREDITORS'!$N$135="","",'FINANCIAL CREDITORS'!$N$135)</f>
        <v/>
      </c>
      <c r="L689">
        <f>IF('FINANCIAL CREDITORS'!$AE$135="","",'FINANCIAL CREDITORS'!$AE$135)</f>
        <v/>
      </c>
      <c r="M689" t="inlineStr">
        <is>
          <t>FINANCIAL</t>
        </is>
      </c>
      <c r="N689" t="inlineStr">
        <is>
          <t>FINANCIAL CREDITORS · row 135</t>
        </is>
      </c>
    </row>
    <row r="690">
      <c r="A690">
        <f>IF('FINANCIAL CREDITORS'!$A$136="","",'FINANCIAL CREDITORS'!$A$136)</f>
        <v/>
      </c>
      <c r="B690">
        <f>IF('FINANCIAL CREDITORS'!$C$136="","",'FINANCIAL CREDITORS'!$C$136)</f>
        <v/>
      </c>
      <c r="C690">
        <f>'FINANCIAL CREDITORS'!$U$136</f>
        <v/>
      </c>
      <c r="D690">
        <f>'FINANCIAL CREDITORS'!$Y$136</f>
        <v/>
      </c>
      <c r="E690">
        <f>'FINANCIAL CREDITORS'!$AC$136</f>
        <v/>
      </c>
      <c r="F690">
        <f>IF('FINANCIAL CREDITORS'!$V$136="","",'FINANCIAL CREDITORS'!$V$136)</f>
        <v/>
      </c>
      <c r="G690">
        <f>IF('FINANCIAL CREDITORS'!$D$136="","",'FINANCIAL CREDITORS'!$D$136)</f>
        <v/>
      </c>
      <c r="H690">
        <f>IF('FINANCIAL CREDITORS'!$G$136="","",'FINANCIAL CREDITORS'!$G$136)</f>
        <v/>
      </c>
      <c r="I690">
        <f>IF('FINANCIAL CREDITORS'!$AT$136="","",'FINANCIAL CREDITORS'!$AT$136)</f>
        <v/>
      </c>
      <c r="J690">
        <f>IF('FINANCIAL CREDITORS'!$AX$136="","",'FINANCIAL CREDITORS'!$AX$136)</f>
        <v/>
      </c>
      <c r="K690">
        <f>IF('FINANCIAL CREDITORS'!$N$136="","",'FINANCIAL CREDITORS'!$N$136)</f>
        <v/>
      </c>
      <c r="L690">
        <f>IF('FINANCIAL CREDITORS'!$AE$136="","",'FINANCIAL CREDITORS'!$AE$136)</f>
        <v/>
      </c>
      <c r="M690" t="inlineStr">
        <is>
          <t>FINANCIAL</t>
        </is>
      </c>
      <c r="N690" t="inlineStr">
        <is>
          <t>FINANCIAL CREDITORS · row 136</t>
        </is>
      </c>
    </row>
    <row r="691">
      <c r="A691">
        <f>IF('FINANCIAL CREDITORS'!$A$137="","",'FINANCIAL CREDITORS'!$A$137)</f>
        <v/>
      </c>
      <c r="B691">
        <f>IF('FINANCIAL CREDITORS'!$C$137="","",'FINANCIAL CREDITORS'!$C$137)</f>
        <v/>
      </c>
      <c r="C691">
        <f>'FINANCIAL CREDITORS'!$U$137</f>
        <v/>
      </c>
      <c r="D691">
        <f>'FINANCIAL CREDITORS'!$Y$137</f>
        <v/>
      </c>
      <c r="E691">
        <f>'FINANCIAL CREDITORS'!$AC$137</f>
        <v/>
      </c>
      <c r="F691">
        <f>IF('FINANCIAL CREDITORS'!$V$137="","",'FINANCIAL CREDITORS'!$V$137)</f>
        <v/>
      </c>
      <c r="G691">
        <f>IF('FINANCIAL CREDITORS'!$D$137="","",'FINANCIAL CREDITORS'!$D$137)</f>
        <v/>
      </c>
      <c r="H691">
        <f>IF('FINANCIAL CREDITORS'!$G$137="","",'FINANCIAL CREDITORS'!$G$137)</f>
        <v/>
      </c>
      <c r="I691">
        <f>IF('FINANCIAL CREDITORS'!$AT$137="","",'FINANCIAL CREDITORS'!$AT$137)</f>
        <v/>
      </c>
      <c r="J691">
        <f>IF('FINANCIAL CREDITORS'!$AX$137="","",'FINANCIAL CREDITORS'!$AX$137)</f>
        <v/>
      </c>
      <c r="K691">
        <f>IF('FINANCIAL CREDITORS'!$N$137="","",'FINANCIAL CREDITORS'!$N$137)</f>
        <v/>
      </c>
      <c r="L691">
        <f>IF('FINANCIAL CREDITORS'!$AE$137="","",'FINANCIAL CREDITORS'!$AE$137)</f>
        <v/>
      </c>
      <c r="M691" t="inlineStr">
        <is>
          <t>FINANCIAL</t>
        </is>
      </c>
      <c r="N691" t="inlineStr">
        <is>
          <t>FINANCIAL CREDITORS · row 137</t>
        </is>
      </c>
    </row>
    <row r="692">
      <c r="A692">
        <f>IF('FINANCIAL CREDITORS'!$A$138="","",'FINANCIAL CREDITORS'!$A$138)</f>
        <v/>
      </c>
      <c r="B692">
        <f>IF('FINANCIAL CREDITORS'!$C$138="","",'FINANCIAL CREDITORS'!$C$138)</f>
        <v/>
      </c>
      <c r="C692">
        <f>'FINANCIAL CREDITORS'!$U$138</f>
        <v/>
      </c>
      <c r="D692">
        <f>'FINANCIAL CREDITORS'!$Y$138</f>
        <v/>
      </c>
      <c r="E692">
        <f>'FINANCIAL CREDITORS'!$AC$138</f>
        <v/>
      </c>
      <c r="F692">
        <f>IF('FINANCIAL CREDITORS'!$V$138="","",'FINANCIAL CREDITORS'!$V$138)</f>
        <v/>
      </c>
      <c r="G692">
        <f>IF('FINANCIAL CREDITORS'!$D$138="","",'FINANCIAL CREDITORS'!$D$138)</f>
        <v/>
      </c>
      <c r="H692">
        <f>IF('FINANCIAL CREDITORS'!$G$138="","",'FINANCIAL CREDITORS'!$G$138)</f>
        <v/>
      </c>
      <c r="I692">
        <f>IF('FINANCIAL CREDITORS'!$AT$138="","",'FINANCIAL CREDITORS'!$AT$138)</f>
        <v/>
      </c>
      <c r="J692">
        <f>IF('FINANCIAL CREDITORS'!$AX$138="","",'FINANCIAL CREDITORS'!$AX$138)</f>
        <v/>
      </c>
      <c r="K692">
        <f>IF('FINANCIAL CREDITORS'!$N$138="","",'FINANCIAL CREDITORS'!$N$138)</f>
        <v/>
      </c>
      <c r="L692">
        <f>IF('FINANCIAL CREDITORS'!$AE$138="","",'FINANCIAL CREDITORS'!$AE$138)</f>
        <v/>
      </c>
      <c r="M692" t="inlineStr">
        <is>
          <t>FINANCIAL</t>
        </is>
      </c>
      <c r="N692" t="inlineStr">
        <is>
          <t>FINANCIAL CREDITORS · row 138</t>
        </is>
      </c>
    </row>
    <row r="693">
      <c r="A693">
        <f>IF('FINANCIAL CREDITORS'!$A$139="","",'FINANCIAL CREDITORS'!$A$139)</f>
        <v/>
      </c>
      <c r="B693">
        <f>IF('FINANCIAL CREDITORS'!$C$139="","",'FINANCIAL CREDITORS'!$C$139)</f>
        <v/>
      </c>
      <c r="C693">
        <f>'FINANCIAL CREDITORS'!$U$139</f>
        <v/>
      </c>
      <c r="D693">
        <f>'FINANCIAL CREDITORS'!$Y$139</f>
        <v/>
      </c>
      <c r="E693">
        <f>'FINANCIAL CREDITORS'!$AC$139</f>
        <v/>
      </c>
      <c r="F693">
        <f>IF('FINANCIAL CREDITORS'!$V$139="","",'FINANCIAL CREDITORS'!$V$139)</f>
        <v/>
      </c>
      <c r="G693">
        <f>IF('FINANCIAL CREDITORS'!$D$139="","",'FINANCIAL CREDITORS'!$D$139)</f>
        <v/>
      </c>
      <c r="H693">
        <f>IF('FINANCIAL CREDITORS'!$G$139="","",'FINANCIAL CREDITORS'!$G$139)</f>
        <v/>
      </c>
      <c r="I693">
        <f>IF('FINANCIAL CREDITORS'!$AT$139="","",'FINANCIAL CREDITORS'!$AT$139)</f>
        <v/>
      </c>
      <c r="J693">
        <f>IF('FINANCIAL CREDITORS'!$AX$139="","",'FINANCIAL CREDITORS'!$AX$139)</f>
        <v/>
      </c>
      <c r="K693">
        <f>IF('FINANCIAL CREDITORS'!$N$139="","",'FINANCIAL CREDITORS'!$N$139)</f>
        <v/>
      </c>
      <c r="L693">
        <f>IF('FINANCIAL CREDITORS'!$AE$139="","",'FINANCIAL CREDITORS'!$AE$139)</f>
        <v/>
      </c>
      <c r="M693" t="inlineStr">
        <is>
          <t>FINANCIAL</t>
        </is>
      </c>
      <c r="N693" t="inlineStr">
        <is>
          <t>FINANCIAL CREDITORS · row 139</t>
        </is>
      </c>
    </row>
    <row r="694">
      <c r="A694">
        <f>IF('FINANCIAL CREDITORS'!$A$140="","",'FINANCIAL CREDITORS'!$A$140)</f>
        <v/>
      </c>
      <c r="B694">
        <f>IF('FINANCIAL CREDITORS'!$C$140="","",'FINANCIAL CREDITORS'!$C$140)</f>
        <v/>
      </c>
      <c r="C694">
        <f>'FINANCIAL CREDITORS'!$U$140</f>
        <v/>
      </c>
      <c r="D694">
        <f>'FINANCIAL CREDITORS'!$Y$140</f>
        <v/>
      </c>
      <c r="E694">
        <f>'FINANCIAL CREDITORS'!$AC$140</f>
        <v/>
      </c>
      <c r="F694">
        <f>IF('FINANCIAL CREDITORS'!$V$140="","",'FINANCIAL CREDITORS'!$V$140)</f>
        <v/>
      </c>
      <c r="G694">
        <f>IF('FINANCIAL CREDITORS'!$D$140="","",'FINANCIAL CREDITORS'!$D$140)</f>
        <v/>
      </c>
      <c r="H694">
        <f>IF('FINANCIAL CREDITORS'!$G$140="","",'FINANCIAL CREDITORS'!$G$140)</f>
        <v/>
      </c>
      <c r="I694">
        <f>IF('FINANCIAL CREDITORS'!$AT$140="","",'FINANCIAL CREDITORS'!$AT$140)</f>
        <v/>
      </c>
      <c r="J694">
        <f>IF('FINANCIAL CREDITORS'!$AX$140="","",'FINANCIAL CREDITORS'!$AX$140)</f>
        <v/>
      </c>
      <c r="K694">
        <f>IF('FINANCIAL CREDITORS'!$N$140="","",'FINANCIAL CREDITORS'!$N$140)</f>
        <v/>
      </c>
      <c r="L694">
        <f>IF('FINANCIAL CREDITORS'!$AE$140="","",'FINANCIAL CREDITORS'!$AE$140)</f>
        <v/>
      </c>
      <c r="M694" t="inlineStr">
        <is>
          <t>FINANCIAL</t>
        </is>
      </c>
      <c r="N694" t="inlineStr">
        <is>
          <t>FINANCIAL CREDITORS · row 140</t>
        </is>
      </c>
    </row>
    <row r="695">
      <c r="A695">
        <f>IF('FINANCIAL CREDITORS'!$A$141="","",'FINANCIAL CREDITORS'!$A$141)</f>
        <v/>
      </c>
      <c r="B695">
        <f>IF('FINANCIAL CREDITORS'!$C$141="","",'FINANCIAL CREDITORS'!$C$141)</f>
        <v/>
      </c>
      <c r="C695">
        <f>'FINANCIAL CREDITORS'!$U$141</f>
        <v/>
      </c>
      <c r="D695">
        <f>'FINANCIAL CREDITORS'!$Y$141</f>
        <v/>
      </c>
      <c r="E695">
        <f>'FINANCIAL CREDITORS'!$AC$141</f>
        <v/>
      </c>
      <c r="F695">
        <f>IF('FINANCIAL CREDITORS'!$V$141="","",'FINANCIAL CREDITORS'!$V$141)</f>
        <v/>
      </c>
      <c r="G695">
        <f>IF('FINANCIAL CREDITORS'!$D$141="","",'FINANCIAL CREDITORS'!$D$141)</f>
        <v/>
      </c>
      <c r="H695">
        <f>IF('FINANCIAL CREDITORS'!$G$141="","",'FINANCIAL CREDITORS'!$G$141)</f>
        <v/>
      </c>
      <c r="I695">
        <f>IF('FINANCIAL CREDITORS'!$AT$141="","",'FINANCIAL CREDITORS'!$AT$141)</f>
        <v/>
      </c>
      <c r="J695">
        <f>IF('FINANCIAL CREDITORS'!$AX$141="","",'FINANCIAL CREDITORS'!$AX$141)</f>
        <v/>
      </c>
      <c r="K695">
        <f>IF('FINANCIAL CREDITORS'!$N$141="","",'FINANCIAL CREDITORS'!$N$141)</f>
        <v/>
      </c>
      <c r="L695">
        <f>IF('FINANCIAL CREDITORS'!$AE$141="","",'FINANCIAL CREDITORS'!$AE$141)</f>
        <v/>
      </c>
      <c r="M695" t="inlineStr">
        <is>
          <t>FINANCIAL</t>
        </is>
      </c>
      <c r="N695" t="inlineStr">
        <is>
          <t>FINANCIAL CREDITORS · row 141</t>
        </is>
      </c>
    </row>
    <row r="696">
      <c r="A696">
        <f>IF('FINANCIAL CREDITORS'!$A$142="","",'FINANCIAL CREDITORS'!$A$142)</f>
        <v/>
      </c>
      <c r="B696">
        <f>IF('FINANCIAL CREDITORS'!$C$142="","",'FINANCIAL CREDITORS'!$C$142)</f>
        <v/>
      </c>
      <c r="C696">
        <f>'FINANCIAL CREDITORS'!$U$142</f>
        <v/>
      </c>
      <c r="D696">
        <f>'FINANCIAL CREDITORS'!$Y$142</f>
        <v/>
      </c>
      <c r="E696">
        <f>'FINANCIAL CREDITORS'!$AC$142</f>
        <v/>
      </c>
      <c r="F696">
        <f>IF('FINANCIAL CREDITORS'!$V$142="","",'FINANCIAL CREDITORS'!$V$142)</f>
        <v/>
      </c>
      <c r="G696">
        <f>IF('FINANCIAL CREDITORS'!$D$142="","",'FINANCIAL CREDITORS'!$D$142)</f>
        <v/>
      </c>
      <c r="H696">
        <f>IF('FINANCIAL CREDITORS'!$G$142="","",'FINANCIAL CREDITORS'!$G$142)</f>
        <v/>
      </c>
      <c r="I696">
        <f>IF('FINANCIAL CREDITORS'!$AT$142="","",'FINANCIAL CREDITORS'!$AT$142)</f>
        <v/>
      </c>
      <c r="J696">
        <f>IF('FINANCIAL CREDITORS'!$AX$142="","",'FINANCIAL CREDITORS'!$AX$142)</f>
        <v/>
      </c>
      <c r="K696">
        <f>IF('FINANCIAL CREDITORS'!$N$142="","",'FINANCIAL CREDITORS'!$N$142)</f>
        <v/>
      </c>
      <c r="L696">
        <f>IF('FINANCIAL CREDITORS'!$AE$142="","",'FINANCIAL CREDITORS'!$AE$142)</f>
        <v/>
      </c>
      <c r="M696" t="inlineStr">
        <is>
          <t>FINANCIAL</t>
        </is>
      </c>
      <c r="N696" t="inlineStr">
        <is>
          <t>FINANCIAL CREDITORS · row 142</t>
        </is>
      </c>
    </row>
    <row r="697">
      <c r="A697">
        <f>IF('FINANCIAL CREDITORS'!$A$143="","",'FINANCIAL CREDITORS'!$A$143)</f>
        <v/>
      </c>
      <c r="B697">
        <f>IF('FINANCIAL CREDITORS'!$C$143="","",'FINANCIAL CREDITORS'!$C$143)</f>
        <v/>
      </c>
      <c r="C697">
        <f>'FINANCIAL CREDITORS'!$U$143</f>
        <v/>
      </c>
      <c r="D697">
        <f>'FINANCIAL CREDITORS'!$Y$143</f>
        <v/>
      </c>
      <c r="E697">
        <f>'FINANCIAL CREDITORS'!$AC$143</f>
        <v/>
      </c>
      <c r="F697">
        <f>IF('FINANCIAL CREDITORS'!$V$143="","",'FINANCIAL CREDITORS'!$V$143)</f>
        <v/>
      </c>
      <c r="G697">
        <f>IF('FINANCIAL CREDITORS'!$D$143="","",'FINANCIAL CREDITORS'!$D$143)</f>
        <v/>
      </c>
      <c r="H697">
        <f>IF('FINANCIAL CREDITORS'!$G$143="","",'FINANCIAL CREDITORS'!$G$143)</f>
        <v/>
      </c>
      <c r="I697">
        <f>IF('FINANCIAL CREDITORS'!$AT$143="","",'FINANCIAL CREDITORS'!$AT$143)</f>
        <v/>
      </c>
      <c r="J697">
        <f>IF('FINANCIAL CREDITORS'!$AX$143="","",'FINANCIAL CREDITORS'!$AX$143)</f>
        <v/>
      </c>
      <c r="K697">
        <f>IF('FINANCIAL CREDITORS'!$N$143="","",'FINANCIAL CREDITORS'!$N$143)</f>
        <v/>
      </c>
      <c r="L697">
        <f>IF('FINANCIAL CREDITORS'!$AE$143="","",'FINANCIAL CREDITORS'!$AE$143)</f>
        <v/>
      </c>
      <c r="M697" t="inlineStr">
        <is>
          <t>FINANCIAL</t>
        </is>
      </c>
      <c r="N697" t="inlineStr">
        <is>
          <t>FINANCIAL CREDITORS · row 143</t>
        </is>
      </c>
    </row>
    <row r="698">
      <c r="A698">
        <f>IF('FINANCIAL CREDITORS'!$A$144="","",'FINANCIAL CREDITORS'!$A$144)</f>
        <v/>
      </c>
      <c r="B698">
        <f>IF('FINANCIAL CREDITORS'!$C$144="","",'FINANCIAL CREDITORS'!$C$144)</f>
        <v/>
      </c>
      <c r="C698">
        <f>'FINANCIAL CREDITORS'!$U$144</f>
        <v/>
      </c>
      <c r="D698">
        <f>'FINANCIAL CREDITORS'!$Y$144</f>
        <v/>
      </c>
      <c r="E698">
        <f>'FINANCIAL CREDITORS'!$AC$144</f>
        <v/>
      </c>
      <c r="F698">
        <f>IF('FINANCIAL CREDITORS'!$V$144="","",'FINANCIAL CREDITORS'!$V$144)</f>
        <v/>
      </c>
      <c r="G698">
        <f>IF('FINANCIAL CREDITORS'!$D$144="","",'FINANCIAL CREDITORS'!$D$144)</f>
        <v/>
      </c>
      <c r="H698">
        <f>IF('FINANCIAL CREDITORS'!$G$144="","",'FINANCIAL CREDITORS'!$G$144)</f>
        <v/>
      </c>
      <c r="I698">
        <f>IF('FINANCIAL CREDITORS'!$AT$144="","",'FINANCIAL CREDITORS'!$AT$144)</f>
        <v/>
      </c>
      <c r="J698">
        <f>IF('FINANCIAL CREDITORS'!$AX$144="","",'FINANCIAL CREDITORS'!$AX$144)</f>
        <v/>
      </c>
      <c r="K698">
        <f>IF('FINANCIAL CREDITORS'!$N$144="","",'FINANCIAL CREDITORS'!$N$144)</f>
        <v/>
      </c>
      <c r="L698">
        <f>IF('FINANCIAL CREDITORS'!$AE$144="","",'FINANCIAL CREDITORS'!$AE$144)</f>
        <v/>
      </c>
      <c r="M698" t="inlineStr">
        <is>
          <t>FINANCIAL</t>
        </is>
      </c>
      <c r="N698" t="inlineStr">
        <is>
          <t>FINANCIAL CREDITORS · row 144</t>
        </is>
      </c>
    </row>
    <row r="699">
      <c r="A699">
        <f>IF('FINANCIAL CREDITORS'!$A$145="","",'FINANCIAL CREDITORS'!$A$145)</f>
        <v/>
      </c>
      <c r="B699">
        <f>IF('FINANCIAL CREDITORS'!$C$145="","",'FINANCIAL CREDITORS'!$C$145)</f>
        <v/>
      </c>
      <c r="C699">
        <f>'FINANCIAL CREDITORS'!$U$145</f>
        <v/>
      </c>
      <c r="D699">
        <f>'FINANCIAL CREDITORS'!$Y$145</f>
        <v/>
      </c>
      <c r="E699">
        <f>'FINANCIAL CREDITORS'!$AC$145</f>
        <v/>
      </c>
      <c r="F699">
        <f>IF('FINANCIAL CREDITORS'!$V$145="","",'FINANCIAL CREDITORS'!$V$145)</f>
        <v/>
      </c>
      <c r="G699">
        <f>IF('FINANCIAL CREDITORS'!$D$145="","",'FINANCIAL CREDITORS'!$D$145)</f>
        <v/>
      </c>
      <c r="H699">
        <f>IF('FINANCIAL CREDITORS'!$G$145="","",'FINANCIAL CREDITORS'!$G$145)</f>
        <v/>
      </c>
      <c r="I699">
        <f>IF('FINANCIAL CREDITORS'!$AT$145="","",'FINANCIAL CREDITORS'!$AT$145)</f>
        <v/>
      </c>
      <c r="J699">
        <f>IF('FINANCIAL CREDITORS'!$AX$145="","",'FINANCIAL CREDITORS'!$AX$145)</f>
        <v/>
      </c>
      <c r="K699">
        <f>IF('FINANCIAL CREDITORS'!$N$145="","",'FINANCIAL CREDITORS'!$N$145)</f>
        <v/>
      </c>
      <c r="L699">
        <f>IF('FINANCIAL CREDITORS'!$AE$145="","",'FINANCIAL CREDITORS'!$AE$145)</f>
        <v/>
      </c>
      <c r="M699" t="inlineStr">
        <is>
          <t>FINANCIAL</t>
        </is>
      </c>
      <c r="N699" t="inlineStr">
        <is>
          <t>FINANCIAL CREDITORS · row 145</t>
        </is>
      </c>
    </row>
    <row r="700">
      <c r="A700">
        <f>IF('FINANCIAL CREDITORS'!$A$146="","",'FINANCIAL CREDITORS'!$A$146)</f>
        <v/>
      </c>
      <c r="B700">
        <f>IF('FINANCIAL CREDITORS'!$C$146="","",'FINANCIAL CREDITORS'!$C$146)</f>
        <v/>
      </c>
      <c r="C700">
        <f>'FINANCIAL CREDITORS'!$U$146</f>
        <v/>
      </c>
      <c r="D700">
        <f>'FINANCIAL CREDITORS'!$Y$146</f>
        <v/>
      </c>
      <c r="E700">
        <f>'FINANCIAL CREDITORS'!$AC$146</f>
        <v/>
      </c>
      <c r="F700">
        <f>IF('FINANCIAL CREDITORS'!$V$146="","",'FINANCIAL CREDITORS'!$V$146)</f>
        <v/>
      </c>
      <c r="G700">
        <f>IF('FINANCIAL CREDITORS'!$D$146="","",'FINANCIAL CREDITORS'!$D$146)</f>
        <v/>
      </c>
      <c r="H700">
        <f>IF('FINANCIAL CREDITORS'!$G$146="","",'FINANCIAL CREDITORS'!$G$146)</f>
        <v/>
      </c>
      <c r="I700">
        <f>IF('FINANCIAL CREDITORS'!$AT$146="","",'FINANCIAL CREDITORS'!$AT$146)</f>
        <v/>
      </c>
      <c r="J700">
        <f>IF('FINANCIAL CREDITORS'!$AX$146="","",'FINANCIAL CREDITORS'!$AX$146)</f>
        <v/>
      </c>
      <c r="K700">
        <f>IF('FINANCIAL CREDITORS'!$N$146="","",'FINANCIAL CREDITORS'!$N$146)</f>
        <v/>
      </c>
      <c r="L700">
        <f>IF('FINANCIAL CREDITORS'!$AE$146="","",'FINANCIAL CREDITORS'!$AE$146)</f>
        <v/>
      </c>
      <c r="M700" t="inlineStr">
        <is>
          <t>FINANCIAL</t>
        </is>
      </c>
      <c r="N700" t="inlineStr">
        <is>
          <t>FINANCIAL CREDITORS · row 146</t>
        </is>
      </c>
    </row>
    <row r="701">
      <c r="A701">
        <f>IF('FINANCIAL CREDITORS'!$A$147="","",'FINANCIAL CREDITORS'!$A$147)</f>
        <v/>
      </c>
      <c r="B701">
        <f>IF('FINANCIAL CREDITORS'!$C$147="","",'FINANCIAL CREDITORS'!$C$147)</f>
        <v/>
      </c>
      <c r="C701">
        <f>'FINANCIAL CREDITORS'!$U$147</f>
        <v/>
      </c>
      <c r="D701">
        <f>'FINANCIAL CREDITORS'!$Y$147</f>
        <v/>
      </c>
      <c r="E701">
        <f>'FINANCIAL CREDITORS'!$AC$147</f>
        <v/>
      </c>
      <c r="F701">
        <f>IF('FINANCIAL CREDITORS'!$V$147="","",'FINANCIAL CREDITORS'!$V$147)</f>
        <v/>
      </c>
      <c r="G701">
        <f>IF('FINANCIAL CREDITORS'!$D$147="","",'FINANCIAL CREDITORS'!$D$147)</f>
        <v/>
      </c>
      <c r="H701">
        <f>IF('FINANCIAL CREDITORS'!$G$147="","",'FINANCIAL CREDITORS'!$G$147)</f>
        <v/>
      </c>
      <c r="I701">
        <f>IF('FINANCIAL CREDITORS'!$AT$147="","",'FINANCIAL CREDITORS'!$AT$147)</f>
        <v/>
      </c>
      <c r="J701">
        <f>IF('FINANCIAL CREDITORS'!$AX$147="","",'FINANCIAL CREDITORS'!$AX$147)</f>
        <v/>
      </c>
      <c r="K701">
        <f>IF('FINANCIAL CREDITORS'!$N$147="","",'FINANCIAL CREDITORS'!$N$147)</f>
        <v/>
      </c>
      <c r="L701">
        <f>IF('FINANCIAL CREDITORS'!$AE$147="","",'FINANCIAL CREDITORS'!$AE$147)</f>
        <v/>
      </c>
      <c r="M701" t="inlineStr">
        <is>
          <t>FINANCIAL</t>
        </is>
      </c>
      <c r="N701" t="inlineStr">
        <is>
          <t>FINANCIAL CREDITORS · row 147</t>
        </is>
      </c>
    </row>
    <row r="702">
      <c r="A702">
        <f>IF('FINANCIAL CREDITORS'!$A$148="","",'FINANCIAL CREDITORS'!$A$148)</f>
        <v/>
      </c>
      <c r="B702">
        <f>IF('FINANCIAL CREDITORS'!$C$148="","",'FINANCIAL CREDITORS'!$C$148)</f>
        <v/>
      </c>
      <c r="C702">
        <f>'FINANCIAL CREDITORS'!$U$148</f>
        <v/>
      </c>
      <c r="D702">
        <f>'FINANCIAL CREDITORS'!$Y$148</f>
        <v/>
      </c>
      <c r="E702">
        <f>'FINANCIAL CREDITORS'!$AC$148</f>
        <v/>
      </c>
      <c r="F702">
        <f>IF('FINANCIAL CREDITORS'!$V$148="","",'FINANCIAL CREDITORS'!$V$148)</f>
        <v/>
      </c>
      <c r="G702">
        <f>IF('FINANCIAL CREDITORS'!$D$148="","",'FINANCIAL CREDITORS'!$D$148)</f>
        <v/>
      </c>
      <c r="H702">
        <f>IF('FINANCIAL CREDITORS'!$G$148="","",'FINANCIAL CREDITORS'!$G$148)</f>
        <v/>
      </c>
      <c r="I702">
        <f>IF('FINANCIAL CREDITORS'!$AT$148="","",'FINANCIAL CREDITORS'!$AT$148)</f>
        <v/>
      </c>
      <c r="J702">
        <f>IF('FINANCIAL CREDITORS'!$AX$148="","",'FINANCIAL CREDITORS'!$AX$148)</f>
        <v/>
      </c>
      <c r="K702">
        <f>IF('FINANCIAL CREDITORS'!$N$148="","",'FINANCIAL CREDITORS'!$N$148)</f>
        <v/>
      </c>
      <c r="L702">
        <f>IF('FINANCIAL CREDITORS'!$AE$148="","",'FINANCIAL CREDITORS'!$AE$148)</f>
        <v/>
      </c>
      <c r="M702" t="inlineStr">
        <is>
          <t>FINANCIAL</t>
        </is>
      </c>
      <c r="N702" t="inlineStr">
        <is>
          <t>FINANCIAL CREDITORS · row 148</t>
        </is>
      </c>
    </row>
    <row r="703">
      <c r="A703">
        <f>IF('FINANCIAL CREDITORS'!$A$149="","",'FINANCIAL CREDITORS'!$A$149)</f>
        <v/>
      </c>
      <c r="B703">
        <f>IF('FINANCIAL CREDITORS'!$C$149="","",'FINANCIAL CREDITORS'!$C$149)</f>
        <v/>
      </c>
      <c r="C703">
        <f>'FINANCIAL CREDITORS'!$U$149</f>
        <v/>
      </c>
      <c r="D703">
        <f>'FINANCIAL CREDITORS'!$Y$149</f>
        <v/>
      </c>
      <c r="E703">
        <f>'FINANCIAL CREDITORS'!$AC$149</f>
        <v/>
      </c>
      <c r="F703">
        <f>IF('FINANCIAL CREDITORS'!$V$149="","",'FINANCIAL CREDITORS'!$V$149)</f>
        <v/>
      </c>
      <c r="G703">
        <f>IF('FINANCIAL CREDITORS'!$D$149="","",'FINANCIAL CREDITORS'!$D$149)</f>
        <v/>
      </c>
      <c r="H703">
        <f>IF('FINANCIAL CREDITORS'!$G$149="","",'FINANCIAL CREDITORS'!$G$149)</f>
        <v/>
      </c>
      <c r="I703">
        <f>IF('FINANCIAL CREDITORS'!$AT$149="","",'FINANCIAL CREDITORS'!$AT$149)</f>
        <v/>
      </c>
      <c r="J703">
        <f>IF('FINANCIAL CREDITORS'!$AX$149="","",'FINANCIAL CREDITORS'!$AX$149)</f>
        <v/>
      </c>
      <c r="K703">
        <f>IF('FINANCIAL CREDITORS'!$N$149="","",'FINANCIAL CREDITORS'!$N$149)</f>
        <v/>
      </c>
      <c r="L703">
        <f>IF('FINANCIAL CREDITORS'!$AE$149="","",'FINANCIAL CREDITORS'!$AE$149)</f>
        <v/>
      </c>
      <c r="M703" t="inlineStr">
        <is>
          <t>FINANCIAL</t>
        </is>
      </c>
      <c r="N703" t="inlineStr">
        <is>
          <t>FINANCIAL CREDITORS · row 149</t>
        </is>
      </c>
    </row>
    <row r="704">
      <c r="A704">
        <f>IF('FINANCIAL CREDITORS'!$A$150="","",'FINANCIAL CREDITORS'!$A$150)</f>
        <v/>
      </c>
      <c r="B704">
        <f>IF('FINANCIAL CREDITORS'!$C$150="","",'FINANCIAL CREDITORS'!$C$150)</f>
        <v/>
      </c>
      <c r="C704">
        <f>'FINANCIAL CREDITORS'!$U$150</f>
        <v/>
      </c>
      <c r="D704">
        <f>'FINANCIAL CREDITORS'!$Y$150</f>
        <v/>
      </c>
      <c r="E704">
        <f>'FINANCIAL CREDITORS'!$AC$150</f>
        <v/>
      </c>
      <c r="F704">
        <f>IF('FINANCIAL CREDITORS'!$V$150="","",'FINANCIAL CREDITORS'!$V$150)</f>
        <v/>
      </c>
      <c r="G704">
        <f>IF('FINANCIAL CREDITORS'!$D$150="","",'FINANCIAL CREDITORS'!$D$150)</f>
        <v/>
      </c>
      <c r="H704">
        <f>IF('FINANCIAL CREDITORS'!$G$150="","",'FINANCIAL CREDITORS'!$G$150)</f>
        <v/>
      </c>
      <c r="I704">
        <f>IF('FINANCIAL CREDITORS'!$AT$150="","",'FINANCIAL CREDITORS'!$AT$150)</f>
        <v/>
      </c>
      <c r="J704">
        <f>IF('FINANCIAL CREDITORS'!$AX$150="","",'FINANCIAL CREDITORS'!$AX$150)</f>
        <v/>
      </c>
      <c r="K704">
        <f>IF('FINANCIAL CREDITORS'!$N$150="","",'FINANCIAL CREDITORS'!$N$150)</f>
        <v/>
      </c>
      <c r="L704">
        <f>IF('FINANCIAL CREDITORS'!$AE$150="","",'FINANCIAL CREDITORS'!$AE$150)</f>
        <v/>
      </c>
      <c r="M704" t="inlineStr">
        <is>
          <t>FINANCIAL</t>
        </is>
      </c>
      <c r="N704" t="inlineStr">
        <is>
          <t>FINANCIAL CREDITORS · row 150</t>
        </is>
      </c>
    </row>
    <row r="705">
      <c r="A705">
        <f>IF('FINANCIAL CREDITORS'!$A$151="","",'FINANCIAL CREDITORS'!$A$151)</f>
        <v/>
      </c>
      <c r="B705">
        <f>IF('FINANCIAL CREDITORS'!$C$151="","",'FINANCIAL CREDITORS'!$C$151)</f>
        <v/>
      </c>
      <c r="C705">
        <f>'FINANCIAL CREDITORS'!$U$151</f>
        <v/>
      </c>
      <c r="D705">
        <f>'FINANCIAL CREDITORS'!$Y$151</f>
        <v/>
      </c>
      <c r="E705">
        <f>'FINANCIAL CREDITORS'!$AC$151</f>
        <v/>
      </c>
      <c r="F705">
        <f>IF('FINANCIAL CREDITORS'!$V$151="","",'FINANCIAL CREDITORS'!$V$151)</f>
        <v/>
      </c>
      <c r="G705">
        <f>IF('FINANCIAL CREDITORS'!$D$151="","",'FINANCIAL CREDITORS'!$D$151)</f>
        <v/>
      </c>
      <c r="H705">
        <f>IF('FINANCIAL CREDITORS'!$G$151="","",'FINANCIAL CREDITORS'!$G$151)</f>
        <v/>
      </c>
      <c r="I705">
        <f>IF('FINANCIAL CREDITORS'!$AT$151="","",'FINANCIAL CREDITORS'!$AT$151)</f>
        <v/>
      </c>
      <c r="J705">
        <f>IF('FINANCIAL CREDITORS'!$AX$151="","",'FINANCIAL CREDITORS'!$AX$151)</f>
        <v/>
      </c>
      <c r="K705">
        <f>IF('FINANCIAL CREDITORS'!$N$151="","",'FINANCIAL CREDITORS'!$N$151)</f>
        <v/>
      </c>
      <c r="L705">
        <f>IF('FINANCIAL CREDITORS'!$AE$151="","",'FINANCIAL CREDITORS'!$AE$151)</f>
        <v/>
      </c>
      <c r="M705" t="inlineStr">
        <is>
          <t>FINANCIAL</t>
        </is>
      </c>
      <c r="N705" t="inlineStr">
        <is>
          <t>FINANCIAL CREDITORS · row 151</t>
        </is>
      </c>
    </row>
    <row r="706">
      <c r="A706">
        <f>IF('FINANCIAL CREDITORS'!$A$152="","",'FINANCIAL CREDITORS'!$A$152)</f>
        <v/>
      </c>
      <c r="B706">
        <f>IF('FINANCIAL CREDITORS'!$C$152="","",'FINANCIAL CREDITORS'!$C$152)</f>
        <v/>
      </c>
      <c r="C706">
        <f>'FINANCIAL CREDITORS'!$U$152</f>
        <v/>
      </c>
      <c r="D706">
        <f>'FINANCIAL CREDITORS'!$Y$152</f>
        <v/>
      </c>
      <c r="E706">
        <f>'FINANCIAL CREDITORS'!$AC$152</f>
        <v/>
      </c>
      <c r="F706">
        <f>IF('FINANCIAL CREDITORS'!$V$152="","",'FINANCIAL CREDITORS'!$V$152)</f>
        <v/>
      </c>
      <c r="G706">
        <f>IF('FINANCIAL CREDITORS'!$D$152="","",'FINANCIAL CREDITORS'!$D$152)</f>
        <v/>
      </c>
      <c r="H706">
        <f>IF('FINANCIAL CREDITORS'!$G$152="","",'FINANCIAL CREDITORS'!$G$152)</f>
        <v/>
      </c>
      <c r="I706">
        <f>IF('FINANCIAL CREDITORS'!$AT$152="","",'FINANCIAL CREDITORS'!$AT$152)</f>
        <v/>
      </c>
      <c r="J706">
        <f>IF('FINANCIAL CREDITORS'!$AX$152="","",'FINANCIAL CREDITORS'!$AX$152)</f>
        <v/>
      </c>
      <c r="K706">
        <f>IF('FINANCIAL CREDITORS'!$N$152="","",'FINANCIAL CREDITORS'!$N$152)</f>
        <v/>
      </c>
      <c r="L706">
        <f>IF('FINANCIAL CREDITORS'!$AE$152="","",'FINANCIAL CREDITORS'!$AE$152)</f>
        <v/>
      </c>
      <c r="M706" t="inlineStr">
        <is>
          <t>FINANCIAL</t>
        </is>
      </c>
      <c r="N706" t="inlineStr">
        <is>
          <t>FINANCIAL CREDITORS · row 152</t>
        </is>
      </c>
    </row>
    <row r="707">
      <c r="A707">
        <f>IF('FINANCIAL CREDITORS'!$A$153="","",'FINANCIAL CREDITORS'!$A$153)</f>
        <v/>
      </c>
      <c r="B707">
        <f>IF('FINANCIAL CREDITORS'!$C$153="","",'FINANCIAL CREDITORS'!$C$153)</f>
        <v/>
      </c>
      <c r="C707">
        <f>'FINANCIAL CREDITORS'!$U$153</f>
        <v/>
      </c>
      <c r="D707">
        <f>'FINANCIAL CREDITORS'!$Y$153</f>
        <v/>
      </c>
      <c r="E707">
        <f>'FINANCIAL CREDITORS'!$AC$153</f>
        <v/>
      </c>
      <c r="F707">
        <f>IF('FINANCIAL CREDITORS'!$V$153="","",'FINANCIAL CREDITORS'!$V$153)</f>
        <v/>
      </c>
      <c r="G707">
        <f>IF('FINANCIAL CREDITORS'!$D$153="","",'FINANCIAL CREDITORS'!$D$153)</f>
        <v/>
      </c>
      <c r="H707">
        <f>IF('FINANCIAL CREDITORS'!$G$153="","",'FINANCIAL CREDITORS'!$G$153)</f>
        <v/>
      </c>
      <c r="I707">
        <f>IF('FINANCIAL CREDITORS'!$AT$153="","",'FINANCIAL CREDITORS'!$AT$153)</f>
        <v/>
      </c>
      <c r="J707">
        <f>IF('FINANCIAL CREDITORS'!$AX$153="","",'FINANCIAL CREDITORS'!$AX$153)</f>
        <v/>
      </c>
      <c r="K707">
        <f>IF('FINANCIAL CREDITORS'!$N$153="","",'FINANCIAL CREDITORS'!$N$153)</f>
        <v/>
      </c>
      <c r="L707">
        <f>IF('FINANCIAL CREDITORS'!$AE$153="","",'FINANCIAL CREDITORS'!$AE$153)</f>
        <v/>
      </c>
      <c r="M707" t="inlineStr">
        <is>
          <t>FINANCIAL</t>
        </is>
      </c>
      <c r="N707" t="inlineStr">
        <is>
          <t>FINANCIAL CREDITORS · row 153</t>
        </is>
      </c>
    </row>
    <row r="708">
      <c r="A708">
        <f>IF('FINANCIAL CREDITORS'!$A$154="","",'FINANCIAL CREDITORS'!$A$154)</f>
        <v/>
      </c>
      <c r="B708">
        <f>IF('FINANCIAL CREDITORS'!$C$154="","",'FINANCIAL CREDITORS'!$C$154)</f>
        <v/>
      </c>
      <c r="C708">
        <f>'FINANCIAL CREDITORS'!$U$154</f>
        <v/>
      </c>
      <c r="D708">
        <f>'FINANCIAL CREDITORS'!$Y$154</f>
        <v/>
      </c>
      <c r="E708">
        <f>'FINANCIAL CREDITORS'!$AC$154</f>
        <v/>
      </c>
      <c r="F708">
        <f>IF('FINANCIAL CREDITORS'!$V$154="","",'FINANCIAL CREDITORS'!$V$154)</f>
        <v/>
      </c>
      <c r="G708">
        <f>IF('FINANCIAL CREDITORS'!$D$154="","",'FINANCIAL CREDITORS'!$D$154)</f>
        <v/>
      </c>
      <c r="H708">
        <f>IF('FINANCIAL CREDITORS'!$G$154="","",'FINANCIAL CREDITORS'!$G$154)</f>
        <v/>
      </c>
      <c r="I708">
        <f>IF('FINANCIAL CREDITORS'!$AT$154="","",'FINANCIAL CREDITORS'!$AT$154)</f>
        <v/>
      </c>
      <c r="J708">
        <f>IF('FINANCIAL CREDITORS'!$AX$154="","",'FINANCIAL CREDITORS'!$AX$154)</f>
        <v/>
      </c>
      <c r="K708">
        <f>IF('FINANCIAL CREDITORS'!$N$154="","",'FINANCIAL CREDITORS'!$N$154)</f>
        <v/>
      </c>
      <c r="L708">
        <f>IF('FINANCIAL CREDITORS'!$AE$154="","",'FINANCIAL CREDITORS'!$AE$154)</f>
        <v/>
      </c>
      <c r="M708" t="inlineStr">
        <is>
          <t>FINANCIAL</t>
        </is>
      </c>
      <c r="N708" t="inlineStr">
        <is>
          <t>FINANCIAL CREDITORS · row 154</t>
        </is>
      </c>
    </row>
    <row r="709">
      <c r="A709">
        <f>IF('FINANCIAL CREDITORS'!$A$155="","",'FINANCIAL CREDITORS'!$A$155)</f>
        <v/>
      </c>
      <c r="B709">
        <f>IF('FINANCIAL CREDITORS'!$C$155="","",'FINANCIAL CREDITORS'!$C$155)</f>
        <v/>
      </c>
      <c r="C709">
        <f>'FINANCIAL CREDITORS'!$U$155</f>
        <v/>
      </c>
      <c r="D709">
        <f>'FINANCIAL CREDITORS'!$Y$155</f>
        <v/>
      </c>
      <c r="E709">
        <f>'FINANCIAL CREDITORS'!$AC$155</f>
        <v/>
      </c>
      <c r="F709">
        <f>IF('FINANCIAL CREDITORS'!$V$155="","",'FINANCIAL CREDITORS'!$V$155)</f>
        <v/>
      </c>
      <c r="G709">
        <f>IF('FINANCIAL CREDITORS'!$D$155="","",'FINANCIAL CREDITORS'!$D$155)</f>
        <v/>
      </c>
      <c r="H709">
        <f>IF('FINANCIAL CREDITORS'!$G$155="","",'FINANCIAL CREDITORS'!$G$155)</f>
        <v/>
      </c>
      <c r="I709">
        <f>IF('FINANCIAL CREDITORS'!$AT$155="","",'FINANCIAL CREDITORS'!$AT$155)</f>
        <v/>
      </c>
      <c r="J709">
        <f>IF('FINANCIAL CREDITORS'!$AX$155="","",'FINANCIAL CREDITORS'!$AX$155)</f>
        <v/>
      </c>
      <c r="K709">
        <f>IF('FINANCIAL CREDITORS'!$N$155="","",'FINANCIAL CREDITORS'!$N$155)</f>
        <v/>
      </c>
      <c r="L709">
        <f>IF('FINANCIAL CREDITORS'!$AE$155="","",'FINANCIAL CREDITORS'!$AE$155)</f>
        <v/>
      </c>
      <c r="M709" t="inlineStr">
        <is>
          <t>FINANCIAL</t>
        </is>
      </c>
      <c r="N709" t="inlineStr">
        <is>
          <t>FINANCIAL CREDITORS · row 155</t>
        </is>
      </c>
    </row>
    <row r="710">
      <c r="A710">
        <f>IF('FINANCIAL CREDITORS'!$A$156="","",'FINANCIAL CREDITORS'!$A$156)</f>
        <v/>
      </c>
      <c r="B710">
        <f>IF('FINANCIAL CREDITORS'!$C$156="","",'FINANCIAL CREDITORS'!$C$156)</f>
        <v/>
      </c>
      <c r="C710">
        <f>'FINANCIAL CREDITORS'!$U$156</f>
        <v/>
      </c>
      <c r="D710">
        <f>'FINANCIAL CREDITORS'!$Y$156</f>
        <v/>
      </c>
      <c r="E710">
        <f>'FINANCIAL CREDITORS'!$AC$156</f>
        <v/>
      </c>
      <c r="F710">
        <f>IF('FINANCIAL CREDITORS'!$V$156="","",'FINANCIAL CREDITORS'!$V$156)</f>
        <v/>
      </c>
      <c r="G710">
        <f>IF('FINANCIAL CREDITORS'!$D$156="","",'FINANCIAL CREDITORS'!$D$156)</f>
        <v/>
      </c>
      <c r="H710">
        <f>IF('FINANCIAL CREDITORS'!$G$156="","",'FINANCIAL CREDITORS'!$G$156)</f>
        <v/>
      </c>
      <c r="I710">
        <f>IF('FINANCIAL CREDITORS'!$AT$156="","",'FINANCIAL CREDITORS'!$AT$156)</f>
        <v/>
      </c>
      <c r="J710">
        <f>IF('FINANCIAL CREDITORS'!$AX$156="","",'FINANCIAL CREDITORS'!$AX$156)</f>
        <v/>
      </c>
      <c r="K710">
        <f>IF('FINANCIAL CREDITORS'!$N$156="","",'FINANCIAL CREDITORS'!$N$156)</f>
        <v/>
      </c>
      <c r="L710">
        <f>IF('FINANCIAL CREDITORS'!$AE$156="","",'FINANCIAL CREDITORS'!$AE$156)</f>
        <v/>
      </c>
      <c r="M710" t="inlineStr">
        <is>
          <t>FINANCIAL</t>
        </is>
      </c>
      <c r="N710" t="inlineStr">
        <is>
          <t>FINANCIAL CREDITORS · row 156</t>
        </is>
      </c>
    </row>
    <row r="711">
      <c r="A711">
        <f>IF('FINANCIAL CREDITORS'!$A$157="","",'FINANCIAL CREDITORS'!$A$157)</f>
        <v/>
      </c>
      <c r="B711">
        <f>IF('FINANCIAL CREDITORS'!$C$157="","",'FINANCIAL CREDITORS'!$C$157)</f>
        <v/>
      </c>
      <c r="C711">
        <f>'FINANCIAL CREDITORS'!$U$157</f>
        <v/>
      </c>
      <c r="D711">
        <f>'FINANCIAL CREDITORS'!$Y$157</f>
        <v/>
      </c>
      <c r="E711">
        <f>'FINANCIAL CREDITORS'!$AC$157</f>
        <v/>
      </c>
      <c r="F711">
        <f>IF('FINANCIAL CREDITORS'!$V$157="","",'FINANCIAL CREDITORS'!$V$157)</f>
        <v/>
      </c>
      <c r="G711">
        <f>IF('FINANCIAL CREDITORS'!$D$157="","",'FINANCIAL CREDITORS'!$D$157)</f>
        <v/>
      </c>
      <c r="H711">
        <f>IF('FINANCIAL CREDITORS'!$G$157="","",'FINANCIAL CREDITORS'!$G$157)</f>
        <v/>
      </c>
      <c r="I711">
        <f>IF('FINANCIAL CREDITORS'!$AT$157="","",'FINANCIAL CREDITORS'!$AT$157)</f>
        <v/>
      </c>
      <c r="J711">
        <f>IF('FINANCIAL CREDITORS'!$AX$157="","",'FINANCIAL CREDITORS'!$AX$157)</f>
        <v/>
      </c>
      <c r="K711">
        <f>IF('FINANCIAL CREDITORS'!$N$157="","",'FINANCIAL CREDITORS'!$N$157)</f>
        <v/>
      </c>
      <c r="L711">
        <f>IF('FINANCIAL CREDITORS'!$AE$157="","",'FINANCIAL CREDITORS'!$AE$157)</f>
        <v/>
      </c>
      <c r="M711" t="inlineStr">
        <is>
          <t>FINANCIAL</t>
        </is>
      </c>
      <c r="N711" t="inlineStr">
        <is>
          <t>FINANCIAL CREDITORS · row 157</t>
        </is>
      </c>
    </row>
    <row r="712">
      <c r="A712">
        <f>IF('FINANCIAL CREDITORS'!$A$158="","",'FINANCIAL CREDITORS'!$A$158)</f>
        <v/>
      </c>
      <c r="B712">
        <f>IF('FINANCIAL CREDITORS'!$C$158="","",'FINANCIAL CREDITORS'!$C$158)</f>
        <v/>
      </c>
      <c r="C712">
        <f>'FINANCIAL CREDITORS'!$U$158</f>
        <v/>
      </c>
      <c r="D712">
        <f>'FINANCIAL CREDITORS'!$Y$158</f>
        <v/>
      </c>
      <c r="E712">
        <f>'FINANCIAL CREDITORS'!$AC$158</f>
        <v/>
      </c>
      <c r="F712">
        <f>IF('FINANCIAL CREDITORS'!$V$158="","",'FINANCIAL CREDITORS'!$V$158)</f>
        <v/>
      </c>
      <c r="G712">
        <f>IF('FINANCIAL CREDITORS'!$D$158="","",'FINANCIAL CREDITORS'!$D$158)</f>
        <v/>
      </c>
      <c r="H712">
        <f>IF('FINANCIAL CREDITORS'!$G$158="","",'FINANCIAL CREDITORS'!$G$158)</f>
        <v/>
      </c>
      <c r="I712">
        <f>IF('FINANCIAL CREDITORS'!$AT$158="","",'FINANCIAL CREDITORS'!$AT$158)</f>
        <v/>
      </c>
      <c r="J712">
        <f>IF('FINANCIAL CREDITORS'!$AX$158="","",'FINANCIAL CREDITORS'!$AX$158)</f>
        <v/>
      </c>
      <c r="K712">
        <f>IF('FINANCIAL CREDITORS'!$N$158="","",'FINANCIAL CREDITORS'!$N$158)</f>
        <v/>
      </c>
      <c r="L712">
        <f>IF('FINANCIAL CREDITORS'!$AE$158="","",'FINANCIAL CREDITORS'!$AE$158)</f>
        <v/>
      </c>
      <c r="M712" t="inlineStr">
        <is>
          <t>FINANCIAL</t>
        </is>
      </c>
      <c r="N712" t="inlineStr">
        <is>
          <t>FINANCIAL CREDITORS · row 158</t>
        </is>
      </c>
    </row>
    <row r="713">
      <c r="A713">
        <f>IF('FINANCIAL CREDITORS'!$A$159="","",'FINANCIAL CREDITORS'!$A$159)</f>
        <v/>
      </c>
      <c r="B713">
        <f>IF('FINANCIAL CREDITORS'!$C$159="","",'FINANCIAL CREDITORS'!$C$159)</f>
        <v/>
      </c>
      <c r="C713">
        <f>'FINANCIAL CREDITORS'!$U$159</f>
        <v/>
      </c>
      <c r="D713">
        <f>'FINANCIAL CREDITORS'!$Y$159</f>
        <v/>
      </c>
      <c r="E713">
        <f>'FINANCIAL CREDITORS'!$AC$159</f>
        <v/>
      </c>
      <c r="F713">
        <f>IF('FINANCIAL CREDITORS'!$V$159="","",'FINANCIAL CREDITORS'!$V$159)</f>
        <v/>
      </c>
      <c r="G713">
        <f>IF('FINANCIAL CREDITORS'!$D$159="","",'FINANCIAL CREDITORS'!$D$159)</f>
        <v/>
      </c>
      <c r="H713">
        <f>IF('FINANCIAL CREDITORS'!$G$159="","",'FINANCIAL CREDITORS'!$G$159)</f>
        <v/>
      </c>
      <c r="I713">
        <f>IF('FINANCIAL CREDITORS'!$AT$159="","",'FINANCIAL CREDITORS'!$AT$159)</f>
        <v/>
      </c>
      <c r="J713">
        <f>IF('FINANCIAL CREDITORS'!$AX$159="","",'FINANCIAL CREDITORS'!$AX$159)</f>
        <v/>
      </c>
      <c r="K713">
        <f>IF('FINANCIAL CREDITORS'!$N$159="","",'FINANCIAL CREDITORS'!$N$159)</f>
        <v/>
      </c>
      <c r="L713">
        <f>IF('FINANCIAL CREDITORS'!$AE$159="","",'FINANCIAL CREDITORS'!$AE$159)</f>
        <v/>
      </c>
      <c r="M713" t="inlineStr">
        <is>
          <t>FINANCIAL</t>
        </is>
      </c>
      <c r="N713" t="inlineStr">
        <is>
          <t>FINANCIAL CREDITORS · row 159</t>
        </is>
      </c>
    </row>
    <row r="714">
      <c r="A714">
        <f>IF('FINANCIAL CREDITORS'!$A$160="","",'FINANCIAL CREDITORS'!$A$160)</f>
        <v/>
      </c>
      <c r="B714">
        <f>IF('FINANCIAL CREDITORS'!$C$160="","",'FINANCIAL CREDITORS'!$C$160)</f>
        <v/>
      </c>
      <c r="C714">
        <f>'FINANCIAL CREDITORS'!$U$160</f>
        <v/>
      </c>
      <c r="D714">
        <f>'FINANCIAL CREDITORS'!$Y$160</f>
        <v/>
      </c>
      <c r="E714">
        <f>'FINANCIAL CREDITORS'!$AC$160</f>
        <v/>
      </c>
      <c r="F714">
        <f>IF('FINANCIAL CREDITORS'!$V$160="","",'FINANCIAL CREDITORS'!$V$160)</f>
        <v/>
      </c>
      <c r="G714">
        <f>IF('FINANCIAL CREDITORS'!$D$160="","",'FINANCIAL CREDITORS'!$D$160)</f>
        <v/>
      </c>
      <c r="H714">
        <f>IF('FINANCIAL CREDITORS'!$G$160="","",'FINANCIAL CREDITORS'!$G$160)</f>
        <v/>
      </c>
      <c r="I714">
        <f>IF('FINANCIAL CREDITORS'!$AT$160="","",'FINANCIAL CREDITORS'!$AT$160)</f>
        <v/>
      </c>
      <c r="J714">
        <f>IF('FINANCIAL CREDITORS'!$AX$160="","",'FINANCIAL CREDITORS'!$AX$160)</f>
        <v/>
      </c>
      <c r="K714">
        <f>IF('FINANCIAL CREDITORS'!$N$160="","",'FINANCIAL CREDITORS'!$N$160)</f>
        <v/>
      </c>
      <c r="L714">
        <f>IF('FINANCIAL CREDITORS'!$AE$160="","",'FINANCIAL CREDITORS'!$AE$160)</f>
        <v/>
      </c>
      <c r="M714" t="inlineStr">
        <is>
          <t>FINANCIAL</t>
        </is>
      </c>
      <c r="N714" t="inlineStr">
        <is>
          <t>FINANCIAL CREDITORS · row 160</t>
        </is>
      </c>
    </row>
    <row r="715">
      <c r="A715">
        <f>IF('FINANCIAL CREDITORS'!$A$161="","",'FINANCIAL CREDITORS'!$A$161)</f>
        <v/>
      </c>
      <c r="B715">
        <f>IF('FINANCIAL CREDITORS'!$C$161="","",'FINANCIAL CREDITORS'!$C$161)</f>
        <v/>
      </c>
      <c r="C715">
        <f>'FINANCIAL CREDITORS'!$U$161</f>
        <v/>
      </c>
      <c r="D715">
        <f>'FINANCIAL CREDITORS'!$Y$161</f>
        <v/>
      </c>
      <c r="E715">
        <f>'FINANCIAL CREDITORS'!$AC$161</f>
        <v/>
      </c>
      <c r="F715">
        <f>IF('FINANCIAL CREDITORS'!$V$161="","",'FINANCIAL CREDITORS'!$V$161)</f>
        <v/>
      </c>
      <c r="G715">
        <f>IF('FINANCIAL CREDITORS'!$D$161="","",'FINANCIAL CREDITORS'!$D$161)</f>
        <v/>
      </c>
      <c r="H715">
        <f>IF('FINANCIAL CREDITORS'!$G$161="","",'FINANCIAL CREDITORS'!$G$161)</f>
        <v/>
      </c>
      <c r="I715">
        <f>IF('FINANCIAL CREDITORS'!$AT$161="","",'FINANCIAL CREDITORS'!$AT$161)</f>
        <v/>
      </c>
      <c r="J715">
        <f>IF('FINANCIAL CREDITORS'!$AX$161="","",'FINANCIAL CREDITORS'!$AX$161)</f>
        <v/>
      </c>
      <c r="K715">
        <f>IF('FINANCIAL CREDITORS'!$N$161="","",'FINANCIAL CREDITORS'!$N$161)</f>
        <v/>
      </c>
      <c r="L715">
        <f>IF('FINANCIAL CREDITORS'!$AE$161="","",'FINANCIAL CREDITORS'!$AE$161)</f>
        <v/>
      </c>
      <c r="M715" t="inlineStr">
        <is>
          <t>FINANCIAL</t>
        </is>
      </c>
      <c r="N715" t="inlineStr">
        <is>
          <t>FINANCIAL CREDITORS · row 161</t>
        </is>
      </c>
    </row>
    <row r="716">
      <c r="A716">
        <f>IF('FINANCIAL CREDITORS'!$A$162="","",'FINANCIAL CREDITORS'!$A$162)</f>
        <v/>
      </c>
      <c r="B716">
        <f>IF('FINANCIAL CREDITORS'!$C$162="","",'FINANCIAL CREDITORS'!$C$162)</f>
        <v/>
      </c>
      <c r="C716">
        <f>'FINANCIAL CREDITORS'!$U$162</f>
        <v/>
      </c>
      <c r="D716">
        <f>'FINANCIAL CREDITORS'!$Y$162</f>
        <v/>
      </c>
      <c r="E716">
        <f>'FINANCIAL CREDITORS'!$AC$162</f>
        <v/>
      </c>
      <c r="F716">
        <f>IF('FINANCIAL CREDITORS'!$V$162="","",'FINANCIAL CREDITORS'!$V$162)</f>
        <v/>
      </c>
      <c r="G716">
        <f>IF('FINANCIAL CREDITORS'!$D$162="","",'FINANCIAL CREDITORS'!$D$162)</f>
        <v/>
      </c>
      <c r="H716">
        <f>IF('FINANCIAL CREDITORS'!$G$162="","",'FINANCIAL CREDITORS'!$G$162)</f>
        <v/>
      </c>
      <c r="I716">
        <f>IF('FINANCIAL CREDITORS'!$AT$162="","",'FINANCIAL CREDITORS'!$AT$162)</f>
        <v/>
      </c>
      <c r="J716">
        <f>IF('FINANCIAL CREDITORS'!$AX$162="","",'FINANCIAL CREDITORS'!$AX$162)</f>
        <v/>
      </c>
      <c r="K716">
        <f>IF('FINANCIAL CREDITORS'!$N$162="","",'FINANCIAL CREDITORS'!$N$162)</f>
        <v/>
      </c>
      <c r="L716">
        <f>IF('FINANCIAL CREDITORS'!$AE$162="","",'FINANCIAL CREDITORS'!$AE$162)</f>
        <v/>
      </c>
      <c r="M716" t="inlineStr">
        <is>
          <t>FINANCIAL</t>
        </is>
      </c>
      <c r="N716" t="inlineStr">
        <is>
          <t>FINANCIAL CREDITORS · row 162</t>
        </is>
      </c>
    </row>
    <row r="717">
      <c r="A717">
        <f>IF('FINANCIAL CREDITORS'!$A$163="","",'FINANCIAL CREDITORS'!$A$163)</f>
        <v/>
      </c>
      <c r="B717">
        <f>IF('FINANCIAL CREDITORS'!$C$163="","",'FINANCIAL CREDITORS'!$C$163)</f>
        <v/>
      </c>
      <c r="C717">
        <f>'FINANCIAL CREDITORS'!$U$163</f>
        <v/>
      </c>
      <c r="D717">
        <f>'FINANCIAL CREDITORS'!$Y$163</f>
        <v/>
      </c>
      <c r="E717">
        <f>'FINANCIAL CREDITORS'!$AC$163</f>
        <v/>
      </c>
      <c r="F717">
        <f>IF('FINANCIAL CREDITORS'!$V$163="","",'FINANCIAL CREDITORS'!$V$163)</f>
        <v/>
      </c>
      <c r="G717">
        <f>IF('FINANCIAL CREDITORS'!$D$163="","",'FINANCIAL CREDITORS'!$D$163)</f>
        <v/>
      </c>
      <c r="H717">
        <f>IF('FINANCIAL CREDITORS'!$G$163="","",'FINANCIAL CREDITORS'!$G$163)</f>
        <v/>
      </c>
      <c r="I717">
        <f>IF('FINANCIAL CREDITORS'!$AT$163="","",'FINANCIAL CREDITORS'!$AT$163)</f>
        <v/>
      </c>
      <c r="J717">
        <f>IF('FINANCIAL CREDITORS'!$AX$163="","",'FINANCIAL CREDITORS'!$AX$163)</f>
        <v/>
      </c>
      <c r="K717">
        <f>IF('FINANCIAL CREDITORS'!$N$163="","",'FINANCIAL CREDITORS'!$N$163)</f>
        <v/>
      </c>
      <c r="L717">
        <f>IF('FINANCIAL CREDITORS'!$AE$163="","",'FINANCIAL CREDITORS'!$AE$163)</f>
        <v/>
      </c>
      <c r="M717" t="inlineStr">
        <is>
          <t>FINANCIAL</t>
        </is>
      </c>
      <c r="N717" t="inlineStr">
        <is>
          <t>FINANCIAL CREDITORS · row 163</t>
        </is>
      </c>
    </row>
    <row r="718">
      <c r="A718">
        <f>IF('FINANCIAL CREDITORS'!$A$164="","",'FINANCIAL CREDITORS'!$A$164)</f>
        <v/>
      </c>
      <c r="B718">
        <f>IF('FINANCIAL CREDITORS'!$C$164="","",'FINANCIAL CREDITORS'!$C$164)</f>
        <v/>
      </c>
      <c r="C718">
        <f>'FINANCIAL CREDITORS'!$U$164</f>
        <v/>
      </c>
      <c r="D718">
        <f>'FINANCIAL CREDITORS'!$Y$164</f>
        <v/>
      </c>
      <c r="E718">
        <f>'FINANCIAL CREDITORS'!$AC$164</f>
        <v/>
      </c>
      <c r="F718">
        <f>IF('FINANCIAL CREDITORS'!$V$164="","",'FINANCIAL CREDITORS'!$V$164)</f>
        <v/>
      </c>
      <c r="G718">
        <f>IF('FINANCIAL CREDITORS'!$D$164="","",'FINANCIAL CREDITORS'!$D$164)</f>
        <v/>
      </c>
      <c r="H718">
        <f>IF('FINANCIAL CREDITORS'!$G$164="","",'FINANCIAL CREDITORS'!$G$164)</f>
        <v/>
      </c>
      <c r="I718">
        <f>IF('FINANCIAL CREDITORS'!$AT$164="","",'FINANCIAL CREDITORS'!$AT$164)</f>
        <v/>
      </c>
      <c r="J718">
        <f>IF('FINANCIAL CREDITORS'!$AX$164="","",'FINANCIAL CREDITORS'!$AX$164)</f>
        <v/>
      </c>
      <c r="K718">
        <f>IF('FINANCIAL CREDITORS'!$N$164="","",'FINANCIAL CREDITORS'!$N$164)</f>
        <v/>
      </c>
      <c r="L718">
        <f>IF('FINANCIAL CREDITORS'!$AE$164="","",'FINANCIAL CREDITORS'!$AE$164)</f>
        <v/>
      </c>
      <c r="M718" t="inlineStr">
        <is>
          <t>FINANCIAL</t>
        </is>
      </c>
      <c r="N718" t="inlineStr">
        <is>
          <t>FINANCIAL CREDITORS · row 164</t>
        </is>
      </c>
    </row>
    <row r="719">
      <c r="A719">
        <f>IF('FINANCIAL CREDITORS'!$A$165="","",'FINANCIAL CREDITORS'!$A$165)</f>
        <v/>
      </c>
      <c r="B719">
        <f>IF('FINANCIAL CREDITORS'!$C$165="","",'FINANCIAL CREDITORS'!$C$165)</f>
        <v/>
      </c>
      <c r="C719">
        <f>'FINANCIAL CREDITORS'!$U$165</f>
        <v/>
      </c>
      <c r="D719">
        <f>'FINANCIAL CREDITORS'!$Y$165</f>
        <v/>
      </c>
      <c r="E719">
        <f>'FINANCIAL CREDITORS'!$AC$165</f>
        <v/>
      </c>
      <c r="F719">
        <f>IF('FINANCIAL CREDITORS'!$V$165="","",'FINANCIAL CREDITORS'!$V$165)</f>
        <v/>
      </c>
      <c r="G719">
        <f>IF('FINANCIAL CREDITORS'!$D$165="","",'FINANCIAL CREDITORS'!$D$165)</f>
        <v/>
      </c>
      <c r="H719">
        <f>IF('FINANCIAL CREDITORS'!$G$165="","",'FINANCIAL CREDITORS'!$G$165)</f>
        <v/>
      </c>
      <c r="I719">
        <f>IF('FINANCIAL CREDITORS'!$AT$165="","",'FINANCIAL CREDITORS'!$AT$165)</f>
        <v/>
      </c>
      <c r="J719">
        <f>IF('FINANCIAL CREDITORS'!$AX$165="","",'FINANCIAL CREDITORS'!$AX$165)</f>
        <v/>
      </c>
      <c r="K719">
        <f>IF('FINANCIAL CREDITORS'!$N$165="","",'FINANCIAL CREDITORS'!$N$165)</f>
        <v/>
      </c>
      <c r="L719">
        <f>IF('FINANCIAL CREDITORS'!$AE$165="","",'FINANCIAL CREDITORS'!$AE$165)</f>
        <v/>
      </c>
      <c r="M719" t="inlineStr">
        <is>
          <t>FINANCIAL</t>
        </is>
      </c>
      <c r="N719" t="inlineStr">
        <is>
          <t>FINANCIAL CREDITORS · row 165</t>
        </is>
      </c>
    </row>
    <row r="720">
      <c r="A720">
        <f>IF('FINANCIAL CREDITORS'!$A$166="","",'FINANCIAL CREDITORS'!$A$166)</f>
        <v/>
      </c>
      <c r="B720">
        <f>IF('FINANCIAL CREDITORS'!$C$166="","",'FINANCIAL CREDITORS'!$C$166)</f>
        <v/>
      </c>
      <c r="C720">
        <f>'FINANCIAL CREDITORS'!$U$166</f>
        <v/>
      </c>
      <c r="D720">
        <f>'FINANCIAL CREDITORS'!$Y$166</f>
        <v/>
      </c>
      <c r="E720">
        <f>'FINANCIAL CREDITORS'!$AC$166</f>
        <v/>
      </c>
      <c r="F720">
        <f>IF('FINANCIAL CREDITORS'!$V$166="","",'FINANCIAL CREDITORS'!$V$166)</f>
        <v/>
      </c>
      <c r="G720">
        <f>IF('FINANCIAL CREDITORS'!$D$166="","",'FINANCIAL CREDITORS'!$D$166)</f>
        <v/>
      </c>
      <c r="H720">
        <f>IF('FINANCIAL CREDITORS'!$G$166="","",'FINANCIAL CREDITORS'!$G$166)</f>
        <v/>
      </c>
      <c r="I720">
        <f>IF('FINANCIAL CREDITORS'!$AT$166="","",'FINANCIAL CREDITORS'!$AT$166)</f>
        <v/>
      </c>
      <c r="J720">
        <f>IF('FINANCIAL CREDITORS'!$AX$166="","",'FINANCIAL CREDITORS'!$AX$166)</f>
        <v/>
      </c>
      <c r="K720">
        <f>IF('FINANCIAL CREDITORS'!$N$166="","",'FINANCIAL CREDITORS'!$N$166)</f>
        <v/>
      </c>
      <c r="L720">
        <f>IF('FINANCIAL CREDITORS'!$AE$166="","",'FINANCIAL CREDITORS'!$AE$166)</f>
        <v/>
      </c>
      <c r="M720" t="inlineStr">
        <is>
          <t>FINANCIAL</t>
        </is>
      </c>
      <c r="N720" t="inlineStr">
        <is>
          <t>FINANCIAL CREDITORS · row 166</t>
        </is>
      </c>
    </row>
    <row r="721">
      <c r="A721">
        <f>IF('FINANCIAL CREDITORS'!$A$167="","",'FINANCIAL CREDITORS'!$A$167)</f>
        <v/>
      </c>
      <c r="B721">
        <f>IF('FINANCIAL CREDITORS'!$C$167="","",'FINANCIAL CREDITORS'!$C$167)</f>
        <v/>
      </c>
      <c r="C721">
        <f>'FINANCIAL CREDITORS'!$U$167</f>
        <v/>
      </c>
      <c r="D721">
        <f>'FINANCIAL CREDITORS'!$Y$167</f>
        <v/>
      </c>
      <c r="E721">
        <f>'FINANCIAL CREDITORS'!$AC$167</f>
        <v/>
      </c>
      <c r="F721">
        <f>IF('FINANCIAL CREDITORS'!$V$167="","",'FINANCIAL CREDITORS'!$V$167)</f>
        <v/>
      </c>
      <c r="G721">
        <f>IF('FINANCIAL CREDITORS'!$D$167="","",'FINANCIAL CREDITORS'!$D$167)</f>
        <v/>
      </c>
      <c r="H721">
        <f>IF('FINANCIAL CREDITORS'!$G$167="","",'FINANCIAL CREDITORS'!$G$167)</f>
        <v/>
      </c>
      <c r="I721">
        <f>IF('FINANCIAL CREDITORS'!$AT$167="","",'FINANCIAL CREDITORS'!$AT$167)</f>
        <v/>
      </c>
      <c r="J721">
        <f>IF('FINANCIAL CREDITORS'!$AX$167="","",'FINANCIAL CREDITORS'!$AX$167)</f>
        <v/>
      </c>
      <c r="K721">
        <f>IF('FINANCIAL CREDITORS'!$N$167="","",'FINANCIAL CREDITORS'!$N$167)</f>
        <v/>
      </c>
      <c r="L721">
        <f>IF('FINANCIAL CREDITORS'!$AE$167="","",'FINANCIAL CREDITORS'!$AE$167)</f>
        <v/>
      </c>
      <c r="M721" t="inlineStr">
        <is>
          <t>FINANCIAL</t>
        </is>
      </c>
      <c r="N721" t="inlineStr">
        <is>
          <t>FINANCIAL CREDITORS · row 167</t>
        </is>
      </c>
    </row>
    <row r="722">
      <c r="A722">
        <f>IF('FINANCIAL CREDITORS'!$A$168="","",'FINANCIAL CREDITORS'!$A$168)</f>
        <v/>
      </c>
      <c r="B722">
        <f>IF('FINANCIAL CREDITORS'!$C$168="","",'FINANCIAL CREDITORS'!$C$168)</f>
        <v/>
      </c>
      <c r="C722">
        <f>'FINANCIAL CREDITORS'!$U$168</f>
        <v/>
      </c>
      <c r="D722">
        <f>'FINANCIAL CREDITORS'!$Y$168</f>
        <v/>
      </c>
      <c r="E722">
        <f>'FINANCIAL CREDITORS'!$AC$168</f>
        <v/>
      </c>
      <c r="F722">
        <f>IF('FINANCIAL CREDITORS'!$V$168="","",'FINANCIAL CREDITORS'!$V$168)</f>
        <v/>
      </c>
      <c r="G722">
        <f>IF('FINANCIAL CREDITORS'!$D$168="","",'FINANCIAL CREDITORS'!$D$168)</f>
        <v/>
      </c>
      <c r="H722">
        <f>IF('FINANCIAL CREDITORS'!$G$168="","",'FINANCIAL CREDITORS'!$G$168)</f>
        <v/>
      </c>
      <c r="I722">
        <f>IF('FINANCIAL CREDITORS'!$AT$168="","",'FINANCIAL CREDITORS'!$AT$168)</f>
        <v/>
      </c>
      <c r="J722">
        <f>IF('FINANCIAL CREDITORS'!$AX$168="","",'FINANCIAL CREDITORS'!$AX$168)</f>
        <v/>
      </c>
      <c r="K722">
        <f>IF('FINANCIAL CREDITORS'!$N$168="","",'FINANCIAL CREDITORS'!$N$168)</f>
        <v/>
      </c>
      <c r="L722">
        <f>IF('FINANCIAL CREDITORS'!$AE$168="","",'FINANCIAL CREDITORS'!$AE$168)</f>
        <v/>
      </c>
      <c r="M722" t="inlineStr">
        <is>
          <t>FINANCIAL</t>
        </is>
      </c>
      <c r="N722" t="inlineStr">
        <is>
          <t>FINANCIAL CREDITORS · row 168</t>
        </is>
      </c>
    </row>
    <row r="723">
      <c r="A723">
        <f>IF('FINANCIAL CREDITORS'!$A$169="","",'FINANCIAL CREDITORS'!$A$169)</f>
        <v/>
      </c>
      <c r="B723">
        <f>IF('FINANCIAL CREDITORS'!$C$169="","",'FINANCIAL CREDITORS'!$C$169)</f>
        <v/>
      </c>
      <c r="C723">
        <f>'FINANCIAL CREDITORS'!$U$169</f>
        <v/>
      </c>
      <c r="D723">
        <f>'FINANCIAL CREDITORS'!$Y$169</f>
        <v/>
      </c>
      <c r="E723">
        <f>'FINANCIAL CREDITORS'!$AC$169</f>
        <v/>
      </c>
      <c r="F723">
        <f>IF('FINANCIAL CREDITORS'!$V$169="","",'FINANCIAL CREDITORS'!$V$169)</f>
        <v/>
      </c>
      <c r="G723">
        <f>IF('FINANCIAL CREDITORS'!$D$169="","",'FINANCIAL CREDITORS'!$D$169)</f>
        <v/>
      </c>
      <c r="H723">
        <f>IF('FINANCIAL CREDITORS'!$G$169="","",'FINANCIAL CREDITORS'!$G$169)</f>
        <v/>
      </c>
      <c r="I723">
        <f>IF('FINANCIAL CREDITORS'!$AT$169="","",'FINANCIAL CREDITORS'!$AT$169)</f>
        <v/>
      </c>
      <c r="J723">
        <f>IF('FINANCIAL CREDITORS'!$AX$169="","",'FINANCIAL CREDITORS'!$AX$169)</f>
        <v/>
      </c>
      <c r="K723">
        <f>IF('FINANCIAL CREDITORS'!$N$169="","",'FINANCIAL CREDITORS'!$N$169)</f>
        <v/>
      </c>
      <c r="L723">
        <f>IF('FINANCIAL CREDITORS'!$AE$169="","",'FINANCIAL CREDITORS'!$AE$169)</f>
        <v/>
      </c>
      <c r="M723" t="inlineStr">
        <is>
          <t>FINANCIAL</t>
        </is>
      </c>
      <c r="N723" t="inlineStr">
        <is>
          <t>FINANCIAL CREDITORS · row 169</t>
        </is>
      </c>
    </row>
    <row r="724">
      <c r="A724">
        <f>IF('FINANCIAL CREDITORS'!$A$170="","",'FINANCIAL CREDITORS'!$A$170)</f>
        <v/>
      </c>
      <c r="B724">
        <f>IF('FINANCIAL CREDITORS'!$C$170="","",'FINANCIAL CREDITORS'!$C$170)</f>
        <v/>
      </c>
      <c r="C724">
        <f>'FINANCIAL CREDITORS'!$U$170</f>
        <v/>
      </c>
      <c r="D724">
        <f>'FINANCIAL CREDITORS'!$Y$170</f>
        <v/>
      </c>
      <c r="E724">
        <f>'FINANCIAL CREDITORS'!$AC$170</f>
        <v/>
      </c>
      <c r="F724">
        <f>IF('FINANCIAL CREDITORS'!$V$170="","",'FINANCIAL CREDITORS'!$V$170)</f>
        <v/>
      </c>
      <c r="G724">
        <f>IF('FINANCIAL CREDITORS'!$D$170="","",'FINANCIAL CREDITORS'!$D$170)</f>
        <v/>
      </c>
      <c r="H724">
        <f>IF('FINANCIAL CREDITORS'!$G$170="","",'FINANCIAL CREDITORS'!$G$170)</f>
        <v/>
      </c>
      <c r="I724">
        <f>IF('FINANCIAL CREDITORS'!$AT$170="","",'FINANCIAL CREDITORS'!$AT$170)</f>
        <v/>
      </c>
      <c r="J724">
        <f>IF('FINANCIAL CREDITORS'!$AX$170="","",'FINANCIAL CREDITORS'!$AX$170)</f>
        <v/>
      </c>
      <c r="K724">
        <f>IF('FINANCIAL CREDITORS'!$N$170="","",'FINANCIAL CREDITORS'!$N$170)</f>
        <v/>
      </c>
      <c r="L724">
        <f>IF('FINANCIAL CREDITORS'!$AE$170="","",'FINANCIAL CREDITORS'!$AE$170)</f>
        <v/>
      </c>
      <c r="M724" t="inlineStr">
        <is>
          <t>FINANCIAL</t>
        </is>
      </c>
      <c r="N724" t="inlineStr">
        <is>
          <t>FINANCIAL CREDITORS · row 170</t>
        </is>
      </c>
    </row>
    <row r="725">
      <c r="A725">
        <f>IF('FINANCIAL CREDITORS'!$A$171="","",'FINANCIAL CREDITORS'!$A$171)</f>
        <v/>
      </c>
      <c r="B725">
        <f>IF('FINANCIAL CREDITORS'!$C$171="","",'FINANCIAL CREDITORS'!$C$171)</f>
        <v/>
      </c>
      <c r="C725">
        <f>'FINANCIAL CREDITORS'!$U$171</f>
        <v/>
      </c>
      <c r="D725">
        <f>'FINANCIAL CREDITORS'!$Y$171</f>
        <v/>
      </c>
      <c r="E725">
        <f>'FINANCIAL CREDITORS'!$AC$171</f>
        <v/>
      </c>
      <c r="F725">
        <f>IF('FINANCIAL CREDITORS'!$V$171="","",'FINANCIAL CREDITORS'!$V$171)</f>
        <v/>
      </c>
      <c r="G725">
        <f>IF('FINANCIAL CREDITORS'!$D$171="","",'FINANCIAL CREDITORS'!$D$171)</f>
        <v/>
      </c>
      <c r="H725">
        <f>IF('FINANCIAL CREDITORS'!$G$171="","",'FINANCIAL CREDITORS'!$G$171)</f>
        <v/>
      </c>
      <c r="I725">
        <f>IF('FINANCIAL CREDITORS'!$AT$171="","",'FINANCIAL CREDITORS'!$AT$171)</f>
        <v/>
      </c>
      <c r="J725">
        <f>IF('FINANCIAL CREDITORS'!$AX$171="","",'FINANCIAL CREDITORS'!$AX$171)</f>
        <v/>
      </c>
      <c r="K725">
        <f>IF('FINANCIAL CREDITORS'!$N$171="","",'FINANCIAL CREDITORS'!$N$171)</f>
        <v/>
      </c>
      <c r="L725">
        <f>IF('FINANCIAL CREDITORS'!$AE$171="","",'FINANCIAL CREDITORS'!$AE$171)</f>
        <v/>
      </c>
      <c r="M725" t="inlineStr">
        <is>
          <t>FINANCIAL</t>
        </is>
      </c>
      <c r="N725" t="inlineStr">
        <is>
          <t>FINANCIAL CREDITORS · row 171</t>
        </is>
      </c>
    </row>
    <row r="726">
      <c r="A726">
        <f>IF('FINANCIAL CREDITORS'!$A$172="","",'FINANCIAL CREDITORS'!$A$172)</f>
        <v/>
      </c>
      <c r="B726">
        <f>IF('FINANCIAL CREDITORS'!$C$172="","",'FINANCIAL CREDITORS'!$C$172)</f>
        <v/>
      </c>
      <c r="C726">
        <f>'FINANCIAL CREDITORS'!$U$172</f>
        <v/>
      </c>
      <c r="D726">
        <f>'FINANCIAL CREDITORS'!$Y$172</f>
        <v/>
      </c>
      <c r="E726">
        <f>'FINANCIAL CREDITORS'!$AC$172</f>
        <v/>
      </c>
      <c r="F726">
        <f>IF('FINANCIAL CREDITORS'!$V$172="","",'FINANCIAL CREDITORS'!$V$172)</f>
        <v/>
      </c>
      <c r="G726">
        <f>IF('FINANCIAL CREDITORS'!$D$172="","",'FINANCIAL CREDITORS'!$D$172)</f>
        <v/>
      </c>
      <c r="H726">
        <f>IF('FINANCIAL CREDITORS'!$G$172="","",'FINANCIAL CREDITORS'!$G$172)</f>
        <v/>
      </c>
      <c r="I726">
        <f>IF('FINANCIAL CREDITORS'!$AT$172="","",'FINANCIAL CREDITORS'!$AT$172)</f>
        <v/>
      </c>
      <c r="J726">
        <f>IF('FINANCIAL CREDITORS'!$AX$172="","",'FINANCIAL CREDITORS'!$AX$172)</f>
        <v/>
      </c>
      <c r="K726">
        <f>IF('FINANCIAL CREDITORS'!$N$172="","",'FINANCIAL CREDITORS'!$N$172)</f>
        <v/>
      </c>
      <c r="L726">
        <f>IF('FINANCIAL CREDITORS'!$AE$172="","",'FINANCIAL CREDITORS'!$AE$172)</f>
        <v/>
      </c>
      <c r="M726" t="inlineStr">
        <is>
          <t>FINANCIAL</t>
        </is>
      </c>
      <c r="N726" t="inlineStr">
        <is>
          <t>FINANCIAL CREDITORS · row 172</t>
        </is>
      </c>
    </row>
    <row r="727">
      <c r="A727">
        <f>IF('FINANCIAL CREDITORS'!$A$173="","",'FINANCIAL CREDITORS'!$A$173)</f>
        <v/>
      </c>
      <c r="B727">
        <f>IF('FINANCIAL CREDITORS'!$C$173="","",'FINANCIAL CREDITORS'!$C$173)</f>
        <v/>
      </c>
      <c r="C727">
        <f>'FINANCIAL CREDITORS'!$U$173</f>
        <v/>
      </c>
      <c r="D727">
        <f>'FINANCIAL CREDITORS'!$Y$173</f>
        <v/>
      </c>
      <c r="E727">
        <f>'FINANCIAL CREDITORS'!$AC$173</f>
        <v/>
      </c>
      <c r="F727">
        <f>IF('FINANCIAL CREDITORS'!$V$173="","",'FINANCIAL CREDITORS'!$V$173)</f>
        <v/>
      </c>
      <c r="G727">
        <f>IF('FINANCIAL CREDITORS'!$D$173="","",'FINANCIAL CREDITORS'!$D$173)</f>
        <v/>
      </c>
      <c r="H727">
        <f>IF('FINANCIAL CREDITORS'!$G$173="","",'FINANCIAL CREDITORS'!$G$173)</f>
        <v/>
      </c>
      <c r="I727">
        <f>IF('FINANCIAL CREDITORS'!$AT$173="","",'FINANCIAL CREDITORS'!$AT$173)</f>
        <v/>
      </c>
      <c r="J727">
        <f>IF('FINANCIAL CREDITORS'!$AX$173="","",'FINANCIAL CREDITORS'!$AX$173)</f>
        <v/>
      </c>
      <c r="K727">
        <f>IF('FINANCIAL CREDITORS'!$N$173="","",'FINANCIAL CREDITORS'!$N$173)</f>
        <v/>
      </c>
      <c r="L727">
        <f>IF('FINANCIAL CREDITORS'!$AE$173="","",'FINANCIAL CREDITORS'!$AE$173)</f>
        <v/>
      </c>
      <c r="M727" t="inlineStr">
        <is>
          <t>FINANCIAL</t>
        </is>
      </c>
      <c r="N727" t="inlineStr">
        <is>
          <t>FINANCIAL CREDITORS · row 173</t>
        </is>
      </c>
    </row>
    <row r="728">
      <c r="A728">
        <f>IF('FINANCIAL CREDITORS'!$A$174="","",'FINANCIAL CREDITORS'!$A$174)</f>
        <v/>
      </c>
      <c r="B728">
        <f>IF('FINANCIAL CREDITORS'!$C$174="","",'FINANCIAL CREDITORS'!$C$174)</f>
        <v/>
      </c>
      <c r="C728">
        <f>'FINANCIAL CREDITORS'!$U$174</f>
        <v/>
      </c>
      <c r="D728">
        <f>'FINANCIAL CREDITORS'!$Y$174</f>
        <v/>
      </c>
      <c r="E728">
        <f>'FINANCIAL CREDITORS'!$AC$174</f>
        <v/>
      </c>
      <c r="F728">
        <f>IF('FINANCIAL CREDITORS'!$V$174="","",'FINANCIAL CREDITORS'!$V$174)</f>
        <v/>
      </c>
      <c r="G728">
        <f>IF('FINANCIAL CREDITORS'!$D$174="","",'FINANCIAL CREDITORS'!$D$174)</f>
        <v/>
      </c>
      <c r="H728">
        <f>IF('FINANCIAL CREDITORS'!$G$174="","",'FINANCIAL CREDITORS'!$G$174)</f>
        <v/>
      </c>
      <c r="I728">
        <f>IF('FINANCIAL CREDITORS'!$AT$174="","",'FINANCIAL CREDITORS'!$AT$174)</f>
        <v/>
      </c>
      <c r="J728">
        <f>IF('FINANCIAL CREDITORS'!$AX$174="","",'FINANCIAL CREDITORS'!$AX$174)</f>
        <v/>
      </c>
      <c r="K728">
        <f>IF('FINANCIAL CREDITORS'!$N$174="","",'FINANCIAL CREDITORS'!$N$174)</f>
        <v/>
      </c>
      <c r="L728">
        <f>IF('FINANCIAL CREDITORS'!$AE$174="","",'FINANCIAL CREDITORS'!$AE$174)</f>
        <v/>
      </c>
      <c r="M728" t="inlineStr">
        <is>
          <t>FINANCIAL</t>
        </is>
      </c>
      <c r="N728" t="inlineStr">
        <is>
          <t>FINANCIAL CREDITORS · row 174</t>
        </is>
      </c>
    </row>
    <row r="729">
      <c r="A729">
        <f>IF('FINANCIAL CREDITORS'!$A$175="","",'FINANCIAL CREDITORS'!$A$175)</f>
        <v/>
      </c>
      <c r="B729">
        <f>IF('FINANCIAL CREDITORS'!$C$175="","",'FINANCIAL CREDITORS'!$C$175)</f>
        <v/>
      </c>
      <c r="C729">
        <f>'FINANCIAL CREDITORS'!$U$175</f>
        <v/>
      </c>
      <c r="D729">
        <f>'FINANCIAL CREDITORS'!$Y$175</f>
        <v/>
      </c>
      <c r="E729">
        <f>'FINANCIAL CREDITORS'!$AC$175</f>
        <v/>
      </c>
      <c r="F729">
        <f>IF('FINANCIAL CREDITORS'!$V$175="","",'FINANCIAL CREDITORS'!$V$175)</f>
        <v/>
      </c>
      <c r="G729">
        <f>IF('FINANCIAL CREDITORS'!$D$175="","",'FINANCIAL CREDITORS'!$D$175)</f>
        <v/>
      </c>
      <c r="H729">
        <f>IF('FINANCIAL CREDITORS'!$G$175="","",'FINANCIAL CREDITORS'!$G$175)</f>
        <v/>
      </c>
      <c r="I729">
        <f>IF('FINANCIAL CREDITORS'!$AT$175="","",'FINANCIAL CREDITORS'!$AT$175)</f>
        <v/>
      </c>
      <c r="J729">
        <f>IF('FINANCIAL CREDITORS'!$AX$175="","",'FINANCIAL CREDITORS'!$AX$175)</f>
        <v/>
      </c>
      <c r="K729">
        <f>IF('FINANCIAL CREDITORS'!$N$175="","",'FINANCIAL CREDITORS'!$N$175)</f>
        <v/>
      </c>
      <c r="L729">
        <f>IF('FINANCIAL CREDITORS'!$AE$175="","",'FINANCIAL CREDITORS'!$AE$175)</f>
        <v/>
      </c>
      <c r="M729" t="inlineStr">
        <is>
          <t>FINANCIAL</t>
        </is>
      </c>
      <c r="N729" t="inlineStr">
        <is>
          <t>FINANCIAL CREDITORS · row 175</t>
        </is>
      </c>
    </row>
    <row r="730">
      <c r="A730">
        <f>IF('FINANCIAL CREDITORS'!$A$176="","",'FINANCIAL CREDITORS'!$A$176)</f>
        <v/>
      </c>
      <c r="B730">
        <f>IF('FINANCIAL CREDITORS'!$C$176="","",'FINANCIAL CREDITORS'!$C$176)</f>
        <v/>
      </c>
      <c r="C730">
        <f>'FINANCIAL CREDITORS'!$U$176</f>
        <v/>
      </c>
      <c r="D730">
        <f>'FINANCIAL CREDITORS'!$Y$176</f>
        <v/>
      </c>
      <c r="E730">
        <f>'FINANCIAL CREDITORS'!$AC$176</f>
        <v/>
      </c>
      <c r="F730">
        <f>IF('FINANCIAL CREDITORS'!$V$176="","",'FINANCIAL CREDITORS'!$V$176)</f>
        <v/>
      </c>
      <c r="G730">
        <f>IF('FINANCIAL CREDITORS'!$D$176="","",'FINANCIAL CREDITORS'!$D$176)</f>
        <v/>
      </c>
      <c r="H730">
        <f>IF('FINANCIAL CREDITORS'!$G$176="","",'FINANCIAL CREDITORS'!$G$176)</f>
        <v/>
      </c>
      <c r="I730">
        <f>IF('FINANCIAL CREDITORS'!$AT$176="","",'FINANCIAL CREDITORS'!$AT$176)</f>
        <v/>
      </c>
      <c r="J730">
        <f>IF('FINANCIAL CREDITORS'!$AX$176="","",'FINANCIAL CREDITORS'!$AX$176)</f>
        <v/>
      </c>
      <c r="K730">
        <f>IF('FINANCIAL CREDITORS'!$N$176="","",'FINANCIAL CREDITORS'!$N$176)</f>
        <v/>
      </c>
      <c r="L730">
        <f>IF('FINANCIAL CREDITORS'!$AE$176="","",'FINANCIAL CREDITORS'!$AE$176)</f>
        <v/>
      </c>
      <c r="M730" t="inlineStr">
        <is>
          <t>FINANCIAL</t>
        </is>
      </c>
      <c r="N730" t="inlineStr">
        <is>
          <t>FINANCIAL CREDITORS · row 176</t>
        </is>
      </c>
    </row>
    <row r="731">
      <c r="A731">
        <f>IF('FINANCIAL CREDITORS'!$A$177="","",'FINANCIAL CREDITORS'!$A$177)</f>
        <v/>
      </c>
      <c r="B731">
        <f>IF('FINANCIAL CREDITORS'!$C$177="","",'FINANCIAL CREDITORS'!$C$177)</f>
        <v/>
      </c>
      <c r="C731">
        <f>'FINANCIAL CREDITORS'!$U$177</f>
        <v/>
      </c>
      <c r="D731">
        <f>'FINANCIAL CREDITORS'!$Y$177</f>
        <v/>
      </c>
      <c r="E731">
        <f>'FINANCIAL CREDITORS'!$AC$177</f>
        <v/>
      </c>
      <c r="F731">
        <f>IF('FINANCIAL CREDITORS'!$V$177="","",'FINANCIAL CREDITORS'!$V$177)</f>
        <v/>
      </c>
      <c r="G731">
        <f>IF('FINANCIAL CREDITORS'!$D$177="","",'FINANCIAL CREDITORS'!$D$177)</f>
        <v/>
      </c>
      <c r="H731">
        <f>IF('FINANCIAL CREDITORS'!$G$177="","",'FINANCIAL CREDITORS'!$G$177)</f>
        <v/>
      </c>
      <c r="I731">
        <f>IF('FINANCIAL CREDITORS'!$AT$177="","",'FINANCIAL CREDITORS'!$AT$177)</f>
        <v/>
      </c>
      <c r="J731">
        <f>IF('FINANCIAL CREDITORS'!$AX$177="","",'FINANCIAL CREDITORS'!$AX$177)</f>
        <v/>
      </c>
      <c r="K731">
        <f>IF('FINANCIAL CREDITORS'!$N$177="","",'FINANCIAL CREDITORS'!$N$177)</f>
        <v/>
      </c>
      <c r="L731">
        <f>IF('FINANCIAL CREDITORS'!$AE$177="","",'FINANCIAL CREDITORS'!$AE$177)</f>
        <v/>
      </c>
      <c r="M731" t="inlineStr">
        <is>
          <t>FINANCIAL</t>
        </is>
      </c>
      <c r="N731" t="inlineStr">
        <is>
          <t>FINANCIAL CREDITORS · row 177</t>
        </is>
      </c>
    </row>
    <row r="732">
      <c r="A732">
        <f>IF('FINANCIAL CREDITORS'!$A$178="","",'FINANCIAL CREDITORS'!$A$178)</f>
        <v/>
      </c>
      <c r="B732">
        <f>IF('FINANCIAL CREDITORS'!$C$178="","",'FINANCIAL CREDITORS'!$C$178)</f>
        <v/>
      </c>
      <c r="C732">
        <f>'FINANCIAL CREDITORS'!$U$178</f>
        <v/>
      </c>
      <c r="D732">
        <f>'FINANCIAL CREDITORS'!$Y$178</f>
        <v/>
      </c>
      <c r="E732">
        <f>'FINANCIAL CREDITORS'!$AC$178</f>
        <v/>
      </c>
      <c r="F732">
        <f>IF('FINANCIAL CREDITORS'!$V$178="","",'FINANCIAL CREDITORS'!$V$178)</f>
        <v/>
      </c>
      <c r="G732">
        <f>IF('FINANCIAL CREDITORS'!$D$178="","",'FINANCIAL CREDITORS'!$D$178)</f>
        <v/>
      </c>
      <c r="H732">
        <f>IF('FINANCIAL CREDITORS'!$G$178="","",'FINANCIAL CREDITORS'!$G$178)</f>
        <v/>
      </c>
      <c r="I732">
        <f>IF('FINANCIAL CREDITORS'!$AT$178="","",'FINANCIAL CREDITORS'!$AT$178)</f>
        <v/>
      </c>
      <c r="J732">
        <f>IF('FINANCIAL CREDITORS'!$AX$178="","",'FINANCIAL CREDITORS'!$AX$178)</f>
        <v/>
      </c>
      <c r="K732">
        <f>IF('FINANCIAL CREDITORS'!$N$178="","",'FINANCIAL CREDITORS'!$N$178)</f>
        <v/>
      </c>
      <c r="L732">
        <f>IF('FINANCIAL CREDITORS'!$AE$178="","",'FINANCIAL CREDITORS'!$AE$178)</f>
        <v/>
      </c>
      <c r="M732" t="inlineStr">
        <is>
          <t>FINANCIAL</t>
        </is>
      </c>
      <c r="N732" t="inlineStr">
        <is>
          <t>FINANCIAL CREDITORS · row 178</t>
        </is>
      </c>
    </row>
    <row r="733">
      <c r="A733">
        <f>IF('FINANCIAL CREDITORS'!$A$179="","",'FINANCIAL CREDITORS'!$A$179)</f>
        <v/>
      </c>
      <c r="B733">
        <f>IF('FINANCIAL CREDITORS'!$C$179="","",'FINANCIAL CREDITORS'!$C$179)</f>
        <v/>
      </c>
      <c r="C733">
        <f>'FINANCIAL CREDITORS'!$U$179</f>
        <v/>
      </c>
      <c r="D733">
        <f>'FINANCIAL CREDITORS'!$Y$179</f>
        <v/>
      </c>
      <c r="E733">
        <f>'FINANCIAL CREDITORS'!$AC$179</f>
        <v/>
      </c>
      <c r="F733">
        <f>IF('FINANCIAL CREDITORS'!$V$179="","",'FINANCIAL CREDITORS'!$V$179)</f>
        <v/>
      </c>
      <c r="G733">
        <f>IF('FINANCIAL CREDITORS'!$D$179="","",'FINANCIAL CREDITORS'!$D$179)</f>
        <v/>
      </c>
      <c r="H733">
        <f>IF('FINANCIAL CREDITORS'!$G$179="","",'FINANCIAL CREDITORS'!$G$179)</f>
        <v/>
      </c>
      <c r="I733">
        <f>IF('FINANCIAL CREDITORS'!$AT$179="","",'FINANCIAL CREDITORS'!$AT$179)</f>
        <v/>
      </c>
      <c r="J733">
        <f>IF('FINANCIAL CREDITORS'!$AX$179="","",'FINANCIAL CREDITORS'!$AX$179)</f>
        <v/>
      </c>
      <c r="K733">
        <f>IF('FINANCIAL CREDITORS'!$N$179="","",'FINANCIAL CREDITORS'!$N$179)</f>
        <v/>
      </c>
      <c r="L733">
        <f>IF('FINANCIAL CREDITORS'!$AE$179="","",'FINANCIAL CREDITORS'!$AE$179)</f>
        <v/>
      </c>
      <c r="M733" t="inlineStr">
        <is>
          <t>FINANCIAL</t>
        </is>
      </c>
      <c r="N733" t="inlineStr">
        <is>
          <t>FINANCIAL CREDITORS · row 179</t>
        </is>
      </c>
    </row>
    <row r="734">
      <c r="A734">
        <f>IF('FINANCIAL CREDITORS'!$A$180="","",'FINANCIAL CREDITORS'!$A$180)</f>
        <v/>
      </c>
      <c r="B734">
        <f>IF('FINANCIAL CREDITORS'!$C$180="","",'FINANCIAL CREDITORS'!$C$180)</f>
        <v/>
      </c>
      <c r="C734">
        <f>'FINANCIAL CREDITORS'!$U$180</f>
        <v/>
      </c>
      <c r="D734">
        <f>'FINANCIAL CREDITORS'!$Y$180</f>
        <v/>
      </c>
      <c r="E734">
        <f>'FINANCIAL CREDITORS'!$AC$180</f>
        <v/>
      </c>
      <c r="F734">
        <f>IF('FINANCIAL CREDITORS'!$V$180="","",'FINANCIAL CREDITORS'!$V$180)</f>
        <v/>
      </c>
      <c r="G734">
        <f>IF('FINANCIAL CREDITORS'!$D$180="","",'FINANCIAL CREDITORS'!$D$180)</f>
        <v/>
      </c>
      <c r="H734">
        <f>IF('FINANCIAL CREDITORS'!$G$180="","",'FINANCIAL CREDITORS'!$G$180)</f>
        <v/>
      </c>
      <c r="I734">
        <f>IF('FINANCIAL CREDITORS'!$AT$180="","",'FINANCIAL CREDITORS'!$AT$180)</f>
        <v/>
      </c>
      <c r="J734">
        <f>IF('FINANCIAL CREDITORS'!$AX$180="","",'FINANCIAL CREDITORS'!$AX$180)</f>
        <v/>
      </c>
      <c r="K734">
        <f>IF('FINANCIAL CREDITORS'!$N$180="","",'FINANCIAL CREDITORS'!$N$180)</f>
        <v/>
      </c>
      <c r="L734">
        <f>IF('FINANCIAL CREDITORS'!$AE$180="","",'FINANCIAL CREDITORS'!$AE$180)</f>
        <v/>
      </c>
      <c r="M734" t="inlineStr">
        <is>
          <t>FINANCIAL</t>
        </is>
      </c>
      <c r="N734" t="inlineStr">
        <is>
          <t>FINANCIAL CREDITORS · row 180</t>
        </is>
      </c>
    </row>
    <row r="735">
      <c r="A735">
        <f>IF('FINANCIAL CREDITORS'!$A$181="","",'FINANCIAL CREDITORS'!$A$181)</f>
        <v/>
      </c>
      <c r="B735">
        <f>IF('FINANCIAL CREDITORS'!$C$181="","",'FINANCIAL CREDITORS'!$C$181)</f>
        <v/>
      </c>
      <c r="C735">
        <f>'FINANCIAL CREDITORS'!$U$181</f>
        <v/>
      </c>
      <c r="D735">
        <f>'FINANCIAL CREDITORS'!$Y$181</f>
        <v/>
      </c>
      <c r="E735">
        <f>'FINANCIAL CREDITORS'!$AC$181</f>
        <v/>
      </c>
      <c r="F735">
        <f>IF('FINANCIAL CREDITORS'!$V$181="","",'FINANCIAL CREDITORS'!$V$181)</f>
        <v/>
      </c>
      <c r="G735">
        <f>IF('FINANCIAL CREDITORS'!$D$181="","",'FINANCIAL CREDITORS'!$D$181)</f>
        <v/>
      </c>
      <c r="H735">
        <f>IF('FINANCIAL CREDITORS'!$G$181="","",'FINANCIAL CREDITORS'!$G$181)</f>
        <v/>
      </c>
      <c r="I735">
        <f>IF('FINANCIAL CREDITORS'!$AT$181="","",'FINANCIAL CREDITORS'!$AT$181)</f>
        <v/>
      </c>
      <c r="J735">
        <f>IF('FINANCIAL CREDITORS'!$AX$181="","",'FINANCIAL CREDITORS'!$AX$181)</f>
        <v/>
      </c>
      <c r="K735">
        <f>IF('FINANCIAL CREDITORS'!$N$181="","",'FINANCIAL CREDITORS'!$N$181)</f>
        <v/>
      </c>
      <c r="L735">
        <f>IF('FINANCIAL CREDITORS'!$AE$181="","",'FINANCIAL CREDITORS'!$AE$181)</f>
        <v/>
      </c>
      <c r="M735" t="inlineStr">
        <is>
          <t>FINANCIAL</t>
        </is>
      </c>
      <c r="N735" t="inlineStr">
        <is>
          <t>FINANCIAL CREDITORS · row 181</t>
        </is>
      </c>
    </row>
    <row r="736">
      <c r="A736">
        <f>IF('FINANCIAL CREDITORS'!$A$182="","",'FINANCIAL CREDITORS'!$A$182)</f>
        <v/>
      </c>
      <c r="B736">
        <f>IF('FINANCIAL CREDITORS'!$C$182="","",'FINANCIAL CREDITORS'!$C$182)</f>
        <v/>
      </c>
      <c r="C736">
        <f>'FINANCIAL CREDITORS'!$U$182</f>
        <v/>
      </c>
      <c r="D736">
        <f>'FINANCIAL CREDITORS'!$Y$182</f>
        <v/>
      </c>
      <c r="E736">
        <f>'FINANCIAL CREDITORS'!$AC$182</f>
        <v/>
      </c>
      <c r="F736">
        <f>IF('FINANCIAL CREDITORS'!$V$182="","",'FINANCIAL CREDITORS'!$V$182)</f>
        <v/>
      </c>
      <c r="G736">
        <f>IF('FINANCIAL CREDITORS'!$D$182="","",'FINANCIAL CREDITORS'!$D$182)</f>
        <v/>
      </c>
      <c r="H736">
        <f>IF('FINANCIAL CREDITORS'!$G$182="","",'FINANCIAL CREDITORS'!$G$182)</f>
        <v/>
      </c>
      <c r="I736">
        <f>IF('FINANCIAL CREDITORS'!$AT$182="","",'FINANCIAL CREDITORS'!$AT$182)</f>
        <v/>
      </c>
      <c r="J736">
        <f>IF('FINANCIAL CREDITORS'!$AX$182="","",'FINANCIAL CREDITORS'!$AX$182)</f>
        <v/>
      </c>
      <c r="K736">
        <f>IF('FINANCIAL CREDITORS'!$N$182="","",'FINANCIAL CREDITORS'!$N$182)</f>
        <v/>
      </c>
      <c r="L736">
        <f>IF('FINANCIAL CREDITORS'!$AE$182="","",'FINANCIAL CREDITORS'!$AE$182)</f>
        <v/>
      </c>
      <c r="M736" t="inlineStr">
        <is>
          <t>FINANCIAL</t>
        </is>
      </c>
      <c r="N736" t="inlineStr">
        <is>
          <t>FINANCIAL CREDITORS · row 182</t>
        </is>
      </c>
    </row>
    <row r="737">
      <c r="A737">
        <f>IF('FINANCIAL CREDITORS'!$A$183="","",'FINANCIAL CREDITORS'!$A$183)</f>
        <v/>
      </c>
      <c r="B737">
        <f>IF('FINANCIAL CREDITORS'!$C$183="","",'FINANCIAL CREDITORS'!$C$183)</f>
        <v/>
      </c>
      <c r="C737">
        <f>'FINANCIAL CREDITORS'!$U$183</f>
        <v/>
      </c>
      <c r="D737">
        <f>'FINANCIAL CREDITORS'!$Y$183</f>
        <v/>
      </c>
      <c r="E737">
        <f>'FINANCIAL CREDITORS'!$AC$183</f>
        <v/>
      </c>
      <c r="F737">
        <f>IF('FINANCIAL CREDITORS'!$V$183="","",'FINANCIAL CREDITORS'!$V$183)</f>
        <v/>
      </c>
      <c r="G737">
        <f>IF('FINANCIAL CREDITORS'!$D$183="","",'FINANCIAL CREDITORS'!$D$183)</f>
        <v/>
      </c>
      <c r="H737">
        <f>IF('FINANCIAL CREDITORS'!$G$183="","",'FINANCIAL CREDITORS'!$G$183)</f>
        <v/>
      </c>
      <c r="I737">
        <f>IF('FINANCIAL CREDITORS'!$AT$183="","",'FINANCIAL CREDITORS'!$AT$183)</f>
        <v/>
      </c>
      <c r="J737">
        <f>IF('FINANCIAL CREDITORS'!$AX$183="","",'FINANCIAL CREDITORS'!$AX$183)</f>
        <v/>
      </c>
      <c r="K737">
        <f>IF('FINANCIAL CREDITORS'!$N$183="","",'FINANCIAL CREDITORS'!$N$183)</f>
        <v/>
      </c>
      <c r="L737">
        <f>IF('FINANCIAL CREDITORS'!$AE$183="","",'FINANCIAL CREDITORS'!$AE$183)</f>
        <v/>
      </c>
      <c r="M737" t="inlineStr">
        <is>
          <t>FINANCIAL</t>
        </is>
      </c>
      <c r="N737" t="inlineStr">
        <is>
          <t>FINANCIAL CREDITORS · row 183</t>
        </is>
      </c>
    </row>
    <row r="738">
      <c r="A738">
        <f>IF('FINANCIAL CREDITORS'!$A$184="","",'FINANCIAL CREDITORS'!$A$184)</f>
        <v/>
      </c>
      <c r="B738">
        <f>IF('FINANCIAL CREDITORS'!$C$184="","",'FINANCIAL CREDITORS'!$C$184)</f>
        <v/>
      </c>
      <c r="C738">
        <f>'FINANCIAL CREDITORS'!$U$184</f>
        <v/>
      </c>
      <c r="D738">
        <f>'FINANCIAL CREDITORS'!$Y$184</f>
        <v/>
      </c>
      <c r="E738">
        <f>'FINANCIAL CREDITORS'!$AC$184</f>
        <v/>
      </c>
      <c r="F738">
        <f>IF('FINANCIAL CREDITORS'!$V$184="","",'FINANCIAL CREDITORS'!$V$184)</f>
        <v/>
      </c>
      <c r="G738">
        <f>IF('FINANCIAL CREDITORS'!$D$184="","",'FINANCIAL CREDITORS'!$D$184)</f>
        <v/>
      </c>
      <c r="H738">
        <f>IF('FINANCIAL CREDITORS'!$G$184="","",'FINANCIAL CREDITORS'!$G$184)</f>
        <v/>
      </c>
      <c r="I738">
        <f>IF('FINANCIAL CREDITORS'!$AT$184="","",'FINANCIAL CREDITORS'!$AT$184)</f>
        <v/>
      </c>
      <c r="J738">
        <f>IF('FINANCIAL CREDITORS'!$AX$184="","",'FINANCIAL CREDITORS'!$AX$184)</f>
        <v/>
      </c>
      <c r="K738">
        <f>IF('FINANCIAL CREDITORS'!$N$184="","",'FINANCIAL CREDITORS'!$N$184)</f>
        <v/>
      </c>
      <c r="L738">
        <f>IF('FINANCIAL CREDITORS'!$AE$184="","",'FINANCIAL CREDITORS'!$AE$184)</f>
        <v/>
      </c>
      <c r="M738" t="inlineStr">
        <is>
          <t>FINANCIAL</t>
        </is>
      </c>
      <c r="N738" t="inlineStr">
        <is>
          <t>FINANCIAL CREDITORS · row 184</t>
        </is>
      </c>
    </row>
    <row r="739">
      <c r="A739">
        <f>IF('FINANCIAL CREDITORS'!$A$185="","",'FINANCIAL CREDITORS'!$A$185)</f>
        <v/>
      </c>
      <c r="B739">
        <f>IF('FINANCIAL CREDITORS'!$C$185="","",'FINANCIAL CREDITORS'!$C$185)</f>
        <v/>
      </c>
      <c r="C739">
        <f>'FINANCIAL CREDITORS'!$U$185</f>
        <v/>
      </c>
      <c r="D739">
        <f>'FINANCIAL CREDITORS'!$Y$185</f>
        <v/>
      </c>
      <c r="E739">
        <f>'FINANCIAL CREDITORS'!$AC$185</f>
        <v/>
      </c>
      <c r="F739">
        <f>IF('FINANCIAL CREDITORS'!$V$185="","",'FINANCIAL CREDITORS'!$V$185)</f>
        <v/>
      </c>
      <c r="G739">
        <f>IF('FINANCIAL CREDITORS'!$D$185="","",'FINANCIAL CREDITORS'!$D$185)</f>
        <v/>
      </c>
      <c r="H739">
        <f>IF('FINANCIAL CREDITORS'!$G$185="","",'FINANCIAL CREDITORS'!$G$185)</f>
        <v/>
      </c>
      <c r="I739">
        <f>IF('FINANCIAL CREDITORS'!$AT$185="","",'FINANCIAL CREDITORS'!$AT$185)</f>
        <v/>
      </c>
      <c r="J739">
        <f>IF('FINANCIAL CREDITORS'!$AX$185="","",'FINANCIAL CREDITORS'!$AX$185)</f>
        <v/>
      </c>
      <c r="K739">
        <f>IF('FINANCIAL CREDITORS'!$N$185="","",'FINANCIAL CREDITORS'!$N$185)</f>
        <v/>
      </c>
      <c r="L739">
        <f>IF('FINANCIAL CREDITORS'!$AE$185="","",'FINANCIAL CREDITORS'!$AE$185)</f>
        <v/>
      </c>
      <c r="M739" t="inlineStr">
        <is>
          <t>FINANCIAL</t>
        </is>
      </c>
      <c r="N739" t="inlineStr">
        <is>
          <t>FINANCIAL CREDITORS · row 185</t>
        </is>
      </c>
    </row>
    <row r="740">
      <c r="A740">
        <f>IF('FINANCIAL CREDITORS'!$A$186="","",'FINANCIAL CREDITORS'!$A$186)</f>
        <v/>
      </c>
      <c r="B740">
        <f>IF('FINANCIAL CREDITORS'!$C$186="","",'FINANCIAL CREDITORS'!$C$186)</f>
        <v/>
      </c>
      <c r="C740">
        <f>'FINANCIAL CREDITORS'!$U$186</f>
        <v/>
      </c>
      <c r="D740">
        <f>'FINANCIAL CREDITORS'!$Y$186</f>
        <v/>
      </c>
      <c r="E740">
        <f>'FINANCIAL CREDITORS'!$AC$186</f>
        <v/>
      </c>
      <c r="F740">
        <f>IF('FINANCIAL CREDITORS'!$V$186="","",'FINANCIAL CREDITORS'!$V$186)</f>
        <v/>
      </c>
      <c r="G740">
        <f>IF('FINANCIAL CREDITORS'!$D$186="","",'FINANCIAL CREDITORS'!$D$186)</f>
        <v/>
      </c>
      <c r="H740">
        <f>IF('FINANCIAL CREDITORS'!$G$186="","",'FINANCIAL CREDITORS'!$G$186)</f>
        <v/>
      </c>
      <c r="I740">
        <f>IF('FINANCIAL CREDITORS'!$AT$186="","",'FINANCIAL CREDITORS'!$AT$186)</f>
        <v/>
      </c>
      <c r="J740">
        <f>IF('FINANCIAL CREDITORS'!$AX$186="","",'FINANCIAL CREDITORS'!$AX$186)</f>
        <v/>
      </c>
      <c r="K740">
        <f>IF('FINANCIAL CREDITORS'!$N$186="","",'FINANCIAL CREDITORS'!$N$186)</f>
        <v/>
      </c>
      <c r="L740">
        <f>IF('FINANCIAL CREDITORS'!$AE$186="","",'FINANCIAL CREDITORS'!$AE$186)</f>
        <v/>
      </c>
      <c r="M740" t="inlineStr">
        <is>
          <t>FINANCIAL</t>
        </is>
      </c>
      <c r="N740" t="inlineStr">
        <is>
          <t>FINANCIAL CREDITORS · row 186</t>
        </is>
      </c>
    </row>
    <row r="741">
      <c r="A741">
        <f>IF('FINANCIAL CREDITORS'!$A$187="","",'FINANCIAL CREDITORS'!$A$187)</f>
        <v/>
      </c>
      <c r="B741">
        <f>IF('FINANCIAL CREDITORS'!$C$187="","",'FINANCIAL CREDITORS'!$C$187)</f>
        <v/>
      </c>
      <c r="C741">
        <f>'FINANCIAL CREDITORS'!$U$187</f>
        <v/>
      </c>
      <c r="D741">
        <f>'FINANCIAL CREDITORS'!$Y$187</f>
        <v/>
      </c>
      <c r="E741">
        <f>'FINANCIAL CREDITORS'!$AC$187</f>
        <v/>
      </c>
      <c r="F741">
        <f>IF('FINANCIAL CREDITORS'!$V$187="","",'FINANCIAL CREDITORS'!$V$187)</f>
        <v/>
      </c>
      <c r="G741">
        <f>IF('FINANCIAL CREDITORS'!$D$187="","",'FINANCIAL CREDITORS'!$D$187)</f>
        <v/>
      </c>
      <c r="H741">
        <f>IF('FINANCIAL CREDITORS'!$G$187="","",'FINANCIAL CREDITORS'!$G$187)</f>
        <v/>
      </c>
      <c r="I741">
        <f>IF('FINANCIAL CREDITORS'!$AT$187="","",'FINANCIAL CREDITORS'!$AT$187)</f>
        <v/>
      </c>
      <c r="J741">
        <f>IF('FINANCIAL CREDITORS'!$AX$187="","",'FINANCIAL CREDITORS'!$AX$187)</f>
        <v/>
      </c>
      <c r="K741">
        <f>IF('FINANCIAL CREDITORS'!$N$187="","",'FINANCIAL CREDITORS'!$N$187)</f>
        <v/>
      </c>
      <c r="L741">
        <f>IF('FINANCIAL CREDITORS'!$AE$187="","",'FINANCIAL CREDITORS'!$AE$187)</f>
        <v/>
      </c>
      <c r="M741" t="inlineStr">
        <is>
          <t>FINANCIAL</t>
        </is>
      </c>
      <c r="N741" t="inlineStr">
        <is>
          <t>FINANCIAL CREDITORS · row 187</t>
        </is>
      </c>
    </row>
    <row r="742">
      <c r="A742">
        <f>IF('FINANCIAL CREDITORS'!$A$188="","",'FINANCIAL CREDITORS'!$A$188)</f>
        <v/>
      </c>
      <c r="B742">
        <f>IF('FINANCIAL CREDITORS'!$C$188="","",'FINANCIAL CREDITORS'!$C$188)</f>
        <v/>
      </c>
      <c r="C742">
        <f>'FINANCIAL CREDITORS'!$U$188</f>
        <v/>
      </c>
      <c r="D742">
        <f>'FINANCIAL CREDITORS'!$Y$188</f>
        <v/>
      </c>
      <c r="E742">
        <f>'FINANCIAL CREDITORS'!$AC$188</f>
        <v/>
      </c>
      <c r="F742">
        <f>IF('FINANCIAL CREDITORS'!$V$188="","",'FINANCIAL CREDITORS'!$V$188)</f>
        <v/>
      </c>
      <c r="G742">
        <f>IF('FINANCIAL CREDITORS'!$D$188="","",'FINANCIAL CREDITORS'!$D$188)</f>
        <v/>
      </c>
      <c r="H742">
        <f>IF('FINANCIAL CREDITORS'!$G$188="","",'FINANCIAL CREDITORS'!$G$188)</f>
        <v/>
      </c>
      <c r="I742">
        <f>IF('FINANCIAL CREDITORS'!$AT$188="","",'FINANCIAL CREDITORS'!$AT$188)</f>
        <v/>
      </c>
      <c r="J742">
        <f>IF('FINANCIAL CREDITORS'!$AX$188="","",'FINANCIAL CREDITORS'!$AX$188)</f>
        <v/>
      </c>
      <c r="K742">
        <f>IF('FINANCIAL CREDITORS'!$N$188="","",'FINANCIAL CREDITORS'!$N$188)</f>
        <v/>
      </c>
      <c r="L742">
        <f>IF('FINANCIAL CREDITORS'!$AE$188="","",'FINANCIAL CREDITORS'!$AE$188)</f>
        <v/>
      </c>
      <c r="M742" t="inlineStr">
        <is>
          <t>FINANCIAL</t>
        </is>
      </c>
      <c r="N742" t="inlineStr">
        <is>
          <t>FINANCIAL CREDITORS · row 188</t>
        </is>
      </c>
    </row>
    <row r="743">
      <c r="A743">
        <f>IF('FINANCIAL CREDITORS'!$A$189="","",'FINANCIAL CREDITORS'!$A$189)</f>
        <v/>
      </c>
      <c r="B743">
        <f>IF('FINANCIAL CREDITORS'!$C$189="","",'FINANCIAL CREDITORS'!$C$189)</f>
        <v/>
      </c>
      <c r="C743">
        <f>'FINANCIAL CREDITORS'!$U$189</f>
        <v/>
      </c>
      <c r="D743">
        <f>'FINANCIAL CREDITORS'!$Y$189</f>
        <v/>
      </c>
      <c r="E743">
        <f>'FINANCIAL CREDITORS'!$AC$189</f>
        <v/>
      </c>
      <c r="F743">
        <f>IF('FINANCIAL CREDITORS'!$V$189="","",'FINANCIAL CREDITORS'!$V$189)</f>
        <v/>
      </c>
      <c r="G743">
        <f>IF('FINANCIAL CREDITORS'!$D$189="","",'FINANCIAL CREDITORS'!$D$189)</f>
        <v/>
      </c>
      <c r="H743">
        <f>IF('FINANCIAL CREDITORS'!$G$189="","",'FINANCIAL CREDITORS'!$G$189)</f>
        <v/>
      </c>
      <c r="I743">
        <f>IF('FINANCIAL CREDITORS'!$AT$189="","",'FINANCIAL CREDITORS'!$AT$189)</f>
        <v/>
      </c>
      <c r="J743">
        <f>IF('FINANCIAL CREDITORS'!$AX$189="","",'FINANCIAL CREDITORS'!$AX$189)</f>
        <v/>
      </c>
      <c r="K743">
        <f>IF('FINANCIAL CREDITORS'!$N$189="","",'FINANCIAL CREDITORS'!$N$189)</f>
        <v/>
      </c>
      <c r="L743">
        <f>IF('FINANCIAL CREDITORS'!$AE$189="","",'FINANCIAL CREDITORS'!$AE$189)</f>
        <v/>
      </c>
      <c r="M743" t="inlineStr">
        <is>
          <t>FINANCIAL</t>
        </is>
      </c>
      <c r="N743" t="inlineStr">
        <is>
          <t>FINANCIAL CREDITORS · row 189</t>
        </is>
      </c>
    </row>
    <row r="744">
      <c r="A744">
        <f>IF('FINANCIAL CREDITORS'!$A$190="","",'FINANCIAL CREDITORS'!$A$190)</f>
        <v/>
      </c>
      <c r="B744">
        <f>IF('FINANCIAL CREDITORS'!$C$190="","",'FINANCIAL CREDITORS'!$C$190)</f>
        <v/>
      </c>
      <c r="C744">
        <f>'FINANCIAL CREDITORS'!$U$190</f>
        <v/>
      </c>
      <c r="D744">
        <f>'FINANCIAL CREDITORS'!$Y$190</f>
        <v/>
      </c>
      <c r="E744">
        <f>'FINANCIAL CREDITORS'!$AC$190</f>
        <v/>
      </c>
      <c r="F744">
        <f>IF('FINANCIAL CREDITORS'!$V$190="","",'FINANCIAL CREDITORS'!$V$190)</f>
        <v/>
      </c>
      <c r="G744">
        <f>IF('FINANCIAL CREDITORS'!$D$190="","",'FINANCIAL CREDITORS'!$D$190)</f>
        <v/>
      </c>
      <c r="H744">
        <f>IF('FINANCIAL CREDITORS'!$G$190="","",'FINANCIAL CREDITORS'!$G$190)</f>
        <v/>
      </c>
      <c r="I744">
        <f>IF('FINANCIAL CREDITORS'!$AT$190="","",'FINANCIAL CREDITORS'!$AT$190)</f>
        <v/>
      </c>
      <c r="J744">
        <f>IF('FINANCIAL CREDITORS'!$AX$190="","",'FINANCIAL CREDITORS'!$AX$190)</f>
        <v/>
      </c>
      <c r="K744">
        <f>IF('FINANCIAL CREDITORS'!$N$190="","",'FINANCIAL CREDITORS'!$N$190)</f>
        <v/>
      </c>
      <c r="L744">
        <f>IF('FINANCIAL CREDITORS'!$AE$190="","",'FINANCIAL CREDITORS'!$AE$190)</f>
        <v/>
      </c>
      <c r="M744" t="inlineStr">
        <is>
          <t>FINANCIAL</t>
        </is>
      </c>
      <c r="N744" t="inlineStr">
        <is>
          <t>FINANCIAL CREDITORS · row 190</t>
        </is>
      </c>
    </row>
    <row r="745">
      <c r="A745">
        <f>IF('FINANCIAL CREDITORS'!$A$191="","",'FINANCIAL CREDITORS'!$A$191)</f>
        <v/>
      </c>
      <c r="B745">
        <f>IF('FINANCIAL CREDITORS'!$C$191="","",'FINANCIAL CREDITORS'!$C$191)</f>
        <v/>
      </c>
      <c r="C745">
        <f>'FINANCIAL CREDITORS'!$U$191</f>
        <v/>
      </c>
      <c r="D745">
        <f>'FINANCIAL CREDITORS'!$Y$191</f>
        <v/>
      </c>
      <c r="E745">
        <f>'FINANCIAL CREDITORS'!$AC$191</f>
        <v/>
      </c>
      <c r="F745">
        <f>IF('FINANCIAL CREDITORS'!$V$191="","",'FINANCIAL CREDITORS'!$V$191)</f>
        <v/>
      </c>
      <c r="G745">
        <f>IF('FINANCIAL CREDITORS'!$D$191="","",'FINANCIAL CREDITORS'!$D$191)</f>
        <v/>
      </c>
      <c r="H745">
        <f>IF('FINANCIAL CREDITORS'!$G$191="","",'FINANCIAL CREDITORS'!$G$191)</f>
        <v/>
      </c>
      <c r="I745">
        <f>IF('FINANCIAL CREDITORS'!$AT$191="","",'FINANCIAL CREDITORS'!$AT$191)</f>
        <v/>
      </c>
      <c r="J745">
        <f>IF('FINANCIAL CREDITORS'!$AX$191="","",'FINANCIAL CREDITORS'!$AX$191)</f>
        <v/>
      </c>
      <c r="K745">
        <f>IF('FINANCIAL CREDITORS'!$N$191="","",'FINANCIAL CREDITORS'!$N$191)</f>
        <v/>
      </c>
      <c r="L745">
        <f>IF('FINANCIAL CREDITORS'!$AE$191="","",'FINANCIAL CREDITORS'!$AE$191)</f>
        <v/>
      </c>
      <c r="M745" t="inlineStr">
        <is>
          <t>FINANCIAL</t>
        </is>
      </c>
      <c r="N745" t="inlineStr">
        <is>
          <t>FINANCIAL CREDITORS · row 191</t>
        </is>
      </c>
    </row>
    <row r="746">
      <c r="A746">
        <f>IF('FINANCIAL CREDITORS'!$A$192="","",'FINANCIAL CREDITORS'!$A$192)</f>
        <v/>
      </c>
      <c r="B746">
        <f>IF('FINANCIAL CREDITORS'!$C$192="","",'FINANCIAL CREDITORS'!$C$192)</f>
        <v/>
      </c>
      <c r="C746">
        <f>'FINANCIAL CREDITORS'!$U$192</f>
        <v/>
      </c>
      <c r="D746">
        <f>'FINANCIAL CREDITORS'!$Y$192</f>
        <v/>
      </c>
      <c r="E746">
        <f>'FINANCIAL CREDITORS'!$AC$192</f>
        <v/>
      </c>
      <c r="F746">
        <f>IF('FINANCIAL CREDITORS'!$V$192="","",'FINANCIAL CREDITORS'!$V$192)</f>
        <v/>
      </c>
      <c r="G746">
        <f>IF('FINANCIAL CREDITORS'!$D$192="","",'FINANCIAL CREDITORS'!$D$192)</f>
        <v/>
      </c>
      <c r="H746">
        <f>IF('FINANCIAL CREDITORS'!$G$192="","",'FINANCIAL CREDITORS'!$G$192)</f>
        <v/>
      </c>
      <c r="I746">
        <f>IF('FINANCIAL CREDITORS'!$AT$192="","",'FINANCIAL CREDITORS'!$AT$192)</f>
        <v/>
      </c>
      <c r="J746">
        <f>IF('FINANCIAL CREDITORS'!$AX$192="","",'FINANCIAL CREDITORS'!$AX$192)</f>
        <v/>
      </c>
      <c r="K746">
        <f>IF('FINANCIAL CREDITORS'!$N$192="","",'FINANCIAL CREDITORS'!$N$192)</f>
        <v/>
      </c>
      <c r="L746">
        <f>IF('FINANCIAL CREDITORS'!$AE$192="","",'FINANCIAL CREDITORS'!$AE$192)</f>
        <v/>
      </c>
      <c r="M746" t="inlineStr">
        <is>
          <t>FINANCIAL</t>
        </is>
      </c>
      <c r="N746" t="inlineStr">
        <is>
          <t>FINANCIAL CREDITORS · row 192</t>
        </is>
      </c>
    </row>
    <row r="747">
      <c r="A747">
        <f>IF('FINANCIAL CREDITORS'!$A$193="","",'FINANCIAL CREDITORS'!$A$193)</f>
        <v/>
      </c>
      <c r="B747">
        <f>IF('FINANCIAL CREDITORS'!$C$193="","",'FINANCIAL CREDITORS'!$C$193)</f>
        <v/>
      </c>
      <c r="C747">
        <f>'FINANCIAL CREDITORS'!$U$193</f>
        <v/>
      </c>
      <c r="D747">
        <f>'FINANCIAL CREDITORS'!$Y$193</f>
        <v/>
      </c>
      <c r="E747">
        <f>'FINANCIAL CREDITORS'!$AC$193</f>
        <v/>
      </c>
      <c r="F747">
        <f>IF('FINANCIAL CREDITORS'!$V$193="","",'FINANCIAL CREDITORS'!$V$193)</f>
        <v/>
      </c>
      <c r="G747">
        <f>IF('FINANCIAL CREDITORS'!$D$193="","",'FINANCIAL CREDITORS'!$D$193)</f>
        <v/>
      </c>
      <c r="H747">
        <f>IF('FINANCIAL CREDITORS'!$G$193="","",'FINANCIAL CREDITORS'!$G$193)</f>
        <v/>
      </c>
      <c r="I747">
        <f>IF('FINANCIAL CREDITORS'!$AT$193="","",'FINANCIAL CREDITORS'!$AT$193)</f>
        <v/>
      </c>
      <c r="J747">
        <f>IF('FINANCIAL CREDITORS'!$AX$193="","",'FINANCIAL CREDITORS'!$AX$193)</f>
        <v/>
      </c>
      <c r="K747">
        <f>IF('FINANCIAL CREDITORS'!$N$193="","",'FINANCIAL CREDITORS'!$N$193)</f>
        <v/>
      </c>
      <c r="L747">
        <f>IF('FINANCIAL CREDITORS'!$AE$193="","",'FINANCIAL CREDITORS'!$AE$193)</f>
        <v/>
      </c>
      <c r="M747" t="inlineStr">
        <is>
          <t>FINANCIAL</t>
        </is>
      </c>
      <c r="N747" t="inlineStr">
        <is>
          <t>FINANCIAL CREDITORS · row 193</t>
        </is>
      </c>
    </row>
    <row r="748">
      <c r="A748">
        <f>IF('FINANCIAL CREDITORS'!$A$194="","",'FINANCIAL CREDITORS'!$A$194)</f>
        <v/>
      </c>
      <c r="B748">
        <f>IF('FINANCIAL CREDITORS'!$C$194="","",'FINANCIAL CREDITORS'!$C$194)</f>
        <v/>
      </c>
      <c r="C748">
        <f>'FINANCIAL CREDITORS'!$U$194</f>
        <v/>
      </c>
      <c r="D748">
        <f>'FINANCIAL CREDITORS'!$Y$194</f>
        <v/>
      </c>
      <c r="E748">
        <f>'FINANCIAL CREDITORS'!$AC$194</f>
        <v/>
      </c>
      <c r="F748">
        <f>IF('FINANCIAL CREDITORS'!$V$194="","",'FINANCIAL CREDITORS'!$V$194)</f>
        <v/>
      </c>
      <c r="G748">
        <f>IF('FINANCIAL CREDITORS'!$D$194="","",'FINANCIAL CREDITORS'!$D$194)</f>
        <v/>
      </c>
      <c r="H748">
        <f>IF('FINANCIAL CREDITORS'!$G$194="","",'FINANCIAL CREDITORS'!$G$194)</f>
        <v/>
      </c>
      <c r="I748">
        <f>IF('FINANCIAL CREDITORS'!$AT$194="","",'FINANCIAL CREDITORS'!$AT$194)</f>
        <v/>
      </c>
      <c r="J748">
        <f>IF('FINANCIAL CREDITORS'!$AX$194="","",'FINANCIAL CREDITORS'!$AX$194)</f>
        <v/>
      </c>
      <c r="K748">
        <f>IF('FINANCIAL CREDITORS'!$N$194="","",'FINANCIAL CREDITORS'!$N$194)</f>
        <v/>
      </c>
      <c r="L748">
        <f>IF('FINANCIAL CREDITORS'!$AE$194="","",'FINANCIAL CREDITORS'!$AE$194)</f>
        <v/>
      </c>
      <c r="M748" t="inlineStr">
        <is>
          <t>FINANCIAL</t>
        </is>
      </c>
      <c r="N748" t="inlineStr">
        <is>
          <t>FINANCIAL CREDITORS · row 194</t>
        </is>
      </c>
    </row>
    <row r="749">
      <c r="A749">
        <f>IF('FINANCIAL CREDITORS'!$A$195="","",'FINANCIAL CREDITORS'!$A$195)</f>
        <v/>
      </c>
      <c r="B749">
        <f>IF('FINANCIAL CREDITORS'!$C$195="","",'FINANCIAL CREDITORS'!$C$195)</f>
        <v/>
      </c>
      <c r="C749">
        <f>'FINANCIAL CREDITORS'!$U$195</f>
        <v/>
      </c>
      <c r="D749">
        <f>'FINANCIAL CREDITORS'!$Y$195</f>
        <v/>
      </c>
      <c r="E749">
        <f>'FINANCIAL CREDITORS'!$AC$195</f>
        <v/>
      </c>
      <c r="F749">
        <f>IF('FINANCIAL CREDITORS'!$V$195="","",'FINANCIAL CREDITORS'!$V$195)</f>
        <v/>
      </c>
      <c r="G749">
        <f>IF('FINANCIAL CREDITORS'!$D$195="","",'FINANCIAL CREDITORS'!$D$195)</f>
        <v/>
      </c>
      <c r="H749">
        <f>IF('FINANCIAL CREDITORS'!$G$195="","",'FINANCIAL CREDITORS'!$G$195)</f>
        <v/>
      </c>
      <c r="I749">
        <f>IF('FINANCIAL CREDITORS'!$AT$195="","",'FINANCIAL CREDITORS'!$AT$195)</f>
        <v/>
      </c>
      <c r="J749">
        <f>IF('FINANCIAL CREDITORS'!$AX$195="","",'FINANCIAL CREDITORS'!$AX$195)</f>
        <v/>
      </c>
      <c r="K749">
        <f>IF('FINANCIAL CREDITORS'!$N$195="","",'FINANCIAL CREDITORS'!$N$195)</f>
        <v/>
      </c>
      <c r="L749">
        <f>IF('FINANCIAL CREDITORS'!$AE$195="","",'FINANCIAL CREDITORS'!$AE$195)</f>
        <v/>
      </c>
      <c r="M749" t="inlineStr">
        <is>
          <t>FINANCIAL</t>
        </is>
      </c>
      <c r="N749" t="inlineStr">
        <is>
          <t>FINANCIAL CREDITORS · row 195</t>
        </is>
      </c>
    </row>
    <row r="750">
      <c r="A750">
        <f>IF('FINANCIAL CREDITORS'!$A$196="","",'FINANCIAL CREDITORS'!$A$196)</f>
        <v/>
      </c>
      <c r="B750">
        <f>IF('FINANCIAL CREDITORS'!$C$196="","",'FINANCIAL CREDITORS'!$C$196)</f>
        <v/>
      </c>
      <c r="C750">
        <f>'FINANCIAL CREDITORS'!$U$196</f>
        <v/>
      </c>
      <c r="D750">
        <f>'FINANCIAL CREDITORS'!$Y$196</f>
        <v/>
      </c>
      <c r="E750">
        <f>'FINANCIAL CREDITORS'!$AC$196</f>
        <v/>
      </c>
      <c r="F750">
        <f>IF('FINANCIAL CREDITORS'!$V$196="","",'FINANCIAL CREDITORS'!$V$196)</f>
        <v/>
      </c>
      <c r="G750">
        <f>IF('FINANCIAL CREDITORS'!$D$196="","",'FINANCIAL CREDITORS'!$D$196)</f>
        <v/>
      </c>
      <c r="H750">
        <f>IF('FINANCIAL CREDITORS'!$G$196="","",'FINANCIAL CREDITORS'!$G$196)</f>
        <v/>
      </c>
      <c r="I750">
        <f>IF('FINANCIAL CREDITORS'!$AT$196="","",'FINANCIAL CREDITORS'!$AT$196)</f>
        <v/>
      </c>
      <c r="J750">
        <f>IF('FINANCIAL CREDITORS'!$AX$196="","",'FINANCIAL CREDITORS'!$AX$196)</f>
        <v/>
      </c>
      <c r="K750">
        <f>IF('FINANCIAL CREDITORS'!$N$196="","",'FINANCIAL CREDITORS'!$N$196)</f>
        <v/>
      </c>
      <c r="L750">
        <f>IF('FINANCIAL CREDITORS'!$AE$196="","",'FINANCIAL CREDITORS'!$AE$196)</f>
        <v/>
      </c>
      <c r="M750" t="inlineStr">
        <is>
          <t>FINANCIAL</t>
        </is>
      </c>
      <c r="N750" t="inlineStr">
        <is>
          <t>FINANCIAL CREDITORS · row 196</t>
        </is>
      </c>
    </row>
    <row r="751">
      <c r="A751">
        <f>IF('FINANCIAL CREDITORS'!$A$197="","",'FINANCIAL CREDITORS'!$A$197)</f>
        <v/>
      </c>
      <c r="B751">
        <f>IF('FINANCIAL CREDITORS'!$C$197="","",'FINANCIAL CREDITORS'!$C$197)</f>
        <v/>
      </c>
      <c r="C751">
        <f>'FINANCIAL CREDITORS'!$U$197</f>
        <v/>
      </c>
      <c r="D751">
        <f>'FINANCIAL CREDITORS'!$Y$197</f>
        <v/>
      </c>
      <c r="E751">
        <f>'FINANCIAL CREDITORS'!$AC$197</f>
        <v/>
      </c>
      <c r="F751">
        <f>IF('FINANCIAL CREDITORS'!$V$197="","",'FINANCIAL CREDITORS'!$V$197)</f>
        <v/>
      </c>
      <c r="G751">
        <f>IF('FINANCIAL CREDITORS'!$D$197="","",'FINANCIAL CREDITORS'!$D$197)</f>
        <v/>
      </c>
      <c r="H751">
        <f>IF('FINANCIAL CREDITORS'!$G$197="","",'FINANCIAL CREDITORS'!$G$197)</f>
        <v/>
      </c>
      <c r="I751">
        <f>IF('FINANCIAL CREDITORS'!$AT$197="","",'FINANCIAL CREDITORS'!$AT$197)</f>
        <v/>
      </c>
      <c r="J751">
        <f>IF('FINANCIAL CREDITORS'!$AX$197="","",'FINANCIAL CREDITORS'!$AX$197)</f>
        <v/>
      </c>
      <c r="K751">
        <f>IF('FINANCIAL CREDITORS'!$N$197="","",'FINANCIAL CREDITORS'!$N$197)</f>
        <v/>
      </c>
      <c r="L751">
        <f>IF('FINANCIAL CREDITORS'!$AE$197="","",'FINANCIAL CREDITORS'!$AE$197)</f>
        <v/>
      </c>
      <c r="M751" t="inlineStr">
        <is>
          <t>FINANCIAL</t>
        </is>
      </c>
      <c r="N751" t="inlineStr">
        <is>
          <t>FINANCIAL CREDITORS · row 197</t>
        </is>
      </c>
    </row>
    <row r="752">
      <c r="A752">
        <f>IF('FINANCIAL CREDITORS'!$A$198="","",'FINANCIAL CREDITORS'!$A$198)</f>
        <v/>
      </c>
      <c r="B752">
        <f>IF('FINANCIAL CREDITORS'!$C$198="","",'FINANCIAL CREDITORS'!$C$198)</f>
        <v/>
      </c>
      <c r="C752">
        <f>'FINANCIAL CREDITORS'!$U$198</f>
        <v/>
      </c>
      <c r="D752">
        <f>'FINANCIAL CREDITORS'!$Y$198</f>
        <v/>
      </c>
      <c r="E752">
        <f>'FINANCIAL CREDITORS'!$AC$198</f>
        <v/>
      </c>
      <c r="F752">
        <f>IF('FINANCIAL CREDITORS'!$V$198="","",'FINANCIAL CREDITORS'!$V$198)</f>
        <v/>
      </c>
      <c r="G752">
        <f>IF('FINANCIAL CREDITORS'!$D$198="","",'FINANCIAL CREDITORS'!$D$198)</f>
        <v/>
      </c>
      <c r="H752">
        <f>IF('FINANCIAL CREDITORS'!$G$198="","",'FINANCIAL CREDITORS'!$G$198)</f>
        <v/>
      </c>
      <c r="I752">
        <f>IF('FINANCIAL CREDITORS'!$AT$198="","",'FINANCIAL CREDITORS'!$AT$198)</f>
        <v/>
      </c>
      <c r="J752">
        <f>IF('FINANCIAL CREDITORS'!$AX$198="","",'FINANCIAL CREDITORS'!$AX$198)</f>
        <v/>
      </c>
      <c r="K752">
        <f>IF('FINANCIAL CREDITORS'!$N$198="","",'FINANCIAL CREDITORS'!$N$198)</f>
        <v/>
      </c>
      <c r="L752">
        <f>IF('FINANCIAL CREDITORS'!$AE$198="","",'FINANCIAL CREDITORS'!$AE$198)</f>
        <v/>
      </c>
      <c r="M752" t="inlineStr">
        <is>
          <t>FINANCIAL</t>
        </is>
      </c>
      <c r="N752" t="inlineStr">
        <is>
          <t>FINANCIAL CREDITORS · row 198</t>
        </is>
      </c>
    </row>
    <row r="753">
      <c r="A753">
        <f>IF('FINANCIAL CREDITORS'!$A$199="","",'FINANCIAL CREDITORS'!$A$199)</f>
        <v/>
      </c>
      <c r="B753">
        <f>IF('FINANCIAL CREDITORS'!$C$199="","",'FINANCIAL CREDITORS'!$C$199)</f>
        <v/>
      </c>
      <c r="C753">
        <f>'FINANCIAL CREDITORS'!$U$199</f>
        <v/>
      </c>
      <c r="D753">
        <f>'FINANCIAL CREDITORS'!$Y$199</f>
        <v/>
      </c>
      <c r="E753">
        <f>'FINANCIAL CREDITORS'!$AC$199</f>
        <v/>
      </c>
      <c r="F753">
        <f>IF('FINANCIAL CREDITORS'!$V$199="","",'FINANCIAL CREDITORS'!$V$199)</f>
        <v/>
      </c>
      <c r="G753">
        <f>IF('FINANCIAL CREDITORS'!$D$199="","",'FINANCIAL CREDITORS'!$D$199)</f>
        <v/>
      </c>
      <c r="H753">
        <f>IF('FINANCIAL CREDITORS'!$G$199="","",'FINANCIAL CREDITORS'!$G$199)</f>
        <v/>
      </c>
      <c r="I753">
        <f>IF('FINANCIAL CREDITORS'!$AT$199="","",'FINANCIAL CREDITORS'!$AT$199)</f>
        <v/>
      </c>
      <c r="J753">
        <f>IF('FINANCIAL CREDITORS'!$AX$199="","",'FINANCIAL CREDITORS'!$AX$199)</f>
        <v/>
      </c>
      <c r="K753">
        <f>IF('FINANCIAL CREDITORS'!$N$199="","",'FINANCIAL CREDITORS'!$N$199)</f>
        <v/>
      </c>
      <c r="L753">
        <f>IF('FINANCIAL CREDITORS'!$AE$199="","",'FINANCIAL CREDITORS'!$AE$199)</f>
        <v/>
      </c>
      <c r="M753" t="inlineStr">
        <is>
          <t>FINANCIAL</t>
        </is>
      </c>
      <c r="N753" t="inlineStr">
        <is>
          <t>FINANCIAL CREDITORS · row 199</t>
        </is>
      </c>
    </row>
    <row r="754">
      <c r="A754">
        <f>IF('FINANCIAL CREDITORS'!$A$200="","",'FINANCIAL CREDITORS'!$A$200)</f>
        <v/>
      </c>
      <c r="B754">
        <f>IF('FINANCIAL CREDITORS'!$C$200="","",'FINANCIAL CREDITORS'!$C$200)</f>
        <v/>
      </c>
      <c r="C754">
        <f>'FINANCIAL CREDITORS'!$U$200</f>
        <v/>
      </c>
      <c r="D754">
        <f>'FINANCIAL CREDITORS'!$Y$200</f>
        <v/>
      </c>
      <c r="E754">
        <f>'FINANCIAL CREDITORS'!$AC$200</f>
        <v/>
      </c>
      <c r="F754">
        <f>IF('FINANCIAL CREDITORS'!$V$200="","",'FINANCIAL CREDITORS'!$V$200)</f>
        <v/>
      </c>
      <c r="G754">
        <f>IF('FINANCIAL CREDITORS'!$D$200="","",'FINANCIAL CREDITORS'!$D$200)</f>
        <v/>
      </c>
      <c r="H754">
        <f>IF('FINANCIAL CREDITORS'!$G$200="","",'FINANCIAL CREDITORS'!$G$200)</f>
        <v/>
      </c>
      <c r="I754">
        <f>IF('FINANCIAL CREDITORS'!$AT$200="","",'FINANCIAL CREDITORS'!$AT$200)</f>
        <v/>
      </c>
      <c r="J754">
        <f>IF('FINANCIAL CREDITORS'!$AX$200="","",'FINANCIAL CREDITORS'!$AX$200)</f>
        <v/>
      </c>
      <c r="K754">
        <f>IF('FINANCIAL CREDITORS'!$N$200="","",'FINANCIAL CREDITORS'!$N$200)</f>
        <v/>
      </c>
      <c r="L754">
        <f>IF('FINANCIAL CREDITORS'!$AE$200="","",'FINANCIAL CREDITORS'!$AE$200)</f>
        <v/>
      </c>
      <c r="M754" t="inlineStr">
        <is>
          <t>FINANCIAL</t>
        </is>
      </c>
      <c r="N754" t="inlineStr">
        <is>
          <t>FINANCIAL CREDITORS · row 200</t>
        </is>
      </c>
    </row>
    <row r="755">
      <c r="A755">
        <f>IF('FINANCIAL CREDITORS'!$A$201="","",'FINANCIAL CREDITORS'!$A$201)</f>
        <v/>
      </c>
      <c r="B755">
        <f>IF('FINANCIAL CREDITORS'!$C$201="","",'FINANCIAL CREDITORS'!$C$201)</f>
        <v/>
      </c>
      <c r="C755">
        <f>'FINANCIAL CREDITORS'!$U$201</f>
        <v/>
      </c>
      <c r="D755">
        <f>'FINANCIAL CREDITORS'!$Y$201</f>
        <v/>
      </c>
      <c r="E755">
        <f>'FINANCIAL CREDITORS'!$AC$201</f>
        <v/>
      </c>
      <c r="F755">
        <f>IF('FINANCIAL CREDITORS'!$V$201="","",'FINANCIAL CREDITORS'!$V$201)</f>
        <v/>
      </c>
      <c r="G755">
        <f>IF('FINANCIAL CREDITORS'!$D$201="","",'FINANCIAL CREDITORS'!$D$201)</f>
        <v/>
      </c>
      <c r="H755">
        <f>IF('FINANCIAL CREDITORS'!$G$201="","",'FINANCIAL CREDITORS'!$G$201)</f>
        <v/>
      </c>
      <c r="I755">
        <f>IF('FINANCIAL CREDITORS'!$AT$201="","",'FINANCIAL CREDITORS'!$AT$201)</f>
        <v/>
      </c>
      <c r="J755">
        <f>IF('FINANCIAL CREDITORS'!$AX$201="","",'FINANCIAL CREDITORS'!$AX$201)</f>
        <v/>
      </c>
      <c r="K755">
        <f>IF('FINANCIAL CREDITORS'!$N$201="","",'FINANCIAL CREDITORS'!$N$201)</f>
        <v/>
      </c>
      <c r="L755">
        <f>IF('FINANCIAL CREDITORS'!$AE$201="","",'FINANCIAL CREDITORS'!$AE$201)</f>
        <v/>
      </c>
      <c r="M755" t="inlineStr">
        <is>
          <t>FINANCIAL</t>
        </is>
      </c>
      <c r="N755" t="inlineStr">
        <is>
          <t>FINANCIAL CREDITORS · row 201</t>
        </is>
      </c>
    </row>
    <row r="756">
      <c r="A756">
        <f>IF('FINANCIAL CREDITORS'!$A$202="","",'FINANCIAL CREDITORS'!$A$202)</f>
        <v/>
      </c>
      <c r="B756">
        <f>IF('FINANCIAL CREDITORS'!$C$202="","",'FINANCIAL CREDITORS'!$C$202)</f>
        <v/>
      </c>
      <c r="C756">
        <f>'FINANCIAL CREDITORS'!$U$202</f>
        <v/>
      </c>
      <c r="D756">
        <f>'FINANCIAL CREDITORS'!$Y$202</f>
        <v/>
      </c>
      <c r="E756">
        <f>'FINANCIAL CREDITORS'!$AC$202</f>
        <v/>
      </c>
      <c r="F756">
        <f>IF('FINANCIAL CREDITORS'!$V$202="","",'FINANCIAL CREDITORS'!$V$202)</f>
        <v/>
      </c>
      <c r="G756">
        <f>IF('FINANCIAL CREDITORS'!$D$202="","",'FINANCIAL CREDITORS'!$D$202)</f>
        <v/>
      </c>
      <c r="H756">
        <f>IF('FINANCIAL CREDITORS'!$G$202="","",'FINANCIAL CREDITORS'!$G$202)</f>
        <v/>
      </c>
      <c r="I756">
        <f>IF('FINANCIAL CREDITORS'!$AT$202="","",'FINANCIAL CREDITORS'!$AT$202)</f>
        <v/>
      </c>
      <c r="J756">
        <f>IF('FINANCIAL CREDITORS'!$AX$202="","",'FINANCIAL CREDITORS'!$AX$202)</f>
        <v/>
      </c>
      <c r="K756">
        <f>IF('FINANCIAL CREDITORS'!$N$202="","",'FINANCIAL CREDITORS'!$N$202)</f>
        <v/>
      </c>
      <c r="L756">
        <f>IF('FINANCIAL CREDITORS'!$AE$202="","",'FINANCIAL CREDITORS'!$AE$202)</f>
        <v/>
      </c>
      <c r="M756" t="inlineStr">
        <is>
          <t>FINANCIAL</t>
        </is>
      </c>
      <c r="N756" t="inlineStr">
        <is>
          <t>FINANCIAL CREDITORS · row 202</t>
        </is>
      </c>
    </row>
    <row r="757">
      <c r="A757">
        <f>IF('FINANCIAL CREDITORS'!$A$203="","",'FINANCIAL CREDITORS'!$A$203)</f>
        <v/>
      </c>
      <c r="B757">
        <f>IF('FINANCIAL CREDITORS'!$C$203="","",'FINANCIAL CREDITORS'!$C$203)</f>
        <v/>
      </c>
      <c r="C757">
        <f>'FINANCIAL CREDITORS'!$U$203</f>
        <v/>
      </c>
      <c r="D757">
        <f>'FINANCIAL CREDITORS'!$Y$203</f>
        <v/>
      </c>
      <c r="E757">
        <f>'FINANCIAL CREDITORS'!$AC$203</f>
        <v/>
      </c>
      <c r="F757">
        <f>IF('FINANCIAL CREDITORS'!$V$203="","",'FINANCIAL CREDITORS'!$V$203)</f>
        <v/>
      </c>
      <c r="G757">
        <f>IF('FINANCIAL CREDITORS'!$D$203="","",'FINANCIAL CREDITORS'!$D$203)</f>
        <v/>
      </c>
      <c r="H757">
        <f>IF('FINANCIAL CREDITORS'!$G$203="","",'FINANCIAL CREDITORS'!$G$203)</f>
        <v/>
      </c>
      <c r="I757">
        <f>IF('FINANCIAL CREDITORS'!$AT$203="","",'FINANCIAL CREDITORS'!$AT$203)</f>
        <v/>
      </c>
      <c r="J757">
        <f>IF('FINANCIAL CREDITORS'!$AX$203="","",'FINANCIAL CREDITORS'!$AX$203)</f>
        <v/>
      </c>
      <c r="K757">
        <f>IF('FINANCIAL CREDITORS'!$N$203="","",'FINANCIAL CREDITORS'!$N$203)</f>
        <v/>
      </c>
      <c r="L757">
        <f>IF('FINANCIAL CREDITORS'!$AE$203="","",'FINANCIAL CREDITORS'!$AE$203)</f>
        <v/>
      </c>
      <c r="M757" t="inlineStr">
        <is>
          <t>FINANCIAL</t>
        </is>
      </c>
      <c r="N757" t="inlineStr">
        <is>
          <t>FINANCIAL CREDITORS · row 203</t>
        </is>
      </c>
    </row>
    <row r="758">
      <c r="A758">
        <f>IF('FINANCIAL CREDITORS'!$A$204="","",'FINANCIAL CREDITORS'!$A$204)</f>
        <v/>
      </c>
      <c r="B758">
        <f>IF('FINANCIAL CREDITORS'!$C$204="","",'FINANCIAL CREDITORS'!$C$204)</f>
        <v/>
      </c>
      <c r="C758">
        <f>'FINANCIAL CREDITORS'!$U$204</f>
        <v/>
      </c>
      <c r="D758">
        <f>'FINANCIAL CREDITORS'!$Y$204</f>
        <v/>
      </c>
      <c r="E758">
        <f>'FINANCIAL CREDITORS'!$AC$204</f>
        <v/>
      </c>
      <c r="F758">
        <f>IF('FINANCIAL CREDITORS'!$V$204="","",'FINANCIAL CREDITORS'!$V$204)</f>
        <v/>
      </c>
      <c r="G758">
        <f>IF('FINANCIAL CREDITORS'!$D$204="","",'FINANCIAL CREDITORS'!$D$204)</f>
        <v/>
      </c>
      <c r="H758">
        <f>IF('FINANCIAL CREDITORS'!$G$204="","",'FINANCIAL CREDITORS'!$G$204)</f>
        <v/>
      </c>
      <c r="I758">
        <f>IF('FINANCIAL CREDITORS'!$AT$204="","",'FINANCIAL CREDITORS'!$AT$204)</f>
        <v/>
      </c>
      <c r="J758">
        <f>IF('FINANCIAL CREDITORS'!$AX$204="","",'FINANCIAL CREDITORS'!$AX$204)</f>
        <v/>
      </c>
      <c r="K758">
        <f>IF('FINANCIAL CREDITORS'!$N$204="","",'FINANCIAL CREDITORS'!$N$204)</f>
        <v/>
      </c>
      <c r="L758">
        <f>IF('FINANCIAL CREDITORS'!$AE$204="","",'FINANCIAL CREDITORS'!$AE$204)</f>
        <v/>
      </c>
      <c r="M758" t="inlineStr">
        <is>
          <t>FINANCIAL</t>
        </is>
      </c>
      <c r="N758" t="inlineStr">
        <is>
          <t>FINANCIAL CREDITORS · row 204</t>
        </is>
      </c>
    </row>
    <row r="759">
      <c r="A759">
        <f>IF('FINANCIAL CREDITORS'!$A$205="","",'FINANCIAL CREDITORS'!$A$205)</f>
        <v/>
      </c>
      <c r="B759">
        <f>IF('FINANCIAL CREDITORS'!$C$205="","",'FINANCIAL CREDITORS'!$C$205)</f>
        <v/>
      </c>
      <c r="C759">
        <f>'FINANCIAL CREDITORS'!$U$205</f>
        <v/>
      </c>
      <c r="D759">
        <f>'FINANCIAL CREDITORS'!$Y$205</f>
        <v/>
      </c>
      <c r="E759">
        <f>'FINANCIAL CREDITORS'!$AC$205</f>
        <v/>
      </c>
      <c r="F759">
        <f>IF('FINANCIAL CREDITORS'!$V$205="","",'FINANCIAL CREDITORS'!$V$205)</f>
        <v/>
      </c>
      <c r="G759">
        <f>IF('FINANCIAL CREDITORS'!$D$205="","",'FINANCIAL CREDITORS'!$D$205)</f>
        <v/>
      </c>
      <c r="H759">
        <f>IF('FINANCIAL CREDITORS'!$G$205="","",'FINANCIAL CREDITORS'!$G$205)</f>
        <v/>
      </c>
      <c r="I759">
        <f>IF('FINANCIAL CREDITORS'!$AT$205="","",'FINANCIAL CREDITORS'!$AT$205)</f>
        <v/>
      </c>
      <c r="J759">
        <f>IF('FINANCIAL CREDITORS'!$AX$205="","",'FINANCIAL CREDITORS'!$AX$205)</f>
        <v/>
      </c>
      <c r="K759">
        <f>IF('FINANCIAL CREDITORS'!$N$205="","",'FINANCIAL CREDITORS'!$N$205)</f>
        <v/>
      </c>
      <c r="L759">
        <f>IF('FINANCIAL CREDITORS'!$AE$205="","",'FINANCIAL CREDITORS'!$AE$205)</f>
        <v/>
      </c>
      <c r="M759" t="inlineStr">
        <is>
          <t>FINANCIAL</t>
        </is>
      </c>
      <c r="N759" t="inlineStr">
        <is>
          <t>FINANCIAL CREDITORS · row 205</t>
        </is>
      </c>
    </row>
    <row r="760">
      <c r="A760">
        <f>IF('FINANCIAL CREDITORS'!$A$206="","",'FINANCIAL CREDITORS'!$A$206)</f>
        <v/>
      </c>
      <c r="B760">
        <f>IF('FINANCIAL CREDITORS'!$C$206="","",'FINANCIAL CREDITORS'!$C$206)</f>
        <v/>
      </c>
      <c r="C760">
        <f>'FINANCIAL CREDITORS'!$U$206</f>
        <v/>
      </c>
      <c r="D760">
        <f>'FINANCIAL CREDITORS'!$Y$206</f>
        <v/>
      </c>
      <c r="E760">
        <f>'FINANCIAL CREDITORS'!$AC$206</f>
        <v/>
      </c>
      <c r="F760">
        <f>IF('FINANCIAL CREDITORS'!$V$206="","",'FINANCIAL CREDITORS'!$V$206)</f>
        <v/>
      </c>
      <c r="G760">
        <f>IF('FINANCIAL CREDITORS'!$D$206="","",'FINANCIAL CREDITORS'!$D$206)</f>
        <v/>
      </c>
      <c r="H760">
        <f>IF('FINANCIAL CREDITORS'!$G$206="","",'FINANCIAL CREDITORS'!$G$206)</f>
        <v/>
      </c>
      <c r="I760">
        <f>IF('FINANCIAL CREDITORS'!$AT$206="","",'FINANCIAL CREDITORS'!$AT$206)</f>
        <v/>
      </c>
      <c r="J760">
        <f>IF('FINANCIAL CREDITORS'!$AX$206="","",'FINANCIAL CREDITORS'!$AX$206)</f>
        <v/>
      </c>
      <c r="K760">
        <f>IF('FINANCIAL CREDITORS'!$N$206="","",'FINANCIAL CREDITORS'!$N$206)</f>
        <v/>
      </c>
      <c r="L760">
        <f>IF('FINANCIAL CREDITORS'!$AE$206="","",'FINANCIAL CREDITORS'!$AE$206)</f>
        <v/>
      </c>
      <c r="M760" t="inlineStr">
        <is>
          <t>FINANCIAL</t>
        </is>
      </c>
      <c r="N760" t="inlineStr">
        <is>
          <t>FINANCIAL CREDITORS · row 206</t>
        </is>
      </c>
    </row>
    <row r="761">
      <c r="A761">
        <f>IF('FINANCIAL CREDITORS'!$A$207="","",'FINANCIAL CREDITORS'!$A$207)</f>
        <v/>
      </c>
      <c r="B761">
        <f>IF('FINANCIAL CREDITORS'!$C$207="","",'FINANCIAL CREDITORS'!$C$207)</f>
        <v/>
      </c>
      <c r="C761">
        <f>'FINANCIAL CREDITORS'!$U$207</f>
        <v/>
      </c>
      <c r="D761">
        <f>'FINANCIAL CREDITORS'!$Y$207</f>
        <v/>
      </c>
      <c r="E761">
        <f>'FINANCIAL CREDITORS'!$AC$207</f>
        <v/>
      </c>
      <c r="F761">
        <f>IF('FINANCIAL CREDITORS'!$V$207="","",'FINANCIAL CREDITORS'!$V$207)</f>
        <v/>
      </c>
      <c r="G761">
        <f>IF('FINANCIAL CREDITORS'!$D$207="","",'FINANCIAL CREDITORS'!$D$207)</f>
        <v/>
      </c>
      <c r="H761">
        <f>IF('FINANCIAL CREDITORS'!$G$207="","",'FINANCIAL CREDITORS'!$G$207)</f>
        <v/>
      </c>
      <c r="I761">
        <f>IF('FINANCIAL CREDITORS'!$AT$207="","",'FINANCIAL CREDITORS'!$AT$207)</f>
        <v/>
      </c>
      <c r="J761">
        <f>IF('FINANCIAL CREDITORS'!$AX$207="","",'FINANCIAL CREDITORS'!$AX$207)</f>
        <v/>
      </c>
      <c r="K761">
        <f>IF('FINANCIAL CREDITORS'!$N$207="","",'FINANCIAL CREDITORS'!$N$207)</f>
        <v/>
      </c>
      <c r="L761">
        <f>IF('FINANCIAL CREDITORS'!$AE$207="","",'FINANCIAL CREDITORS'!$AE$207)</f>
        <v/>
      </c>
      <c r="M761" t="inlineStr">
        <is>
          <t>FINANCIAL</t>
        </is>
      </c>
      <c r="N761" t="inlineStr">
        <is>
          <t>FINANCIAL CREDITORS · row 207</t>
        </is>
      </c>
    </row>
    <row r="762">
      <c r="A762">
        <f>IF('FINANCIAL CREDITORS'!$A$208="","",'FINANCIAL CREDITORS'!$A$208)</f>
        <v/>
      </c>
      <c r="B762">
        <f>IF('FINANCIAL CREDITORS'!$C$208="","",'FINANCIAL CREDITORS'!$C$208)</f>
        <v/>
      </c>
      <c r="C762">
        <f>'FINANCIAL CREDITORS'!$U$208</f>
        <v/>
      </c>
      <c r="D762">
        <f>'FINANCIAL CREDITORS'!$Y$208</f>
        <v/>
      </c>
      <c r="E762">
        <f>'FINANCIAL CREDITORS'!$AC$208</f>
        <v/>
      </c>
      <c r="F762">
        <f>IF('FINANCIAL CREDITORS'!$V$208="","",'FINANCIAL CREDITORS'!$V$208)</f>
        <v/>
      </c>
      <c r="G762">
        <f>IF('FINANCIAL CREDITORS'!$D$208="","",'FINANCIAL CREDITORS'!$D$208)</f>
        <v/>
      </c>
      <c r="H762">
        <f>IF('FINANCIAL CREDITORS'!$G$208="","",'FINANCIAL CREDITORS'!$G$208)</f>
        <v/>
      </c>
      <c r="I762">
        <f>IF('FINANCIAL CREDITORS'!$AT$208="","",'FINANCIAL CREDITORS'!$AT$208)</f>
        <v/>
      </c>
      <c r="J762">
        <f>IF('FINANCIAL CREDITORS'!$AX$208="","",'FINANCIAL CREDITORS'!$AX$208)</f>
        <v/>
      </c>
      <c r="K762">
        <f>IF('FINANCIAL CREDITORS'!$N$208="","",'FINANCIAL CREDITORS'!$N$208)</f>
        <v/>
      </c>
      <c r="L762">
        <f>IF('FINANCIAL CREDITORS'!$AE$208="","",'FINANCIAL CREDITORS'!$AE$208)</f>
        <v/>
      </c>
      <c r="M762" t="inlineStr">
        <is>
          <t>FINANCIAL</t>
        </is>
      </c>
      <c r="N762" t="inlineStr">
        <is>
          <t>FINANCIAL CREDITORS · row 208</t>
        </is>
      </c>
    </row>
    <row r="763">
      <c r="A763">
        <f>IF('FINANCIAL CREDITORS'!$A$209="","",'FINANCIAL CREDITORS'!$A$209)</f>
        <v/>
      </c>
      <c r="B763">
        <f>IF('FINANCIAL CREDITORS'!$C$209="","",'FINANCIAL CREDITORS'!$C$209)</f>
        <v/>
      </c>
      <c r="C763">
        <f>'FINANCIAL CREDITORS'!$U$209</f>
        <v/>
      </c>
      <c r="D763">
        <f>'FINANCIAL CREDITORS'!$Y$209</f>
        <v/>
      </c>
      <c r="E763">
        <f>'FINANCIAL CREDITORS'!$AC$209</f>
        <v/>
      </c>
      <c r="F763">
        <f>IF('FINANCIAL CREDITORS'!$V$209="","",'FINANCIAL CREDITORS'!$V$209)</f>
        <v/>
      </c>
      <c r="G763">
        <f>IF('FINANCIAL CREDITORS'!$D$209="","",'FINANCIAL CREDITORS'!$D$209)</f>
        <v/>
      </c>
      <c r="H763">
        <f>IF('FINANCIAL CREDITORS'!$G$209="","",'FINANCIAL CREDITORS'!$G$209)</f>
        <v/>
      </c>
      <c r="I763">
        <f>IF('FINANCIAL CREDITORS'!$AT$209="","",'FINANCIAL CREDITORS'!$AT$209)</f>
        <v/>
      </c>
      <c r="J763">
        <f>IF('FINANCIAL CREDITORS'!$AX$209="","",'FINANCIAL CREDITORS'!$AX$209)</f>
        <v/>
      </c>
      <c r="K763">
        <f>IF('FINANCIAL CREDITORS'!$N$209="","",'FINANCIAL CREDITORS'!$N$209)</f>
        <v/>
      </c>
      <c r="L763">
        <f>IF('FINANCIAL CREDITORS'!$AE$209="","",'FINANCIAL CREDITORS'!$AE$209)</f>
        <v/>
      </c>
      <c r="M763" t="inlineStr">
        <is>
          <t>FINANCIAL</t>
        </is>
      </c>
      <c r="N763" t="inlineStr">
        <is>
          <t>FINANCIAL CREDITORS · row 209</t>
        </is>
      </c>
    </row>
    <row r="764">
      <c r="A764">
        <f>IF('FINANCIAL CREDITORS'!$A$210="","",'FINANCIAL CREDITORS'!$A$210)</f>
        <v/>
      </c>
      <c r="B764">
        <f>IF('FINANCIAL CREDITORS'!$C$210="","",'FINANCIAL CREDITORS'!$C$210)</f>
        <v/>
      </c>
      <c r="C764">
        <f>'FINANCIAL CREDITORS'!$U$210</f>
        <v/>
      </c>
      <c r="D764">
        <f>'FINANCIAL CREDITORS'!$Y$210</f>
        <v/>
      </c>
      <c r="E764">
        <f>'FINANCIAL CREDITORS'!$AC$210</f>
        <v/>
      </c>
      <c r="F764">
        <f>IF('FINANCIAL CREDITORS'!$V$210="","",'FINANCIAL CREDITORS'!$V$210)</f>
        <v/>
      </c>
      <c r="G764">
        <f>IF('FINANCIAL CREDITORS'!$D$210="","",'FINANCIAL CREDITORS'!$D$210)</f>
        <v/>
      </c>
      <c r="H764">
        <f>IF('FINANCIAL CREDITORS'!$G$210="","",'FINANCIAL CREDITORS'!$G$210)</f>
        <v/>
      </c>
      <c r="I764">
        <f>IF('FINANCIAL CREDITORS'!$AT$210="","",'FINANCIAL CREDITORS'!$AT$210)</f>
        <v/>
      </c>
      <c r="J764">
        <f>IF('FINANCIAL CREDITORS'!$AX$210="","",'FINANCIAL CREDITORS'!$AX$210)</f>
        <v/>
      </c>
      <c r="K764">
        <f>IF('FINANCIAL CREDITORS'!$N$210="","",'FINANCIAL CREDITORS'!$N$210)</f>
        <v/>
      </c>
      <c r="L764">
        <f>IF('FINANCIAL CREDITORS'!$AE$210="","",'FINANCIAL CREDITORS'!$AE$210)</f>
        <v/>
      </c>
      <c r="M764" t="inlineStr">
        <is>
          <t>FINANCIAL</t>
        </is>
      </c>
      <c r="N764" t="inlineStr">
        <is>
          <t>FINANCIAL CREDITORS · row 210</t>
        </is>
      </c>
    </row>
    <row r="765">
      <c r="A765">
        <f>IF('FINANCIAL CREDITORS'!$A$211="","",'FINANCIAL CREDITORS'!$A$211)</f>
        <v/>
      </c>
      <c r="B765">
        <f>IF('FINANCIAL CREDITORS'!$C$211="","",'FINANCIAL CREDITORS'!$C$211)</f>
        <v/>
      </c>
      <c r="C765">
        <f>'FINANCIAL CREDITORS'!$U$211</f>
        <v/>
      </c>
      <c r="D765">
        <f>'FINANCIAL CREDITORS'!$Y$211</f>
        <v/>
      </c>
      <c r="E765">
        <f>'FINANCIAL CREDITORS'!$AC$211</f>
        <v/>
      </c>
      <c r="F765">
        <f>IF('FINANCIAL CREDITORS'!$V$211="","",'FINANCIAL CREDITORS'!$V$211)</f>
        <v/>
      </c>
      <c r="G765">
        <f>IF('FINANCIAL CREDITORS'!$D$211="","",'FINANCIAL CREDITORS'!$D$211)</f>
        <v/>
      </c>
      <c r="H765">
        <f>IF('FINANCIAL CREDITORS'!$G$211="","",'FINANCIAL CREDITORS'!$G$211)</f>
        <v/>
      </c>
      <c r="I765">
        <f>IF('FINANCIAL CREDITORS'!$AT$211="","",'FINANCIAL CREDITORS'!$AT$211)</f>
        <v/>
      </c>
      <c r="J765">
        <f>IF('FINANCIAL CREDITORS'!$AX$211="","",'FINANCIAL CREDITORS'!$AX$211)</f>
        <v/>
      </c>
      <c r="K765">
        <f>IF('FINANCIAL CREDITORS'!$N$211="","",'FINANCIAL CREDITORS'!$N$211)</f>
        <v/>
      </c>
      <c r="L765">
        <f>IF('FINANCIAL CREDITORS'!$AE$211="","",'FINANCIAL CREDITORS'!$AE$211)</f>
        <v/>
      </c>
      <c r="M765" t="inlineStr">
        <is>
          <t>FINANCIAL</t>
        </is>
      </c>
      <c r="N765" t="inlineStr">
        <is>
          <t>FINANCIAL CREDITORS · row 211</t>
        </is>
      </c>
    </row>
    <row r="766">
      <c r="A766">
        <f>IF('FINANCIAL CREDITORS'!$A$212="","",'FINANCIAL CREDITORS'!$A$212)</f>
        <v/>
      </c>
      <c r="B766">
        <f>IF('FINANCIAL CREDITORS'!$C$212="","",'FINANCIAL CREDITORS'!$C$212)</f>
        <v/>
      </c>
      <c r="C766">
        <f>'FINANCIAL CREDITORS'!$U$212</f>
        <v/>
      </c>
      <c r="D766">
        <f>'FINANCIAL CREDITORS'!$Y$212</f>
        <v/>
      </c>
      <c r="E766">
        <f>'FINANCIAL CREDITORS'!$AC$212</f>
        <v/>
      </c>
      <c r="F766">
        <f>IF('FINANCIAL CREDITORS'!$V$212="","",'FINANCIAL CREDITORS'!$V$212)</f>
        <v/>
      </c>
      <c r="G766">
        <f>IF('FINANCIAL CREDITORS'!$D$212="","",'FINANCIAL CREDITORS'!$D$212)</f>
        <v/>
      </c>
      <c r="H766">
        <f>IF('FINANCIAL CREDITORS'!$G$212="","",'FINANCIAL CREDITORS'!$G$212)</f>
        <v/>
      </c>
      <c r="I766">
        <f>IF('FINANCIAL CREDITORS'!$AT$212="","",'FINANCIAL CREDITORS'!$AT$212)</f>
        <v/>
      </c>
      <c r="J766">
        <f>IF('FINANCIAL CREDITORS'!$AX$212="","",'FINANCIAL CREDITORS'!$AX$212)</f>
        <v/>
      </c>
      <c r="K766">
        <f>IF('FINANCIAL CREDITORS'!$N$212="","",'FINANCIAL CREDITORS'!$N$212)</f>
        <v/>
      </c>
      <c r="L766">
        <f>IF('FINANCIAL CREDITORS'!$AE$212="","",'FINANCIAL CREDITORS'!$AE$212)</f>
        <v/>
      </c>
      <c r="M766" t="inlineStr">
        <is>
          <t>FINANCIAL</t>
        </is>
      </c>
      <c r="N766" t="inlineStr">
        <is>
          <t>FINANCIAL CREDITORS · row 212</t>
        </is>
      </c>
    </row>
    <row r="767">
      <c r="A767">
        <f>IF('FINANCIAL CREDITORS'!$A$213="","",'FINANCIAL CREDITORS'!$A$213)</f>
        <v/>
      </c>
      <c r="B767">
        <f>IF('FINANCIAL CREDITORS'!$C$213="","",'FINANCIAL CREDITORS'!$C$213)</f>
        <v/>
      </c>
      <c r="C767">
        <f>'FINANCIAL CREDITORS'!$U$213</f>
        <v/>
      </c>
      <c r="D767">
        <f>'FINANCIAL CREDITORS'!$Y$213</f>
        <v/>
      </c>
      <c r="E767">
        <f>'FINANCIAL CREDITORS'!$AC$213</f>
        <v/>
      </c>
      <c r="F767">
        <f>IF('FINANCIAL CREDITORS'!$V$213="","",'FINANCIAL CREDITORS'!$V$213)</f>
        <v/>
      </c>
      <c r="G767">
        <f>IF('FINANCIAL CREDITORS'!$D$213="","",'FINANCIAL CREDITORS'!$D$213)</f>
        <v/>
      </c>
      <c r="H767">
        <f>IF('FINANCIAL CREDITORS'!$G$213="","",'FINANCIAL CREDITORS'!$G$213)</f>
        <v/>
      </c>
      <c r="I767">
        <f>IF('FINANCIAL CREDITORS'!$AT$213="","",'FINANCIAL CREDITORS'!$AT$213)</f>
        <v/>
      </c>
      <c r="J767">
        <f>IF('FINANCIAL CREDITORS'!$AX$213="","",'FINANCIAL CREDITORS'!$AX$213)</f>
        <v/>
      </c>
      <c r="K767">
        <f>IF('FINANCIAL CREDITORS'!$N$213="","",'FINANCIAL CREDITORS'!$N$213)</f>
        <v/>
      </c>
      <c r="L767">
        <f>IF('FINANCIAL CREDITORS'!$AE$213="","",'FINANCIAL CREDITORS'!$AE$213)</f>
        <v/>
      </c>
      <c r="M767" t="inlineStr">
        <is>
          <t>FINANCIAL</t>
        </is>
      </c>
      <c r="N767" t="inlineStr">
        <is>
          <t>FINANCIAL CREDITORS · row 213</t>
        </is>
      </c>
    </row>
    <row r="768">
      <c r="A768">
        <f>IF('FINANCIAL CREDITORS'!$A$214="","",'FINANCIAL CREDITORS'!$A$214)</f>
        <v/>
      </c>
      <c r="B768">
        <f>IF('FINANCIAL CREDITORS'!$C$214="","",'FINANCIAL CREDITORS'!$C$214)</f>
        <v/>
      </c>
      <c r="C768">
        <f>'FINANCIAL CREDITORS'!$U$214</f>
        <v/>
      </c>
      <c r="D768">
        <f>'FINANCIAL CREDITORS'!$Y$214</f>
        <v/>
      </c>
      <c r="E768">
        <f>'FINANCIAL CREDITORS'!$AC$214</f>
        <v/>
      </c>
      <c r="F768">
        <f>IF('FINANCIAL CREDITORS'!$V$214="","",'FINANCIAL CREDITORS'!$V$214)</f>
        <v/>
      </c>
      <c r="G768">
        <f>IF('FINANCIAL CREDITORS'!$D$214="","",'FINANCIAL CREDITORS'!$D$214)</f>
        <v/>
      </c>
      <c r="H768">
        <f>IF('FINANCIAL CREDITORS'!$G$214="","",'FINANCIAL CREDITORS'!$G$214)</f>
        <v/>
      </c>
      <c r="I768">
        <f>IF('FINANCIAL CREDITORS'!$AT$214="","",'FINANCIAL CREDITORS'!$AT$214)</f>
        <v/>
      </c>
      <c r="J768">
        <f>IF('FINANCIAL CREDITORS'!$AX$214="","",'FINANCIAL CREDITORS'!$AX$214)</f>
        <v/>
      </c>
      <c r="K768">
        <f>IF('FINANCIAL CREDITORS'!$N$214="","",'FINANCIAL CREDITORS'!$N$214)</f>
        <v/>
      </c>
      <c r="L768">
        <f>IF('FINANCIAL CREDITORS'!$AE$214="","",'FINANCIAL CREDITORS'!$AE$214)</f>
        <v/>
      </c>
      <c r="M768" t="inlineStr">
        <is>
          <t>FINANCIAL</t>
        </is>
      </c>
      <c r="N768" t="inlineStr">
        <is>
          <t>FINANCIAL CREDITORS · row 214</t>
        </is>
      </c>
    </row>
    <row r="769">
      <c r="A769">
        <f>IF('FINANCIAL CREDITORS'!$A$215="","",'FINANCIAL CREDITORS'!$A$215)</f>
        <v/>
      </c>
      <c r="B769">
        <f>IF('FINANCIAL CREDITORS'!$C$215="","",'FINANCIAL CREDITORS'!$C$215)</f>
        <v/>
      </c>
      <c r="C769">
        <f>'FINANCIAL CREDITORS'!$U$215</f>
        <v/>
      </c>
      <c r="D769">
        <f>'FINANCIAL CREDITORS'!$Y$215</f>
        <v/>
      </c>
      <c r="E769">
        <f>'FINANCIAL CREDITORS'!$AC$215</f>
        <v/>
      </c>
      <c r="F769">
        <f>IF('FINANCIAL CREDITORS'!$V$215="","",'FINANCIAL CREDITORS'!$V$215)</f>
        <v/>
      </c>
      <c r="G769">
        <f>IF('FINANCIAL CREDITORS'!$D$215="","",'FINANCIAL CREDITORS'!$D$215)</f>
        <v/>
      </c>
      <c r="H769">
        <f>IF('FINANCIAL CREDITORS'!$G$215="","",'FINANCIAL CREDITORS'!$G$215)</f>
        <v/>
      </c>
      <c r="I769">
        <f>IF('FINANCIAL CREDITORS'!$AT$215="","",'FINANCIAL CREDITORS'!$AT$215)</f>
        <v/>
      </c>
      <c r="J769">
        <f>IF('FINANCIAL CREDITORS'!$AX$215="","",'FINANCIAL CREDITORS'!$AX$215)</f>
        <v/>
      </c>
      <c r="K769">
        <f>IF('FINANCIAL CREDITORS'!$N$215="","",'FINANCIAL CREDITORS'!$N$215)</f>
        <v/>
      </c>
      <c r="L769">
        <f>IF('FINANCIAL CREDITORS'!$AE$215="","",'FINANCIAL CREDITORS'!$AE$215)</f>
        <v/>
      </c>
      <c r="M769" t="inlineStr">
        <is>
          <t>FINANCIAL</t>
        </is>
      </c>
      <c r="N769" t="inlineStr">
        <is>
          <t>FINANCIAL CREDITORS · row 215</t>
        </is>
      </c>
    </row>
    <row r="770">
      <c r="A770">
        <f>IF('FINANCIAL CREDITORS'!$A$216="","",'FINANCIAL CREDITORS'!$A$216)</f>
        <v/>
      </c>
      <c r="B770">
        <f>IF('FINANCIAL CREDITORS'!$C$216="","",'FINANCIAL CREDITORS'!$C$216)</f>
        <v/>
      </c>
      <c r="C770">
        <f>'FINANCIAL CREDITORS'!$U$216</f>
        <v/>
      </c>
      <c r="D770">
        <f>'FINANCIAL CREDITORS'!$Y$216</f>
        <v/>
      </c>
      <c r="E770">
        <f>'FINANCIAL CREDITORS'!$AC$216</f>
        <v/>
      </c>
      <c r="F770">
        <f>IF('FINANCIAL CREDITORS'!$V$216="","",'FINANCIAL CREDITORS'!$V$216)</f>
        <v/>
      </c>
      <c r="G770">
        <f>IF('FINANCIAL CREDITORS'!$D$216="","",'FINANCIAL CREDITORS'!$D$216)</f>
        <v/>
      </c>
      <c r="H770">
        <f>IF('FINANCIAL CREDITORS'!$G$216="","",'FINANCIAL CREDITORS'!$G$216)</f>
        <v/>
      </c>
      <c r="I770">
        <f>IF('FINANCIAL CREDITORS'!$AT$216="","",'FINANCIAL CREDITORS'!$AT$216)</f>
        <v/>
      </c>
      <c r="J770">
        <f>IF('FINANCIAL CREDITORS'!$AX$216="","",'FINANCIAL CREDITORS'!$AX$216)</f>
        <v/>
      </c>
      <c r="K770">
        <f>IF('FINANCIAL CREDITORS'!$N$216="","",'FINANCIAL CREDITORS'!$N$216)</f>
        <v/>
      </c>
      <c r="L770">
        <f>IF('FINANCIAL CREDITORS'!$AE$216="","",'FINANCIAL CREDITORS'!$AE$216)</f>
        <v/>
      </c>
      <c r="M770" t="inlineStr">
        <is>
          <t>FINANCIAL</t>
        </is>
      </c>
      <c r="N770" t="inlineStr">
        <is>
          <t>FINANCIAL CREDITORS · row 216</t>
        </is>
      </c>
    </row>
    <row r="771">
      <c r="A771">
        <f>IF('FINANCIAL CREDITORS'!$A$217="","",'FINANCIAL CREDITORS'!$A$217)</f>
        <v/>
      </c>
      <c r="B771">
        <f>IF('FINANCIAL CREDITORS'!$C$217="","",'FINANCIAL CREDITORS'!$C$217)</f>
        <v/>
      </c>
      <c r="C771">
        <f>'FINANCIAL CREDITORS'!$U$217</f>
        <v/>
      </c>
      <c r="D771">
        <f>'FINANCIAL CREDITORS'!$Y$217</f>
        <v/>
      </c>
      <c r="E771">
        <f>'FINANCIAL CREDITORS'!$AC$217</f>
        <v/>
      </c>
      <c r="F771">
        <f>IF('FINANCIAL CREDITORS'!$V$217="","",'FINANCIAL CREDITORS'!$V$217)</f>
        <v/>
      </c>
      <c r="G771">
        <f>IF('FINANCIAL CREDITORS'!$D$217="","",'FINANCIAL CREDITORS'!$D$217)</f>
        <v/>
      </c>
      <c r="H771">
        <f>IF('FINANCIAL CREDITORS'!$G$217="","",'FINANCIAL CREDITORS'!$G$217)</f>
        <v/>
      </c>
      <c r="I771">
        <f>IF('FINANCIAL CREDITORS'!$AT$217="","",'FINANCIAL CREDITORS'!$AT$217)</f>
        <v/>
      </c>
      <c r="J771">
        <f>IF('FINANCIAL CREDITORS'!$AX$217="","",'FINANCIAL CREDITORS'!$AX$217)</f>
        <v/>
      </c>
      <c r="K771">
        <f>IF('FINANCIAL CREDITORS'!$N$217="","",'FINANCIAL CREDITORS'!$N$217)</f>
        <v/>
      </c>
      <c r="L771">
        <f>IF('FINANCIAL CREDITORS'!$AE$217="","",'FINANCIAL CREDITORS'!$AE$217)</f>
        <v/>
      </c>
      <c r="M771" t="inlineStr">
        <is>
          <t>FINANCIAL</t>
        </is>
      </c>
      <c r="N771" t="inlineStr">
        <is>
          <t>FINANCIAL CREDITORS · row 217</t>
        </is>
      </c>
    </row>
    <row r="772">
      <c r="A772">
        <f>IF('FINANCIAL CREDITORS'!$A$218="","",'FINANCIAL CREDITORS'!$A$218)</f>
        <v/>
      </c>
      <c r="B772">
        <f>IF('FINANCIAL CREDITORS'!$C$218="","",'FINANCIAL CREDITORS'!$C$218)</f>
        <v/>
      </c>
      <c r="C772">
        <f>'FINANCIAL CREDITORS'!$U$218</f>
        <v/>
      </c>
      <c r="D772">
        <f>'FINANCIAL CREDITORS'!$Y$218</f>
        <v/>
      </c>
      <c r="E772">
        <f>'FINANCIAL CREDITORS'!$AC$218</f>
        <v/>
      </c>
      <c r="F772">
        <f>IF('FINANCIAL CREDITORS'!$V$218="","",'FINANCIAL CREDITORS'!$V$218)</f>
        <v/>
      </c>
      <c r="G772">
        <f>IF('FINANCIAL CREDITORS'!$D$218="","",'FINANCIAL CREDITORS'!$D$218)</f>
        <v/>
      </c>
      <c r="H772">
        <f>IF('FINANCIAL CREDITORS'!$G$218="","",'FINANCIAL CREDITORS'!$G$218)</f>
        <v/>
      </c>
      <c r="I772">
        <f>IF('FINANCIAL CREDITORS'!$AT$218="","",'FINANCIAL CREDITORS'!$AT$218)</f>
        <v/>
      </c>
      <c r="J772">
        <f>IF('FINANCIAL CREDITORS'!$AX$218="","",'FINANCIAL CREDITORS'!$AX$218)</f>
        <v/>
      </c>
      <c r="K772">
        <f>IF('FINANCIAL CREDITORS'!$N$218="","",'FINANCIAL CREDITORS'!$N$218)</f>
        <v/>
      </c>
      <c r="L772">
        <f>IF('FINANCIAL CREDITORS'!$AE$218="","",'FINANCIAL CREDITORS'!$AE$218)</f>
        <v/>
      </c>
      <c r="M772" t="inlineStr">
        <is>
          <t>FINANCIAL</t>
        </is>
      </c>
      <c r="N772" t="inlineStr">
        <is>
          <t>FINANCIAL CREDITORS · row 218</t>
        </is>
      </c>
    </row>
    <row r="773">
      <c r="A773">
        <f>IF('FINANCIAL CREDITORS'!$A$219="","",'FINANCIAL CREDITORS'!$A$219)</f>
        <v/>
      </c>
      <c r="B773">
        <f>IF('FINANCIAL CREDITORS'!$C$219="","",'FINANCIAL CREDITORS'!$C$219)</f>
        <v/>
      </c>
      <c r="C773">
        <f>'FINANCIAL CREDITORS'!$U$219</f>
        <v/>
      </c>
      <c r="D773">
        <f>'FINANCIAL CREDITORS'!$Y$219</f>
        <v/>
      </c>
      <c r="E773">
        <f>'FINANCIAL CREDITORS'!$AC$219</f>
        <v/>
      </c>
      <c r="F773">
        <f>IF('FINANCIAL CREDITORS'!$V$219="","",'FINANCIAL CREDITORS'!$V$219)</f>
        <v/>
      </c>
      <c r="G773">
        <f>IF('FINANCIAL CREDITORS'!$D$219="","",'FINANCIAL CREDITORS'!$D$219)</f>
        <v/>
      </c>
      <c r="H773">
        <f>IF('FINANCIAL CREDITORS'!$G$219="","",'FINANCIAL CREDITORS'!$G$219)</f>
        <v/>
      </c>
      <c r="I773">
        <f>IF('FINANCIAL CREDITORS'!$AT$219="","",'FINANCIAL CREDITORS'!$AT$219)</f>
        <v/>
      </c>
      <c r="J773">
        <f>IF('FINANCIAL CREDITORS'!$AX$219="","",'FINANCIAL CREDITORS'!$AX$219)</f>
        <v/>
      </c>
      <c r="K773">
        <f>IF('FINANCIAL CREDITORS'!$N$219="","",'FINANCIAL CREDITORS'!$N$219)</f>
        <v/>
      </c>
      <c r="L773">
        <f>IF('FINANCIAL CREDITORS'!$AE$219="","",'FINANCIAL CREDITORS'!$AE$219)</f>
        <v/>
      </c>
      <c r="M773" t="inlineStr">
        <is>
          <t>FINANCIAL</t>
        </is>
      </c>
      <c r="N773" t="inlineStr">
        <is>
          <t>FINANCIAL CREDITORS · row 219</t>
        </is>
      </c>
    </row>
    <row r="774">
      <c r="A774">
        <f>IF('FINANCIAL CREDITORS'!$A$220="","",'FINANCIAL CREDITORS'!$A$220)</f>
        <v/>
      </c>
      <c r="B774">
        <f>IF('FINANCIAL CREDITORS'!$C$220="","",'FINANCIAL CREDITORS'!$C$220)</f>
        <v/>
      </c>
      <c r="C774">
        <f>'FINANCIAL CREDITORS'!$U$220</f>
        <v/>
      </c>
      <c r="D774">
        <f>'FINANCIAL CREDITORS'!$Y$220</f>
        <v/>
      </c>
      <c r="E774">
        <f>'FINANCIAL CREDITORS'!$AC$220</f>
        <v/>
      </c>
      <c r="F774">
        <f>IF('FINANCIAL CREDITORS'!$V$220="","",'FINANCIAL CREDITORS'!$V$220)</f>
        <v/>
      </c>
      <c r="G774">
        <f>IF('FINANCIAL CREDITORS'!$D$220="","",'FINANCIAL CREDITORS'!$D$220)</f>
        <v/>
      </c>
      <c r="H774">
        <f>IF('FINANCIAL CREDITORS'!$G$220="","",'FINANCIAL CREDITORS'!$G$220)</f>
        <v/>
      </c>
      <c r="I774">
        <f>IF('FINANCIAL CREDITORS'!$AT$220="","",'FINANCIAL CREDITORS'!$AT$220)</f>
        <v/>
      </c>
      <c r="J774">
        <f>IF('FINANCIAL CREDITORS'!$AX$220="","",'FINANCIAL CREDITORS'!$AX$220)</f>
        <v/>
      </c>
      <c r="K774">
        <f>IF('FINANCIAL CREDITORS'!$N$220="","",'FINANCIAL CREDITORS'!$N$220)</f>
        <v/>
      </c>
      <c r="L774">
        <f>IF('FINANCIAL CREDITORS'!$AE$220="","",'FINANCIAL CREDITORS'!$AE$220)</f>
        <v/>
      </c>
      <c r="M774" t="inlineStr">
        <is>
          <t>FINANCIAL</t>
        </is>
      </c>
      <c r="N774" t="inlineStr">
        <is>
          <t>FINANCIAL CREDITORS · row 220</t>
        </is>
      </c>
    </row>
    <row r="775">
      <c r="A775">
        <f>IF('FINANCIAL CREDITORS'!$A$221="","",'FINANCIAL CREDITORS'!$A$221)</f>
        <v/>
      </c>
      <c r="B775">
        <f>IF('FINANCIAL CREDITORS'!$C$221="","",'FINANCIAL CREDITORS'!$C$221)</f>
        <v/>
      </c>
      <c r="C775">
        <f>'FINANCIAL CREDITORS'!$U$221</f>
        <v/>
      </c>
      <c r="D775">
        <f>'FINANCIAL CREDITORS'!$Y$221</f>
        <v/>
      </c>
      <c r="E775">
        <f>'FINANCIAL CREDITORS'!$AC$221</f>
        <v/>
      </c>
      <c r="F775">
        <f>IF('FINANCIAL CREDITORS'!$V$221="","",'FINANCIAL CREDITORS'!$V$221)</f>
        <v/>
      </c>
      <c r="G775">
        <f>IF('FINANCIAL CREDITORS'!$D$221="","",'FINANCIAL CREDITORS'!$D$221)</f>
        <v/>
      </c>
      <c r="H775">
        <f>IF('FINANCIAL CREDITORS'!$G$221="","",'FINANCIAL CREDITORS'!$G$221)</f>
        <v/>
      </c>
      <c r="I775">
        <f>IF('FINANCIAL CREDITORS'!$AT$221="","",'FINANCIAL CREDITORS'!$AT$221)</f>
        <v/>
      </c>
      <c r="J775">
        <f>IF('FINANCIAL CREDITORS'!$AX$221="","",'FINANCIAL CREDITORS'!$AX$221)</f>
        <v/>
      </c>
      <c r="K775">
        <f>IF('FINANCIAL CREDITORS'!$N$221="","",'FINANCIAL CREDITORS'!$N$221)</f>
        <v/>
      </c>
      <c r="L775">
        <f>IF('FINANCIAL CREDITORS'!$AE$221="","",'FINANCIAL CREDITORS'!$AE$221)</f>
        <v/>
      </c>
      <c r="M775" t="inlineStr">
        <is>
          <t>FINANCIAL</t>
        </is>
      </c>
      <c r="N775" t="inlineStr">
        <is>
          <t>FINANCIAL CREDITORS · row 221</t>
        </is>
      </c>
    </row>
    <row r="776">
      <c r="A776">
        <f>IF('FINANCIAL CREDITORS'!$A$222="","",'FINANCIAL CREDITORS'!$A$222)</f>
        <v/>
      </c>
      <c r="B776">
        <f>IF('FINANCIAL CREDITORS'!$C$222="","",'FINANCIAL CREDITORS'!$C$222)</f>
        <v/>
      </c>
      <c r="C776">
        <f>'FINANCIAL CREDITORS'!$U$222</f>
        <v/>
      </c>
      <c r="D776">
        <f>'FINANCIAL CREDITORS'!$Y$222</f>
        <v/>
      </c>
      <c r="E776">
        <f>'FINANCIAL CREDITORS'!$AC$222</f>
        <v/>
      </c>
      <c r="F776">
        <f>IF('FINANCIAL CREDITORS'!$V$222="","",'FINANCIAL CREDITORS'!$V$222)</f>
        <v/>
      </c>
      <c r="G776">
        <f>IF('FINANCIAL CREDITORS'!$D$222="","",'FINANCIAL CREDITORS'!$D$222)</f>
        <v/>
      </c>
      <c r="H776">
        <f>IF('FINANCIAL CREDITORS'!$G$222="","",'FINANCIAL CREDITORS'!$G$222)</f>
        <v/>
      </c>
      <c r="I776">
        <f>IF('FINANCIAL CREDITORS'!$AT$222="","",'FINANCIAL CREDITORS'!$AT$222)</f>
        <v/>
      </c>
      <c r="J776">
        <f>IF('FINANCIAL CREDITORS'!$AX$222="","",'FINANCIAL CREDITORS'!$AX$222)</f>
        <v/>
      </c>
      <c r="K776">
        <f>IF('FINANCIAL CREDITORS'!$N$222="","",'FINANCIAL CREDITORS'!$N$222)</f>
        <v/>
      </c>
      <c r="L776">
        <f>IF('FINANCIAL CREDITORS'!$AE$222="","",'FINANCIAL CREDITORS'!$AE$222)</f>
        <v/>
      </c>
      <c r="M776" t="inlineStr">
        <is>
          <t>FINANCIAL</t>
        </is>
      </c>
      <c r="N776" t="inlineStr">
        <is>
          <t>FINANCIAL CREDITORS · row 222</t>
        </is>
      </c>
    </row>
    <row r="777">
      <c r="A777">
        <f>IF('FINANCIAL CREDITORS'!$A$223="","",'FINANCIAL CREDITORS'!$A$223)</f>
        <v/>
      </c>
      <c r="B777">
        <f>IF('FINANCIAL CREDITORS'!$C$223="","",'FINANCIAL CREDITORS'!$C$223)</f>
        <v/>
      </c>
      <c r="C777">
        <f>'FINANCIAL CREDITORS'!$U$223</f>
        <v/>
      </c>
      <c r="D777">
        <f>'FINANCIAL CREDITORS'!$Y$223</f>
        <v/>
      </c>
      <c r="E777">
        <f>'FINANCIAL CREDITORS'!$AC$223</f>
        <v/>
      </c>
      <c r="F777">
        <f>IF('FINANCIAL CREDITORS'!$V$223="","",'FINANCIAL CREDITORS'!$V$223)</f>
        <v/>
      </c>
      <c r="G777">
        <f>IF('FINANCIAL CREDITORS'!$D$223="","",'FINANCIAL CREDITORS'!$D$223)</f>
        <v/>
      </c>
      <c r="H777">
        <f>IF('FINANCIAL CREDITORS'!$G$223="","",'FINANCIAL CREDITORS'!$G$223)</f>
        <v/>
      </c>
      <c r="I777">
        <f>IF('FINANCIAL CREDITORS'!$AT$223="","",'FINANCIAL CREDITORS'!$AT$223)</f>
        <v/>
      </c>
      <c r="J777">
        <f>IF('FINANCIAL CREDITORS'!$AX$223="","",'FINANCIAL CREDITORS'!$AX$223)</f>
        <v/>
      </c>
      <c r="K777">
        <f>IF('FINANCIAL CREDITORS'!$N$223="","",'FINANCIAL CREDITORS'!$N$223)</f>
        <v/>
      </c>
      <c r="L777">
        <f>IF('FINANCIAL CREDITORS'!$AE$223="","",'FINANCIAL CREDITORS'!$AE$223)</f>
        <v/>
      </c>
      <c r="M777" t="inlineStr">
        <is>
          <t>FINANCIAL</t>
        </is>
      </c>
      <c r="N777" t="inlineStr">
        <is>
          <t>FINANCIAL CREDITORS · row 223</t>
        </is>
      </c>
    </row>
    <row r="778">
      <c r="A778">
        <f>IF('FINANCIAL CREDITORS'!$A$224="","",'FINANCIAL CREDITORS'!$A$224)</f>
        <v/>
      </c>
      <c r="B778">
        <f>IF('FINANCIAL CREDITORS'!$C$224="","",'FINANCIAL CREDITORS'!$C$224)</f>
        <v/>
      </c>
      <c r="C778">
        <f>'FINANCIAL CREDITORS'!$U$224</f>
        <v/>
      </c>
      <c r="D778">
        <f>'FINANCIAL CREDITORS'!$Y$224</f>
        <v/>
      </c>
      <c r="E778">
        <f>'FINANCIAL CREDITORS'!$AC$224</f>
        <v/>
      </c>
      <c r="F778">
        <f>IF('FINANCIAL CREDITORS'!$V$224="","",'FINANCIAL CREDITORS'!$V$224)</f>
        <v/>
      </c>
      <c r="G778">
        <f>IF('FINANCIAL CREDITORS'!$D$224="","",'FINANCIAL CREDITORS'!$D$224)</f>
        <v/>
      </c>
      <c r="H778">
        <f>IF('FINANCIAL CREDITORS'!$G$224="","",'FINANCIAL CREDITORS'!$G$224)</f>
        <v/>
      </c>
      <c r="I778">
        <f>IF('FINANCIAL CREDITORS'!$AT$224="","",'FINANCIAL CREDITORS'!$AT$224)</f>
        <v/>
      </c>
      <c r="J778">
        <f>IF('FINANCIAL CREDITORS'!$AX$224="","",'FINANCIAL CREDITORS'!$AX$224)</f>
        <v/>
      </c>
      <c r="K778">
        <f>IF('FINANCIAL CREDITORS'!$N$224="","",'FINANCIAL CREDITORS'!$N$224)</f>
        <v/>
      </c>
      <c r="L778">
        <f>IF('FINANCIAL CREDITORS'!$AE$224="","",'FINANCIAL CREDITORS'!$AE$224)</f>
        <v/>
      </c>
      <c r="M778" t="inlineStr">
        <is>
          <t>FINANCIAL</t>
        </is>
      </c>
      <c r="N778" t="inlineStr">
        <is>
          <t>FINANCIAL CREDITORS · row 224</t>
        </is>
      </c>
    </row>
    <row r="779">
      <c r="A779">
        <f>IF('FINANCIAL CREDITORS'!$A$225="","",'FINANCIAL CREDITORS'!$A$225)</f>
        <v/>
      </c>
      <c r="B779">
        <f>IF('FINANCIAL CREDITORS'!$C$225="","",'FINANCIAL CREDITORS'!$C$225)</f>
        <v/>
      </c>
      <c r="C779">
        <f>'FINANCIAL CREDITORS'!$U$225</f>
        <v/>
      </c>
      <c r="D779">
        <f>'FINANCIAL CREDITORS'!$Y$225</f>
        <v/>
      </c>
      <c r="E779">
        <f>'FINANCIAL CREDITORS'!$AC$225</f>
        <v/>
      </c>
      <c r="F779">
        <f>IF('FINANCIAL CREDITORS'!$V$225="","",'FINANCIAL CREDITORS'!$V$225)</f>
        <v/>
      </c>
      <c r="G779">
        <f>IF('FINANCIAL CREDITORS'!$D$225="","",'FINANCIAL CREDITORS'!$D$225)</f>
        <v/>
      </c>
      <c r="H779">
        <f>IF('FINANCIAL CREDITORS'!$G$225="","",'FINANCIAL CREDITORS'!$G$225)</f>
        <v/>
      </c>
      <c r="I779">
        <f>IF('FINANCIAL CREDITORS'!$AT$225="","",'FINANCIAL CREDITORS'!$AT$225)</f>
        <v/>
      </c>
      <c r="J779">
        <f>IF('FINANCIAL CREDITORS'!$AX$225="","",'FINANCIAL CREDITORS'!$AX$225)</f>
        <v/>
      </c>
      <c r="K779">
        <f>IF('FINANCIAL CREDITORS'!$N$225="","",'FINANCIAL CREDITORS'!$N$225)</f>
        <v/>
      </c>
      <c r="L779">
        <f>IF('FINANCIAL CREDITORS'!$AE$225="","",'FINANCIAL CREDITORS'!$AE$225)</f>
        <v/>
      </c>
      <c r="M779" t="inlineStr">
        <is>
          <t>FINANCIAL</t>
        </is>
      </c>
      <c r="N779" t="inlineStr">
        <is>
          <t>FINANCIAL CREDITORS · row 225</t>
        </is>
      </c>
    </row>
    <row r="780">
      <c r="A780">
        <f>IF('FINANCIAL CREDITORS'!$A$226="","",'FINANCIAL CREDITORS'!$A$226)</f>
        <v/>
      </c>
      <c r="B780">
        <f>IF('FINANCIAL CREDITORS'!$C$226="","",'FINANCIAL CREDITORS'!$C$226)</f>
        <v/>
      </c>
      <c r="C780">
        <f>'FINANCIAL CREDITORS'!$U$226</f>
        <v/>
      </c>
      <c r="D780">
        <f>'FINANCIAL CREDITORS'!$Y$226</f>
        <v/>
      </c>
      <c r="E780">
        <f>'FINANCIAL CREDITORS'!$AC$226</f>
        <v/>
      </c>
      <c r="F780">
        <f>IF('FINANCIAL CREDITORS'!$V$226="","",'FINANCIAL CREDITORS'!$V$226)</f>
        <v/>
      </c>
      <c r="G780">
        <f>IF('FINANCIAL CREDITORS'!$D$226="","",'FINANCIAL CREDITORS'!$D$226)</f>
        <v/>
      </c>
      <c r="H780">
        <f>IF('FINANCIAL CREDITORS'!$G$226="","",'FINANCIAL CREDITORS'!$G$226)</f>
        <v/>
      </c>
      <c r="I780">
        <f>IF('FINANCIAL CREDITORS'!$AT$226="","",'FINANCIAL CREDITORS'!$AT$226)</f>
        <v/>
      </c>
      <c r="J780">
        <f>IF('FINANCIAL CREDITORS'!$AX$226="","",'FINANCIAL CREDITORS'!$AX$226)</f>
        <v/>
      </c>
      <c r="K780">
        <f>IF('FINANCIAL CREDITORS'!$N$226="","",'FINANCIAL CREDITORS'!$N$226)</f>
        <v/>
      </c>
      <c r="L780">
        <f>IF('FINANCIAL CREDITORS'!$AE$226="","",'FINANCIAL CREDITORS'!$AE$226)</f>
        <v/>
      </c>
      <c r="M780" t="inlineStr">
        <is>
          <t>FINANCIAL</t>
        </is>
      </c>
      <c r="N780" t="inlineStr">
        <is>
          <t>FINANCIAL CREDITORS · row 226</t>
        </is>
      </c>
    </row>
    <row r="781">
      <c r="A781">
        <f>IF('FINANCIAL CREDITORS'!$A$227="","",'FINANCIAL CREDITORS'!$A$227)</f>
        <v/>
      </c>
      <c r="B781">
        <f>IF('FINANCIAL CREDITORS'!$C$227="","",'FINANCIAL CREDITORS'!$C$227)</f>
        <v/>
      </c>
      <c r="C781">
        <f>'FINANCIAL CREDITORS'!$U$227</f>
        <v/>
      </c>
      <c r="D781">
        <f>'FINANCIAL CREDITORS'!$Y$227</f>
        <v/>
      </c>
      <c r="E781">
        <f>'FINANCIAL CREDITORS'!$AC$227</f>
        <v/>
      </c>
      <c r="F781">
        <f>IF('FINANCIAL CREDITORS'!$V$227="","",'FINANCIAL CREDITORS'!$V$227)</f>
        <v/>
      </c>
      <c r="G781">
        <f>IF('FINANCIAL CREDITORS'!$D$227="","",'FINANCIAL CREDITORS'!$D$227)</f>
        <v/>
      </c>
      <c r="H781">
        <f>IF('FINANCIAL CREDITORS'!$G$227="","",'FINANCIAL CREDITORS'!$G$227)</f>
        <v/>
      </c>
      <c r="I781">
        <f>IF('FINANCIAL CREDITORS'!$AT$227="","",'FINANCIAL CREDITORS'!$AT$227)</f>
        <v/>
      </c>
      <c r="J781">
        <f>IF('FINANCIAL CREDITORS'!$AX$227="","",'FINANCIAL CREDITORS'!$AX$227)</f>
        <v/>
      </c>
      <c r="K781">
        <f>IF('FINANCIAL CREDITORS'!$N$227="","",'FINANCIAL CREDITORS'!$N$227)</f>
        <v/>
      </c>
      <c r="L781">
        <f>IF('FINANCIAL CREDITORS'!$AE$227="","",'FINANCIAL CREDITORS'!$AE$227)</f>
        <v/>
      </c>
      <c r="M781" t="inlineStr">
        <is>
          <t>FINANCIAL</t>
        </is>
      </c>
      <c r="N781" t="inlineStr">
        <is>
          <t>FINANCIAL CREDITORS · row 227</t>
        </is>
      </c>
    </row>
    <row r="782">
      <c r="A782">
        <f>IF('FINANCIAL CREDITORS'!$A$228="","",'FINANCIAL CREDITORS'!$A$228)</f>
        <v/>
      </c>
      <c r="B782">
        <f>IF('FINANCIAL CREDITORS'!$C$228="","",'FINANCIAL CREDITORS'!$C$228)</f>
        <v/>
      </c>
      <c r="C782">
        <f>'FINANCIAL CREDITORS'!$U$228</f>
        <v/>
      </c>
      <c r="D782">
        <f>'FINANCIAL CREDITORS'!$Y$228</f>
        <v/>
      </c>
      <c r="E782">
        <f>'FINANCIAL CREDITORS'!$AC$228</f>
        <v/>
      </c>
      <c r="F782">
        <f>IF('FINANCIAL CREDITORS'!$V$228="","",'FINANCIAL CREDITORS'!$V$228)</f>
        <v/>
      </c>
      <c r="G782">
        <f>IF('FINANCIAL CREDITORS'!$D$228="","",'FINANCIAL CREDITORS'!$D$228)</f>
        <v/>
      </c>
      <c r="H782">
        <f>IF('FINANCIAL CREDITORS'!$G$228="","",'FINANCIAL CREDITORS'!$G$228)</f>
        <v/>
      </c>
      <c r="I782">
        <f>IF('FINANCIAL CREDITORS'!$AT$228="","",'FINANCIAL CREDITORS'!$AT$228)</f>
        <v/>
      </c>
      <c r="J782">
        <f>IF('FINANCIAL CREDITORS'!$AX$228="","",'FINANCIAL CREDITORS'!$AX$228)</f>
        <v/>
      </c>
      <c r="K782">
        <f>IF('FINANCIAL CREDITORS'!$N$228="","",'FINANCIAL CREDITORS'!$N$228)</f>
        <v/>
      </c>
      <c r="L782">
        <f>IF('FINANCIAL CREDITORS'!$AE$228="","",'FINANCIAL CREDITORS'!$AE$228)</f>
        <v/>
      </c>
      <c r="M782" t="inlineStr">
        <is>
          <t>FINANCIAL</t>
        </is>
      </c>
      <c r="N782" t="inlineStr">
        <is>
          <t>FINANCIAL CREDITORS · row 228</t>
        </is>
      </c>
    </row>
    <row r="783">
      <c r="A783">
        <f>IF('FINANCIAL CREDITORS'!$A$229="","",'FINANCIAL CREDITORS'!$A$229)</f>
        <v/>
      </c>
      <c r="B783">
        <f>IF('FINANCIAL CREDITORS'!$C$229="","",'FINANCIAL CREDITORS'!$C$229)</f>
        <v/>
      </c>
      <c r="C783">
        <f>'FINANCIAL CREDITORS'!$U$229</f>
        <v/>
      </c>
      <c r="D783">
        <f>'FINANCIAL CREDITORS'!$Y$229</f>
        <v/>
      </c>
      <c r="E783">
        <f>'FINANCIAL CREDITORS'!$AC$229</f>
        <v/>
      </c>
      <c r="F783">
        <f>IF('FINANCIAL CREDITORS'!$V$229="","",'FINANCIAL CREDITORS'!$V$229)</f>
        <v/>
      </c>
      <c r="G783">
        <f>IF('FINANCIAL CREDITORS'!$D$229="","",'FINANCIAL CREDITORS'!$D$229)</f>
        <v/>
      </c>
      <c r="H783">
        <f>IF('FINANCIAL CREDITORS'!$G$229="","",'FINANCIAL CREDITORS'!$G$229)</f>
        <v/>
      </c>
      <c r="I783">
        <f>IF('FINANCIAL CREDITORS'!$AT$229="","",'FINANCIAL CREDITORS'!$AT$229)</f>
        <v/>
      </c>
      <c r="J783">
        <f>IF('FINANCIAL CREDITORS'!$AX$229="","",'FINANCIAL CREDITORS'!$AX$229)</f>
        <v/>
      </c>
      <c r="K783">
        <f>IF('FINANCIAL CREDITORS'!$N$229="","",'FINANCIAL CREDITORS'!$N$229)</f>
        <v/>
      </c>
      <c r="L783">
        <f>IF('FINANCIAL CREDITORS'!$AE$229="","",'FINANCIAL CREDITORS'!$AE$229)</f>
        <v/>
      </c>
      <c r="M783" t="inlineStr">
        <is>
          <t>FINANCIAL</t>
        </is>
      </c>
      <c r="N783" t="inlineStr">
        <is>
          <t>FINANCIAL CREDITORS · row 229</t>
        </is>
      </c>
    </row>
    <row r="784">
      <c r="A784">
        <f>IF('FINANCIAL CREDITORS'!$A$230="","",'FINANCIAL CREDITORS'!$A$230)</f>
        <v/>
      </c>
      <c r="B784">
        <f>IF('FINANCIAL CREDITORS'!$C$230="","",'FINANCIAL CREDITORS'!$C$230)</f>
        <v/>
      </c>
      <c r="C784">
        <f>'FINANCIAL CREDITORS'!$U$230</f>
        <v/>
      </c>
      <c r="D784">
        <f>'FINANCIAL CREDITORS'!$Y$230</f>
        <v/>
      </c>
      <c r="E784">
        <f>'FINANCIAL CREDITORS'!$AC$230</f>
        <v/>
      </c>
      <c r="F784">
        <f>IF('FINANCIAL CREDITORS'!$V$230="","",'FINANCIAL CREDITORS'!$V$230)</f>
        <v/>
      </c>
      <c r="G784">
        <f>IF('FINANCIAL CREDITORS'!$D$230="","",'FINANCIAL CREDITORS'!$D$230)</f>
        <v/>
      </c>
      <c r="H784">
        <f>IF('FINANCIAL CREDITORS'!$G$230="","",'FINANCIAL CREDITORS'!$G$230)</f>
        <v/>
      </c>
      <c r="I784">
        <f>IF('FINANCIAL CREDITORS'!$AT$230="","",'FINANCIAL CREDITORS'!$AT$230)</f>
        <v/>
      </c>
      <c r="J784">
        <f>IF('FINANCIAL CREDITORS'!$AX$230="","",'FINANCIAL CREDITORS'!$AX$230)</f>
        <v/>
      </c>
      <c r="K784">
        <f>IF('FINANCIAL CREDITORS'!$N$230="","",'FINANCIAL CREDITORS'!$N$230)</f>
        <v/>
      </c>
      <c r="L784">
        <f>IF('FINANCIAL CREDITORS'!$AE$230="","",'FINANCIAL CREDITORS'!$AE$230)</f>
        <v/>
      </c>
      <c r="M784" t="inlineStr">
        <is>
          <t>FINANCIAL</t>
        </is>
      </c>
      <c r="N784" t="inlineStr">
        <is>
          <t>FINANCIAL CREDITORS · row 230</t>
        </is>
      </c>
    </row>
    <row r="785">
      <c r="A785">
        <f>IF('FINANCIAL CREDITORS'!$A$231="","",'FINANCIAL CREDITORS'!$A$231)</f>
        <v/>
      </c>
      <c r="B785">
        <f>IF('FINANCIAL CREDITORS'!$C$231="","",'FINANCIAL CREDITORS'!$C$231)</f>
        <v/>
      </c>
      <c r="C785">
        <f>'FINANCIAL CREDITORS'!$U$231</f>
        <v/>
      </c>
      <c r="D785">
        <f>'FINANCIAL CREDITORS'!$Y$231</f>
        <v/>
      </c>
      <c r="E785">
        <f>'FINANCIAL CREDITORS'!$AC$231</f>
        <v/>
      </c>
      <c r="F785">
        <f>IF('FINANCIAL CREDITORS'!$V$231="","",'FINANCIAL CREDITORS'!$V$231)</f>
        <v/>
      </c>
      <c r="G785">
        <f>IF('FINANCIAL CREDITORS'!$D$231="","",'FINANCIAL CREDITORS'!$D$231)</f>
        <v/>
      </c>
      <c r="H785">
        <f>IF('FINANCIAL CREDITORS'!$G$231="","",'FINANCIAL CREDITORS'!$G$231)</f>
        <v/>
      </c>
      <c r="I785">
        <f>IF('FINANCIAL CREDITORS'!$AT$231="","",'FINANCIAL CREDITORS'!$AT$231)</f>
        <v/>
      </c>
      <c r="J785">
        <f>IF('FINANCIAL CREDITORS'!$AX$231="","",'FINANCIAL CREDITORS'!$AX$231)</f>
        <v/>
      </c>
      <c r="K785">
        <f>IF('FINANCIAL CREDITORS'!$N$231="","",'FINANCIAL CREDITORS'!$N$231)</f>
        <v/>
      </c>
      <c r="L785">
        <f>IF('FINANCIAL CREDITORS'!$AE$231="","",'FINANCIAL CREDITORS'!$AE$231)</f>
        <v/>
      </c>
      <c r="M785" t="inlineStr">
        <is>
          <t>FINANCIAL</t>
        </is>
      </c>
      <c r="N785" t="inlineStr">
        <is>
          <t>FINANCIAL CREDITORS · row 231</t>
        </is>
      </c>
    </row>
    <row r="786">
      <c r="A786">
        <f>IF('FINANCIAL CREDITORS'!$A$232="","",'FINANCIAL CREDITORS'!$A$232)</f>
        <v/>
      </c>
      <c r="B786">
        <f>IF('FINANCIAL CREDITORS'!$C$232="","",'FINANCIAL CREDITORS'!$C$232)</f>
        <v/>
      </c>
      <c r="C786">
        <f>'FINANCIAL CREDITORS'!$U$232</f>
        <v/>
      </c>
      <c r="D786">
        <f>'FINANCIAL CREDITORS'!$Y$232</f>
        <v/>
      </c>
      <c r="E786">
        <f>'FINANCIAL CREDITORS'!$AC$232</f>
        <v/>
      </c>
      <c r="F786">
        <f>IF('FINANCIAL CREDITORS'!$V$232="","",'FINANCIAL CREDITORS'!$V$232)</f>
        <v/>
      </c>
      <c r="G786">
        <f>IF('FINANCIAL CREDITORS'!$D$232="","",'FINANCIAL CREDITORS'!$D$232)</f>
        <v/>
      </c>
      <c r="H786">
        <f>IF('FINANCIAL CREDITORS'!$G$232="","",'FINANCIAL CREDITORS'!$G$232)</f>
        <v/>
      </c>
      <c r="I786">
        <f>IF('FINANCIAL CREDITORS'!$AT$232="","",'FINANCIAL CREDITORS'!$AT$232)</f>
        <v/>
      </c>
      <c r="J786">
        <f>IF('FINANCIAL CREDITORS'!$AX$232="","",'FINANCIAL CREDITORS'!$AX$232)</f>
        <v/>
      </c>
      <c r="K786">
        <f>IF('FINANCIAL CREDITORS'!$N$232="","",'FINANCIAL CREDITORS'!$N$232)</f>
        <v/>
      </c>
      <c r="L786">
        <f>IF('FINANCIAL CREDITORS'!$AE$232="","",'FINANCIAL CREDITORS'!$AE$232)</f>
        <v/>
      </c>
      <c r="M786" t="inlineStr">
        <is>
          <t>FINANCIAL</t>
        </is>
      </c>
      <c r="N786" t="inlineStr">
        <is>
          <t>FINANCIAL CREDITORS · row 232</t>
        </is>
      </c>
    </row>
    <row r="787">
      <c r="A787">
        <f>IF('FINANCIAL CREDITORS'!$A$233="","",'FINANCIAL CREDITORS'!$A$233)</f>
        <v/>
      </c>
      <c r="B787">
        <f>IF('FINANCIAL CREDITORS'!$C$233="","",'FINANCIAL CREDITORS'!$C$233)</f>
        <v/>
      </c>
      <c r="C787">
        <f>'FINANCIAL CREDITORS'!$U$233</f>
        <v/>
      </c>
      <c r="D787">
        <f>'FINANCIAL CREDITORS'!$Y$233</f>
        <v/>
      </c>
      <c r="E787">
        <f>'FINANCIAL CREDITORS'!$AC$233</f>
        <v/>
      </c>
      <c r="F787">
        <f>IF('FINANCIAL CREDITORS'!$V$233="","",'FINANCIAL CREDITORS'!$V$233)</f>
        <v/>
      </c>
      <c r="G787">
        <f>IF('FINANCIAL CREDITORS'!$D$233="","",'FINANCIAL CREDITORS'!$D$233)</f>
        <v/>
      </c>
      <c r="H787">
        <f>IF('FINANCIAL CREDITORS'!$G$233="","",'FINANCIAL CREDITORS'!$G$233)</f>
        <v/>
      </c>
      <c r="I787">
        <f>IF('FINANCIAL CREDITORS'!$AT$233="","",'FINANCIAL CREDITORS'!$AT$233)</f>
        <v/>
      </c>
      <c r="J787">
        <f>IF('FINANCIAL CREDITORS'!$AX$233="","",'FINANCIAL CREDITORS'!$AX$233)</f>
        <v/>
      </c>
      <c r="K787">
        <f>IF('FINANCIAL CREDITORS'!$N$233="","",'FINANCIAL CREDITORS'!$N$233)</f>
        <v/>
      </c>
      <c r="L787">
        <f>IF('FINANCIAL CREDITORS'!$AE$233="","",'FINANCIAL CREDITORS'!$AE$233)</f>
        <v/>
      </c>
      <c r="M787" t="inlineStr">
        <is>
          <t>FINANCIAL</t>
        </is>
      </c>
      <c r="N787" t="inlineStr">
        <is>
          <t>FINANCIAL CREDITORS · row 233</t>
        </is>
      </c>
    </row>
    <row r="788">
      <c r="A788">
        <f>IF('FINANCIAL CREDITORS'!$A$234="","",'FINANCIAL CREDITORS'!$A$234)</f>
        <v/>
      </c>
      <c r="B788">
        <f>IF('FINANCIAL CREDITORS'!$C$234="","",'FINANCIAL CREDITORS'!$C$234)</f>
        <v/>
      </c>
      <c r="C788">
        <f>'FINANCIAL CREDITORS'!$U$234</f>
        <v/>
      </c>
      <c r="D788">
        <f>'FINANCIAL CREDITORS'!$Y$234</f>
        <v/>
      </c>
      <c r="E788">
        <f>'FINANCIAL CREDITORS'!$AC$234</f>
        <v/>
      </c>
      <c r="F788">
        <f>IF('FINANCIAL CREDITORS'!$V$234="","",'FINANCIAL CREDITORS'!$V$234)</f>
        <v/>
      </c>
      <c r="G788">
        <f>IF('FINANCIAL CREDITORS'!$D$234="","",'FINANCIAL CREDITORS'!$D$234)</f>
        <v/>
      </c>
      <c r="H788">
        <f>IF('FINANCIAL CREDITORS'!$G$234="","",'FINANCIAL CREDITORS'!$G$234)</f>
        <v/>
      </c>
      <c r="I788">
        <f>IF('FINANCIAL CREDITORS'!$AT$234="","",'FINANCIAL CREDITORS'!$AT$234)</f>
        <v/>
      </c>
      <c r="J788">
        <f>IF('FINANCIAL CREDITORS'!$AX$234="","",'FINANCIAL CREDITORS'!$AX$234)</f>
        <v/>
      </c>
      <c r="K788">
        <f>IF('FINANCIAL CREDITORS'!$N$234="","",'FINANCIAL CREDITORS'!$N$234)</f>
        <v/>
      </c>
      <c r="L788">
        <f>IF('FINANCIAL CREDITORS'!$AE$234="","",'FINANCIAL CREDITORS'!$AE$234)</f>
        <v/>
      </c>
      <c r="M788" t="inlineStr">
        <is>
          <t>FINANCIAL</t>
        </is>
      </c>
      <c r="N788" t="inlineStr">
        <is>
          <t>FINANCIAL CREDITORS · row 234</t>
        </is>
      </c>
    </row>
    <row r="789">
      <c r="A789">
        <f>IF('FINANCIAL CREDITORS'!$A$235="","",'FINANCIAL CREDITORS'!$A$235)</f>
        <v/>
      </c>
      <c r="B789">
        <f>IF('FINANCIAL CREDITORS'!$C$235="","",'FINANCIAL CREDITORS'!$C$235)</f>
        <v/>
      </c>
      <c r="C789">
        <f>'FINANCIAL CREDITORS'!$U$235</f>
        <v/>
      </c>
      <c r="D789">
        <f>'FINANCIAL CREDITORS'!$Y$235</f>
        <v/>
      </c>
      <c r="E789">
        <f>'FINANCIAL CREDITORS'!$AC$235</f>
        <v/>
      </c>
      <c r="F789">
        <f>IF('FINANCIAL CREDITORS'!$V$235="","",'FINANCIAL CREDITORS'!$V$235)</f>
        <v/>
      </c>
      <c r="G789">
        <f>IF('FINANCIAL CREDITORS'!$D$235="","",'FINANCIAL CREDITORS'!$D$235)</f>
        <v/>
      </c>
      <c r="H789">
        <f>IF('FINANCIAL CREDITORS'!$G$235="","",'FINANCIAL CREDITORS'!$G$235)</f>
        <v/>
      </c>
      <c r="I789">
        <f>IF('FINANCIAL CREDITORS'!$AT$235="","",'FINANCIAL CREDITORS'!$AT$235)</f>
        <v/>
      </c>
      <c r="J789">
        <f>IF('FINANCIAL CREDITORS'!$AX$235="","",'FINANCIAL CREDITORS'!$AX$235)</f>
        <v/>
      </c>
      <c r="K789">
        <f>IF('FINANCIAL CREDITORS'!$N$235="","",'FINANCIAL CREDITORS'!$N$235)</f>
        <v/>
      </c>
      <c r="L789">
        <f>IF('FINANCIAL CREDITORS'!$AE$235="","",'FINANCIAL CREDITORS'!$AE$235)</f>
        <v/>
      </c>
      <c r="M789" t="inlineStr">
        <is>
          <t>FINANCIAL</t>
        </is>
      </c>
      <c r="N789" t="inlineStr">
        <is>
          <t>FINANCIAL CREDITORS · row 235</t>
        </is>
      </c>
    </row>
    <row r="790">
      <c r="A790">
        <f>IF('FINANCIAL CREDITORS'!$A$236="","",'FINANCIAL CREDITORS'!$A$236)</f>
        <v/>
      </c>
      <c r="B790">
        <f>IF('FINANCIAL CREDITORS'!$C$236="","",'FINANCIAL CREDITORS'!$C$236)</f>
        <v/>
      </c>
      <c r="C790">
        <f>'FINANCIAL CREDITORS'!$U$236</f>
        <v/>
      </c>
      <c r="D790">
        <f>'FINANCIAL CREDITORS'!$Y$236</f>
        <v/>
      </c>
      <c r="E790">
        <f>'FINANCIAL CREDITORS'!$AC$236</f>
        <v/>
      </c>
      <c r="F790">
        <f>IF('FINANCIAL CREDITORS'!$V$236="","",'FINANCIAL CREDITORS'!$V$236)</f>
        <v/>
      </c>
      <c r="G790">
        <f>IF('FINANCIAL CREDITORS'!$D$236="","",'FINANCIAL CREDITORS'!$D$236)</f>
        <v/>
      </c>
      <c r="H790">
        <f>IF('FINANCIAL CREDITORS'!$G$236="","",'FINANCIAL CREDITORS'!$G$236)</f>
        <v/>
      </c>
      <c r="I790">
        <f>IF('FINANCIAL CREDITORS'!$AT$236="","",'FINANCIAL CREDITORS'!$AT$236)</f>
        <v/>
      </c>
      <c r="J790">
        <f>IF('FINANCIAL CREDITORS'!$AX$236="","",'FINANCIAL CREDITORS'!$AX$236)</f>
        <v/>
      </c>
      <c r="K790">
        <f>IF('FINANCIAL CREDITORS'!$N$236="","",'FINANCIAL CREDITORS'!$N$236)</f>
        <v/>
      </c>
      <c r="L790">
        <f>IF('FINANCIAL CREDITORS'!$AE$236="","",'FINANCIAL CREDITORS'!$AE$236)</f>
        <v/>
      </c>
      <c r="M790" t="inlineStr">
        <is>
          <t>FINANCIAL</t>
        </is>
      </c>
      <c r="N790" t="inlineStr">
        <is>
          <t>FINANCIAL CREDITORS · row 236</t>
        </is>
      </c>
    </row>
    <row r="791">
      <c r="A791">
        <f>IF('FINANCIAL CREDITORS'!$A$237="","",'FINANCIAL CREDITORS'!$A$237)</f>
        <v/>
      </c>
      <c r="B791">
        <f>IF('FINANCIAL CREDITORS'!$C$237="","",'FINANCIAL CREDITORS'!$C$237)</f>
        <v/>
      </c>
      <c r="C791">
        <f>'FINANCIAL CREDITORS'!$U$237</f>
        <v/>
      </c>
      <c r="D791">
        <f>'FINANCIAL CREDITORS'!$Y$237</f>
        <v/>
      </c>
      <c r="E791">
        <f>'FINANCIAL CREDITORS'!$AC$237</f>
        <v/>
      </c>
      <c r="F791">
        <f>IF('FINANCIAL CREDITORS'!$V$237="","",'FINANCIAL CREDITORS'!$V$237)</f>
        <v/>
      </c>
      <c r="G791">
        <f>IF('FINANCIAL CREDITORS'!$D$237="","",'FINANCIAL CREDITORS'!$D$237)</f>
        <v/>
      </c>
      <c r="H791">
        <f>IF('FINANCIAL CREDITORS'!$G$237="","",'FINANCIAL CREDITORS'!$G$237)</f>
        <v/>
      </c>
      <c r="I791">
        <f>IF('FINANCIAL CREDITORS'!$AT$237="","",'FINANCIAL CREDITORS'!$AT$237)</f>
        <v/>
      </c>
      <c r="J791">
        <f>IF('FINANCIAL CREDITORS'!$AX$237="","",'FINANCIAL CREDITORS'!$AX$237)</f>
        <v/>
      </c>
      <c r="K791">
        <f>IF('FINANCIAL CREDITORS'!$N$237="","",'FINANCIAL CREDITORS'!$N$237)</f>
        <v/>
      </c>
      <c r="L791">
        <f>IF('FINANCIAL CREDITORS'!$AE$237="","",'FINANCIAL CREDITORS'!$AE$237)</f>
        <v/>
      </c>
      <c r="M791" t="inlineStr">
        <is>
          <t>FINANCIAL</t>
        </is>
      </c>
      <c r="N791" t="inlineStr">
        <is>
          <t>FINANCIAL CREDITORS · row 237</t>
        </is>
      </c>
    </row>
    <row r="792">
      <c r="A792">
        <f>IF('FINANCIAL CREDITORS'!$A$238="","",'FINANCIAL CREDITORS'!$A$238)</f>
        <v/>
      </c>
      <c r="B792">
        <f>IF('FINANCIAL CREDITORS'!$C$238="","",'FINANCIAL CREDITORS'!$C$238)</f>
        <v/>
      </c>
      <c r="C792">
        <f>'FINANCIAL CREDITORS'!$U$238</f>
        <v/>
      </c>
      <c r="D792">
        <f>'FINANCIAL CREDITORS'!$Y$238</f>
        <v/>
      </c>
      <c r="E792">
        <f>'FINANCIAL CREDITORS'!$AC$238</f>
        <v/>
      </c>
      <c r="F792">
        <f>IF('FINANCIAL CREDITORS'!$V$238="","",'FINANCIAL CREDITORS'!$V$238)</f>
        <v/>
      </c>
      <c r="G792">
        <f>IF('FINANCIAL CREDITORS'!$D$238="","",'FINANCIAL CREDITORS'!$D$238)</f>
        <v/>
      </c>
      <c r="H792">
        <f>IF('FINANCIAL CREDITORS'!$G$238="","",'FINANCIAL CREDITORS'!$G$238)</f>
        <v/>
      </c>
      <c r="I792">
        <f>IF('FINANCIAL CREDITORS'!$AT$238="","",'FINANCIAL CREDITORS'!$AT$238)</f>
        <v/>
      </c>
      <c r="J792">
        <f>IF('FINANCIAL CREDITORS'!$AX$238="","",'FINANCIAL CREDITORS'!$AX$238)</f>
        <v/>
      </c>
      <c r="K792">
        <f>IF('FINANCIAL CREDITORS'!$N$238="","",'FINANCIAL CREDITORS'!$N$238)</f>
        <v/>
      </c>
      <c r="L792">
        <f>IF('FINANCIAL CREDITORS'!$AE$238="","",'FINANCIAL CREDITORS'!$AE$238)</f>
        <v/>
      </c>
      <c r="M792" t="inlineStr">
        <is>
          <t>FINANCIAL</t>
        </is>
      </c>
      <c r="N792" t="inlineStr">
        <is>
          <t>FINANCIAL CREDITORS · row 238</t>
        </is>
      </c>
    </row>
    <row r="793">
      <c r="A793">
        <f>IF('FINANCIAL CREDITORS'!$A$239="","",'FINANCIAL CREDITORS'!$A$239)</f>
        <v/>
      </c>
      <c r="B793">
        <f>IF('FINANCIAL CREDITORS'!$C$239="","",'FINANCIAL CREDITORS'!$C$239)</f>
        <v/>
      </c>
      <c r="C793">
        <f>'FINANCIAL CREDITORS'!$U$239</f>
        <v/>
      </c>
      <c r="D793">
        <f>'FINANCIAL CREDITORS'!$Y$239</f>
        <v/>
      </c>
      <c r="E793">
        <f>'FINANCIAL CREDITORS'!$AC$239</f>
        <v/>
      </c>
      <c r="F793">
        <f>IF('FINANCIAL CREDITORS'!$V$239="","",'FINANCIAL CREDITORS'!$V$239)</f>
        <v/>
      </c>
      <c r="G793">
        <f>IF('FINANCIAL CREDITORS'!$D$239="","",'FINANCIAL CREDITORS'!$D$239)</f>
        <v/>
      </c>
      <c r="H793">
        <f>IF('FINANCIAL CREDITORS'!$G$239="","",'FINANCIAL CREDITORS'!$G$239)</f>
        <v/>
      </c>
      <c r="I793">
        <f>IF('FINANCIAL CREDITORS'!$AT$239="","",'FINANCIAL CREDITORS'!$AT$239)</f>
        <v/>
      </c>
      <c r="J793">
        <f>IF('FINANCIAL CREDITORS'!$AX$239="","",'FINANCIAL CREDITORS'!$AX$239)</f>
        <v/>
      </c>
      <c r="K793">
        <f>IF('FINANCIAL CREDITORS'!$N$239="","",'FINANCIAL CREDITORS'!$N$239)</f>
        <v/>
      </c>
      <c r="L793">
        <f>IF('FINANCIAL CREDITORS'!$AE$239="","",'FINANCIAL CREDITORS'!$AE$239)</f>
        <v/>
      </c>
      <c r="M793" t="inlineStr">
        <is>
          <t>FINANCIAL</t>
        </is>
      </c>
      <c r="N793" t="inlineStr">
        <is>
          <t>FINANCIAL CREDITORS · row 239</t>
        </is>
      </c>
    </row>
    <row r="794">
      <c r="A794">
        <f>IF('FINANCIAL CREDITORS'!$A$240="","",'FINANCIAL CREDITORS'!$A$240)</f>
        <v/>
      </c>
      <c r="B794">
        <f>IF('FINANCIAL CREDITORS'!$C$240="","",'FINANCIAL CREDITORS'!$C$240)</f>
        <v/>
      </c>
      <c r="C794">
        <f>'FINANCIAL CREDITORS'!$U$240</f>
        <v/>
      </c>
      <c r="D794">
        <f>'FINANCIAL CREDITORS'!$Y$240</f>
        <v/>
      </c>
      <c r="E794">
        <f>'FINANCIAL CREDITORS'!$AC$240</f>
        <v/>
      </c>
      <c r="F794">
        <f>IF('FINANCIAL CREDITORS'!$V$240="","",'FINANCIAL CREDITORS'!$V$240)</f>
        <v/>
      </c>
      <c r="G794">
        <f>IF('FINANCIAL CREDITORS'!$D$240="","",'FINANCIAL CREDITORS'!$D$240)</f>
        <v/>
      </c>
      <c r="H794">
        <f>IF('FINANCIAL CREDITORS'!$G$240="","",'FINANCIAL CREDITORS'!$G$240)</f>
        <v/>
      </c>
      <c r="I794">
        <f>IF('FINANCIAL CREDITORS'!$AT$240="","",'FINANCIAL CREDITORS'!$AT$240)</f>
        <v/>
      </c>
      <c r="J794">
        <f>IF('FINANCIAL CREDITORS'!$AX$240="","",'FINANCIAL CREDITORS'!$AX$240)</f>
        <v/>
      </c>
      <c r="K794">
        <f>IF('FINANCIAL CREDITORS'!$N$240="","",'FINANCIAL CREDITORS'!$N$240)</f>
        <v/>
      </c>
      <c r="L794">
        <f>IF('FINANCIAL CREDITORS'!$AE$240="","",'FINANCIAL CREDITORS'!$AE$240)</f>
        <v/>
      </c>
      <c r="M794" t="inlineStr">
        <is>
          <t>FINANCIAL</t>
        </is>
      </c>
      <c r="N794" t="inlineStr">
        <is>
          <t>FINANCIAL CREDITORS · row 240</t>
        </is>
      </c>
    </row>
    <row r="795">
      <c r="A795">
        <f>IF('FINANCIAL CREDITORS'!$A$241="","",'FINANCIAL CREDITORS'!$A$241)</f>
        <v/>
      </c>
      <c r="B795">
        <f>IF('FINANCIAL CREDITORS'!$C$241="","",'FINANCIAL CREDITORS'!$C$241)</f>
        <v/>
      </c>
      <c r="C795">
        <f>'FINANCIAL CREDITORS'!$U$241</f>
        <v/>
      </c>
      <c r="D795">
        <f>'FINANCIAL CREDITORS'!$Y$241</f>
        <v/>
      </c>
      <c r="E795">
        <f>'FINANCIAL CREDITORS'!$AC$241</f>
        <v/>
      </c>
      <c r="F795">
        <f>IF('FINANCIAL CREDITORS'!$V$241="","",'FINANCIAL CREDITORS'!$V$241)</f>
        <v/>
      </c>
      <c r="G795">
        <f>IF('FINANCIAL CREDITORS'!$D$241="","",'FINANCIAL CREDITORS'!$D$241)</f>
        <v/>
      </c>
      <c r="H795">
        <f>IF('FINANCIAL CREDITORS'!$G$241="","",'FINANCIAL CREDITORS'!$G$241)</f>
        <v/>
      </c>
      <c r="I795">
        <f>IF('FINANCIAL CREDITORS'!$AT$241="","",'FINANCIAL CREDITORS'!$AT$241)</f>
        <v/>
      </c>
      <c r="J795">
        <f>IF('FINANCIAL CREDITORS'!$AX$241="","",'FINANCIAL CREDITORS'!$AX$241)</f>
        <v/>
      </c>
      <c r="K795">
        <f>IF('FINANCIAL CREDITORS'!$N$241="","",'FINANCIAL CREDITORS'!$N$241)</f>
        <v/>
      </c>
      <c r="L795">
        <f>IF('FINANCIAL CREDITORS'!$AE$241="","",'FINANCIAL CREDITORS'!$AE$241)</f>
        <v/>
      </c>
      <c r="M795" t="inlineStr">
        <is>
          <t>FINANCIAL</t>
        </is>
      </c>
      <c r="N795" t="inlineStr">
        <is>
          <t>FINANCIAL CREDITORS · row 241</t>
        </is>
      </c>
    </row>
    <row r="796">
      <c r="A796">
        <f>IF('FINANCIAL CREDITORS'!$A$242="","",'FINANCIAL CREDITORS'!$A$242)</f>
        <v/>
      </c>
      <c r="B796">
        <f>IF('FINANCIAL CREDITORS'!$C$242="","",'FINANCIAL CREDITORS'!$C$242)</f>
        <v/>
      </c>
      <c r="C796">
        <f>'FINANCIAL CREDITORS'!$U$242</f>
        <v/>
      </c>
      <c r="D796">
        <f>'FINANCIAL CREDITORS'!$Y$242</f>
        <v/>
      </c>
      <c r="E796">
        <f>'FINANCIAL CREDITORS'!$AC$242</f>
        <v/>
      </c>
      <c r="F796">
        <f>IF('FINANCIAL CREDITORS'!$V$242="","",'FINANCIAL CREDITORS'!$V$242)</f>
        <v/>
      </c>
      <c r="G796">
        <f>IF('FINANCIAL CREDITORS'!$D$242="","",'FINANCIAL CREDITORS'!$D$242)</f>
        <v/>
      </c>
      <c r="H796">
        <f>IF('FINANCIAL CREDITORS'!$G$242="","",'FINANCIAL CREDITORS'!$G$242)</f>
        <v/>
      </c>
      <c r="I796">
        <f>IF('FINANCIAL CREDITORS'!$AT$242="","",'FINANCIAL CREDITORS'!$AT$242)</f>
        <v/>
      </c>
      <c r="J796">
        <f>IF('FINANCIAL CREDITORS'!$AX$242="","",'FINANCIAL CREDITORS'!$AX$242)</f>
        <v/>
      </c>
      <c r="K796">
        <f>IF('FINANCIAL CREDITORS'!$N$242="","",'FINANCIAL CREDITORS'!$N$242)</f>
        <v/>
      </c>
      <c r="L796">
        <f>IF('FINANCIAL CREDITORS'!$AE$242="","",'FINANCIAL CREDITORS'!$AE$242)</f>
        <v/>
      </c>
      <c r="M796" t="inlineStr">
        <is>
          <t>FINANCIAL</t>
        </is>
      </c>
      <c r="N796" t="inlineStr">
        <is>
          <t>FINANCIAL CREDITORS · row 242</t>
        </is>
      </c>
    </row>
    <row r="797">
      <c r="A797">
        <f>IF('FINANCIAL CREDITORS'!$A$243="","",'FINANCIAL CREDITORS'!$A$243)</f>
        <v/>
      </c>
      <c r="B797">
        <f>IF('FINANCIAL CREDITORS'!$C$243="","",'FINANCIAL CREDITORS'!$C$243)</f>
        <v/>
      </c>
      <c r="C797">
        <f>'FINANCIAL CREDITORS'!$U$243</f>
        <v/>
      </c>
      <c r="D797">
        <f>'FINANCIAL CREDITORS'!$Y$243</f>
        <v/>
      </c>
      <c r="E797">
        <f>'FINANCIAL CREDITORS'!$AC$243</f>
        <v/>
      </c>
      <c r="F797">
        <f>IF('FINANCIAL CREDITORS'!$V$243="","",'FINANCIAL CREDITORS'!$V$243)</f>
        <v/>
      </c>
      <c r="G797">
        <f>IF('FINANCIAL CREDITORS'!$D$243="","",'FINANCIAL CREDITORS'!$D$243)</f>
        <v/>
      </c>
      <c r="H797">
        <f>IF('FINANCIAL CREDITORS'!$G$243="","",'FINANCIAL CREDITORS'!$G$243)</f>
        <v/>
      </c>
      <c r="I797">
        <f>IF('FINANCIAL CREDITORS'!$AT$243="","",'FINANCIAL CREDITORS'!$AT$243)</f>
        <v/>
      </c>
      <c r="J797">
        <f>IF('FINANCIAL CREDITORS'!$AX$243="","",'FINANCIAL CREDITORS'!$AX$243)</f>
        <v/>
      </c>
      <c r="K797">
        <f>IF('FINANCIAL CREDITORS'!$N$243="","",'FINANCIAL CREDITORS'!$N$243)</f>
        <v/>
      </c>
      <c r="L797">
        <f>IF('FINANCIAL CREDITORS'!$AE$243="","",'FINANCIAL CREDITORS'!$AE$243)</f>
        <v/>
      </c>
      <c r="M797" t="inlineStr">
        <is>
          <t>FINANCIAL</t>
        </is>
      </c>
      <c r="N797" t="inlineStr">
        <is>
          <t>FINANCIAL CREDITORS · row 243</t>
        </is>
      </c>
    </row>
    <row r="798">
      <c r="A798">
        <f>IF('FINANCIAL CREDITORS'!$A$244="","",'FINANCIAL CREDITORS'!$A$244)</f>
        <v/>
      </c>
      <c r="B798">
        <f>IF('FINANCIAL CREDITORS'!$C$244="","",'FINANCIAL CREDITORS'!$C$244)</f>
        <v/>
      </c>
      <c r="C798">
        <f>'FINANCIAL CREDITORS'!$U$244</f>
        <v/>
      </c>
      <c r="D798">
        <f>'FINANCIAL CREDITORS'!$Y$244</f>
        <v/>
      </c>
      <c r="E798">
        <f>'FINANCIAL CREDITORS'!$AC$244</f>
        <v/>
      </c>
      <c r="F798">
        <f>IF('FINANCIAL CREDITORS'!$V$244="","",'FINANCIAL CREDITORS'!$V$244)</f>
        <v/>
      </c>
      <c r="G798">
        <f>IF('FINANCIAL CREDITORS'!$D$244="","",'FINANCIAL CREDITORS'!$D$244)</f>
        <v/>
      </c>
      <c r="H798">
        <f>IF('FINANCIAL CREDITORS'!$G$244="","",'FINANCIAL CREDITORS'!$G$244)</f>
        <v/>
      </c>
      <c r="I798">
        <f>IF('FINANCIAL CREDITORS'!$AT$244="","",'FINANCIAL CREDITORS'!$AT$244)</f>
        <v/>
      </c>
      <c r="J798">
        <f>IF('FINANCIAL CREDITORS'!$AX$244="","",'FINANCIAL CREDITORS'!$AX$244)</f>
        <v/>
      </c>
      <c r="K798">
        <f>IF('FINANCIAL CREDITORS'!$N$244="","",'FINANCIAL CREDITORS'!$N$244)</f>
        <v/>
      </c>
      <c r="L798">
        <f>IF('FINANCIAL CREDITORS'!$AE$244="","",'FINANCIAL CREDITORS'!$AE$244)</f>
        <v/>
      </c>
      <c r="M798" t="inlineStr">
        <is>
          <t>FINANCIAL</t>
        </is>
      </c>
      <c r="N798" t="inlineStr">
        <is>
          <t>FINANCIAL CREDITORS · row 244</t>
        </is>
      </c>
    </row>
    <row r="799">
      <c r="A799">
        <f>IF('FINANCIAL CREDITORS'!$A$245="","",'FINANCIAL CREDITORS'!$A$245)</f>
        <v/>
      </c>
      <c r="B799">
        <f>IF('FINANCIAL CREDITORS'!$C$245="","",'FINANCIAL CREDITORS'!$C$245)</f>
        <v/>
      </c>
      <c r="C799">
        <f>'FINANCIAL CREDITORS'!$U$245</f>
        <v/>
      </c>
      <c r="D799">
        <f>'FINANCIAL CREDITORS'!$Y$245</f>
        <v/>
      </c>
      <c r="E799">
        <f>'FINANCIAL CREDITORS'!$AC$245</f>
        <v/>
      </c>
      <c r="F799">
        <f>IF('FINANCIAL CREDITORS'!$V$245="","",'FINANCIAL CREDITORS'!$V$245)</f>
        <v/>
      </c>
      <c r="G799">
        <f>IF('FINANCIAL CREDITORS'!$D$245="","",'FINANCIAL CREDITORS'!$D$245)</f>
        <v/>
      </c>
      <c r="H799">
        <f>IF('FINANCIAL CREDITORS'!$G$245="","",'FINANCIAL CREDITORS'!$G$245)</f>
        <v/>
      </c>
      <c r="I799">
        <f>IF('FINANCIAL CREDITORS'!$AT$245="","",'FINANCIAL CREDITORS'!$AT$245)</f>
        <v/>
      </c>
      <c r="J799">
        <f>IF('FINANCIAL CREDITORS'!$AX$245="","",'FINANCIAL CREDITORS'!$AX$245)</f>
        <v/>
      </c>
      <c r="K799">
        <f>IF('FINANCIAL CREDITORS'!$N$245="","",'FINANCIAL CREDITORS'!$N$245)</f>
        <v/>
      </c>
      <c r="L799">
        <f>IF('FINANCIAL CREDITORS'!$AE$245="","",'FINANCIAL CREDITORS'!$AE$245)</f>
        <v/>
      </c>
      <c r="M799" t="inlineStr">
        <is>
          <t>FINANCIAL</t>
        </is>
      </c>
      <c r="N799" t="inlineStr">
        <is>
          <t>FINANCIAL CREDITORS · row 245</t>
        </is>
      </c>
    </row>
    <row r="800">
      <c r="A800">
        <f>IF('FINANCIAL CREDITORS'!$A$246="","",'FINANCIAL CREDITORS'!$A$246)</f>
        <v/>
      </c>
      <c r="B800">
        <f>IF('FINANCIAL CREDITORS'!$C$246="","",'FINANCIAL CREDITORS'!$C$246)</f>
        <v/>
      </c>
      <c r="C800">
        <f>'FINANCIAL CREDITORS'!$U$246</f>
        <v/>
      </c>
      <c r="D800">
        <f>'FINANCIAL CREDITORS'!$Y$246</f>
        <v/>
      </c>
      <c r="E800">
        <f>'FINANCIAL CREDITORS'!$AC$246</f>
        <v/>
      </c>
      <c r="F800">
        <f>IF('FINANCIAL CREDITORS'!$V$246="","",'FINANCIAL CREDITORS'!$V$246)</f>
        <v/>
      </c>
      <c r="G800">
        <f>IF('FINANCIAL CREDITORS'!$D$246="","",'FINANCIAL CREDITORS'!$D$246)</f>
        <v/>
      </c>
      <c r="H800">
        <f>IF('FINANCIAL CREDITORS'!$G$246="","",'FINANCIAL CREDITORS'!$G$246)</f>
        <v/>
      </c>
      <c r="I800">
        <f>IF('FINANCIAL CREDITORS'!$AT$246="","",'FINANCIAL CREDITORS'!$AT$246)</f>
        <v/>
      </c>
      <c r="J800">
        <f>IF('FINANCIAL CREDITORS'!$AX$246="","",'FINANCIAL CREDITORS'!$AX$246)</f>
        <v/>
      </c>
      <c r="K800">
        <f>IF('FINANCIAL CREDITORS'!$N$246="","",'FINANCIAL CREDITORS'!$N$246)</f>
        <v/>
      </c>
      <c r="L800">
        <f>IF('FINANCIAL CREDITORS'!$AE$246="","",'FINANCIAL CREDITORS'!$AE$246)</f>
        <v/>
      </c>
      <c r="M800" t="inlineStr">
        <is>
          <t>FINANCIAL</t>
        </is>
      </c>
      <c r="N800" t="inlineStr">
        <is>
          <t>FINANCIAL CREDITORS · row 246</t>
        </is>
      </c>
    </row>
    <row r="801">
      <c r="A801">
        <f>IF('FINANCIAL CREDITORS'!$A$247="","",'FINANCIAL CREDITORS'!$A$247)</f>
        <v/>
      </c>
      <c r="B801">
        <f>IF('FINANCIAL CREDITORS'!$C$247="","",'FINANCIAL CREDITORS'!$C$247)</f>
        <v/>
      </c>
      <c r="C801">
        <f>'FINANCIAL CREDITORS'!$U$247</f>
        <v/>
      </c>
      <c r="D801">
        <f>'FINANCIAL CREDITORS'!$Y$247</f>
        <v/>
      </c>
      <c r="E801">
        <f>'FINANCIAL CREDITORS'!$AC$247</f>
        <v/>
      </c>
      <c r="F801">
        <f>IF('FINANCIAL CREDITORS'!$V$247="","",'FINANCIAL CREDITORS'!$V$247)</f>
        <v/>
      </c>
      <c r="G801">
        <f>IF('FINANCIAL CREDITORS'!$D$247="","",'FINANCIAL CREDITORS'!$D$247)</f>
        <v/>
      </c>
      <c r="H801">
        <f>IF('FINANCIAL CREDITORS'!$G$247="","",'FINANCIAL CREDITORS'!$G$247)</f>
        <v/>
      </c>
      <c r="I801">
        <f>IF('FINANCIAL CREDITORS'!$AT$247="","",'FINANCIAL CREDITORS'!$AT$247)</f>
        <v/>
      </c>
      <c r="J801">
        <f>IF('FINANCIAL CREDITORS'!$AX$247="","",'FINANCIAL CREDITORS'!$AX$247)</f>
        <v/>
      </c>
      <c r="K801">
        <f>IF('FINANCIAL CREDITORS'!$N$247="","",'FINANCIAL CREDITORS'!$N$247)</f>
        <v/>
      </c>
      <c r="L801">
        <f>IF('FINANCIAL CREDITORS'!$AE$247="","",'FINANCIAL CREDITORS'!$AE$247)</f>
        <v/>
      </c>
      <c r="M801" t="inlineStr">
        <is>
          <t>FINANCIAL</t>
        </is>
      </c>
      <c r="N801" t="inlineStr">
        <is>
          <t>FINANCIAL CREDITORS · row 247</t>
        </is>
      </c>
    </row>
    <row r="802">
      <c r="A802">
        <f>IF('FINANCIAL CREDITORS'!$A$248="","",'FINANCIAL CREDITORS'!$A$248)</f>
        <v/>
      </c>
      <c r="B802">
        <f>IF('FINANCIAL CREDITORS'!$C$248="","",'FINANCIAL CREDITORS'!$C$248)</f>
        <v/>
      </c>
      <c r="C802">
        <f>'FINANCIAL CREDITORS'!$U$248</f>
        <v/>
      </c>
      <c r="D802">
        <f>'FINANCIAL CREDITORS'!$Y$248</f>
        <v/>
      </c>
      <c r="E802">
        <f>'FINANCIAL CREDITORS'!$AC$248</f>
        <v/>
      </c>
      <c r="F802">
        <f>IF('FINANCIAL CREDITORS'!$V$248="","",'FINANCIAL CREDITORS'!$V$248)</f>
        <v/>
      </c>
      <c r="G802">
        <f>IF('FINANCIAL CREDITORS'!$D$248="","",'FINANCIAL CREDITORS'!$D$248)</f>
        <v/>
      </c>
      <c r="H802">
        <f>IF('FINANCIAL CREDITORS'!$G$248="","",'FINANCIAL CREDITORS'!$G$248)</f>
        <v/>
      </c>
      <c r="I802">
        <f>IF('FINANCIAL CREDITORS'!$AT$248="","",'FINANCIAL CREDITORS'!$AT$248)</f>
        <v/>
      </c>
      <c r="J802">
        <f>IF('FINANCIAL CREDITORS'!$AX$248="","",'FINANCIAL CREDITORS'!$AX$248)</f>
        <v/>
      </c>
      <c r="K802">
        <f>IF('FINANCIAL CREDITORS'!$N$248="","",'FINANCIAL CREDITORS'!$N$248)</f>
        <v/>
      </c>
      <c r="L802">
        <f>IF('FINANCIAL CREDITORS'!$AE$248="","",'FINANCIAL CREDITORS'!$AE$248)</f>
        <v/>
      </c>
      <c r="M802" t="inlineStr">
        <is>
          <t>FINANCIAL</t>
        </is>
      </c>
      <c r="N802" t="inlineStr">
        <is>
          <t>FINANCIAL CREDITORS · row 248</t>
        </is>
      </c>
    </row>
    <row r="803">
      <c r="A803">
        <f>IF('FINANCIAL CREDITORS'!$A$249="","",'FINANCIAL CREDITORS'!$A$249)</f>
        <v/>
      </c>
      <c r="B803">
        <f>IF('FINANCIAL CREDITORS'!$C$249="","",'FINANCIAL CREDITORS'!$C$249)</f>
        <v/>
      </c>
      <c r="C803">
        <f>'FINANCIAL CREDITORS'!$U$249</f>
        <v/>
      </c>
      <c r="D803">
        <f>'FINANCIAL CREDITORS'!$Y$249</f>
        <v/>
      </c>
      <c r="E803">
        <f>'FINANCIAL CREDITORS'!$AC$249</f>
        <v/>
      </c>
      <c r="F803">
        <f>IF('FINANCIAL CREDITORS'!$V$249="","",'FINANCIAL CREDITORS'!$V$249)</f>
        <v/>
      </c>
      <c r="G803">
        <f>IF('FINANCIAL CREDITORS'!$D$249="","",'FINANCIAL CREDITORS'!$D$249)</f>
        <v/>
      </c>
      <c r="H803">
        <f>IF('FINANCIAL CREDITORS'!$G$249="","",'FINANCIAL CREDITORS'!$G$249)</f>
        <v/>
      </c>
      <c r="I803">
        <f>IF('FINANCIAL CREDITORS'!$AT$249="","",'FINANCIAL CREDITORS'!$AT$249)</f>
        <v/>
      </c>
      <c r="J803">
        <f>IF('FINANCIAL CREDITORS'!$AX$249="","",'FINANCIAL CREDITORS'!$AX$249)</f>
        <v/>
      </c>
      <c r="K803">
        <f>IF('FINANCIAL CREDITORS'!$N$249="","",'FINANCIAL CREDITORS'!$N$249)</f>
        <v/>
      </c>
      <c r="L803">
        <f>IF('FINANCIAL CREDITORS'!$AE$249="","",'FINANCIAL CREDITORS'!$AE$249)</f>
        <v/>
      </c>
      <c r="M803" t="inlineStr">
        <is>
          <t>FINANCIAL</t>
        </is>
      </c>
      <c r="N803" t="inlineStr">
        <is>
          <t>FINANCIAL CREDITORS · row 249</t>
        </is>
      </c>
    </row>
    <row r="804">
      <c r="A804">
        <f>IF('FINANCIAL CREDITORS'!$A$250="","",'FINANCIAL CREDITORS'!$A$250)</f>
        <v/>
      </c>
      <c r="B804">
        <f>IF('FINANCIAL CREDITORS'!$C$250="","",'FINANCIAL CREDITORS'!$C$250)</f>
        <v/>
      </c>
      <c r="C804">
        <f>'FINANCIAL CREDITORS'!$U$250</f>
        <v/>
      </c>
      <c r="D804">
        <f>'FINANCIAL CREDITORS'!$Y$250</f>
        <v/>
      </c>
      <c r="E804">
        <f>'FINANCIAL CREDITORS'!$AC$250</f>
        <v/>
      </c>
      <c r="F804">
        <f>IF('FINANCIAL CREDITORS'!$V$250="","",'FINANCIAL CREDITORS'!$V$250)</f>
        <v/>
      </c>
      <c r="G804">
        <f>IF('FINANCIAL CREDITORS'!$D$250="","",'FINANCIAL CREDITORS'!$D$250)</f>
        <v/>
      </c>
      <c r="H804">
        <f>IF('FINANCIAL CREDITORS'!$G$250="","",'FINANCIAL CREDITORS'!$G$250)</f>
        <v/>
      </c>
      <c r="I804">
        <f>IF('FINANCIAL CREDITORS'!$AT$250="","",'FINANCIAL CREDITORS'!$AT$250)</f>
        <v/>
      </c>
      <c r="J804">
        <f>IF('FINANCIAL CREDITORS'!$AX$250="","",'FINANCIAL CREDITORS'!$AX$250)</f>
        <v/>
      </c>
      <c r="K804">
        <f>IF('FINANCIAL CREDITORS'!$N$250="","",'FINANCIAL CREDITORS'!$N$250)</f>
        <v/>
      </c>
      <c r="L804">
        <f>IF('FINANCIAL CREDITORS'!$AE$250="","",'FINANCIAL CREDITORS'!$AE$250)</f>
        <v/>
      </c>
      <c r="M804" t="inlineStr">
        <is>
          <t>FINANCIAL</t>
        </is>
      </c>
      <c r="N804" t="inlineStr">
        <is>
          <t>FINANCIAL CREDITORS · row 250</t>
        </is>
      </c>
    </row>
    <row r="805">
      <c r="A805">
        <f>IF('FINANCIAL CREDITORS'!$A$251="","",'FINANCIAL CREDITORS'!$A$251)</f>
        <v/>
      </c>
      <c r="B805">
        <f>IF('FINANCIAL CREDITORS'!$C$251="","",'FINANCIAL CREDITORS'!$C$251)</f>
        <v/>
      </c>
      <c r="C805">
        <f>'FINANCIAL CREDITORS'!$U$251</f>
        <v/>
      </c>
      <c r="D805">
        <f>'FINANCIAL CREDITORS'!$Y$251</f>
        <v/>
      </c>
      <c r="E805">
        <f>'FINANCIAL CREDITORS'!$AC$251</f>
        <v/>
      </c>
      <c r="F805">
        <f>IF('FINANCIAL CREDITORS'!$V$251="","",'FINANCIAL CREDITORS'!$V$251)</f>
        <v/>
      </c>
      <c r="G805">
        <f>IF('FINANCIAL CREDITORS'!$D$251="","",'FINANCIAL CREDITORS'!$D$251)</f>
        <v/>
      </c>
      <c r="H805">
        <f>IF('FINANCIAL CREDITORS'!$G$251="","",'FINANCIAL CREDITORS'!$G$251)</f>
        <v/>
      </c>
      <c r="I805">
        <f>IF('FINANCIAL CREDITORS'!$AT$251="","",'FINANCIAL CREDITORS'!$AT$251)</f>
        <v/>
      </c>
      <c r="J805">
        <f>IF('FINANCIAL CREDITORS'!$AX$251="","",'FINANCIAL CREDITORS'!$AX$251)</f>
        <v/>
      </c>
      <c r="K805">
        <f>IF('FINANCIAL CREDITORS'!$N$251="","",'FINANCIAL CREDITORS'!$N$251)</f>
        <v/>
      </c>
      <c r="L805">
        <f>IF('FINANCIAL CREDITORS'!$AE$251="","",'FINANCIAL CREDITORS'!$AE$251)</f>
        <v/>
      </c>
      <c r="M805" t="inlineStr">
        <is>
          <t>FINANCIAL</t>
        </is>
      </c>
      <c r="N805" t="inlineStr">
        <is>
          <t>FINANCIAL CREDITORS · row 251</t>
        </is>
      </c>
    </row>
    <row r="806">
      <c r="A806">
        <f>IF('FINANCIAL CREDITORS'!$A$252="","",'FINANCIAL CREDITORS'!$A$252)</f>
        <v/>
      </c>
      <c r="B806">
        <f>IF('FINANCIAL CREDITORS'!$C$252="","",'FINANCIAL CREDITORS'!$C$252)</f>
        <v/>
      </c>
      <c r="C806">
        <f>'FINANCIAL CREDITORS'!$U$252</f>
        <v/>
      </c>
      <c r="D806">
        <f>'FINANCIAL CREDITORS'!$Y$252</f>
        <v/>
      </c>
      <c r="E806">
        <f>'FINANCIAL CREDITORS'!$AC$252</f>
        <v/>
      </c>
      <c r="F806">
        <f>IF('FINANCIAL CREDITORS'!$V$252="","",'FINANCIAL CREDITORS'!$V$252)</f>
        <v/>
      </c>
      <c r="G806">
        <f>IF('FINANCIAL CREDITORS'!$D$252="","",'FINANCIAL CREDITORS'!$D$252)</f>
        <v/>
      </c>
      <c r="H806">
        <f>IF('FINANCIAL CREDITORS'!$G$252="","",'FINANCIAL CREDITORS'!$G$252)</f>
        <v/>
      </c>
      <c r="I806">
        <f>IF('FINANCIAL CREDITORS'!$AT$252="","",'FINANCIAL CREDITORS'!$AT$252)</f>
        <v/>
      </c>
      <c r="J806">
        <f>IF('FINANCIAL CREDITORS'!$AX$252="","",'FINANCIAL CREDITORS'!$AX$252)</f>
        <v/>
      </c>
      <c r="K806">
        <f>IF('FINANCIAL CREDITORS'!$N$252="","",'FINANCIAL CREDITORS'!$N$252)</f>
        <v/>
      </c>
      <c r="L806">
        <f>IF('FINANCIAL CREDITORS'!$AE$252="","",'FINANCIAL CREDITORS'!$AE$252)</f>
        <v/>
      </c>
      <c r="M806" t="inlineStr">
        <is>
          <t>FINANCIAL</t>
        </is>
      </c>
      <c r="N806" t="inlineStr">
        <is>
          <t>FINANCIAL CREDITORS · row 252</t>
        </is>
      </c>
    </row>
    <row r="807">
      <c r="A807">
        <f>IF('FINANCIAL CREDITORS'!$A$253="","",'FINANCIAL CREDITORS'!$A$253)</f>
        <v/>
      </c>
      <c r="B807">
        <f>IF('FINANCIAL CREDITORS'!$C$253="","",'FINANCIAL CREDITORS'!$C$253)</f>
        <v/>
      </c>
      <c r="C807">
        <f>'FINANCIAL CREDITORS'!$U$253</f>
        <v/>
      </c>
      <c r="D807">
        <f>'FINANCIAL CREDITORS'!$Y$253</f>
        <v/>
      </c>
      <c r="E807">
        <f>'FINANCIAL CREDITORS'!$AC$253</f>
        <v/>
      </c>
      <c r="F807">
        <f>IF('FINANCIAL CREDITORS'!$V$253="","",'FINANCIAL CREDITORS'!$V$253)</f>
        <v/>
      </c>
      <c r="G807">
        <f>IF('FINANCIAL CREDITORS'!$D$253="","",'FINANCIAL CREDITORS'!$D$253)</f>
        <v/>
      </c>
      <c r="H807">
        <f>IF('FINANCIAL CREDITORS'!$G$253="","",'FINANCIAL CREDITORS'!$G$253)</f>
        <v/>
      </c>
      <c r="I807">
        <f>IF('FINANCIAL CREDITORS'!$AT$253="","",'FINANCIAL CREDITORS'!$AT$253)</f>
        <v/>
      </c>
      <c r="J807">
        <f>IF('FINANCIAL CREDITORS'!$AX$253="","",'FINANCIAL CREDITORS'!$AX$253)</f>
        <v/>
      </c>
      <c r="K807">
        <f>IF('FINANCIAL CREDITORS'!$N$253="","",'FINANCIAL CREDITORS'!$N$253)</f>
        <v/>
      </c>
      <c r="L807">
        <f>IF('FINANCIAL CREDITORS'!$AE$253="","",'FINANCIAL CREDITORS'!$AE$253)</f>
        <v/>
      </c>
      <c r="M807" t="inlineStr">
        <is>
          <t>FINANCIAL</t>
        </is>
      </c>
      <c r="N807" t="inlineStr">
        <is>
          <t>FINANCIAL CREDITORS · row 253</t>
        </is>
      </c>
    </row>
    <row r="808">
      <c r="A808">
        <f>IF('FINANCIAL CREDITORS'!$A$254="","",'FINANCIAL CREDITORS'!$A$254)</f>
        <v/>
      </c>
      <c r="B808">
        <f>IF('FINANCIAL CREDITORS'!$C$254="","",'FINANCIAL CREDITORS'!$C$254)</f>
        <v/>
      </c>
      <c r="C808">
        <f>'FINANCIAL CREDITORS'!$U$254</f>
        <v/>
      </c>
      <c r="D808">
        <f>'FINANCIAL CREDITORS'!$Y$254</f>
        <v/>
      </c>
      <c r="E808">
        <f>'FINANCIAL CREDITORS'!$AC$254</f>
        <v/>
      </c>
      <c r="F808">
        <f>IF('FINANCIAL CREDITORS'!$V$254="","",'FINANCIAL CREDITORS'!$V$254)</f>
        <v/>
      </c>
      <c r="G808">
        <f>IF('FINANCIAL CREDITORS'!$D$254="","",'FINANCIAL CREDITORS'!$D$254)</f>
        <v/>
      </c>
      <c r="H808">
        <f>IF('FINANCIAL CREDITORS'!$G$254="","",'FINANCIAL CREDITORS'!$G$254)</f>
        <v/>
      </c>
      <c r="I808">
        <f>IF('FINANCIAL CREDITORS'!$AT$254="","",'FINANCIAL CREDITORS'!$AT$254)</f>
        <v/>
      </c>
      <c r="J808">
        <f>IF('FINANCIAL CREDITORS'!$AX$254="","",'FINANCIAL CREDITORS'!$AX$254)</f>
        <v/>
      </c>
      <c r="K808">
        <f>IF('FINANCIAL CREDITORS'!$N$254="","",'FINANCIAL CREDITORS'!$N$254)</f>
        <v/>
      </c>
      <c r="L808">
        <f>IF('FINANCIAL CREDITORS'!$AE$254="","",'FINANCIAL CREDITORS'!$AE$254)</f>
        <v/>
      </c>
      <c r="M808" t="inlineStr">
        <is>
          <t>FINANCIAL</t>
        </is>
      </c>
      <c r="N808" t="inlineStr">
        <is>
          <t>FINANCIAL CREDITORS · row 254</t>
        </is>
      </c>
    </row>
    <row r="809">
      <c r="A809">
        <f>IF('FINANCIAL CREDITORS'!$A$255="","",'FINANCIAL CREDITORS'!$A$255)</f>
        <v/>
      </c>
      <c r="B809">
        <f>IF('FINANCIAL CREDITORS'!$C$255="","",'FINANCIAL CREDITORS'!$C$255)</f>
        <v/>
      </c>
      <c r="C809">
        <f>'FINANCIAL CREDITORS'!$U$255</f>
        <v/>
      </c>
      <c r="D809">
        <f>'FINANCIAL CREDITORS'!$Y$255</f>
        <v/>
      </c>
      <c r="E809">
        <f>'FINANCIAL CREDITORS'!$AC$255</f>
        <v/>
      </c>
      <c r="F809">
        <f>IF('FINANCIAL CREDITORS'!$V$255="","",'FINANCIAL CREDITORS'!$V$255)</f>
        <v/>
      </c>
      <c r="G809">
        <f>IF('FINANCIAL CREDITORS'!$D$255="","",'FINANCIAL CREDITORS'!$D$255)</f>
        <v/>
      </c>
      <c r="H809">
        <f>IF('FINANCIAL CREDITORS'!$G$255="","",'FINANCIAL CREDITORS'!$G$255)</f>
        <v/>
      </c>
      <c r="I809">
        <f>IF('FINANCIAL CREDITORS'!$AT$255="","",'FINANCIAL CREDITORS'!$AT$255)</f>
        <v/>
      </c>
      <c r="J809">
        <f>IF('FINANCIAL CREDITORS'!$AX$255="","",'FINANCIAL CREDITORS'!$AX$255)</f>
        <v/>
      </c>
      <c r="K809">
        <f>IF('FINANCIAL CREDITORS'!$N$255="","",'FINANCIAL CREDITORS'!$N$255)</f>
        <v/>
      </c>
      <c r="L809">
        <f>IF('FINANCIAL CREDITORS'!$AE$255="","",'FINANCIAL CREDITORS'!$AE$255)</f>
        <v/>
      </c>
      <c r="M809" t="inlineStr">
        <is>
          <t>FINANCIAL</t>
        </is>
      </c>
      <c r="N809" t="inlineStr">
        <is>
          <t>FINANCIAL CREDITORS · row 255</t>
        </is>
      </c>
    </row>
    <row r="810">
      <c r="A810">
        <f>IF('FINANCIAL CREDITORS'!$A$256="","",'FINANCIAL CREDITORS'!$A$256)</f>
        <v/>
      </c>
      <c r="B810">
        <f>IF('FINANCIAL CREDITORS'!$C$256="","",'FINANCIAL CREDITORS'!$C$256)</f>
        <v/>
      </c>
      <c r="C810">
        <f>'FINANCIAL CREDITORS'!$U$256</f>
        <v/>
      </c>
      <c r="D810">
        <f>'FINANCIAL CREDITORS'!$Y$256</f>
        <v/>
      </c>
      <c r="E810">
        <f>'FINANCIAL CREDITORS'!$AC$256</f>
        <v/>
      </c>
      <c r="F810">
        <f>IF('FINANCIAL CREDITORS'!$V$256="","",'FINANCIAL CREDITORS'!$V$256)</f>
        <v/>
      </c>
      <c r="G810">
        <f>IF('FINANCIAL CREDITORS'!$D$256="","",'FINANCIAL CREDITORS'!$D$256)</f>
        <v/>
      </c>
      <c r="H810">
        <f>IF('FINANCIAL CREDITORS'!$G$256="","",'FINANCIAL CREDITORS'!$G$256)</f>
        <v/>
      </c>
      <c r="I810">
        <f>IF('FINANCIAL CREDITORS'!$AT$256="","",'FINANCIAL CREDITORS'!$AT$256)</f>
        <v/>
      </c>
      <c r="J810">
        <f>IF('FINANCIAL CREDITORS'!$AX$256="","",'FINANCIAL CREDITORS'!$AX$256)</f>
        <v/>
      </c>
      <c r="K810">
        <f>IF('FINANCIAL CREDITORS'!$N$256="","",'FINANCIAL CREDITORS'!$N$256)</f>
        <v/>
      </c>
      <c r="L810">
        <f>IF('FINANCIAL CREDITORS'!$AE$256="","",'FINANCIAL CREDITORS'!$AE$256)</f>
        <v/>
      </c>
      <c r="M810" t="inlineStr">
        <is>
          <t>FINANCIAL</t>
        </is>
      </c>
      <c r="N810" t="inlineStr">
        <is>
          <t>FINANCIAL CREDITORS · row 256</t>
        </is>
      </c>
    </row>
    <row r="811">
      <c r="A811">
        <f>IF('FINANCIAL CREDITORS'!$A$257="","",'FINANCIAL CREDITORS'!$A$257)</f>
        <v/>
      </c>
      <c r="B811">
        <f>IF('FINANCIAL CREDITORS'!$C$257="","",'FINANCIAL CREDITORS'!$C$257)</f>
        <v/>
      </c>
      <c r="C811">
        <f>'FINANCIAL CREDITORS'!$U$257</f>
        <v/>
      </c>
      <c r="D811">
        <f>'FINANCIAL CREDITORS'!$Y$257</f>
        <v/>
      </c>
      <c r="E811">
        <f>'FINANCIAL CREDITORS'!$AC$257</f>
        <v/>
      </c>
      <c r="F811">
        <f>IF('FINANCIAL CREDITORS'!$V$257="","",'FINANCIAL CREDITORS'!$V$257)</f>
        <v/>
      </c>
      <c r="G811">
        <f>IF('FINANCIAL CREDITORS'!$D$257="","",'FINANCIAL CREDITORS'!$D$257)</f>
        <v/>
      </c>
      <c r="H811">
        <f>IF('FINANCIAL CREDITORS'!$G$257="","",'FINANCIAL CREDITORS'!$G$257)</f>
        <v/>
      </c>
      <c r="I811">
        <f>IF('FINANCIAL CREDITORS'!$AT$257="","",'FINANCIAL CREDITORS'!$AT$257)</f>
        <v/>
      </c>
      <c r="J811">
        <f>IF('FINANCIAL CREDITORS'!$AX$257="","",'FINANCIAL CREDITORS'!$AX$257)</f>
        <v/>
      </c>
      <c r="K811">
        <f>IF('FINANCIAL CREDITORS'!$N$257="","",'FINANCIAL CREDITORS'!$N$257)</f>
        <v/>
      </c>
      <c r="L811">
        <f>IF('FINANCIAL CREDITORS'!$AE$257="","",'FINANCIAL CREDITORS'!$AE$257)</f>
        <v/>
      </c>
      <c r="M811" t="inlineStr">
        <is>
          <t>FINANCIAL</t>
        </is>
      </c>
      <c r="N811" t="inlineStr">
        <is>
          <t>FINANCIAL CREDITORS · row 257</t>
        </is>
      </c>
    </row>
    <row r="812">
      <c r="A812">
        <f>IF('FINANCIAL CREDITORS'!$A$258="","",'FINANCIAL CREDITORS'!$A$258)</f>
        <v/>
      </c>
      <c r="B812">
        <f>IF('FINANCIAL CREDITORS'!$C$258="","",'FINANCIAL CREDITORS'!$C$258)</f>
        <v/>
      </c>
      <c r="C812">
        <f>'FINANCIAL CREDITORS'!$U$258</f>
        <v/>
      </c>
      <c r="D812">
        <f>'FINANCIAL CREDITORS'!$Y$258</f>
        <v/>
      </c>
      <c r="E812">
        <f>'FINANCIAL CREDITORS'!$AC$258</f>
        <v/>
      </c>
      <c r="F812">
        <f>IF('FINANCIAL CREDITORS'!$V$258="","",'FINANCIAL CREDITORS'!$V$258)</f>
        <v/>
      </c>
      <c r="G812">
        <f>IF('FINANCIAL CREDITORS'!$D$258="","",'FINANCIAL CREDITORS'!$D$258)</f>
        <v/>
      </c>
      <c r="H812">
        <f>IF('FINANCIAL CREDITORS'!$G$258="","",'FINANCIAL CREDITORS'!$G$258)</f>
        <v/>
      </c>
      <c r="I812">
        <f>IF('FINANCIAL CREDITORS'!$AT$258="","",'FINANCIAL CREDITORS'!$AT$258)</f>
        <v/>
      </c>
      <c r="J812">
        <f>IF('FINANCIAL CREDITORS'!$AX$258="","",'FINANCIAL CREDITORS'!$AX$258)</f>
        <v/>
      </c>
      <c r="K812">
        <f>IF('FINANCIAL CREDITORS'!$N$258="","",'FINANCIAL CREDITORS'!$N$258)</f>
        <v/>
      </c>
      <c r="L812">
        <f>IF('FINANCIAL CREDITORS'!$AE$258="","",'FINANCIAL CREDITORS'!$AE$258)</f>
        <v/>
      </c>
      <c r="M812" t="inlineStr">
        <is>
          <t>FINANCIAL</t>
        </is>
      </c>
      <c r="N812" t="inlineStr">
        <is>
          <t>FINANCIAL CREDITORS · row 258</t>
        </is>
      </c>
    </row>
    <row r="813">
      <c r="A813">
        <f>IF('FINANCIAL CREDITORS'!$A$259="","",'FINANCIAL CREDITORS'!$A$259)</f>
        <v/>
      </c>
      <c r="B813">
        <f>IF('FINANCIAL CREDITORS'!$C$259="","",'FINANCIAL CREDITORS'!$C$259)</f>
        <v/>
      </c>
      <c r="C813">
        <f>'FINANCIAL CREDITORS'!$U$259</f>
        <v/>
      </c>
      <c r="D813">
        <f>'FINANCIAL CREDITORS'!$Y$259</f>
        <v/>
      </c>
      <c r="E813">
        <f>'FINANCIAL CREDITORS'!$AC$259</f>
        <v/>
      </c>
      <c r="F813">
        <f>IF('FINANCIAL CREDITORS'!$V$259="","",'FINANCIAL CREDITORS'!$V$259)</f>
        <v/>
      </c>
      <c r="G813">
        <f>IF('FINANCIAL CREDITORS'!$D$259="","",'FINANCIAL CREDITORS'!$D$259)</f>
        <v/>
      </c>
      <c r="H813">
        <f>IF('FINANCIAL CREDITORS'!$G$259="","",'FINANCIAL CREDITORS'!$G$259)</f>
        <v/>
      </c>
      <c r="I813">
        <f>IF('FINANCIAL CREDITORS'!$AT$259="","",'FINANCIAL CREDITORS'!$AT$259)</f>
        <v/>
      </c>
      <c r="J813">
        <f>IF('FINANCIAL CREDITORS'!$AX$259="","",'FINANCIAL CREDITORS'!$AX$259)</f>
        <v/>
      </c>
      <c r="K813">
        <f>IF('FINANCIAL CREDITORS'!$N$259="","",'FINANCIAL CREDITORS'!$N$259)</f>
        <v/>
      </c>
      <c r="L813">
        <f>IF('FINANCIAL CREDITORS'!$AE$259="","",'FINANCIAL CREDITORS'!$AE$259)</f>
        <v/>
      </c>
      <c r="M813" t="inlineStr">
        <is>
          <t>FINANCIAL</t>
        </is>
      </c>
      <c r="N813" t="inlineStr">
        <is>
          <t>FINANCIAL CREDITORS · row 259</t>
        </is>
      </c>
    </row>
    <row r="814">
      <c r="A814">
        <f>IF('FINANCIAL CREDITORS'!$A$260="","",'FINANCIAL CREDITORS'!$A$260)</f>
        <v/>
      </c>
      <c r="B814">
        <f>IF('FINANCIAL CREDITORS'!$C$260="","",'FINANCIAL CREDITORS'!$C$260)</f>
        <v/>
      </c>
      <c r="C814">
        <f>'FINANCIAL CREDITORS'!$U$260</f>
        <v/>
      </c>
      <c r="D814">
        <f>'FINANCIAL CREDITORS'!$Y$260</f>
        <v/>
      </c>
      <c r="E814">
        <f>'FINANCIAL CREDITORS'!$AC$260</f>
        <v/>
      </c>
      <c r="F814">
        <f>IF('FINANCIAL CREDITORS'!$V$260="","",'FINANCIAL CREDITORS'!$V$260)</f>
        <v/>
      </c>
      <c r="G814">
        <f>IF('FINANCIAL CREDITORS'!$D$260="","",'FINANCIAL CREDITORS'!$D$260)</f>
        <v/>
      </c>
      <c r="H814">
        <f>IF('FINANCIAL CREDITORS'!$G$260="","",'FINANCIAL CREDITORS'!$G$260)</f>
        <v/>
      </c>
      <c r="I814">
        <f>IF('FINANCIAL CREDITORS'!$AT$260="","",'FINANCIAL CREDITORS'!$AT$260)</f>
        <v/>
      </c>
      <c r="J814">
        <f>IF('FINANCIAL CREDITORS'!$AX$260="","",'FINANCIAL CREDITORS'!$AX$260)</f>
        <v/>
      </c>
      <c r="K814">
        <f>IF('FINANCIAL CREDITORS'!$N$260="","",'FINANCIAL CREDITORS'!$N$260)</f>
        <v/>
      </c>
      <c r="L814">
        <f>IF('FINANCIAL CREDITORS'!$AE$260="","",'FINANCIAL CREDITORS'!$AE$260)</f>
        <v/>
      </c>
      <c r="M814" t="inlineStr">
        <is>
          <t>FINANCIAL</t>
        </is>
      </c>
      <c r="N814" t="inlineStr">
        <is>
          <t>FINANCIAL CREDITORS · row 260</t>
        </is>
      </c>
    </row>
    <row r="815">
      <c r="A815">
        <f>IF('FINANCIAL CREDITORS'!$A$261="","",'FINANCIAL CREDITORS'!$A$261)</f>
        <v/>
      </c>
      <c r="B815">
        <f>IF('FINANCIAL CREDITORS'!$C$261="","",'FINANCIAL CREDITORS'!$C$261)</f>
        <v/>
      </c>
      <c r="C815">
        <f>'FINANCIAL CREDITORS'!$U$261</f>
        <v/>
      </c>
      <c r="D815">
        <f>'FINANCIAL CREDITORS'!$Y$261</f>
        <v/>
      </c>
      <c r="E815">
        <f>'FINANCIAL CREDITORS'!$AC$261</f>
        <v/>
      </c>
      <c r="F815">
        <f>IF('FINANCIAL CREDITORS'!$V$261="","",'FINANCIAL CREDITORS'!$V$261)</f>
        <v/>
      </c>
      <c r="G815">
        <f>IF('FINANCIAL CREDITORS'!$D$261="","",'FINANCIAL CREDITORS'!$D$261)</f>
        <v/>
      </c>
      <c r="H815">
        <f>IF('FINANCIAL CREDITORS'!$G$261="","",'FINANCIAL CREDITORS'!$G$261)</f>
        <v/>
      </c>
      <c r="I815">
        <f>IF('FINANCIAL CREDITORS'!$AT$261="","",'FINANCIAL CREDITORS'!$AT$261)</f>
        <v/>
      </c>
      <c r="J815">
        <f>IF('FINANCIAL CREDITORS'!$AX$261="","",'FINANCIAL CREDITORS'!$AX$261)</f>
        <v/>
      </c>
      <c r="K815">
        <f>IF('FINANCIAL CREDITORS'!$N$261="","",'FINANCIAL CREDITORS'!$N$261)</f>
        <v/>
      </c>
      <c r="L815">
        <f>IF('FINANCIAL CREDITORS'!$AE$261="","",'FINANCIAL CREDITORS'!$AE$261)</f>
        <v/>
      </c>
      <c r="M815" t="inlineStr">
        <is>
          <t>FINANCIAL</t>
        </is>
      </c>
      <c r="N815" t="inlineStr">
        <is>
          <t>FINANCIAL CREDITORS · row 261</t>
        </is>
      </c>
    </row>
    <row r="816">
      <c r="A816">
        <f>IF('FINANCIAL CREDITORS'!$A$262="","",'FINANCIAL CREDITORS'!$A$262)</f>
        <v/>
      </c>
      <c r="B816">
        <f>IF('FINANCIAL CREDITORS'!$C$262="","",'FINANCIAL CREDITORS'!$C$262)</f>
        <v/>
      </c>
      <c r="C816">
        <f>'FINANCIAL CREDITORS'!$U$262</f>
        <v/>
      </c>
      <c r="D816">
        <f>'FINANCIAL CREDITORS'!$Y$262</f>
        <v/>
      </c>
      <c r="E816">
        <f>'FINANCIAL CREDITORS'!$AC$262</f>
        <v/>
      </c>
      <c r="F816">
        <f>IF('FINANCIAL CREDITORS'!$V$262="","",'FINANCIAL CREDITORS'!$V$262)</f>
        <v/>
      </c>
      <c r="G816">
        <f>IF('FINANCIAL CREDITORS'!$D$262="","",'FINANCIAL CREDITORS'!$D$262)</f>
        <v/>
      </c>
      <c r="H816">
        <f>IF('FINANCIAL CREDITORS'!$G$262="","",'FINANCIAL CREDITORS'!$G$262)</f>
        <v/>
      </c>
      <c r="I816">
        <f>IF('FINANCIAL CREDITORS'!$AT$262="","",'FINANCIAL CREDITORS'!$AT$262)</f>
        <v/>
      </c>
      <c r="J816">
        <f>IF('FINANCIAL CREDITORS'!$AX$262="","",'FINANCIAL CREDITORS'!$AX$262)</f>
        <v/>
      </c>
      <c r="K816">
        <f>IF('FINANCIAL CREDITORS'!$N$262="","",'FINANCIAL CREDITORS'!$N$262)</f>
        <v/>
      </c>
      <c r="L816">
        <f>IF('FINANCIAL CREDITORS'!$AE$262="","",'FINANCIAL CREDITORS'!$AE$262)</f>
        <v/>
      </c>
      <c r="M816" t="inlineStr">
        <is>
          <t>FINANCIAL</t>
        </is>
      </c>
      <c r="N816" t="inlineStr">
        <is>
          <t>FINANCIAL CREDITORS · row 262</t>
        </is>
      </c>
    </row>
    <row r="817">
      <c r="A817">
        <f>IF('FINANCIAL CREDITORS'!$A$263="","",'FINANCIAL CREDITORS'!$A$263)</f>
        <v/>
      </c>
      <c r="B817">
        <f>IF('FINANCIAL CREDITORS'!$C$263="","",'FINANCIAL CREDITORS'!$C$263)</f>
        <v/>
      </c>
      <c r="C817">
        <f>'FINANCIAL CREDITORS'!$U$263</f>
        <v/>
      </c>
      <c r="D817">
        <f>'FINANCIAL CREDITORS'!$Y$263</f>
        <v/>
      </c>
      <c r="E817">
        <f>'FINANCIAL CREDITORS'!$AC$263</f>
        <v/>
      </c>
      <c r="F817">
        <f>IF('FINANCIAL CREDITORS'!$V$263="","",'FINANCIAL CREDITORS'!$V$263)</f>
        <v/>
      </c>
      <c r="G817">
        <f>IF('FINANCIAL CREDITORS'!$D$263="","",'FINANCIAL CREDITORS'!$D$263)</f>
        <v/>
      </c>
      <c r="H817">
        <f>IF('FINANCIAL CREDITORS'!$G$263="","",'FINANCIAL CREDITORS'!$G$263)</f>
        <v/>
      </c>
      <c r="I817">
        <f>IF('FINANCIAL CREDITORS'!$AT$263="","",'FINANCIAL CREDITORS'!$AT$263)</f>
        <v/>
      </c>
      <c r="J817">
        <f>IF('FINANCIAL CREDITORS'!$AX$263="","",'FINANCIAL CREDITORS'!$AX$263)</f>
        <v/>
      </c>
      <c r="K817">
        <f>IF('FINANCIAL CREDITORS'!$N$263="","",'FINANCIAL CREDITORS'!$N$263)</f>
        <v/>
      </c>
      <c r="L817">
        <f>IF('FINANCIAL CREDITORS'!$AE$263="","",'FINANCIAL CREDITORS'!$AE$263)</f>
        <v/>
      </c>
      <c r="M817" t="inlineStr">
        <is>
          <t>FINANCIAL</t>
        </is>
      </c>
      <c r="N817" t="inlineStr">
        <is>
          <t>FINANCIAL CREDITORS · row 263</t>
        </is>
      </c>
    </row>
    <row r="818">
      <c r="A818">
        <f>IF('FINANCIAL CREDITORS'!$A$264="","",'FINANCIAL CREDITORS'!$A$264)</f>
        <v/>
      </c>
      <c r="B818">
        <f>IF('FINANCIAL CREDITORS'!$C$264="","",'FINANCIAL CREDITORS'!$C$264)</f>
        <v/>
      </c>
      <c r="C818">
        <f>'FINANCIAL CREDITORS'!$U$264</f>
        <v/>
      </c>
      <c r="D818">
        <f>'FINANCIAL CREDITORS'!$Y$264</f>
        <v/>
      </c>
      <c r="E818">
        <f>'FINANCIAL CREDITORS'!$AC$264</f>
        <v/>
      </c>
      <c r="F818">
        <f>IF('FINANCIAL CREDITORS'!$V$264="","",'FINANCIAL CREDITORS'!$V$264)</f>
        <v/>
      </c>
      <c r="G818">
        <f>IF('FINANCIAL CREDITORS'!$D$264="","",'FINANCIAL CREDITORS'!$D$264)</f>
        <v/>
      </c>
      <c r="H818">
        <f>IF('FINANCIAL CREDITORS'!$G$264="","",'FINANCIAL CREDITORS'!$G$264)</f>
        <v/>
      </c>
      <c r="I818">
        <f>IF('FINANCIAL CREDITORS'!$AT$264="","",'FINANCIAL CREDITORS'!$AT$264)</f>
        <v/>
      </c>
      <c r="J818">
        <f>IF('FINANCIAL CREDITORS'!$AX$264="","",'FINANCIAL CREDITORS'!$AX$264)</f>
        <v/>
      </c>
      <c r="K818">
        <f>IF('FINANCIAL CREDITORS'!$N$264="","",'FINANCIAL CREDITORS'!$N$264)</f>
        <v/>
      </c>
      <c r="L818">
        <f>IF('FINANCIAL CREDITORS'!$AE$264="","",'FINANCIAL CREDITORS'!$AE$264)</f>
        <v/>
      </c>
      <c r="M818" t="inlineStr">
        <is>
          <t>FINANCIAL</t>
        </is>
      </c>
      <c r="N818" t="inlineStr">
        <is>
          <t>FINANCIAL CREDITORS · row 264</t>
        </is>
      </c>
    </row>
    <row r="819">
      <c r="A819">
        <f>IF('FINANCIAL CREDITORS'!$A$265="","",'FINANCIAL CREDITORS'!$A$265)</f>
        <v/>
      </c>
      <c r="B819">
        <f>IF('FINANCIAL CREDITORS'!$C$265="","",'FINANCIAL CREDITORS'!$C$265)</f>
        <v/>
      </c>
      <c r="C819">
        <f>'FINANCIAL CREDITORS'!$U$265</f>
        <v/>
      </c>
      <c r="D819">
        <f>'FINANCIAL CREDITORS'!$Y$265</f>
        <v/>
      </c>
      <c r="E819">
        <f>'FINANCIAL CREDITORS'!$AC$265</f>
        <v/>
      </c>
      <c r="F819">
        <f>IF('FINANCIAL CREDITORS'!$V$265="","",'FINANCIAL CREDITORS'!$V$265)</f>
        <v/>
      </c>
      <c r="G819">
        <f>IF('FINANCIAL CREDITORS'!$D$265="","",'FINANCIAL CREDITORS'!$D$265)</f>
        <v/>
      </c>
      <c r="H819">
        <f>IF('FINANCIAL CREDITORS'!$G$265="","",'FINANCIAL CREDITORS'!$G$265)</f>
        <v/>
      </c>
      <c r="I819">
        <f>IF('FINANCIAL CREDITORS'!$AT$265="","",'FINANCIAL CREDITORS'!$AT$265)</f>
        <v/>
      </c>
      <c r="J819">
        <f>IF('FINANCIAL CREDITORS'!$AX$265="","",'FINANCIAL CREDITORS'!$AX$265)</f>
        <v/>
      </c>
      <c r="K819">
        <f>IF('FINANCIAL CREDITORS'!$N$265="","",'FINANCIAL CREDITORS'!$N$265)</f>
        <v/>
      </c>
      <c r="L819">
        <f>IF('FINANCIAL CREDITORS'!$AE$265="","",'FINANCIAL CREDITORS'!$AE$265)</f>
        <v/>
      </c>
      <c r="M819" t="inlineStr">
        <is>
          <t>FINANCIAL</t>
        </is>
      </c>
      <c r="N819" t="inlineStr">
        <is>
          <t>FINANCIAL CREDITORS · row 265</t>
        </is>
      </c>
    </row>
    <row r="820">
      <c r="A820">
        <f>IF('FINANCIAL CREDITORS'!$A$266="","",'FINANCIAL CREDITORS'!$A$266)</f>
        <v/>
      </c>
      <c r="B820">
        <f>IF('FINANCIAL CREDITORS'!$C$266="","",'FINANCIAL CREDITORS'!$C$266)</f>
        <v/>
      </c>
      <c r="C820">
        <f>'FINANCIAL CREDITORS'!$U$266</f>
        <v/>
      </c>
      <c r="D820">
        <f>'FINANCIAL CREDITORS'!$Y$266</f>
        <v/>
      </c>
      <c r="E820">
        <f>'FINANCIAL CREDITORS'!$AC$266</f>
        <v/>
      </c>
      <c r="F820">
        <f>IF('FINANCIAL CREDITORS'!$V$266="","",'FINANCIAL CREDITORS'!$V$266)</f>
        <v/>
      </c>
      <c r="G820">
        <f>IF('FINANCIAL CREDITORS'!$D$266="","",'FINANCIAL CREDITORS'!$D$266)</f>
        <v/>
      </c>
      <c r="H820">
        <f>IF('FINANCIAL CREDITORS'!$G$266="","",'FINANCIAL CREDITORS'!$G$266)</f>
        <v/>
      </c>
      <c r="I820">
        <f>IF('FINANCIAL CREDITORS'!$AT$266="","",'FINANCIAL CREDITORS'!$AT$266)</f>
        <v/>
      </c>
      <c r="J820">
        <f>IF('FINANCIAL CREDITORS'!$AX$266="","",'FINANCIAL CREDITORS'!$AX$266)</f>
        <v/>
      </c>
      <c r="K820">
        <f>IF('FINANCIAL CREDITORS'!$N$266="","",'FINANCIAL CREDITORS'!$N$266)</f>
        <v/>
      </c>
      <c r="L820">
        <f>IF('FINANCIAL CREDITORS'!$AE$266="","",'FINANCIAL CREDITORS'!$AE$266)</f>
        <v/>
      </c>
      <c r="M820" t="inlineStr">
        <is>
          <t>FINANCIAL</t>
        </is>
      </c>
      <c r="N820" t="inlineStr">
        <is>
          <t>FINANCIAL CREDITORS · row 266</t>
        </is>
      </c>
    </row>
    <row r="821">
      <c r="A821">
        <f>IF('FINANCIAL CREDITORS'!$A$267="","",'FINANCIAL CREDITORS'!$A$267)</f>
        <v/>
      </c>
      <c r="B821">
        <f>IF('FINANCIAL CREDITORS'!$C$267="","",'FINANCIAL CREDITORS'!$C$267)</f>
        <v/>
      </c>
      <c r="C821">
        <f>'FINANCIAL CREDITORS'!$U$267</f>
        <v/>
      </c>
      <c r="D821">
        <f>'FINANCIAL CREDITORS'!$Y$267</f>
        <v/>
      </c>
      <c r="E821">
        <f>'FINANCIAL CREDITORS'!$AC$267</f>
        <v/>
      </c>
      <c r="F821">
        <f>IF('FINANCIAL CREDITORS'!$V$267="","",'FINANCIAL CREDITORS'!$V$267)</f>
        <v/>
      </c>
      <c r="G821">
        <f>IF('FINANCIAL CREDITORS'!$D$267="","",'FINANCIAL CREDITORS'!$D$267)</f>
        <v/>
      </c>
      <c r="H821">
        <f>IF('FINANCIAL CREDITORS'!$G$267="","",'FINANCIAL CREDITORS'!$G$267)</f>
        <v/>
      </c>
      <c r="I821">
        <f>IF('FINANCIAL CREDITORS'!$AT$267="","",'FINANCIAL CREDITORS'!$AT$267)</f>
        <v/>
      </c>
      <c r="J821">
        <f>IF('FINANCIAL CREDITORS'!$AX$267="","",'FINANCIAL CREDITORS'!$AX$267)</f>
        <v/>
      </c>
      <c r="K821">
        <f>IF('FINANCIAL CREDITORS'!$N$267="","",'FINANCIAL CREDITORS'!$N$267)</f>
        <v/>
      </c>
      <c r="L821">
        <f>IF('FINANCIAL CREDITORS'!$AE$267="","",'FINANCIAL CREDITORS'!$AE$267)</f>
        <v/>
      </c>
      <c r="M821" t="inlineStr">
        <is>
          <t>FINANCIAL</t>
        </is>
      </c>
      <c r="N821" t="inlineStr">
        <is>
          <t>FINANCIAL CREDITORS · row 267</t>
        </is>
      </c>
    </row>
    <row r="822">
      <c r="A822">
        <f>IF('FINANCIAL CREDITORS'!$A$268="","",'FINANCIAL CREDITORS'!$A$268)</f>
        <v/>
      </c>
      <c r="B822">
        <f>IF('FINANCIAL CREDITORS'!$C$268="","",'FINANCIAL CREDITORS'!$C$268)</f>
        <v/>
      </c>
      <c r="C822">
        <f>'FINANCIAL CREDITORS'!$U$268</f>
        <v/>
      </c>
      <c r="D822">
        <f>'FINANCIAL CREDITORS'!$Y$268</f>
        <v/>
      </c>
      <c r="E822">
        <f>'FINANCIAL CREDITORS'!$AC$268</f>
        <v/>
      </c>
      <c r="F822">
        <f>IF('FINANCIAL CREDITORS'!$V$268="","",'FINANCIAL CREDITORS'!$V$268)</f>
        <v/>
      </c>
      <c r="G822">
        <f>IF('FINANCIAL CREDITORS'!$D$268="","",'FINANCIAL CREDITORS'!$D$268)</f>
        <v/>
      </c>
      <c r="H822">
        <f>IF('FINANCIAL CREDITORS'!$G$268="","",'FINANCIAL CREDITORS'!$G$268)</f>
        <v/>
      </c>
      <c r="I822">
        <f>IF('FINANCIAL CREDITORS'!$AT$268="","",'FINANCIAL CREDITORS'!$AT$268)</f>
        <v/>
      </c>
      <c r="J822">
        <f>IF('FINANCIAL CREDITORS'!$AX$268="","",'FINANCIAL CREDITORS'!$AX$268)</f>
        <v/>
      </c>
      <c r="K822">
        <f>IF('FINANCIAL CREDITORS'!$N$268="","",'FINANCIAL CREDITORS'!$N$268)</f>
        <v/>
      </c>
      <c r="L822">
        <f>IF('FINANCIAL CREDITORS'!$AE$268="","",'FINANCIAL CREDITORS'!$AE$268)</f>
        <v/>
      </c>
      <c r="M822" t="inlineStr">
        <is>
          <t>FINANCIAL</t>
        </is>
      </c>
      <c r="N822" t="inlineStr">
        <is>
          <t>FINANCIAL CREDITORS · row 268</t>
        </is>
      </c>
    </row>
    <row r="823">
      <c r="A823">
        <f>IF('FINANCIAL CREDITORS'!$A$269="","",'FINANCIAL CREDITORS'!$A$269)</f>
        <v/>
      </c>
      <c r="B823">
        <f>IF('FINANCIAL CREDITORS'!$C$269="","",'FINANCIAL CREDITORS'!$C$269)</f>
        <v/>
      </c>
      <c r="C823">
        <f>'FINANCIAL CREDITORS'!$U$269</f>
        <v/>
      </c>
      <c r="D823">
        <f>'FINANCIAL CREDITORS'!$Y$269</f>
        <v/>
      </c>
      <c r="E823">
        <f>'FINANCIAL CREDITORS'!$AC$269</f>
        <v/>
      </c>
      <c r="F823">
        <f>IF('FINANCIAL CREDITORS'!$V$269="","",'FINANCIAL CREDITORS'!$V$269)</f>
        <v/>
      </c>
      <c r="G823">
        <f>IF('FINANCIAL CREDITORS'!$D$269="","",'FINANCIAL CREDITORS'!$D$269)</f>
        <v/>
      </c>
      <c r="H823">
        <f>IF('FINANCIAL CREDITORS'!$G$269="","",'FINANCIAL CREDITORS'!$G$269)</f>
        <v/>
      </c>
      <c r="I823">
        <f>IF('FINANCIAL CREDITORS'!$AT$269="","",'FINANCIAL CREDITORS'!$AT$269)</f>
        <v/>
      </c>
      <c r="J823">
        <f>IF('FINANCIAL CREDITORS'!$AX$269="","",'FINANCIAL CREDITORS'!$AX$269)</f>
        <v/>
      </c>
      <c r="K823">
        <f>IF('FINANCIAL CREDITORS'!$N$269="","",'FINANCIAL CREDITORS'!$N$269)</f>
        <v/>
      </c>
      <c r="L823">
        <f>IF('FINANCIAL CREDITORS'!$AE$269="","",'FINANCIAL CREDITORS'!$AE$269)</f>
        <v/>
      </c>
      <c r="M823" t="inlineStr">
        <is>
          <t>FINANCIAL</t>
        </is>
      </c>
      <c r="N823" t="inlineStr">
        <is>
          <t>FINANCIAL CREDITORS · row 269</t>
        </is>
      </c>
    </row>
    <row r="824">
      <c r="A824">
        <f>IF('FINANCIAL CREDITORS'!$A$270="","",'FINANCIAL CREDITORS'!$A$270)</f>
        <v/>
      </c>
      <c r="B824">
        <f>IF('FINANCIAL CREDITORS'!$C$270="","",'FINANCIAL CREDITORS'!$C$270)</f>
        <v/>
      </c>
      <c r="C824">
        <f>'FINANCIAL CREDITORS'!$U$270</f>
        <v/>
      </c>
      <c r="D824">
        <f>'FINANCIAL CREDITORS'!$Y$270</f>
        <v/>
      </c>
      <c r="E824">
        <f>'FINANCIAL CREDITORS'!$AC$270</f>
        <v/>
      </c>
      <c r="F824">
        <f>IF('FINANCIAL CREDITORS'!$V$270="","",'FINANCIAL CREDITORS'!$V$270)</f>
        <v/>
      </c>
      <c r="G824">
        <f>IF('FINANCIAL CREDITORS'!$D$270="","",'FINANCIAL CREDITORS'!$D$270)</f>
        <v/>
      </c>
      <c r="H824">
        <f>IF('FINANCIAL CREDITORS'!$G$270="","",'FINANCIAL CREDITORS'!$G$270)</f>
        <v/>
      </c>
      <c r="I824">
        <f>IF('FINANCIAL CREDITORS'!$AT$270="","",'FINANCIAL CREDITORS'!$AT$270)</f>
        <v/>
      </c>
      <c r="J824">
        <f>IF('FINANCIAL CREDITORS'!$AX$270="","",'FINANCIAL CREDITORS'!$AX$270)</f>
        <v/>
      </c>
      <c r="K824">
        <f>IF('FINANCIAL CREDITORS'!$N$270="","",'FINANCIAL CREDITORS'!$N$270)</f>
        <v/>
      </c>
      <c r="L824">
        <f>IF('FINANCIAL CREDITORS'!$AE$270="","",'FINANCIAL CREDITORS'!$AE$270)</f>
        <v/>
      </c>
      <c r="M824" t="inlineStr">
        <is>
          <t>FINANCIAL</t>
        </is>
      </c>
      <c r="N824" t="inlineStr">
        <is>
          <t>FINANCIAL CREDITORS · row 270</t>
        </is>
      </c>
    </row>
    <row r="825">
      <c r="A825">
        <f>IF('FINANCIAL CREDITORS'!$A$271="","",'FINANCIAL CREDITORS'!$A$271)</f>
        <v/>
      </c>
      <c r="B825">
        <f>IF('FINANCIAL CREDITORS'!$C$271="","",'FINANCIAL CREDITORS'!$C$271)</f>
        <v/>
      </c>
      <c r="C825">
        <f>'FINANCIAL CREDITORS'!$U$271</f>
        <v/>
      </c>
      <c r="D825">
        <f>'FINANCIAL CREDITORS'!$Y$271</f>
        <v/>
      </c>
      <c r="E825">
        <f>'FINANCIAL CREDITORS'!$AC$271</f>
        <v/>
      </c>
      <c r="F825">
        <f>IF('FINANCIAL CREDITORS'!$V$271="","",'FINANCIAL CREDITORS'!$V$271)</f>
        <v/>
      </c>
      <c r="G825">
        <f>IF('FINANCIAL CREDITORS'!$D$271="","",'FINANCIAL CREDITORS'!$D$271)</f>
        <v/>
      </c>
      <c r="H825">
        <f>IF('FINANCIAL CREDITORS'!$G$271="","",'FINANCIAL CREDITORS'!$G$271)</f>
        <v/>
      </c>
      <c r="I825">
        <f>IF('FINANCIAL CREDITORS'!$AT$271="","",'FINANCIAL CREDITORS'!$AT$271)</f>
        <v/>
      </c>
      <c r="J825">
        <f>IF('FINANCIAL CREDITORS'!$AX$271="","",'FINANCIAL CREDITORS'!$AX$271)</f>
        <v/>
      </c>
      <c r="K825">
        <f>IF('FINANCIAL CREDITORS'!$N$271="","",'FINANCIAL CREDITORS'!$N$271)</f>
        <v/>
      </c>
      <c r="L825">
        <f>IF('FINANCIAL CREDITORS'!$AE$271="","",'FINANCIAL CREDITORS'!$AE$271)</f>
        <v/>
      </c>
      <c r="M825" t="inlineStr">
        <is>
          <t>FINANCIAL</t>
        </is>
      </c>
      <c r="N825" t="inlineStr">
        <is>
          <t>FINANCIAL CREDITORS · row 271</t>
        </is>
      </c>
    </row>
    <row r="826">
      <c r="A826">
        <f>IF('FINANCIAL CREDITORS'!$A$272="","",'FINANCIAL CREDITORS'!$A$272)</f>
        <v/>
      </c>
      <c r="B826">
        <f>IF('FINANCIAL CREDITORS'!$C$272="","",'FINANCIAL CREDITORS'!$C$272)</f>
        <v/>
      </c>
      <c r="C826">
        <f>'FINANCIAL CREDITORS'!$U$272</f>
        <v/>
      </c>
      <c r="D826">
        <f>'FINANCIAL CREDITORS'!$Y$272</f>
        <v/>
      </c>
      <c r="E826">
        <f>'FINANCIAL CREDITORS'!$AC$272</f>
        <v/>
      </c>
      <c r="F826">
        <f>IF('FINANCIAL CREDITORS'!$V$272="","",'FINANCIAL CREDITORS'!$V$272)</f>
        <v/>
      </c>
      <c r="G826">
        <f>IF('FINANCIAL CREDITORS'!$D$272="","",'FINANCIAL CREDITORS'!$D$272)</f>
        <v/>
      </c>
      <c r="H826">
        <f>IF('FINANCIAL CREDITORS'!$G$272="","",'FINANCIAL CREDITORS'!$G$272)</f>
        <v/>
      </c>
      <c r="I826">
        <f>IF('FINANCIAL CREDITORS'!$AT$272="","",'FINANCIAL CREDITORS'!$AT$272)</f>
        <v/>
      </c>
      <c r="J826">
        <f>IF('FINANCIAL CREDITORS'!$AX$272="","",'FINANCIAL CREDITORS'!$AX$272)</f>
        <v/>
      </c>
      <c r="K826">
        <f>IF('FINANCIAL CREDITORS'!$N$272="","",'FINANCIAL CREDITORS'!$N$272)</f>
        <v/>
      </c>
      <c r="L826">
        <f>IF('FINANCIAL CREDITORS'!$AE$272="","",'FINANCIAL CREDITORS'!$AE$272)</f>
        <v/>
      </c>
      <c r="M826" t="inlineStr">
        <is>
          <t>FINANCIAL</t>
        </is>
      </c>
      <c r="N826" t="inlineStr">
        <is>
          <t>FINANCIAL CREDITORS · row 272</t>
        </is>
      </c>
    </row>
    <row r="827">
      <c r="A827">
        <f>IF('FINANCIAL CREDITORS'!$A$273="","",'FINANCIAL CREDITORS'!$A$273)</f>
        <v/>
      </c>
      <c r="B827">
        <f>IF('FINANCIAL CREDITORS'!$C$273="","",'FINANCIAL CREDITORS'!$C$273)</f>
        <v/>
      </c>
      <c r="C827">
        <f>'FINANCIAL CREDITORS'!$U$273</f>
        <v/>
      </c>
      <c r="D827">
        <f>'FINANCIAL CREDITORS'!$Y$273</f>
        <v/>
      </c>
      <c r="E827">
        <f>'FINANCIAL CREDITORS'!$AC$273</f>
        <v/>
      </c>
      <c r="F827">
        <f>IF('FINANCIAL CREDITORS'!$V$273="","",'FINANCIAL CREDITORS'!$V$273)</f>
        <v/>
      </c>
      <c r="G827">
        <f>IF('FINANCIAL CREDITORS'!$D$273="","",'FINANCIAL CREDITORS'!$D$273)</f>
        <v/>
      </c>
      <c r="H827">
        <f>IF('FINANCIAL CREDITORS'!$G$273="","",'FINANCIAL CREDITORS'!$G$273)</f>
        <v/>
      </c>
      <c r="I827">
        <f>IF('FINANCIAL CREDITORS'!$AT$273="","",'FINANCIAL CREDITORS'!$AT$273)</f>
        <v/>
      </c>
      <c r="J827">
        <f>IF('FINANCIAL CREDITORS'!$AX$273="","",'FINANCIAL CREDITORS'!$AX$273)</f>
        <v/>
      </c>
      <c r="K827">
        <f>IF('FINANCIAL CREDITORS'!$N$273="","",'FINANCIAL CREDITORS'!$N$273)</f>
        <v/>
      </c>
      <c r="L827">
        <f>IF('FINANCIAL CREDITORS'!$AE$273="","",'FINANCIAL CREDITORS'!$AE$273)</f>
        <v/>
      </c>
      <c r="M827" t="inlineStr">
        <is>
          <t>FINANCIAL</t>
        </is>
      </c>
      <c r="N827" t="inlineStr">
        <is>
          <t>FINANCIAL CREDITORS · row 273</t>
        </is>
      </c>
    </row>
    <row r="828">
      <c r="A828">
        <f>IF('FINANCIAL CREDITORS'!$A$274="","",'FINANCIAL CREDITORS'!$A$274)</f>
        <v/>
      </c>
      <c r="B828">
        <f>IF('FINANCIAL CREDITORS'!$C$274="","",'FINANCIAL CREDITORS'!$C$274)</f>
        <v/>
      </c>
      <c r="C828">
        <f>'FINANCIAL CREDITORS'!$U$274</f>
        <v/>
      </c>
      <c r="D828">
        <f>'FINANCIAL CREDITORS'!$Y$274</f>
        <v/>
      </c>
      <c r="E828">
        <f>'FINANCIAL CREDITORS'!$AC$274</f>
        <v/>
      </c>
      <c r="F828">
        <f>IF('FINANCIAL CREDITORS'!$V$274="","",'FINANCIAL CREDITORS'!$V$274)</f>
        <v/>
      </c>
      <c r="G828">
        <f>IF('FINANCIAL CREDITORS'!$D$274="","",'FINANCIAL CREDITORS'!$D$274)</f>
        <v/>
      </c>
      <c r="H828">
        <f>IF('FINANCIAL CREDITORS'!$G$274="","",'FINANCIAL CREDITORS'!$G$274)</f>
        <v/>
      </c>
      <c r="I828">
        <f>IF('FINANCIAL CREDITORS'!$AT$274="","",'FINANCIAL CREDITORS'!$AT$274)</f>
        <v/>
      </c>
      <c r="J828">
        <f>IF('FINANCIAL CREDITORS'!$AX$274="","",'FINANCIAL CREDITORS'!$AX$274)</f>
        <v/>
      </c>
      <c r="K828">
        <f>IF('FINANCIAL CREDITORS'!$N$274="","",'FINANCIAL CREDITORS'!$N$274)</f>
        <v/>
      </c>
      <c r="L828">
        <f>IF('FINANCIAL CREDITORS'!$AE$274="","",'FINANCIAL CREDITORS'!$AE$274)</f>
        <v/>
      </c>
      <c r="M828" t="inlineStr">
        <is>
          <t>FINANCIAL</t>
        </is>
      </c>
      <c r="N828" t="inlineStr">
        <is>
          <t>FINANCIAL CREDITORS · row 274</t>
        </is>
      </c>
    </row>
    <row r="829">
      <c r="A829">
        <f>IF('FINANCIAL CREDITORS'!$A$275="","",'FINANCIAL CREDITORS'!$A$275)</f>
        <v/>
      </c>
      <c r="B829">
        <f>IF('FINANCIAL CREDITORS'!$C$275="","",'FINANCIAL CREDITORS'!$C$275)</f>
        <v/>
      </c>
      <c r="C829">
        <f>'FINANCIAL CREDITORS'!$U$275</f>
        <v/>
      </c>
      <c r="D829">
        <f>'FINANCIAL CREDITORS'!$Y$275</f>
        <v/>
      </c>
      <c r="E829">
        <f>'FINANCIAL CREDITORS'!$AC$275</f>
        <v/>
      </c>
      <c r="F829">
        <f>IF('FINANCIAL CREDITORS'!$V$275="","",'FINANCIAL CREDITORS'!$V$275)</f>
        <v/>
      </c>
      <c r="G829">
        <f>IF('FINANCIAL CREDITORS'!$D$275="","",'FINANCIAL CREDITORS'!$D$275)</f>
        <v/>
      </c>
      <c r="H829">
        <f>IF('FINANCIAL CREDITORS'!$G$275="","",'FINANCIAL CREDITORS'!$G$275)</f>
        <v/>
      </c>
      <c r="I829">
        <f>IF('FINANCIAL CREDITORS'!$AT$275="","",'FINANCIAL CREDITORS'!$AT$275)</f>
        <v/>
      </c>
      <c r="J829">
        <f>IF('FINANCIAL CREDITORS'!$AX$275="","",'FINANCIAL CREDITORS'!$AX$275)</f>
        <v/>
      </c>
      <c r="K829">
        <f>IF('FINANCIAL CREDITORS'!$N$275="","",'FINANCIAL CREDITORS'!$N$275)</f>
        <v/>
      </c>
      <c r="L829">
        <f>IF('FINANCIAL CREDITORS'!$AE$275="","",'FINANCIAL CREDITORS'!$AE$275)</f>
        <v/>
      </c>
      <c r="M829" t="inlineStr">
        <is>
          <t>FINANCIAL</t>
        </is>
      </c>
      <c r="N829" t="inlineStr">
        <is>
          <t>FINANCIAL CREDITORS · row 275</t>
        </is>
      </c>
    </row>
    <row r="830">
      <c r="A830">
        <f>IF('FINANCIAL CREDITORS'!$A$276="","",'FINANCIAL CREDITORS'!$A$276)</f>
        <v/>
      </c>
      <c r="B830">
        <f>IF('FINANCIAL CREDITORS'!$C$276="","",'FINANCIAL CREDITORS'!$C$276)</f>
        <v/>
      </c>
      <c r="C830">
        <f>'FINANCIAL CREDITORS'!$U$276</f>
        <v/>
      </c>
      <c r="D830">
        <f>'FINANCIAL CREDITORS'!$Y$276</f>
        <v/>
      </c>
      <c r="E830">
        <f>'FINANCIAL CREDITORS'!$AC$276</f>
        <v/>
      </c>
      <c r="F830">
        <f>IF('FINANCIAL CREDITORS'!$V$276="","",'FINANCIAL CREDITORS'!$V$276)</f>
        <v/>
      </c>
      <c r="G830">
        <f>IF('FINANCIAL CREDITORS'!$D$276="","",'FINANCIAL CREDITORS'!$D$276)</f>
        <v/>
      </c>
      <c r="H830">
        <f>IF('FINANCIAL CREDITORS'!$G$276="","",'FINANCIAL CREDITORS'!$G$276)</f>
        <v/>
      </c>
      <c r="I830">
        <f>IF('FINANCIAL CREDITORS'!$AT$276="","",'FINANCIAL CREDITORS'!$AT$276)</f>
        <v/>
      </c>
      <c r="J830">
        <f>IF('FINANCIAL CREDITORS'!$AX$276="","",'FINANCIAL CREDITORS'!$AX$276)</f>
        <v/>
      </c>
      <c r="K830">
        <f>IF('FINANCIAL CREDITORS'!$N$276="","",'FINANCIAL CREDITORS'!$N$276)</f>
        <v/>
      </c>
      <c r="L830">
        <f>IF('FINANCIAL CREDITORS'!$AE$276="","",'FINANCIAL CREDITORS'!$AE$276)</f>
        <v/>
      </c>
      <c r="M830" t="inlineStr">
        <is>
          <t>FINANCIAL</t>
        </is>
      </c>
      <c r="N830" t="inlineStr">
        <is>
          <t>FINANCIAL CREDITORS · row 276</t>
        </is>
      </c>
    </row>
    <row r="831">
      <c r="A831">
        <f>IF('FINANCIAL CREDITORS'!$A$277="","",'FINANCIAL CREDITORS'!$A$277)</f>
        <v/>
      </c>
      <c r="B831">
        <f>IF('FINANCIAL CREDITORS'!$C$277="","",'FINANCIAL CREDITORS'!$C$277)</f>
        <v/>
      </c>
      <c r="C831">
        <f>'FINANCIAL CREDITORS'!$U$277</f>
        <v/>
      </c>
      <c r="D831">
        <f>'FINANCIAL CREDITORS'!$Y$277</f>
        <v/>
      </c>
      <c r="E831">
        <f>'FINANCIAL CREDITORS'!$AC$277</f>
        <v/>
      </c>
      <c r="F831">
        <f>IF('FINANCIAL CREDITORS'!$V$277="","",'FINANCIAL CREDITORS'!$V$277)</f>
        <v/>
      </c>
      <c r="G831">
        <f>IF('FINANCIAL CREDITORS'!$D$277="","",'FINANCIAL CREDITORS'!$D$277)</f>
        <v/>
      </c>
      <c r="H831">
        <f>IF('FINANCIAL CREDITORS'!$G$277="","",'FINANCIAL CREDITORS'!$G$277)</f>
        <v/>
      </c>
      <c r="I831">
        <f>IF('FINANCIAL CREDITORS'!$AT$277="","",'FINANCIAL CREDITORS'!$AT$277)</f>
        <v/>
      </c>
      <c r="J831">
        <f>IF('FINANCIAL CREDITORS'!$AX$277="","",'FINANCIAL CREDITORS'!$AX$277)</f>
        <v/>
      </c>
      <c r="K831">
        <f>IF('FINANCIAL CREDITORS'!$N$277="","",'FINANCIAL CREDITORS'!$N$277)</f>
        <v/>
      </c>
      <c r="L831">
        <f>IF('FINANCIAL CREDITORS'!$AE$277="","",'FINANCIAL CREDITORS'!$AE$277)</f>
        <v/>
      </c>
      <c r="M831" t="inlineStr">
        <is>
          <t>FINANCIAL</t>
        </is>
      </c>
      <c r="N831" t="inlineStr">
        <is>
          <t>FINANCIAL CREDITORS · row 277</t>
        </is>
      </c>
    </row>
    <row r="832">
      <c r="A832">
        <f>IF('FINANCIAL CREDITORS'!$A$278="","",'FINANCIAL CREDITORS'!$A$278)</f>
        <v/>
      </c>
      <c r="B832">
        <f>IF('FINANCIAL CREDITORS'!$C$278="","",'FINANCIAL CREDITORS'!$C$278)</f>
        <v/>
      </c>
      <c r="C832">
        <f>'FINANCIAL CREDITORS'!$U$278</f>
        <v/>
      </c>
      <c r="D832">
        <f>'FINANCIAL CREDITORS'!$Y$278</f>
        <v/>
      </c>
      <c r="E832">
        <f>'FINANCIAL CREDITORS'!$AC$278</f>
        <v/>
      </c>
      <c r="F832">
        <f>IF('FINANCIAL CREDITORS'!$V$278="","",'FINANCIAL CREDITORS'!$V$278)</f>
        <v/>
      </c>
      <c r="G832">
        <f>IF('FINANCIAL CREDITORS'!$D$278="","",'FINANCIAL CREDITORS'!$D$278)</f>
        <v/>
      </c>
      <c r="H832">
        <f>IF('FINANCIAL CREDITORS'!$G$278="","",'FINANCIAL CREDITORS'!$G$278)</f>
        <v/>
      </c>
      <c r="I832">
        <f>IF('FINANCIAL CREDITORS'!$AT$278="","",'FINANCIAL CREDITORS'!$AT$278)</f>
        <v/>
      </c>
      <c r="J832">
        <f>IF('FINANCIAL CREDITORS'!$AX$278="","",'FINANCIAL CREDITORS'!$AX$278)</f>
        <v/>
      </c>
      <c r="K832">
        <f>IF('FINANCIAL CREDITORS'!$N$278="","",'FINANCIAL CREDITORS'!$N$278)</f>
        <v/>
      </c>
      <c r="L832">
        <f>IF('FINANCIAL CREDITORS'!$AE$278="","",'FINANCIAL CREDITORS'!$AE$278)</f>
        <v/>
      </c>
      <c r="M832" t="inlineStr">
        <is>
          <t>FINANCIAL</t>
        </is>
      </c>
      <c r="N832" t="inlineStr">
        <is>
          <t>FINANCIAL CREDITORS · row 278</t>
        </is>
      </c>
    </row>
    <row r="833">
      <c r="A833">
        <f>IF('FINANCIAL CREDITORS'!$A$279="","",'FINANCIAL CREDITORS'!$A$279)</f>
        <v/>
      </c>
      <c r="B833">
        <f>IF('FINANCIAL CREDITORS'!$C$279="","",'FINANCIAL CREDITORS'!$C$279)</f>
        <v/>
      </c>
      <c r="C833">
        <f>'FINANCIAL CREDITORS'!$U$279</f>
        <v/>
      </c>
      <c r="D833">
        <f>'FINANCIAL CREDITORS'!$Y$279</f>
        <v/>
      </c>
      <c r="E833">
        <f>'FINANCIAL CREDITORS'!$AC$279</f>
        <v/>
      </c>
      <c r="F833">
        <f>IF('FINANCIAL CREDITORS'!$V$279="","",'FINANCIAL CREDITORS'!$V$279)</f>
        <v/>
      </c>
      <c r="G833">
        <f>IF('FINANCIAL CREDITORS'!$D$279="","",'FINANCIAL CREDITORS'!$D$279)</f>
        <v/>
      </c>
      <c r="H833">
        <f>IF('FINANCIAL CREDITORS'!$G$279="","",'FINANCIAL CREDITORS'!$G$279)</f>
        <v/>
      </c>
      <c r="I833">
        <f>IF('FINANCIAL CREDITORS'!$AT$279="","",'FINANCIAL CREDITORS'!$AT$279)</f>
        <v/>
      </c>
      <c r="J833">
        <f>IF('FINANCIAL CREDITORS'!$AX$279="","",'FINANCIAL CREDITORS'!$AX$279)</f>
        <v/>
      </c>
      <c r="K833">
        <f>IF('FINANCIAL CREDITORS'!$N$279="","",'FINANCIAL CREDITORS'!$N$279)</f>
        <v/>
      </c>
      <c r="L833">
        <f>IF('FINANCIAL CREDITORS'!$AE$279="","",'FINANCIAL CREDITORS'!$AE$279)</f>
        <v/>
      </c>
      <c r="M833" t="inlineStr">
        <is>
          <t>FINANCIAL</t>
        </is>
      </c>
      <c r="N833" t="inlineStr">
        <is>
          <t>FINANCIAL CREDITORS · row 279</t>
        </is>
      </c>
    </row>
    <row r="834">
      <c r="A834">
        <f>IF('FINANCIAL CREDITORS'!$A$280="","",'FINANCIAL CREDITORS'!$A$280)</f>
        <v/>
      </c>
      <c r="B834">
        <f>IF('FINANCIAL CREDITORS'!$C$280="","",'FINANCIAL CREDITORS'!$C$280)</f>
        <v/>
      </c>
      <c r="C834">
        <f>'FINANCIAL CREDITORS'!$U$280</f>
        <v/>
      </c>
      <c r="D834">
        <f>'FINANCIAL CREDITORS'!$Y$280</f>
        <v/>
      </c>
      <c r="E834">
        <f>'FINANCIAL CREDITORS'!$AC$280</f>
        <v/>
      </c>
      <c r="F834">
        <f>IF('FINANCIAL CREDITORS'!$V$280="","",'FINANCIAL CREDITORS'!$V$280)</f>
        <v/>
      </c>
      <c r="G834">
        <f>IF('FINANCIAL CREDITORS'!$D$280="","",'FINANCIAL CREDITORS'!$D$280)</f>
        <v/>
      </c>
      <c r="H834">
        <f>IF('FINANCIAL CREDITORS'!$G$280="","",'FINANCIAL CREDITORS'!$G$280)</f>
        <v/>
      </c>
      <c r="I834">
        <f>IF('FINANCIAL CREDITORS'!$AT$280="","",'FINANCIAL CREDITORS'!$AT$280)</f>
        <v/>
      </c>
      <c r="J834">
        <f>IF('FINANCIAL CREDITORS'!$AX$280="","",'FINANCIAL CREDITORS'!$AX$280)</f>
        <v/>
      </c>
      <c r="K834">
        <f>IF('FINANCIAL CREDITORS'!$N$280="","",'FINANCIAL CREDITORS'!$N$280)</f>
        <v/>
      </c>
      <c r="L834">
        <f>IF('FINANCIAL CREDITORS'!$AE$280="","",'FINANCIAL CREDITORS'!$AE$280)</f>
        <v/>
      </c>
      <c r="M834" t="inlineStr">
        <is>
          <t>FINANCIAL</t>
        </is>
      </c>
      <c r="N834" t="inlineStr">
        <is>
          <t>FINANCIAL CREDITORS · row 280</t>
        </is>
      </c>
    </row>
    <row r="835">
      <c r="A835">
        <f>IF('FINANCIAL CREDITORS'!$A$281="","",'FINANCIAL CREDITORS'!$A$281)</f>
        <v/>
      </c>
      <c r="B835">
        <f>IF('FINANCIAL CREDITORS'!$C$281="","",'FINANCIAL CREDITORS'!$C$281)</f>
        <v/>
      </c>
      <c r="C835">
        <f>'FINANCIAL CREDITORS'!$U$281</f>
        <v/>
      </c>
      <c r="D835">
        <f>'FINANCIAL CREDITORS'!$Y$281</f>
        <v/>
      </c>
      <c r="E835">
        <f>'FINANCIAL CREDITORS'!$AC$281</f>
        <v/>
      </c>
      <c r="F835">
        <f>IF('FINANCIAL CREDITORS'!$V$281="","",'FINANCIAL CREDITORS'!$V$281)</f>
        <v/>
      </c>
      <c r="G835">
        <f>IF('FINANCIAL CREDITORS'!$D$281="","",'FINANCIAL CREDITORS'!$D$281)</f>
        <v/>
      </c>
      <c r="H835">
        <f>IF('FINANCIAL CREDITORS'!$G$281="","",'FINANCIAL CREDITORS'!$G$281)</f>
        <v/>
      </c>
      <c r="I835">
        <f>IF('FINANCIAL CREDITORS'!$AT$281="","",'FINANCIAL CREDITORS'!$AT$281)</f>
        <v/>
      </c>
      <c r="J835">
        <f>IF('FINANCIAL CREDITORS'!$AX$281="","",'FINANCIAL CREDITORS'!$AX$281)</f>
        <v/>
      </c>
      <c r="K835">
        <f>IF('FINANCIAL CREDITORS'!$N$281="","",'FINANCIAL CREDITORS'!$N$281)</f>
        <v/>
      </c>
      <c r="L835">
        <f>IF('FINANCIAL CREDITORS'!$AE$281="","",'FINANCIAL CREDITORS'!$AE$281)</f>
        <v/>
      </c>
      <c r="M835" t="inlineStr">
        <is>
          <t>FINANCIAL</t>
        </is>
      </c>
      <c r="N835" t="inlineStr">
        <is>
          <t>FINANCIAL CREDITORS · row 281</t>
        </is>
      </c>
    </row>
    <row r="836">
      <c r="A836">
        <f>IF('FINANCIAL CREDITORS'!$A$282="","",'FINANCIAL CREDITORS'!$A$282)</f>
        <v/>
      </c>
      <c r="B836">
        <f>IF('FINANCIAL CREDITORS'!$C$282="","",'FINANCIAL CREDITORS'!$C$282)</f>
        <v/>
      </c>
      <c r="C836">
        <f>'FINANCIAL CREDITORS'!$U$282</f>
        <v/>
      </c>
      <c r="D836">
        <f>'FINANCIAL CREDITORS'!$Y$282</f>
        <v/>
      </c>
      <c r="E836">
        <f>'FINANCIAL CREDITORS'!$AC$282</f>
        <v/>
      </c>
      <c r="F836">
        <f>IF('FINANCIAL CREDITORS'!$V$282="","",'FINANCIAL CREDITORS'!$V$282)</f>
        <v/>
      </c>
      <c r="G836">
        <f>IF('FINANCIAL CREDITORS'!$D$282="","",'FINANCIAL CREDITORS'!$D$282)</f>
        <v/>
      </c>
      <c r="H836">
        <f>IF('FINANCIAL CREDITORS'!$G$282="","",'FINANCIAL CREDITORS'!$G$282)</f>
        <v/>
      </c>
      <c r="I836">
        <f>IF('FINANCIAL CREDITORS'!$AT$282="","",'FINANCIAL CREDITORS'!$AT$282)</f>
        <v/>
      </c>
      <c r="J836">
        <f>IF('FINANCIAL CREDITORS'!$AX$282="","",'FINANCIAL CREDITORS'!$AX$282)</f>
        <v/>
      </c>
      <c r="K836">
        <f>IF('FINANCIAL CREDITORS'!$N$282="","",'FINANCIAL CREDITORS'!$N$282)</f>
        <v/>
      </c>
      <c r="L836">
        <f>IF('FINANCIAL CREDITORS'!$AE$282="","",'FINANCIAL CREDITORS'!$AE$282)</f>
        <v/>
      </c>
      <c r="M836" t="inlineStr">
        <is>
          <t>FINANCIAL</t>
        </is>
      </c>
      <c r="N836" t="inlineStr">
        <is>
          <t>FINANCIAL CREDITORS · row 282</t>
        </is>
      </c>
    </row>
    <row r="837">
      <c r="A837">
        <f>IF('FINANCIAL CREDITORS'!$A$283="","",'FINANCIAL CREDITORS'!$A$283)</f>
        <v/>
      </c>
      <c r="B837">
        <f>IF('FINANCIAL CREDITORS'!$C$283="","",'FINANCIAL CREDITORS'!$C$283)</f>
        <v/>
      </c>
      <c r="C837">
        <f>'FINANCIAL CREDITORS'!$U$283</f>
        <v/>
      </c>
      <c r="D837">
        <f>'FINANCIAL CREDITORS'!$Y$283</f>
        <v/>
      </c>
      <c r="E837">
        <f>'FINANCIAL CREDITORS'!$AC$283</f>
        <v/>
      </c>
      <c r="F837">
        <f>IF('FINANCIAL CREDITORS'!$V$283="","",'FINANCIAL CREDITORS'!$V$283)</f>
        <v/>
      </c>
      <c r="G837">
        <f>IF('FINANCIAL CREDITORS'!$D$283="","",'FINANCIAL CREDITORS'!$D$283)</f>
        <v/>
      </c>
      <c r="H837">
        <f>IF('FINANCIAL CREDITORS'!$G$283="","",'FINANCIAL CREDITORS'!$G$283)</f>
        <v/>
      </c>
      <c r="I837">
        <f>IF('FINANCIAL CREDITORS'!$AT$283="","",'FINANCIAL CREDITORS'!$AT$283)</f>
        <v/>
      </c>
      <c r="J837">
        <f>IF('FINANCIAL CREDITORS'!$AX$283="","",'FINANCIAL CREDITORS'!$AX$283)</f>
        <v/>
      </c>
      <c r="K837">
        <f>IF('FINANCIAL CREDITORS'!$N$283="","",'FINANCIAL CREDITORS'!$N$283)</f>
        <v/>
      </c>
      <c r="L837">
        <f>IF('FINANCIAL CREDITORS'!$AE$283="","",'FINANCIAL CREDITORS'!$AE$283)</f>
        <v/>
      </c>
      <c r="M837" t="inlineStr">
        <is>
          <t>FINANCIAL</t>
        </is>
      </c>
      <c r="N837" t="inlineStr">
        <is>
          <t>FINANCIAL CREDITORS · row 283</t>
        </is>
      </c>
    </row>
    <row r="838">
      <c r="A838">
        <f>IF('FINANCIAL CREDITORS'!$A$284="","",'FINANCIAL CREDITORS'!$A$284)</f>
        <v/>
      </c>
      <c r="B838">
        <f>IF('FINANCIAL CREDITORS'!$C$284="","",'FINANCIAL CREDITORS'!$C$284)</f>
        <v/>
      </c>
      <c r="C838">
        <f>'FINANCIAL CREDITORS'!$U$284</f>
        <v/>
      </c>
      <c r="D838">
        <f>'FINANCIAL CREDITORS'!$Y$284</f>
        <v/>
      </c>
      <c r="E838">
        <f>'FINANCIAL CREDITORS'!$AC$284</f>
        <v/>
      </c>
      <c r="F838">
        <f>IF('FINANCIAL CREDITORS'!$V$284="","",'FINANCIAL CREDITORS'!$V$284)</f>
        <v/>
      </c>
      <c r="G838">
        <f>IF('FINANCIAL CREDITORS'!$D$284="","",'FINANCIAL CREDITORS'!$D$284)</f>
        <v/>
      </c>
      <c r="H838">
        <f>IF('FINANCIAL CREDITORS'!$G$284="","",'FINANCIAL CREDITORS'!$G$284)</f>
        <v/>
      </c>
      <c r="I838">
        <f>IF('FINANCIAL CREDITORS'!$AT$284="","",'FINANCIAL CREDITORS'!$AT$284)</f>
        <v/>
      </c>
      <c r="J838">
        <f>IF('FINANCIAL CREDITORS'!$AX$284="","",'FINANCIAL CREDITORS'!$AX$284)</f>
        <v/>
      </c>
      <c r="K838">
        <f>IF('FINANCIAL CREDITORS'!$N$284="","",'FINANCIAL CREDITORS'!$N$284)</f>
        <v/>
      </c>
      <c r="L838">
        <f>IF('FINANCIAL CREDITORS'!$AE$284="","",'FINANCIAL CREDITORS'!$AE$284)</f>
        <v/>
      </c>
      <c r="M838" t="inlineStr">
        <is>
          <t>FINANCIAL</t>
        </is>
      </c>
      <c r="N838" t="inlineStr">
        <is>
          <t>FINANCIAL CREDITORS · row 284</t>
        </is>
      </c>
    </row>
    <row r="839">
      <c r="A839">
        <f>IF('FINANCIAL CREDITORS'!$A$285="","",'FINANCIAL CREDITORS'!$A$285)</f>
        <v/>
      </c>
      <c r="B839">
        <f>IF('FINANCIAL CREDITORS'!$C$285="","",'FINANCIAL CREDITORS'!$C$285)</f>
        <v/>
      </c>
      <c r="C839">
        <f>'FINANCIAL CREDITORS'!$U$285</f>
        <v/>
      </c>
      <c r="D839">
        <f>'FINANCIAL CREDITORS'!$Y$285</f>
        <v/>
      </c>
      <c r="E839">
        <f>'FINANCIAL CREDITORS'!$AC$285</f>
        <v/>
      </c>
      <c r="F839">
        <f>IF('FINANCIAL CREDITORS'!$V$285="","",'FINANCIAL CREDITORS'!$V$285)</f>
        <v/>
      </c>
      <c r="G839">
        <f>IF('FINANCIAL CREDITORS'!$D$285="","",'FINANCIAL CREDITORS'!$D$285)</f>
        <v/>
      </c>
      <c r="H839">
        <f>IF('FINANCIAL CREDITORS'!$G$285="","",'FINANCIAL CREDITORS'!$G$285)</f>
        <v/>
      </c>
      <c r="I839">
        <f>IF('FINANCIAL CREDITORS'!$AT$285="","",'FINANCIAL CREDITORS'!$AT$285)</f>
        <v/>
      </c>
      <c r="J839">
        <f>IF('FINANCIAL CREDITORS'!$AX$285="","",'FINANCIAL CREDITORS'!$AX$285)</f>
        <v/>
      </c>
      <c r="K839">
        <f>IF('FINANCIAL CREDITORS'!$N$285="","",'FINANCIAL CREDITORS'!$N$285)</f>
        <v/>
      </c>
      <c r="L839">
        <f>IF('FINANCIAL CREDITORS'!$AE$285="","",'FINANCIAL CREDITORS'!$AE$285)</f>
        <v/>
      </c>
      <c r="M839" t="inlineStr">
        <is>
          <t>FINANCIAL</t>
        </is>
      </c>
      <c r="N839" t="inlineStr">
        <is>
          <t>FINANCIAL CREDITORS · row 285</t>
        </is>
      </c>
    </row>
    <row r="840">
      <c r="A840">
        <f>IF('FINANCIAL CREDITORS'!$A$286="","",'FINANCIAL CREDITORS'!$A$286)</f>
        <v/>
      </c>
      <c r="B840">
        <f>IF('FINANCIAL CREDITORS'!$C$286="","",'FINANCIAL CREDITORS'!$C$286)</f>
        <v/>
      </c>
      <c r="C840">
        <f>'FINANCIAL CREDITORS'!$U$286</f>
        <v/>
      </c>
      <c r="D840">
        <f>'FINANCIAL CREDITORS'!$Y$286</f>
        <v/>
      </c>
      <c r="E840">
        <f>'FINANCIAL CREDITORS'!$AC$286</f>
        <v/>
      </c>
      <c r="F840">
        <f>IF('FINANCIAL CREDITORS'!$V$286="","",'FINANCIAL CREDITORS'!$V$286)</f>
        <v/>
      </c>
      <c r="G840">
        <f>IF('FINANCIAL CREDITORS'!$D$286="","",'FINANCIAL CREDITORS'!$D$286)</f>
        <v/>
      </c>
      <c r="H840">
        <f>IF('FINANCIAL CREDITORS'!$G$286="","",'FINANCIAL CREDITORS'!$G$286)</f>
        <v/>
      </c>
      <c r="I840">
        <f>IF('FINANCIAL CREDITORS'!$AT$286="","",'FINANCIAL CREDITORS'!$AT$286)</f>
        <v/>
      </c>
      <c r="J840">
        <f>IF('FINANCIAL CREDITORS'!$AX$286="","",'FINANCIAL CREDITORS'!$AX$286)</f>
        <v/>
      </c>
      <c r="K840">
        <f>IF('FINANCIAL CREDITORS'!$N$286="","",'FINANCIAL CREDITORS'!$N$286)</f>
        <v/>
      </c>
      <c r="L840">
        <f>IF('FINANCIAL CREDITORS'!$AE$286="","",'FINANCIAL CREDITORS'!$AE$286)</f>
        <v/>
      </c>
      <c r="M840" t="inlineStr">
        <is>
          <t>FINANCIAL</t>
        </is>
      </c>
      <c r="N840" t="inlineStr">
        <is>
          <t>FINANCIAL CREDITORS · row 286</t>
        </is>
      </c>
    </row>
    <row r="841">
      <c r="A841">
        <f>IF('FINANCIAL CREDITORS'!$A$287="","",'FINANCIAL CREDITORS'!$A$287)</f>
        <v/>
      </c>
      <c r="B841">
        <f>IF('FINANCIAL CREDITORS'!$C$287="","",'FINANCIAL CREDITORS'!$C$287)</f>
        <v/>
      </c>
      <c r="C841">
        <f>'FINANCIAL CREDITORS'!$U$287</f>
        <v/>
      </c>
      <c r="D841">
        <f>'FINANCIAL CREDITORS'!$Y$287</f>
        <v/>
      </c>
      <c r="E841">
        <f>'FINANCIAL CREDITORS'!$AC$287</f>
        <v/>
      </c>
      <c r="F841">
        <f>IF('FINANCIAL CREDITORS'!$V$287="","",'FINANCIAL CREDITORS'!$V$287)</f>
        <v/>
      </c>
      <c r="G841">
        <f>IF('FINANCIAL CREDITORS'!$D$287="","",'FINANCIAL CREDITORS'!$D$287)</f>
        <v/>
      </c>
      <c r="H841">
        <f>IF('FINANCIAL CREDITORS'!$G$287="","",'FINANCIAL CREDITORS'!$G$287)</f>
        <v/>
      </c>
      <c r="I841">
        <f>IF('FINANCIAL CREDITORS'!$AT$287="","",'FINANCIAL CREDITORS'!$AT$287)</f>
        <v/>
      </c>
      <c r="J841">
        <f>IF('FINANCIAL CREDITORS'!$AX$287="","",'FINANCIAL CREDITORS'!$AX$287)</f>
        <v/>
      </c>
      <c r="K841">
        <f>IF('FINANCIAL CREDITORS'!$N$287="","",'FINANCIAL CREDITORS'!$N$287)</f>
        <v/>
      </c>
      <c r="L841">
        <f>IF('FINANCIAL CREDITORS'!$AE$287="","",'FINANCIAL CREDITORS'!$AE$287)</f>
        <v/>
      </c>
      <c r="M841" t="inlineStr">
        <is>
          <t>FINANCIAL</t>
        </is>
      </c>
      <c r="N841" t="inlineStr">
        <is>
          <t>FINANCIAL CREDITORS · row 287</t>
        </is>
      </c>
    </row>
    <row r="842">
      <c r="A842">
        <f>IF('FINANCIAL CREDITORS'!$A$288="","",'FINANCIAL CREDITORS'!$A$288)</f>
        <v/>
      </c>
      <c r="B842">
        <f>IF('FINANCIAL CREDITORS'!$C$288="","",'FINANCIAL CREDITORS'!$C$288)</f>
        <v/>
      </c>
      <c r="C842">
        <f>'FINANCIAL CREDITORS'!$U$288</f>
        <v/>
      </c>
      <c r="D842">
        <f>'FINANCIAL CREDITORS'!$Y$288</f>
        <v/>
      </c>
      <c r="E842">
        <f>'FINANCIAL CREDITORS'!$AC$288</f>
        <v/>
      </c>
      <c r="F842">
        <f>IF('FINANCIAL CREDITORS'!$V$288="","",'FINANCIAL CREDITORS'!$V$288)</f>
        <v/>
      </c>
      <c r="G842">
        <f>IF('FINANCIAL CREDITORS'!$D$288="","",'FINANCIAL CREDITORS'!$D$288)</f>
        <v/>
      </c>
      <c r="H842">
        <f>IF('FINANCIAL CREDITORS'!$G$288="","",'FINANCIAL CREDITORS'!$G$288)</f>
        <v/>
      </c>
      <c r="I842">
        <f>IF('FINANCIAL CREDITORS'!$AT$288="","",'FINANCIAL CREDITORS'!$AT$288)</f>
        <v/>
      </c>
      <c r="J842">
        <f>IF('FINANCIAL CREDITORS'!$AX$288="","",'FINANCIAL CREDITORS'!$AX$288)</f>
        <v/>
      </c>
      <c r="K842">
        <f>IF('FINANCIAL CREDITORS'!$N$288="","",'FINANCIAL CREDITORS'!$N$288)</f>
        <v/>
      </c>
      <c r="L842">
        <f>IF('FINANCIAL CREDITORS'!$AE$288="","",'FINANCIAL CREDITORS'!$AE$288)</f>
        <v/>
      </c>
      <c r="M842" t="inlineStr">
        <is>
          <t>FINANCIAL</t>
        </is>
      </c>
      <c r="N842" t="inlineStr">
        <is>
          <t>FINANCIAL CREDITORS · row 288</t>
        </is>
      </c>
    </row>
    <row r="843">
      <c r="A843">
        <f>IF('FINANCIAL CREDITORS'!$A$289="","",'FINANCIAL CREDITORS'!$A$289)</f>
        <v/>
      </c>
      <c r="B843">
        <f>IF('FINANCIAL CREDITORS'!$C$289="","",'FINANCIAL CREDITORS'!$C$289)</f>
        <v/>
      </c>
      <c r="C843">
        <f>'FINANCIAL CREDITORS'!$U$289</f>
        <v/>
      </c>
      <c r="D843">
        <f>'FINANCIAL CREDITORS'!$Y$289</f>
        <v/>
      </c>
      <c r="E843">
        <f>'FINANCIAL CREDITORS'!$AC$289</f>
        <v/>
      </c>
      <c r="F843">
        <f>IF('FINANCIAL CREDITORS'!$V$289="","",'FINANCIAL CREDITORS'!$V$289)</f>
        <v/>
      </c>
      <c r="G843">
        <f>IF('FINANCIAL CREDITORS'!$D$289="","",'FINANCIAL CREDITORS'!$D$289)</f>
        <v/>
      </c>
      <c r="H843">
        <f>IF('FINANCIAL CREDITORS'!$G$289="","",'FINANCIAL CREDITORS'!$G$289)</f>
        <v/>
      </c>
      <c r="I843">
        <f>IF('FINANCIAL CREDITORS'!$AT$289="","",'FINANCIAL CREDITORS'!$AT$289)</f>
        <v/>
      </c>
      <c r="J843">
        <f>IF('FINANCIAL CREDITORS'!$AX$289="","",'FINANCIAL CREDITORS'!$AX$289)</f>
        <v/>
      </c>
      <c r="K843">
        <f>IF('FINANCIAL CREDITORS'!$N$289="","",'FINANCIAL CREDITORS'!$N$289)</f>
        <v/>
      </c>
      <c r="L843">
        <f>IF('FINANCIAL CREDITORS'!$AE$289="","",'FINANCIAL CREDITORS'!$AE$289)</f>
        <v/>
      </c>
      <c r="M843" t="inlineStr">
        <is>
          <t>FINANCIAL</t>
        </is>
      </c>
      <c r="N843" t="inlineStr">
        <is>
          <t>FINANCIAL CREDITORS · row 289</t>
        </is>
      </c>
    </row>
    <row r="844">
      <c r="A844">
        <f>IF('FINANCIAL CREDITORS'!$A$290="","",'FINANCIAL CREDITORS'!$A$290)</f>
        <v/>
      </c>
      <c r="B844">
        <f>IF('FINANCIAL CREDITORS'!$C$290="","",'FINANCIAL CREDITORS'!$C$290)</f>
        <v/>
      </c>
      <c r="C844">
        <f>'FINANCIAL CREDITORS'!$U$290</f>
        <v/>
      </c>
      <c r="D844">
        <f>'FINANCIAL CREDITORS'!$Y$290</f>
        <v/>
      </c>
      <c r="E844">
        <f>'FINANCIAL CREDITORS'!$AC$290</f>
        <v/>
      </c>
      <c r="F844">
        <f>IF('FINANCIAL CREDITORS'!$V$290="","",'FINANCIAL CREDITORS'!$V$290)</f>
        <v/>
      </c>
      <c r="G844">
        <f>IF('FINANCIAL CREDITORS'!$D$290="","",'FINANCIAL CREDITORS'!$D$290)</f>
        <v/>
      </c>
      <c r="H844">
        <f>IF('FINANCIAL CREDITORS'!$G$290="","",'FINANCIAL CREDITORS'!$G$290)</f>
        <v/>
      </c>
      <c r="I844">
        <f>IF('FINANCIAL CREDITORS'!$AT$290="","",'FINANCIAL CREDITORS'!$AT$290)</f>
        <v/>
      </c>
      <c r="J844">
        <f>IF('FINANCIAL CREDITORS'!$AX$290="","",'FINANCIAL CREDITORS'!$AX$290)</f>
        <v/>
      </c>
      <c r="K844">
        <f>IF('FINANCIAL CREDITORS'!$N$290="","",'FINANCIAL CREDITORS'!$N$290)</f>
        <v/>
      </c>
      <c r="L844">
        <f>IF('FINANCIAL CREDITORS'!$AE$290="","",'FINANCIAL CREDITORS'!$AE$290)</f>
        <v/>
      </c>
      <c r="M844" t="inlineStr">
        <is>
          <t>FINANCIAL</t>
        </is>
      </c>
      <c r="N844" t="inlineStr">
        <is>
          <t>FINANCIAL CREDITORS · row 290</t>
        </is>
      </c>
    </row>
    <row r="845">
      <c r="A845">
        <f>IF('FINANCIAL CREDITORS'!$A$291="","",'FINANCIAL CREDITORS'!$A$291)</f>
        <v/>
      </c>
      <c r="B845">
        <f>IF('FINANCIAL CREDITORS'!$C$291="","",'FINANCIAL CREDITORS'!$C$291)</f>
        <v/>
      </c>
      <c r="C845">
        <f>'FINANCIAL CREDITORS'!$U$291</f>
        <v/>
      </c>
      <c r="D845">
        <f>'FINANCIAL CREDITORS'!$Y$291</f>
        <v/>
      </c>
      <c r="E845">
        <f>'FINANCIAL CREDITORS'!$AC$291</f>
        <v/>
      </c>
      <c r="F845">
        <f>IF('FINANCIAL CREDITORS'!$V$291="","",'FINANCIAL CREDITORS'!$V$291)</f>
        <v/>
      </c>
      <c r="G845">
        <f>IF('FINANCIAL CREDITORS'!$D$291="","",'FINANCIAL CREDITORS'!$D$291)</f>
        <v/>
      </c>
      <c r="H845">
        <f>IF('FINANCIAL CREDITORS'!$G$291="","",'FINANCIAL CREDITORS'!$G$291)</f>
        <v/>
      </c>
      <c r="I845">
        <f>IF('FINANCIAL CREDITORS'!$AT$291="","",'FINANCIAL CREDITORS'!$AT$291)</f>
        <v/>
      </c>
      <c r="J845">
        <f>IF('FINANCIAL CREDITORS'!$AX$291="","",'FINANCIAL CREDITORS'!$AX$291)</f>
        <v/>
      </c>
      <c r="K845">
        <f>IF('FINANCIAL CREDITORS'!$N$291="","",'FINANCIAL CREDITORS'!$N$291)</f>
        <v/>
      </c>
      <c r="L845">
        <f>IF('FINANCIAL CREDITORS'!$AE$291="","",'FINANCIAL CREDITORS'!$AE$291)</f>
        <v/>
      </c>
      <c r="M845" t="inlineStr">
        <is>
          <t>FINANCIAL</t>
        </is>
      </c>
      <c r="N845" t="inlineStr">
        <is>
          <t>FINANCIAL CREDITORS · row 291</t>
        </is>
      </c>
    </row>
    <row r="846">
      <c r="A846">
        <f>IF('FINANCIAL CREDITORS'!$A$292="","",'FINANCIAL CREDITORS'!$A$292)</f>
        <v/>
      </c>
      <c r="B846">
        <f>IF('FINANCIAL CREDITORS'!$C$292="","",'FINANCIAL CREDITORS'!$C$292)</f>
        <v/>
      </c>
      <c r="C846">
        <f>'FINANCIAL CREDITORS'!$U$292</f>
        <v/>
      </c>
      <c r="D846">
        <f>'FINANCIAL CREDITORS'!$Y$292</f>
        <v/>
      </c>
      <c r="E846">
        <f>'FINANCIAL CREDITORS'!$AC$292</f>
        <v/>
      </c>
      <c r="F846">
        <f>IF('FINANCIAL CREDITORS'!$V$292="","",'FINANCIAL CREDITORS'!$V$292)</f>
        <v/>
      </c>
      <c r="G846">
        <f>IF('FINANCIAL CREDITORS'!$D$292="","",'FINANCIAL CREDITORS'!$D$292)</f>
        <v/>
      </c>
      <c r="H846">
        <f>IF('FINANCIAL CREDITORS'!$G$292="","",'FINANCIAL CREDITORS'!$G$292)</f>
        <v/>
      </c>
      <c r="I846">
        <f>IF('FINANCIAL CREDITORS'!$AT$292="","",'FINANCIAL CREDITORS'!$AT$292)</f>
        <v/>
      </c>
      <c r="J846">
        <f>IF('FINANCIAL CREDITORS'!$AX$292="","",'FINANCIAL CREDITORS'!$AX$292)</f>
        <v/>
      </c>
      <c r="K846">
        <f>IF('FINANCIAL CREDITORS'!$N$292="","",'FINANCIAL CREDITORS'!$N$292)</f>
        <v/>
      </c>
      <c r="L846">
        <f>IF('FINANCIAL CREDITORS'!$AE$292="","",'FINANCIAL CREDITORS'!$AE$292)</f>
        <v/>
      </c>
      <c r="M846" t="inlineStr">
        <is>
          <t>FINANCIAL</t>
        </is>
      </c>
      <c r="N846" t="inlineStr">
        <is>
          <t>FINANCIAL CREDITORS · row 292</t>
        </is>
      </c>
    </row>
    <row r="847">
      <c r="A847">
        <f>IF('FINANCIAL CREDITORS'!$A$293="","",'FINANCIAL CREDITORS'!$A$293)</f>
        <v/>
      </c>
      <c r="B847">
        <f>IF('FINANCIAL CREDITORS'!$C$293="","",'FINANCIAL CREDITORS'!$C$293)</f>
        <v/>
      </c>
      <c r="C847">
        <f>'FINANCIAL CREDITORS'!$U$293</f>
        <v/>
      </c>
      <c r="D847">
        <f>'FINANCIAL CREDITORS'!$Y$293</f>
        <v/>
      </c>
      <c r="E847">
        <f>'FINANCIAL CREDITORS'!$AC$293</f>
        <v/>
      </c>
      <c r="F847">
        <f>IF('FINANCIAL CREDITORS'!$V$293="","",'FINANCIAL CREDITORS'!$V$293)</f>
        <v/>
      </c>
      <c r="G847">
        <f>IF('FINANCIAL CREDITORS'!$D$293="","",'FINANCIAL CREDITORS'!$D$293)</f>
        <v/>
      </c>
      <c r="H847">
        <f>IF('FINANCIAL CREDITORS'!$G$293="","",'FINANCIAL CREDITORS'!$G$293)</f>
        <v/>
      </c>
      <c r="I847">
        <f>IF('FINANCIAL CREDITORS'!$AT$293="","",'FINANCIAL CREDITORS'!$AT$293)</f>
        <v/>
      </c>
      <c r="J847">
        <f>IF('FINANCIAL CREDITORS'!$AX$293="","",'FINANCIAL CREDITORS'!$AX$293)</f>
        <v/>
      </c>
      <c r="K847">
        <f>IF('FINANCIAL CREDITORS'!$N$293="","",'FINANCIAL CREDITORS'!$N$293)</f>
        <v/>
      </c>
      <c r="L847">
        <f>IF('FINANCIAL CREDITORS'!$AE$293="","",'FINANCIAL CREDITORS'!$AE$293)</f>
        <v/>
      </c>
      <c r="M847" t="inlineStr">
        <is>
          <t>FINANCIAL</t>
        </is>
      </c>
      <c r="N847" t="inlineStr">
        <is>
          <t>FINANCIAL CREDITORS · row 293</t>
        </is>
      </c>
    </row>
    <row r="848">
      <c r="A848">
        <f>IF('FINANCIAL CREDITORS'!$A$294="","",'FINANCIAL CREDITORS'!$A$294)</f>
        <v/>
      </c>
      <c r="B848">
        <f>IF('FINANCIAL CREDITORS'!$C$294="","",'FINANCIAL CREDITORS'!$C$294)</f>
        <v/>
      </c>
      <c r="C848">
        <f>'FINANCIAL CREDITORS'!$U$294</f>
        <v/>
      </c>
      <c r="D848">
        <f>'FINANCIAL CREDITORS'!$Y$294</f>
        <v/>
      </c>
      <c r="E848">
        <f>'FINANCIAL CREDITORS'!$AC$294</f>
        <v/>
      </c>
      <c r="F848">
        <f>IF('FINANCIAL CREDITORS'!$V$294="","",'FINANCIAL CREDITORS'!$V$294)</f>
        <v/>
      </c>
      <c r="G848">
        <f>IF('FINANCIAL CREDITORS'!$D$294="","",'FINANCIAL CREDITORS'!$D$294)</f>
        <v/>
      </c>
      <c r="H848">
        <f>IF('FINANCIAL CREDITORS'!$G$294="","",'FINANCIAL CREDITORS'!$G$294)</f>
        <v/>
      </c>
      <c r="I848">
        <f>IF('FINANCIAL CREDITORS'!$AT$294="","",'FINANCIAL CREDITORS'!$AT$294)</f>
        <v/>
      </c>
      <c r="J848">
        <f>IF('FINANCIAL CREDITORS'!$AX$294="","",'FINANCIAL CREDITORS'!$AX$294)</f>
        <v/>
      </c>
      <c r="K848">
        <f>IF('FINANCIAL CREDITORS'!$N$294="","",'FINANCIAL CREDITORS'!$N$294)</f>
        <v/>
      </c>
      <c r="L848">
        <f>IF('FINANCIAL CREDITORS'!$AE$294="","",'FINANCIAL CREDITORS'!$AE$294)</f>
        <v/>
      </c>
      <c r="M848" t="inlineStr">
        <is>
          <t>FINANCIAL</t>
        </is>
      </c>
      <c r="N848" t="inlineStr">
        <is>
          <t>FINANCIAL CREDITORS · row 294</t>
        </is>
      </c>
    </row>
    <row r="849">
      <c r="A849">
        <f>IF('FINANCIAL CREDITORS'!$A$295="","",'FINANCIAL CREDITORS'!$A$295)</f>
        <v/>
      </c>
      <c r="B849">
        <f>IF('FINANCIAL CREDITORS'!$C$295="","",'FINANCIAL CREDITORS'!$C$295)</f>
        <v/>
      </c>
      <c r="C849">
        <f>'FINANCIAL CREDITORS'!$U$295</f>
        <v/>
      </c>
      <c r="D849">
        <f>'FINANCIAL CREDITORS'!$Y$295</f>
        <v/>
      </c>
      <c r="E849">
        <f>'FINANCIAL CREDITORS'!$AC$295</f>
        <v/>
      </c>
      <c r="F849">
        <f>IF('FINANCIAL CREDITORS'!$V$295="","",'FINANCIAL CREDITORS'!$V$295)</f>
        <v/>
      </c>
      <c r="G849">
        <f>IF('FINANCIAL CREDITORS'!$D$295="","",'FINANCIAL CREDITORS'!$D$295)</f>
        <v/>
      </c>
      <c r="H849">
        <f>IF('FINANCIAL CREDITORS'!$G$295="","",'FINANCIAL CREDITORS'!$G$295)</f>
        <v/>
      </c>
      <c r="I849">
        <f>IF('FINANCIAL CREDITORS'!$AT$295="","",'FINANCIAL CREDITORS'!$AT$295)</f>
        <v/>
      </c>
      <c r="J849">
        <f>IF('FINANCIAL CREDITORS'!$AX$295="","",'FINANCIAL CREDITORS'!$AX$295)</f>
        <v/>
      </c>
      <c r="K849">
        <f>IF('FINANCIAL CREDITORS'!$N$295="","",'FINANCIAL CREDITORS'!$N$295)</f>
        <v/>
      </c>
      <c r="L849">
        <f>IF('FINANCIAL CREDITORS'!$AE$295="","",'FINANCIAL CREDITORS'!$AE$295)</f>
        <v/>
      </c>
      <c r="M849" t="inlineStr">
        <is>
          <t>FINANCIAL</t>
        </is>
      </c>
      <c r="N849" t="inlineStr">
        <is>
          <t>FINANCIAL CREDITORS · row 295</t>
        </is>
      </c>
    </row>
    <row r="850">
      <c r="A850">
        <f>IF('FINANCIAL CREDITORS'!$A$296="","",'FINANCIAL CREDITORS'!$A$296)</f>
        <v/>
      </c>
      <c r="B850">
        <f>IF('FINANCIAL CREDITORS'!$C$296="","",'FINANCIAL CREDITORS'!$C$296)</f>
        <v/>
      </c>
      <c r="C850">
        <f>'FINANCIAL CREDITORS'!$U$296</f>
        <v/>
      </c>
      <c r="D850">
        <f>'FINANCIAL CREDITORS'!$Y$296</f>
        <v/>
      </c>
      <c r="E850">
        <f>'FINANCIAL CREDITORS'!$AC$296</f>
        <v/>
      </c>
      <c r="F850">
        <f>IF('FINANCIAL CREDITORS'!$V$296="","",'FINANCIAL CREDITORS'!$V$296)</f>
        <v/>
      </c>
      <c r="G850">
        <f>IF('FINANCIAL CREDITORS'!$D$296="","",'FINANCIAL CREDITORS'!$D$296)</f>
        <v/>
      </c>
      <c r="H850">
        <f>IF('FINANCIAL CREDITORS'!$G$296="","",'FINANCIAL CREDITORS'!$G$296)</f>
        <v/>
      </c>
      <c r="I850">
        <f>IF('FINANCIAL CREDITORS'!$AT$296="","",'FINANCIAL CREDITORS'!$AT$296)</f>
        <v/>
      </c>
      <c r="J850">
        <f>IF('FINANCIAL CREDITORS'!$AX$296="","",'FINANCIAL CREDITORS'!$AX$296)</f>
        <v/>
      </c>
      <c r="K850">
        <f>IF('FINANCIAL CREDITORS'!$N$296="","",'FINANCIAL CREDITORS'!$N$296)</f>
        <v/>
      </c>
      <c r="L850">
        <f>IF('FINANCIAL CREDITORS'!$AE$296="","",'FINANCIAL CREDITORS'!$AE$296)</f>
        <v/>
      </c>
      <c r="M850" t="inlineStr">
        <is>
          <t>FINANCIAL</t>
        </is>
      </c>
      <c r="N850" t="inlineStr">
        <is>
          <t>FINANCIAL CREDITORS · row 296</t>
        </is>
      </c>
    </row>
    <row r="851">
      <c r="A851">
        <f>IF('FINANCIAL CREDITORS'!$A$297="","",'FINANCIAL CREDITORS'!$A$297)</f>
        <v/>
      </c>
      <c r="B851">
        <f>IF('FINANCIAL CREDITORS'!$C$297="","",'FINANCIAL CREDITORS'!$C$297)</f>
        <v/>
      </c>
      <c r="C851">
        <f>'FINANCIAL CREDITORS'!$U$297</f>
        <v/>
      </c>
      <c r="D851">
        <f>'FINANCIAL CREDITORS'!$Y$297</f>
        <v/>
      </c>
      <c r="E851">
        <f>'FINANCIAL CREDITORS'!$AC$297</f>
        <v/>
      </c>
      <c r="F851">
        <f>IF('FINANCIAL CREDITORS'!$V$297="","",'FINANCIAL CREDITORS'!$V$297)</f>
        <v/>
      </c>
      <c r="G851">
        <f>IF('FINANCIAL CREDITORS'!$D$297="","",'FINANCIAL CREDITORS'!$D$297)</f>
        <v/>
      </c>
      <c r="H851">
        <f>IF('FINANCIAL CREDITORS'!$G$297="","",'FINANCIAL CREDITORS'!$G$297)</f>
        <v/>
      </c>
      <c r="I851">
        <f>IF('FINANCIAL CREDITORS'!$AT$297="","",'FINANCIAL CREDITORS'!$AT$297)</f>
        <v/>
      </c>
      <c r="J851">
        <f>IF('FINANCIAL CREDITORS'!$AX$297="","",'FINANCIAL CREDITORS'!$AX$297)</f>
        <v/>
      </c>
      <c r="K851">
        <f>IF('FINANCIAL CREDITORS'!$N$297="","",'FINANCIAL CREDITORS'!$N$297)</f>
        <v/>
      </c>
      <c r="L851">
        <f>IF('FINANCIAL CREDITORS'!$AE$297="","",'FINANCIAL CREDITORS'!$AE$297)</f>
        <v/>
      </c>
      <c r="M851" t="inlineStr">
        <is>
          <t>FINANCIAL</t>
        </is>
      </c>
      <c r="N851" t="inlineStr">
        <is>
          <t>FINANCIAL CREDITORS · row 297</t>
        </is>
      </c>
    </row>
    <row r="852">
      <c r="A852">
        <f>IF('FINANCIAL CREDITORS'!$A$298="","",'FINANCIAL CREDITORS'!$A$298)</f>
        <v/>
      </c>
      <c r="B852">
        <f>IF('FINANCIAL CREDITORS'!$C$298="","",'FINANCIAL CREDITORS'!$C$298)</f>
        <v/>
      </c>
      <c r="C852">
        <f>'FINANCIAL CREDITORS'!$U$298</f>
        <v/>
      </c>
      <c r="D852">
        <f>'FINANCIAL CREDITORS'!$Y$298</f>
        <v/>
      </c>
      <c r="E852">
        <f>'FINANCIAL CREDITORS'!$AC$298</f>
        <v/>
      </c>
      <c r="F852">
        <f>IF('FINANCIAL CREDITORS'!$V$298="","",'FINANCIAL CREDITORS'!$V$298)</f>
        <v/>
      </c>
      <c r="G852">
        <f>IF('FINANCIAL CREDITORS'!$D$298="","",'FINANCIAL CREDITORS'!$D$298)</f>
        <v/>
      </c>
      <c r="H852">
        <f>IF('FINANCIAL CREDITORS'!$G$298="","",'FINANCIAL CREDITORS'!$G$298)</f>
        <v/>
      </c>
      <c r="I852">
        <f>IF('FINANCIAL CREDITORS'!$AT$298="","",'FINANCIAL CREDITORS'!$AT$298)</f>
        <v/>
      </c>
      <c r="J852">
        <f>IF('FINANCIAL CREDITORS'!$AX$298="","",'FINANCIAL CREDITORS'!$AX$298)</f>
        <v/>
      </c>
      <c r="K852">
        <f>IF('FINANCIAL CREDITORS'!$N$298="","",'FINANCIAL CREDITORS'!$N$298)</f>
        <v/>
      </c>
      <c r="L852">
        <f>IF('FINANCIAL CREDITORS'!$AE$298="","",'FINANCIAL CREDITORS'!$AE$298)</f>
        <v/>
      </c>
      <c r="M852" t="inlineStr">
        <is>
          <t>FINANCIAL</t>
        </is>
      </c>
      <c r="N852" t="inlineStr">
        <is>
          <t>FINANCIAL CREDITORS · row 298</t>
        </is>
      </c>
    </row>
    <row r="853">
      <c r="A853">
        <f>IF('FINANCIAL CREDITORS'!$A$299="","",'FINANCIAL CREDITORS'!$A$299)</f>
        <v/>
      </c>
      <c r="B853">
        <f>IF('FINANCIAL CREDITORS'!$C$299="","",'FINANCIAL CREDITORS'!$C$299)</f>
        <v/>
      </c>
      <c r="C853">
        <f>'FINANCIAL CREDITORS'!$U$299</f>
        <v/>
      </c>
      <c r="D853">
        <f>'FINANCIAL CREDITORS'!$Y$299</f>
        <v/>
      </c>
      <c r="E853">
        <f>'FINANCIAL CREDITORS'!$AC$299</f>
        <v/>
      </c>
      <c r="F853">
        <f>IF('FINANCIAL CREDITORS'!$V$299="","",'FINANCIAL CREDITORS'!$V$299)</f>
        <v/>
      </c>
      <c r="G853">
        <f>IF('FINANCIAL CREDITORS'!$D$299="","",'FINANCIAL CREDITORS'!$D$299)</f>
        <v/>
      </c>
      <c r="H853">
        <f>IF('FINANCIAL CREDITORS'!$G$299="","",'FINANCIAL CREDITORS'!$G$299)</f>
        <v/>
      </c>
      <c r="I853">
        <f>IF('FINANCIAL CREDITORS'!$AT$299="","",'FINANCIAL CREDITORS'!$AT$299)</f>
        <v/>
      </c>
      <c r="J853">
        <f>IF('FINANCIAL CREDITORS'!$AX$299="","",'FINANCIAL CREDITORS'!$AX$299)</f>
        <v/>
      </c>
      <c r="K853">
        <f>IF('FINANCIAL CREDITORS'!$N$299="","",'FINANCIAL CREDITORS'!$N$299)</f>
        <v/>
      </c>
      <c r="L853">
        <f>IF('FINANCIAL CREDITORS'!$AE$299="","",'FINANCIAL CREDITORS'!$AE$299)</f>
        <v/>
      </c>
      <c r="M853" t="inlineStr">
        <is>
          <t>FINANCIAL</t>
        </is>
      </c>
      <c r="N853" t="inlineStr">
        <is>
          <t>FINANCIAL CREDITORS · row 299</t>
        </is>
      </c>
    </row>
    <row r="854">
      <c r="A854">
        <f>IF('FINANCIAL CREDITORS'!$A$300="","",'FINANCIAL CREDITORS'!$A$300)</f>
        <v/>
      </c>
      <c r="B854">
        <f>IF('FINANCIAL CREDITORS'!$C$300="","",'FINANCIAL CREDITORS'!$C$300)</f>
        <v/>
      </c>
      <c r="C854">
        <f>'FINANCIAL CREDITORS'!$U$300</f>
        <v/>
      </c>
      <c r="D854">
        <f>'FINANCIAL CREDITORS'!$Y$300</f>
        <v/>
      </c>
      <c r="E854">
        <f>'FINANCIAL CREDITORS'!$AC$300</f>
        <v/>
      </c>
      <c r="F854">
        <f>IF('FINANCIAL CREDITORS'!$V$300="","",'FINANCIAL CREDITORS'!$V$300)</f>
        <v/>
      </c>
      <c r="G854">
        <f>IF('FINANCIAL CREDITORS'!$D$300="","",'FINANCIAL CREDITORS'!$D$300)</f>
        <v/>
      </c>
      <c r="H854">
        <f>IF('FINANCIAL CREDITORS'!$G$300="","",'FINANCIAL CREDITORS'!$G$300)</f>
        <v/>
      </c>
      <c r="I854">
        <f>IF('FINANCIAL CREDITORS'!$AT$300="","",'FINANCIAL CREDITORS'!$AT$300)</f>
        <v/>
      </c>
      <c r="J854">
        <f>IF('FINANCIAL CREDITORS'!$AX$300="","",'FINANCIAL CREDITORS'!$AX$300)</f>
        <v/>
      </c>
      <c r="K854">
        <f>IF('FINANCIAL CREDITORS'!$N$300="","",'FINANCIAL CREDITORS'!$N$300)</f>
        <v/>
      </c>
      <c r="L854">
        <f>IF('FINANCIAL CREDITORS'!$AE$300="","",'FINANCIAL CREDITORS'!$AE$300)</f>
        <v/>
      </c>
      <c r="M854" t="inlineStr">
        <is>
          <t>FINANCIAL</t>
        </is>
      </c>
      <c r="N854" t="inlineStr">
        <is>
          <t>FINANCIAL CREDITORS · row 300</t>
        </is>
      </c>
    </row>
    <row r="855">
      <c r="A855">
        <f>IF('FINANCIAL CREDITORS'!$A$301="","",'FINANCIAL CREDITORS'!$A$301)</f>
        <v/>
      </c>
      <c r="B855">
        <f>IF('FINANCIAL CREDITORS'!$C$301="","",'FINANCIAL CREDITORS'!$C$301)</f>
        <v/>
      </c>
      <c r="C855">
        <f>'FINANCIAL CREDITORS'!$U$301</f>
        <v/>
      </c>
      <c r="D855">
        <f>'FINANCIAL CREDITORS'!$Y$301</f>
        <v/>
      </c>
      <c r="E855">
        <f>'FINANCIAL CREDITORS'!$AC$301</f>
        <v/>
      </c>
      <c r="F855">
        <f>IF('FINANCIAL CREDITORS'!$V$301="","",'FINANCIAL CREDITORS'!$V$301)</f>
        <v/>
      </c>
      <c r="G855">
        <f>IF('FINANCIAL CREDITORS'!$D$301="","",'FINANCIAL CREDITORS'!$D$301)</f>
        <v/>
      </c>
      <c r="H855">
        <f>IF('FINANCIAL CREDITORS'!$G$301="","",'FINANCIAL CREDITORS'!$G$301)</f>
        <v/>
      </c>
      <c r="I855">
        <f>IF('FINANCIAL CREDITORS'!$AT$301="","",'FINANCIAL CREDITORS'!$AT$301)</f>
        <v/>
      </c>
      <c r="J855">
        <f>IF('FINANCIAL CREDITORS'!$AX$301="","",'FINANCIAL CREDITORS'!$AX$301)</f>
        <v/>
      </c>
      <c r="K855">
        <f>IF('FINANCIAL CREDITORS'!$N$301="","",'FINANCIAL CREDITORS'!$N$301)</f>
        <v/>
      </c>
      <c r="L855">
        <f>IF('FINANCIAL CREDITORS'!$AE$301="","",'FINANCIAL CREDITORS'!$AE$301)</f>
        <v/>
      </c>
      <c r="M855" t="inlineStr">
        <is>
          <t>FINANCIAL</t>
        </is>
      </c>
      <c r="N855" t="inlineStr">
        <is>
          <t>FINANCIAL CREDITORS · row 301</t>
        </is>
      </c>
    </row>
    <row r="856">
      <c r="A856">
        <f>IF('FINANCIAL CREDITORS'!$A$302="","",'FINANCIAL CREDITORS'!$A$302)</f>
        <v/>
      </c>
      <c r="B856">
        <f>IF('FINANCIAL CREDITORS'!$C$302="","",'FINANCIAL CREDITORS'!$C$302)</f>
        <v/>
      </c>
      <c r="C856">
        <f>'FINANCIAL CREDITORS'!$U$302</f>
        <v/>
      </c>
      <c r="D856">
        <f>'FINANCIAL CREDITORS'!$Y$302</f>
        <v/>
      </c>
      <c r="E856">
        <f>'FINANCIAL CREDITORS'!$AC$302</f>
        <v/>
      </c>
      <c r="F856">
        <f>IF('FINANCIAL CREDITORS'!$V$302="","",'FINANCIAL CREDITORS'!$V$302)</f>
        <v/>
      </c>
      <c r="G856">
        <f>IF('FINANCIAL CREDITORS'!$D$302="","",'FINANCIAL CREDITORS'!$D$302)</f>
        <v/>
      </c>
      <c r="H856">
        <f>IF('FINANCIAL CREDITORS'!$G$302="","",'FINANCIAL CREDITORS'!$G$302)</f>
        <v/>
      </c>
      <c r="I856">
        <f>IF('FINANCIAL CREDITORS'!$AT$302="","",'FINANCIAL CREDITORS'!$AT$302)</f>
        <v/>
      </c>
      <c r="J856">
        <f>IF('FINANCIAL CREDITORS'!$AX$302="","",'FINANCIAL CREDITORS'!$AX$302)</f>
        <v/>
      </c>
      <c r="K856">
        <f>IF('FINANCIAL CREDITORS'!$N$302="","",'FINANCIAL CREDITORS'!$N$302)</f>
        <v/>
      </c>
      <c r="L856">
        <f>IF('FINANCIAL CREDITORS'!$AE$302="","",'FINANCIAL CREDITORS'!$AE$302)</f>
        <v/>
      </c>
      <c r="M856" t="inlineStr">
        <is>
          <t>FINANCIAL</t>
        </is>
      </c>
      <c r="N856" t="inlineStr">
        <is>
          <t>FINANCIAL CREDITORS · row 302</t>
        </is>
      </c>
    </row>
    <row r="857">
      <c r="A857">
        <f>IF('FINANCIAL CREDITORS'!$A$303="","",'FINANCIAL CREDITORS'!$A$303)</f>
        <v/>
      </c>
      <c r="B857">
        <f>IF('FINANCIAL CREDITORS'!$C$303="","",'FINANCIAL CREDITORS'!$C$303)</f>
        <v/>
      </c>
      <c r="C857">
        <f>'FINANCIAL CREDITORS'!$U$303</f>
        <v/>
      </c>
      <c r="D857">
        <f>'FINANCIAL CREDITORS'!$Y$303</f>
        <v/>
      </c>
      <c r="E857">
        <f>'FINANCIAL CREDITORS'!$AC$303</f>
        <v/>
      </c>
      <c r="F857">
        <f>IF('FINANCIAL CREDITORS'!$V$303="","",'FINANCIAL CREDITORS'!$V$303)</f>
        <v/>
      </c>
      <c r="G857">
        <f>IF('FINANCIAL CREDITORS'!$D$303="","",'FINANCIAL CREDITORS'!$D$303)</f>
        <v/>
      </c>
      <c r="H857">
        <f>IF('FINANCIAL CREDITORS'!$G$303="","",'FINANCIAL CREDITORS'!$G$303)</f>
        <v/>
      </c>
      <c r="I857">
        <f>IF('FINANCIAL CREDITORS'!$AT$303="","",'FINANCIAL CREDITORS'!$AT$303)</f>
        <v/>
      </c>
      <c r="J857">
        <f>IF('FINANCIAL CREDITORS'!$AX$303="","",'FINANCIAL CREDITORS'!$AX$303)</f>
        <v/>
      </c>
      <c r="K857">
        <f>IF('FINANCIAL CREDITORS'!$N$303="","",'FINANCIAL CREDITORS'!$N$303)</f>
        <v/>
      </c>
      <c r="L857">
        <f>IF('FINANCIAL CREDITORS'!$AE$303="","",'FINANCIAL CREDITORS'!$AE$303)</f>
        <v/>
      </c>
      <c r="M857" t="inlineStr">
        <is>
          <t>FINANCIAL</t>
        </is>
      </c>
      <c r="N857" t="inlineStr">
        <is>
          <t>FINANCIAL CREDITORS · row 303</t>
        </is>
      </c>
    </row>
    <row r="858">
      <c r="A858">
        <f>IF('FINANCIAL CREDITORS'!$A$304="","",'FINANCIAL CREDITORS'!$A$304)</f>
        <v/>
      </c>
      <c r="B858">
        <f>IF('FINANCIAL CREDITORS'!$C$304="","",'FINANCIAL CREDITORS'!$C$304)</f>
        <v/>
      </c>
      <c r="C858">
        <f>'FINANCIAL CREDITORS'!$U$304</f>
        <v/>
      </c>
      <c r="D858">
        <f>'FINANCIAL CREDITORS'!$Y$304</f>
        <v/>
      </c>
      <c r="E858">
        <f>'FINANCIAL CREDITORS'!$AC$304</f>
        <v/>
      </c>
      <c r="F858">
        <f>IF('FINANCIAL CREDITORS'!$V$304="","",'FINANCIAL CREDITORS'!$V$304)</f>
        <v/>
      </c>
      <c r="G858">
        <f>IF('FINANCIAL CREDITORS'!$D$304="","",'FINANCIAL CREDITORS'!$D$304)</f>
        <v/>
      </c>
      <c r="H858">
        <f>IF('FINANCIAL CREDITORS'!$G$304="","",'FINANCIAL CREDITORS'!$G$304)</f>
        <v/>
      </c>
      <c r="I858">
        <f>IF('FINANCIAL CREDITORS'!$AT$304="","",'FINANCIAL CREDITORS'!$AT$304)</f>
        <v/>
      </c>
      <c r="J858">
        <f>IF('FINANCIAL CREDITORS'!$AX$304="","",'FINANCIAL CREDITORS'!$AX$304)</f>
        <v/>
      </c>
      <c r="K858">
        <f>IF('FINANCIAL CREDITORS'!$N$304="","",'FINANCIAL CREDITORS'!$N$304)</f>
        <v/>
      </c>
      <c r="L858">
        <f>IF('FINANCIAL CREDITORS'!$AE$304="","",'FINANCIAL CREDITORS'!$AE$304)</f>
        <v/>
      </c>
      <c r="M858" t="inlineStr">
        <is>
          <t>FINANCIAL</t>
        </is>
      </c>
      <c r="N858" t="inlineStr">
        <is>
          <t>FINANCIAL CREDITORS · row 304</t>
        </is>
      </c>
    </row>
    <row r="859">
      <c r="A859">
        <f>IF('FINANCIAL CREDITORS'!$A$305="","",'FINANCIAL CREDITORS'!$A$305)</f>
        <v/>
      </c>
      <c r="B859">
        <f>IF('FINANCIAL CREDITORS'!$C$305="","",'FINANCIAL CREDITORS'!$C$305)</f>
        <v/>
      </c>
      <c r="C859">
        <f>'FINANCIAL CREDITORS'!$U$305</f>
        <v/>
      </c>
      <c r="D859">
        <f>'FINANCIAL CREDITORS'!$Y$305</f>
        <v/>
      </c>
      <c r="E859">
        <f>'FINANCIAL CREDITORS'!$AC$305</f>
        <v/>
      </c>
      <c r="F859">
        <f>IF('FINANCIAL CREDITORS'!$V$305="","",'FINANCIAL CREDITORS'!$V$305)</f>
        <v/>
      </c>
      <c r="G859">
        <f>IF('FINANCIAL CREDITORS'!$D$305="","",'FINANCIAL CREDITORS'!$D$305)</f>
        <v/>
      </c>
      <c r="H859">
        <f>IF('FINANCIAL CREDITORS'!$G$305="","",'FINANCIAL CREDITORS'!$G$305)</f>
        <v/>
      </c>
      <c r="I859">
        <f>IF('FINANCIAL CREDITORS'!$AT$305="","",'FINANCIAL CREDITORS'!$AT$305)</f>
        <v/>
      </c>
      <c r="J859">
        <f>IF('FINANCIAL CREDITORS'!$AX$305="","",'FINANCIAL CREDITORS'!$AX$305)</f>
        <v/>
      </c>
      <c r="K859">
        <f>IF('FINANCIAL CREDITORS'!$N$305="","",'FINANCIAL CREDITORS'!$N$305)</f>
        <v/>
      </c>
      <c r="L859">
        <f>IF('FINANCIAL CREDITORS'!$AE$305="","",'FINANCIAL CREDITORS'!$AE$305)</f>
        <v/>
      </c>
      <c r="M859" t="inlineStr">
        <is>
          <t>FINANCIAL</t>
        </is>
      </c>
      <c r="N859" t="inlineStr">
        <is>
          <t>FINANCIAL CREDITORS · row 305</t>
        </is>
      </c>
    </row>
    <row r="860">
      <c r="A860">
        <f>IF('FINANCIAL CREDITORS'!$A$306="","",'FINANCIAL CREDITORS'!$A$306)</f>
        <v/>
      </c>
      <c r="B860">
        <f>IF('FINANCIAL CREDITORS'!$C$306="","",'FINANCIAL CREDITORS'!$C$306)</f>
        <v/>
      </c>
      <c r="C860">
        <f>'FINANCIAL CREDITORS'!$U$306</f>
        <v/>
      </c>
      <c r="D860">
        <f>'FINANCIAL CREDITORS'!$Y$306</f>
        <v/>
      </c>
      <c r="E860">
        <f>'FINANCIAL CREDITORS'!$AC$306</f>
        <v/>
      </c>
      <c r="F860">
        <f>IF('FINANCIAL CREDITORS'!$V$306="","",'FINANCIAL CREDITORS'!$V$306)</f>
        <v/>
      </c>
      <c r="G860">
        <f>IF('FINANCIAL CREDITORS'!$D$306="","",'FINANCIAL CREDITORS'!$D$306)</f>
        <v/>
      </c>
      <c r="H860">
        <f>IF('FINANCIAL CREDITORS'!$G$306="","",'FINANCIAL CREDITORS'!$G$306)</f>
        <v/>
      </c>
      <c r="I860">
        <f>IF('FINANCIAL CREDITORS'!$AT$306="","",'FINANCIAL CREDITORS'!$AT$306)</f>
        <v/>
      </c>
      <c r="J860">
        <f>IF('FINANCIAL CREDITORS'!$AX$306="","",'FINANCIAL CREDITORS'!$AX$306)</f>
        <v/>
      </c>
      <c r="K860">
        <f>IF('FINANCIAL CREDITORS'!$N$306="","",'FINANCIAL CREDITORS'!$N$306)</f>
        <v/>
      </c>
      <c r="L860">
        <f>IF('FINANCIAL CREDITORS'!$AE$306="","",'FINANCIAL CREDITORS'!$AE$306)</f>
        <v/>
      </c>
      <c r="M860" t="inlineStr">
        <is>
          <t>FINANCIAL</t>
        </is>
      </c>
      <c r="N860" t="inlineStr">
        <is>
          <t>FINANCIAL CREDITORS · row 306</t>
        </is>
      </c>
    </row>
    <row r="861">
      <c r="A861">
        <f>IF('FINANCIAL CREDITORS'!$A$307="","",'FINANCIAL CREDITORS'!$A$307)</f>
        <v/>
      </c>
      <c r="B861">
        <f>IF('FINANCIAL CREDITORS'!$C$307="","",'FINANCIAL CREDITORS'!$C$307)</f>
        <v/>
      </c>
      <c r="C861">
        <f>'FINANCIAL CREDITORS'!$U$307</f>
        <v/>
      </c>
      <c r="D861">
        <f>'FINANCIAL CREDITORS'!$Y$307</f>
        <v/>
      </c>
      <c r="E861">
        <f>'FINANCIAL CREDITORS'!$AC$307</f>
        <v/>
      </c>
      <c r="F861">
        <f>IF('FINANCIAL CREDITORS'!$V$307="","",'FINANCIAL CREDITORS'!$V$307)</f>
        <v/>
      </c>
      <c r="G861">
        <f>IF('FINANCIAL CREDITORS'!$D$307="","",'FINANCIAL CREDITORS'!$D$307)</f>
        <v/>
      </c>
      <c r="H861">
        <f>IF('FINANCIAL CREDITORS'!$G$307="","",'FINANCIAL CREDITORS'!$G$307)</f>
        <v/>
      </c>
      <c r="I861">
        <f>IF('FINANCIAL CREDITORS'!$AT$307="","",'FINANCIAL CREDITORS'!$AT$307)</f>
        <v/>
      </c>
      <c r="J861">
        <f>IF('FINANCIAL CREDITORS'!$AX$307="","",'FINANCIAL CREDITORS'!$AX$307)</f>
        <v/>
      </c>
      <c r="K861">
        <f>IF('FINANCIAL CREDITORS'!$N$307="","",'FINANCIAL CREDITORS'!$N$307)</f>
        <v/>
      </c>
      <c r="L861">
        <f>IF('FINANCIAL CREDITORS'!$AE$307="","",'FINANCIAL CREDITORS'!$AE$307)</f>
        <v/>
      </c>
      <c r="M861" t="inlineStr">
        <is>
          <t>FINANCIAL</t>
        </is>
      </c>
      <c r="N861" t="inlineStr">
        <is>
          <t>FINANCIAL CREDITORS · row 307</t>
        </is>
      </c>
    </row>
    <row r="862">
      <c r="A862">
        <f>IF('FINANCIAL CREDITORS'!$A$308="","",'FINANCIAL CREDITORS'!$A$308)</f>
        <v/>
      </c>
      <c r="B862">
        <f>IF('FINANCIAL CREDITORS'!$C$308="","",'FINANCIAL CREDITORS'!$C$308)</f>
        <v/>
      </c>
      <c r="C862">
        <f>'FINANCIAL CREDITORS'!$U$308</f>
        <v/>
      </c>
      <c r="D862">
        <f>'FINANCIAL CREDITORS'!$Y$308</f>
        <v/>
      </c>
      <c r="E862">
        <f>'FINANCIAL CREDITORS'!$AC$308</f>
        <v/>
      </c>
      <c r="F862">
        <f>IF('FINANCIAL CREDITORS'!$V$308="","",'FINANCIAL CREDITORS'!$V$308)</f>
        <v/>
      </c>
      <c r="G862">
        <f>IF('FINANCIAL CREDITORS'!$D$308="","",'FINANCIAL CREDITORS'!$D$308)</f>
        <v/>
      </c>
      <c r="H862">
        <f>IF('FINANCIAL CREDITORS'!$G$308="","",'FINANCIAL CREDITORS'!$G$308)</f>
        <v/>
      </c>
      <c r="I862">
        <f>IF('FINANCIAL CREDITORS'!$AT$308="","",'FINANCIAL CREDITORS'!$AT$308)</f>
        <v/>
      </c>
      <c r="J862">
        <f>IF('FINANCIAL CREDITORS'!$AX$308="","",'FINANCIAL CREDITORS'!$AX$308)</f>
        <v/>
      </c>
      <c r="K862">
        <f>IF('FINANCIAL CREDITORS'!$N$308="","",'FINANCIAL CREDITORS'!$N$308)</f>
        <v/>
      </c>
      <c r="L862">
        <f>IF('FINANCIAL CREDITORS'!$AE$308="","",'FINANCIAL CREDITORS'!$AE$308)</f>
        <v/>
      </c>
      <c r="M862" t="inlineStr">
        <is>
          <t>FINANCIAL</t>
        </is>
      </c>
      <c r="N862" t="inlineStr">
        <is>
          <t>FINANCIAL CREDITORS · row 308</t>
        </is>
      </c>
    </row>
    <row r="863">
      <c r="A863">
        <f>IF('FINANCIAL CREDITORS'!$A$309="","",'FINANCIAL CREDITORS'!$A$309)</f>
        <v/>
      </c>
      <c r="B863">
        <f>IF('FINANCIAL CREDITORS'!$C$309="","",'FINANCIAL CREDITORS'!$C$309)</f>
        <v/>
      </c>
      <c r="C863">
        <f>'FINANCIAL CREDITORS'!$U$309</f>
        <v/>
      </c>
      <c r="D863">
        <f>'FINANCIAL CREDITORS'!$Y$309</f>
        <v/>
      </c>
      <c r="E863">
        <f>'FINANCIAL CREDITORS'!$AC$309</f>
        <v/>
      </c>
      <c r="F863">
        <f>IF('FINANCIAL CREDITORS'!$V$309="","",'FINANCIAL CREDITORS'!$V$309)</f>
        <v/>
      </c>
      <c r="G863">
        <f>IF('FINANCIAL CREDITORS'!$D$309="","",'FINANCIAL CREDITORS'!$D$309)</f>
        <v/>
      </c>
      <c r="H863">
        <f>IF('FINANCIAL CREDITORS'!$G$309="","",'FINANCIAL CREDITORS'!$G$309)</f>
        <v/>
      </c>
      <c r="I863">
        <f>IF('FINANCIAL CREDITORS'!$AT$309="","",'FINANCIAL CREDITORS'!$AT$309)</f>
        <v/>
      </c>
      <c r="J863">
        <f>IF('FINANCIAL CREDITORS'!$AX$309="","",'FINANCIAL CREDITORS'!$AX$309)</f>
        <v/>
      </c>
      <c r="K863">
        <f>IF('FINANCIAL CREDITORS'!$N$309="","",'FINANCIAL CREDITORS'!$N$309)</f>
        <v/>
      </c>
      <c r="L863">
        <f>IF('FINANCIAL CREDITORS'!$AE$309="","",'FINANCIAL CREDITORS'!$AE$309)</f>
        <v/>
      </c>
      <c r="M863" t="inlineStr">
        <is>
          <t>FINANCIAL</t>
        </is>
      </c>
      <c r="N863" t="inlineStr">
        <is>
          <t>FINANCIAL CREDITORS · row 309</t>
        </is>
      </c>
    </row>
    <row r="864">
      <c r="A864">
        <f>IF('FINANCIAL CREDITORS'!$A$310="","",'FINANCIAL CREDITORS'!$A$310)</f>
        <v/>
      </c>
      <c r="B864">
        <f>IF('FINANCIAL CREDITORS'!$C$310="","",'FINANCIAL CREDITORS'!$C$310)</f>
        <v/>
      </c>
      <c r="C864">
        <f>'FINANCIAL CREDITORS'!$U$310</f>
        <v/>
      </c>
      <c r="D864">
        <f>'FINANCIAL CREDITORS'!$Y$310</f>
        <v/>
      </c>
      <c r="E864">
        <f>'FINANCIAL CREDITORS'!$AC$310</f>
        <v/>
      </c>
      <c r="F864">
        <f>IF('FINANCIAL CREDITORS'!$V$310="","",'FINANCIAL CREDITORS'!$V$310)</f>
        <v/>
      </c>
      <c r="G864">
        <f>IF('FINANCIAL CREDITORS'!$D$310="","",'FINANCIAL CREDITORS'!$D$310)</f>
        <v/>
      </c>
      <c r="H864">
        <f>IF('FINANCIAL CREDITORS'!$G$310="","",'FINANCIAL CREDITORS'!$G$310)</f>
        <v/>
      </c>
      <c r="I864">
        <f>IF('FINANCIAL CREDITORS'!$AT$310="","",'FINANCIAL CREDITORS'!$AT$310)</f>
        <v/>
      </c>
      <c r="J864">
        <f>IF('FINANCIAL CREDITORS'!$AX$310="","",'FINANCIAL CREDITORS'!$AX$310)</f>
        <v/>
      </c>
      <c r="K864">
        <f>IF('FINANCIAL CREDITORS'!$N$310="","",'FINANCIAL CREDITORS'!$N$310)</f>
        <v/>
      </c>
      <c r="L864">
        <f>IF('FINANCIAL CREDITORS'!$AE$310="","",'FINANCIAL CREDITORS'!$AE$310)</f>
        <v/>
      </c>
      <c r="M864" t="inlineStr">
        <is>
          <t>FINANCIAL</t>
        </is>
      </c>
      <c r="N864" t="inlineStr">
        <is>
          <t>FINANCIAL CREDITORS · row 310</t>
        </is>
      </c>
    </row>
    <row r="865">
      <c r="A865">
        <f>IF('FINANCIAL CREDITORS'!$A$311="","",'FINANCIAL CREDITORS'!$A$311)</f>
        <v/>
      </c>
      <c r="B865">
        <f>IF('FINANCIAL CREDITORS'!$C$311="","",'FINANCIAL CREDITORS'!$C$311)</f>
        <v/>
      </c>
      <c r="C865">
        <f>'FINANCIAL CREDITORS'!$U$311</f>
        <v/>
      </c>
      <c r="D865">
        <f>'FINANCIAL CREDITORS'!$Y$311</f>
        <v/>
      </c>
      <c r="E865">
        <f>'FINANCIAL CREDITORS'!$AC$311</f>
        <v/>
      </c>
      <c r="F865">
        <f>IF('FINANCIAL CREDITORS'!$V$311="","",'FINANCIAL CREDITORS'!$V$311)</f>
        <v/>
      </c>
      <c r="G865">
        <f>IF('FINANCIAL CREDITORS'!$D$311="","",'FINANCIAL CREDITORS'!$D$311)</f>
        <v/>
      </c>
      <c r="H865">
        <f>IF('FINANCIAL CREDITORS'!$G$311="","",'FINANCIAL CREDITORS'!$G$311)</f>
        <v/>
      </c>
      <c r="I865">
        <f>IF('FINANCIAL CREDITORS'!$AT$311="","",'FINANCIAL CREDITORS'!$AT$311)</f>
        <v/>
      </c>
      <c r="J865">
        <f>IF('FINANCIAL CREDITORS'!$AX$311="","",'FINANCIAL CREDITORS'!$AX$311)</f>
        <v/>
      </c>
      <c r="K865">
        <f>IF('FINANCIAL CREDITORS'!$N$311="","",'FINANCIAL CREDITORS'!$N$311)</f>
        <v/>
      </c>
      <c r="L865">
        <f>IF('FINANCIAL CREDITORS'!$AE$311="","",'FINANCIAL CREDITORS'!$AE$311)</f>
        <v/>
      </c>
      <c r="M865" t="inlineStr">
        <is>
          <t>FINANCIAL</t>
        </is>
      </c>
      <c r="N865" t="inlineStr">
        <is>
          <t>FINANCIAL CREDITORS · row 311</t>
        </is>
      </c>
    </row>
    <row r="866">
      <c r="A866">
        <f>IF('FINANCIAL CREDITORS'!$A$312="","",'FINANCIAL CREDITORS'!$A$312)</f>
        <v/>
      </c>
      <c r="B866">
        <f>IF('FINANCIAL CREDITORS'!$C$312="","",'FINANCIAL CREDITORS'!$C$312)</f>
        <v/>
      </c>
      <c r="C866">
        <f>'FINANCIAL CREDITORS'!$U$312</f>
        <v/>
      </c>
      <c r="D866">
        <f>'FINANCIAL CREDITORS'!$Y$312</f>
        <v/>
      </c>
      <c r="E866">
        <f>'FINANCIAL CREDITORS'!$AC$312</f>
        <v/>
      </c>
      <c r="F866">
        <f>IF('FINANCIAL CREDITORS'!$V$312="","",'FINANCIAL CREDITORS'!$V$312)</f>
        <v/>
      </c>
      <c r="G866">
        <f>IF('FINANCIAL CREDITORS'!$D$312="","",'FINANCIAL CREDITORS'!$D$312)</f>
        <v/>
      </c>
      <c r="H866">
        <f>IF('FINANCIAL CREDITORS'!$G$312="","",'FINANCIAL CREDITORS'!$G$312)</f>
        <v/>
      </c>
      <c r="I866">
        <f>IF('FINANCIAL CREDITORS'!$AT$312="","",'FINANCIAL CREDITORS'!$AT$312)</f>
        <v/>
      </c>
      <c r="J866">
        <f>IF('FINANCIAL CREDITORS'!$AX$312="","",'FINANCIAL CREDITORS'!$AX$312)</f>
        <v/>
      </c>
      <c r="K866">
        <f>IF('FINANCIAL CREDITORS'!$N$312="","",'FINANCIAL CREDITORS'!$N$312)</f>
        <v/>
      </c>
      <c r="L866">
        <f>IF('FINANCIAL CREDITORS'!$AE$312="","",'FINANCIAL CREDITORS'!$AE$312)</f>
        <v/>
      </c>
      <c r="M866" t="inlineStr">
        <is>
          <t>FINANCIAL</t>
        </is>
      </c>
      <c r="N866" t="inlineStr">
        <is>
          <t>FINANCIAL CREDITORS · row 312</t>
        </is>
      </c>
    </row>
    <row r="867">
      <c r="A867">
        <f>IF('FINANCIAL CREDITORS'!$A$313="","",'FINANCIAL CREDITORS'!$A$313)</f>
        <v/>
      </c>
      <c r="B867">
        <f>IF('FINANCIAL CREDITORS'!$C$313="","",'FINANCIAL CREDITORS'!$C$313)</f>
        <v/>
      </c>
      <c r="C867">
        <f>'FINANCIAL CREDITORS'!$U$313</f>
        <v/>
      </c>
      <c r="D867">
        <f>'FINANCIAL CREDITORS'!$Y$313</f>
        <v/>
      </c>
      <c r="E867">
        <f>'FINANCIAL CREDITORS'!$AC$313</f>
        <v/>
      </c>
      <c r="F867">
        <f>IF('FINANCIAL CREDITORS'!$V$313="","",'FINANCIAL CREDITORS'!$V$313)</f>
        <v/>
      </c>
      <c r="G867">
        <f>IF('FINANCIAL CREDITORS'!$D$313="","",'FINANCIAL CREDITORS'!$D$313)</f>
        <v/>
      </c>
      <c r="H867">
        <f>IF('FINANCIAL CREDITORS'!$G$313="","",'FINANCIAL CREDITORS'!$G$313)</f>
        <v/>
      </c>
      <c r="I867">
        <f>IF('FINANCIAL CREDITORS'!$AT$313="","",'FINANCIAL CREDITORS'!$AT$313)</f>
        <v/>
      </c>
      <c r="J867">
        <f>IF('FINANCIAL CREDITORS'!$AX$313="","",'FINANCIAL CREDITORS'!$AX$313)</f>
        <v/>
      </c>
      <c r="K867">
        <f>IF('FINANCIAL CREDITORS'!$N$313="","",'FINANCIAL CREDITORS'!$N$313)</f>
        <v/>
      </c>
      <c r="L867">
        <f>IF('FINANCIAL CREDITORS'!$AE$313="","",'FINANCIAL CREDITORS'!$AE$313)</f>
        <v/>
      </c>
      <c r="M867" t="inlineStr">
        <is>
          <t>FINANCIAL</t>
        </is>
      </c>
      <c r="N867" t="inlineStr">
        <is>
          <t>FINANCIAL CREDITORS · row 313</t>
        </is>
      </c>
    </row>
    <row r="868">
      <c r="A868">
        <f>IF('FINANCIAL CREDITORS'!$A$314="","",'FINANCIAL CREDITORS'!$A$314)</f>
        <v/>
      </c>
      <c r="B868">
        <f>IF('FINANCIAL CREDITORS'!$C$314="","",'FINANCIAL CREDITORS'!$C$314)</f>
        <v/>
      </c>
      <c r="C868">
        <f>'FINANCIAL CREDITORS'!$U$314</f>
        <v/>
      </c>
      <c r="D868">
        <f>'FINANCIAL CREDITORS'!$Y$314</f>
        <v/>
      </c>
      <c r="E868">
        <f>'FINANCIAL CREDITORS'!$AC$314</f>
        <v/>
      </c>
      <c r="F868">
        <f>IF('FINANCIAL CREDITORS'!$V$314="","",'FINANCIAL CREDITORS'!$V$314)</f>
        <v/>
      </c>
      <c r="G868">
        <f>IF('FINANCIAL CREDITORS'!$D$314="","",'FINANCIAL CREDITORS'!$D$314)</f>
        <v/>
      </c>
      <c r="H868">
        <f>IF('FINANCIAL CREDITORS'!$G$314="","",'FINANCIAL CREDITORS'!$G$314)</f>
        <v/>
      </c>
      <c r="I868">
        <f>IF('FINANCIAL CREDITORS'!$AT$314="","",'FINANCIAL CREDITORS'!$AT$314)</f>
        <v/>
      </c>
      <c r="J868">
        <f>IF('FINANCIAL CREDITORS'!$AX$314="","",'FINANCIAL CREDITORS'!$AX$314)</f>
        <v/>
      </c>
      <c r="K868">
        <f>IF('FINANCIAL CREDITORS'!$N$314="","",'FINANCIAL CREDITORS'!$N$314)</f>
        <v/>
      </c>
      <c r="L868">
        <f>IF('FINANCIAL CREDITORS'!$AE$314="","",'FINANCIAL CREDITORS'!$AE$314)</f>
        <v/>
      </c>
      <c r="M868" t="inlineStr">
        <is>
          <t>FINANCIAL</t>
        </is>
      </c>
      <c r="N868" t="inlineStr">
        <is>
          <t>FINANCIAL CREDITORS · row 314</t>
        </is>
      </c>
    </row>
    <row r="869">
      <c r="A869">
        <f>IF('FINANCIAL CREDITORS'!$A$315="","",'FINANCIAL CREDITORS'!$A$315)</f>
        <v/>
      </c>
      <c r="B869">
        <f>IF('FINANCIAL CREDITORS'!$C$315="","",'FINANCIAL CREDITORS'!$C$315)</f>
        <v/>
      </c>
      <c r="C869">
        <f>'FINANCIAL CREDITORS'!$U$315</f>
        <v/>
      </c>
      <c r="D869">
        <f>'FINANCIAL CREDITORS'!$Y$315</f>
        <v/>
      </c>
      <c r="E869">
        <f>'FINANCIAL CREDITORS'!$AC$315</f>
        <v/>
      </c>
      <c r="F869">
        <f>IF('FINANCIAL CREDITORS'!$V$315="","",'FINANCIAL CREDITORS'!$V$315)</f>
        <v/>
      </c>
      <c r="G869">
        <f>IF('FINANCIAL CREDITORS'!$D$315="","",'FINANCIAL CREDITORS'!$D$315)</f>
        <v/>
      </c>
      <c r="H869">
        <f>IF('FINANCIAL CREDITORS'!$G$315="","",'FINANCIAL CREDITORS'!$G$315)</f>
        <v/>
      </c>
      <c r="I869">
        <f>IF('FINANCIAL CREDITORS'!$AT$315="","",'FINANCIAL CREDITORS'!$AT$315)</f>
        <v/>
      </c>
      <c r="J869">
        <f>IF('FINANCIAL CREDITORS'!$AX$315="","",'FINANCIAL CREDITORS'!$AX$315)</f>
        <v/>
      </c>
      <c r="K869">
        <f>IF('FINANCIAL CREDITORS'!$N$315="","",'FINANCIAL CREDITORS'!$N$315)</f>
        <v/>
      </c>
      <c r="L869">
        <f>IF('FINANCIAL CREDITORS'!$AE$315="","",'FINANCIAL CREDITORS'!$AE$315)</f>
        <v/>
      </c>
      <c r="M869" t="inlineStr">
        <is>
          <t>FINANCIAL</t>
        </is>
      </c>
      <c r="N869" t="inlineStr">
        <is>
          <t>FINANCIAL CREDITORS · row 315</t>
        </is>
      </c>
    </row>
    <row r="870">
      <c r="A870">
        <f>IF('FINANCIAL CREDITORS'!$A$316="","",'FINANCIAL CREDITORS'!$A$316)</f>
        <v/>
      </c>
      <c r="B870">
        <f>IF('FINANCIAL CREDITORS'!$C$316="","",'FINANCIAL CREDITORS'!$C$316)</f>
        <v/>
      </c>
      <c r="C870">
        <f>'FINANCIAL CREDITORS'!$U$316</f>
        <v/>
      </c>
      <c r="D870">
        <f>'FINANCIAL CREDITORS'!$Y$316</f>
        <v/>
      </c>
      <c r="E870">
        <f>'FINANCIAL CREDITORS'!$AC$316</f>
        <v/>
      </c>
      <c r="F870">
        <f>IF('FINANCIAL CREDITORS'!$V$316="","",'FINANCIAL CREDITORS'!$V$316)</f>
        <v/>
      </c>
      <c r="G870">
        <f>IF('FINANCIAL CREDITORS'!$D$316="","",'FINANCIAL CREDITORS'!$D$316)</f>
        <v/>
      </c>
      <c r="H870">
        <f>IF('FINANCIAL CREDITORS'!$G$316="","",'FINANCIAL CREDITORS'!$G$316)</f>
        <v/>
      </c>
      <c r="I870">
        <f>IF('FINANCIAL CREDITORS'!$AT$316="","",'FINANCIAL CREDITORS'!$AT$316)</f>
        <v/>
      </c>
      <c r="J870">
        <f>IF('FINANCIAL CREDITORS'!$AX$316="","",'FINANCIAL CREDITORS'!$AX$316)</f>
        <v/>
      </c>
      <c r="K870">
        <f>IF('FINANCIAL CREDITORS'!$N$316="","",'FINANCIAL CREDITORS'!$N$316)</f>
        <v/>
      </c>
      <c r="L870">
        <f>IF('FINANCIAL CREDITORS'!$AE$316="","",'FINANCIAL CREDITORS'!$AE$316)</f>
        <v/>
      </c>
      <c r="M870" t="inlineStr">
        <is>
          <t>FINANCIAL</t>
        </is>
      </c>
      <c r="N870" t="inlineStr">
        <is>
          <t>FINANCIAL CREDITORS · row 316</t>
        </is>
      </c>
    </row>
    <row r="871">
      <c r="A871">
        <f>IF('FINANCIAL CREDITORS'!$A$317="","",'FINANCIAL CREDITORS'!$A$317)</f>
        <v/>
      </c>
      <c r="B871">
        <f>IF('FINANCIAL CREDITORS'!$C$317="","",'FINANCIAL CREDITORS'!$C$317)</f>
        <v/>
      </c>
      <c r="C871">
        <f>'FINANCIAL CREDITORS'!$U$317</f>
        <v/>
      </c>
      <c r="D871">
        <f>'FINANCIAL CREDITORS'!$Y$317</f>
        <v/>
      </c>
      <c r="E871">
        <f>'FINANCIAL CREDITORS'!$AC$317</f>
        <v/>
      </c>
      <c r="F871">
        <f>IF('FINANCIAL CREDITORS'!$V$317="","",'FINANCIAL CREDITORS'!$V$317)</f>
        <v/>
      </c>
      <c r="G871">
        <f>IF('FINANCIAL CREDITORS'!$D$317="","",'FINANCIAL CREDITORS'!$D$317)</f>
        <v/>
      </c>
      <c r="H871">
        <f>IF('FINANCIAL CREDITORS'!$G$317="","",'FINANCIAL CREDITORS'!$G$317)</f>
        <v/>
      </c>
      <c r="I871">
        <f>IF('FINANCIAL CREDITORS'!$AT$317="","",'FINANCIAL CREDITORS'!$AT$317)</f>
        <v/>
      </c>
      <c r="J871">
        <f>IF('FINANCIAL CREDITORS'!$AX$317="","",'FINANCIAL CREDITORS'!$AX$317)</f>
        <v/>
      </c>
      <c r="K871">
        <f>IF('FINANCIAL CREDITORS'!$N$317="","",'FINANCIAL CREDITORS'!$N$317)</f>
        <v/>
      </c>
      <c r="L871">
        <f>IF('FINANCIAL CREDITORS'!$AE$317="","",'FINANCIAL CREDITORS'!$AE$317)</f>
        <v/>
      </c>
      <c r="M871" t="inlineStr">
        <is>
          <t>FINANCIAL</t>
        </is>
      </c>
      <c r="N871" t="inlineStr">
        <is>
          <t>FINANCIAL CREDITORS · row 317</t>
        </is>
      </c>
    </row>
    <row r="872">
      <c r="A872">
        <f>IF('FINANCIAL CREDITORS'!$A$318="","",'FINANCIAL CREDITORS'!$A$318)</f>
        <v/>
      </c>
      <c r="B872">
        <f>IF('FINANCIAL CREDITORS'!$C$318="","",'FINANCIAL CREDITORS'!$C$318)</f>
        <v/>
      </c>
      <c r="C872">
        <f>'FINANCIAL CREDITORS'!$U$318</f>
        <v/>
      </c>
      <c r="D872">
        <f>'FINANCIAL CREDITORS'!$Y$318</f>
        <v/>
      </c>
      <c r="E872">
        <f>'FINANCIAL CREDITORS'!$AC$318</f>
        <v/>
      </c>
      <c r="F872">
        <f>IF('FINANCIAL CREDITORS'!$V$318="","",'FINANCIAL CREDITORS'!$V$318)</f>
        <v/>
      </c>
      <c r="G872">
        <f>IF('FINANCIAL CREDITORS'!$D$318="","",'FINANCIAL CREDITORS'!$D$318)</f>
        <v/>
      </c>
      <c r="H872">
        <f>IF('FINANCIAL CREDITORS'!$G$318="","",'FINANCIAL CREDITORS'!$G$318)</f>
        <v/>
      </c>
      <c r="I872">
        <f>IF('FINANCIAL CREDITORS'!$AT$318="","",'FINANCIAL CREDITORS'!$AT$318)</f>
        <v/>
      </c>
      <c r="J872">
        <f>IF('FINANCIAL CREDITORS'!$AX$318="","",'FINANCIAL CREDITORS'!$AX$318)</f>
        <v/>
      </c>
      <c r="K872">
        <f>IF('FINANCIAL CREDITORS'!$N$318="","",'FINANCIAL CREDITORS'!$N$318)</f>
        <v/>
      </c>
      <c r="L872">
        <f>IF('FINANCIAL CREDITORS'!$AE$318="","",'FINANCIAL CREDITORS'!$AE$318)</f>
        <v/>
      </c>
      <c r="M872" t="inlineStr">
        <is>
          <t>FINANCIAL</t>
        </is>
      </c>
      <c r="N872" t="inlineStr">
        <is>
          <t>FINANCIAL CREDITORS · row 318</t>
        </is>
      </c>
    </row>
    <row r="873">
      <c r="A873">
        <f>IF('FINANCIAL CREDITORS'!$A$319="","",'FINANCIAL CREDITORS'!$A$319)</f>
        <v/>
      </c>
      <c r="B873">
        <f>IF('FINANCIAL CREDITORS'!$C$319="","",'FINANCIAL CREDITORS'!$C$319)</f>
        <v/>
      </c>
      <c r="C873">
        <f>'FINANCIAL CREDITORS'!$U$319</f>
        <v/>
      </c>
      <c r="D873">
        <f>'FINANCIAL CREDITORS'!$Y$319</f>
        <v/>
      </c>
      <c r="E873">
        <f>'FINANCIAL CREDITORS'!$AC$319</f>
        <v/>
      </c>
      <c r="F873">
        <f>IF('FINANCIAL CREDITORS'!$V$319="","",'FINANCIAL CREDITORS'!$V$319)</f>
        <v/>
      </c>
      <c r="G873">
        <f>IF('FINANCIAL CREDITORS'!$D$319="","",'FINANCIAL CREDITORS'!$D$319)</f>
        <v/>
      </c>
      <c r="H873">
        <f>IF('FINANCIAL CREDITORS'!$G$319="","",'FINANCIAL CREDITORS'!$G$319)</f>
        <v/>
      </c>
      <c r="I873">
        <f>IF('FINANCIAL CREDITORS'!$AT$319="","",'FINANCIAL CREDITORS'!$AT$319)</f>
        <v/>
      </c>
      <c r="J873">
        <f>IF('FINANCIAL CREDITORS'!$AX$319="","",'FINANCIAL CREDITORS'!$AX$319)</f>
        <v/>
      </c>
      <c r="K873">
        <f>IF('FINANCIAL CREDITORS'!$N$319="","",'FINANCIAL CREDITORS'!$N$319)</f>
        <v/>
      </c>
      <c r="L873">
        <f>IF('FINANCIAL CREDITORS'!$AE$319="","",'FINANCIAL CREDITORS'!$AE$319)</f>
        <v/>
      </c>
      <c r="M873" t="inlineStr">
        <is>
          <t>FINANCIAL</t>
        </is>
      </c>
      <c r="N873" t="inlineStr">
        <is>
          <t>FINANCIAL CREDITORS · row 319</t>
        </is>
      </c>
    </row>
    <row r="874">
      <c r="A874">
        <f>IF('FINANCIAL CREDITORS'!$A$320="","",'FINANCIAL CREDITORS'!$A$320)</f>
        <v/>
      </c>
      <c r="B874">
        <f>IF('FINANCIAL CREDITORS'!$C$320="","",'FINANCIAL CREDITORS'!$C$320)</f>
        <v/>
      </c>
      <c r="C874">
        <f>'FINANCIAL CREDITORS'!$U$320</f>
        <v/>
      </c>
      <c r="D874">
        <f>'FINANCIAL CREDITORS'!$Y$320</f>
        <v/>
      </c>
      <c r="E874">
        <f>'FINANCIAL CREDITORS'!$AC$320</f>
        <v/>
      </c>
      <c r="F874">
        <f>IF('FINANCIAL CREDITORS'!$V$320="","",'FINANCIAL CREDITORS'!$V$320)</f>
        <v/>
      </c>
      <c r="G874">
        <f>IF('FINANCIAL CREDITORS'!$D$320="","",'FINANCIAL CREDITORS'!$D$320)</f>
        <v/>
      </c>
      <c r="H874">
        <f>IF('FINANCIAL CREDITORS'!$G$320="","",'FINANCIAL CREDITORS'!$G$320)</f>
        <v/>
      </c>
      <c r="I874">
        <f>IF('FINANCIAL CREDITORS'!$AT$320="","",'FINANCIAL CREDITORS'!$AT$320)</f>
        <v/>
      </c>
      <c r="J874">
        <f>IF('FINANCIAL CREDITORS'!$AX$320="","",'FINANCIAL CREDITORS'!$AX$320)</f>
        <v/>
      </c>
      <c r="K874">
        <f>IF('FINANCIAL CREDITORS'!$N$320="","",'FINANCIAL CREDITORS'!$N$320)</f>
        <v/>
      </c>
      <c r="L874">
        <f>IF('FINANCIAL CREDITORS'!$AE$320="","",'FINANCIAL CREDITORS'!$AE$320)</f>
        <v/>
      </c>
      <c r="M874" t="inlineStr">
        <is>
          <t>FINANCIAL</t>
        </is>
      </c>
      <c r="N874" t="inlineStr">
        <is>
          <t>FINANCIAL CREDITORS · row 320</t>
        </is>
      </c>
    </row>
    <row r="875">
      <c r="A875">
        <f>IF('FINANCIAL CREDITORS'!$A$321="","",'FINANCIAL CREDITORS'!$A$321)</f>
        <v/>
      </c>
      <c r="B875">
        <f>IF('FINANCIAL CREDITORS'!$C$321="","",'FINANCIAL CREDITORS'!$C$321)</f>
        <v/>
      </c>
      <c r="C875">
        <f>'FINANCIAL CREDITORS'!$U$321</f>
        <v/>
      </c>
      <c r="D875">
        <f>'FINANCIAL CREDITORS'!$Y$321</f>
        <v/>
      </c>
      <c r="E875">
        <f>'FINANCIAL CREDITORS'!$AC$321</f>
        <v/>
      </c>
      <c r="F875">
        <f>IF('FINANCIAL CREDITORS'!$V$321="","",'FINANCIAL CREDITORS'!$V$321)</f>
        <v/>
      </c>
      <c r="G875">
        <f>IF('FINANCIAL CREDITORS'!$D$321="","",'FINANCIAL CREDITORS'!$D$321)</f>
        <v/>
      </c>
      <c r="H875">
        <f>IF('FINANCIAL CREDITORS'!$G$321="","",'FINANCIAL CREDITORS'!$G$321)</f>
        <v/>
      </c>
      <c r="I875">
        <f>IF('FINANCIAL CREDITORS'!$AT$321="","",'FINANCIAL CREDITORS'!$AT$321)</f>
        <v/>
      </c>
      <c r="J875">
        <f>IF('FINANCIAL CREDITORS'!$AX$321="","",'FINANCIAL CREDITORS'!$AX$321)</f>
        <v/>
      </c>
      <c r="K875">
        <f>IF('FINANCIAL CREDITORS'!$N$321="","",'FINANCIAL CREDITORS'!$N$321)</f>
        <v/>
      </c>
      <c r="L875">
        <f>IF('FINANCIAL CREDITORS'!$AE$321="","",'FINANCIAL CREDITORS'!$AE$321)</f>
        <v/>
      </c>
      <c r="M875" t="inlineStr">
        <is>
          <t>FINANCIAL</t>
        </is>
      </c>
      <c r="N875" t="inlineStr">
        <is>
          <t>FINANCIAL CREDITORS · row 321</t>
        </is>
      </c>
    </row>
    <row r="876">
      <c r="A876">
        <f>IF('FINANCIAL CREDITORS'!$A$322="","",'FINANCIAL CREDITORS'!$A$322)</f>
        <v/>
      </c>
      <c r="B876">
        <f>IF('FINANCIAL CREDITORS'!$C$322="","",'FINANCIAL CREDITORS'!$C$322)</f>
        <v/>
      </c>
      <c r="C876">
        <f>'FINANCIAL CREDITORS'!$U$322</f>
        <v/>
      </c>
      <c r="D876">
        <f>'FINANCIAL CREDITORS'!$Y$322</f>
        <v/>
      </c>
      <c r="E876">
        <f>'FINANCIAL CREDITORS'!$AC$322</f>
        <v/>
      </c>
      <c r="F876">
        <f>IF('FINANCIAL CREDITORS'!$V$322="","",'FINANCIAL CREDITORS'!$V$322)</f>
        <v/>
      </c>
      <c r="G876">
        <f>IF('FINANCIAL CREDITORS'!$D$322="","",'FINANCIAL CREDITORS'!$D$322)</f>
        <v/>
      </c>
      <c r="H876">
        <f>IF('FINANCIAL CREDITORS'!$G$322="","",'FINANCIAL CREDITORS'!$G$322)</f>
        <v/>
      </c>
      <c r="I876">
        <f>IF('FINANCIAL CREDITORS'!$AT$322="","",'FINANCIAL CREDITORS'!$AT$322)</f>
        <v/>
      </c>
      <c r="J876">
        <f>IF('FINANCIAL CREDITORS'!$AX$322="","",'FINANCIAL CREDITORS'!$AX$322)</f>
        <v/>
      </c>
      <c r="K876">
        <f>IF('FINANCIAL CREDITORS'!$N$322="","",'FINANCIAL CREDITORS'!$N$322)</f>
        <v/>
      </c>
      <c r="L876">
        <f>IF('FINANCIAL CREDITORS'!$AE$322="","",'FINANCIAL CREDITORS'!$AE$322)</f>
        <v/>
      </c>
      <c r="M876" t="inlineStr">
        <is>
          <t>FINANCIAL</t>
        </is>
      </c>
      <c r="N876" t="inlineStr">
        <is>
          <t>FINANCIAL CREDITORS · row 322</t>
        </is>
      </c>
    </row>
    <row r="877">
      <c r="A877">
        <f>IF('FINANCIAL CREDITORS'!$A$323="","",'FINANCIAL CREDITORS'!$A$323)</f>
        <v/>
      </c>
      <c r="B877">
        <f>IF('FINANCIAL CREDITORS'!$C$323="","",'FINANCIAL CREDITORS'!$C$323)</f>
        <v/>
      </c>
      <c r="C877">
        <f>'FINANCIAL CREDITORS'!$U$323</f>
        <v/>
      </c>
      <c r="D877">
        <f>'FINANCIAL CREDITORS'!$Y$323</f>
        <v/>
      </c>
      <c r="E877">
        <f>'FINANCIAL CREDITORS'!$AC$323</f>
        <v/>
      </c>
      <c r="F877">
        <f>IF('FINANCIAL CREDITORS'!$V$323="","",'FINANCIAL CREDITORS'!$V$323)</f>
        <v/>
      </c>
      <c r="G877">
        <f>IF('FINANCIAL CREDITORS'!$D$323="","",'FINANCIAL CREDITORS'!$D$323)</f>
        <v/>
      </c>
      <c r="H877">
        <f>IF('FINANCIAL CREDITORS'!$G$323="","",'FINANCIAL CREDITORS'!$G$323)</f>
        <v/>
      </c>
      <c r="I877">
        <f>IF('FINANCIAL CREDITORS'!$AT$323="","",'FINANCIAL CREDITORS'!$AT$323)</f>
        <v/>
      </c>
      <c r="J877">
        <f>IF('FINANCIAL CREDITORS'!$AX$323="","",'FINANCIAL CREDITORS'!$AX$323)</f>
        <v/>
      </c>
      <c r="K877">
        <f>IF('FINANCIAL CREDITORS'!$N$323="","",'FINANCIAL CREDITORS'!$N$323)</f>
        <v/>
      </c>
      <c r="L877">
        <f>IF('FINANCIAL CREDITORS'!$AE$323="","",'FINANCIAL CREDITORS'!$AE$323)</f>
        <v/>
      </c>
      <c r="M877" t="inlineStr">
        <is>
          <t>FINANCIAL</t>
        </is>
      </c>
      <c r="N877" t="inlineStr">
        <is>
          <t>FINANCIAL CREDITORS · row 323</t>
        </is>
      </c>
    </row>
    <row r="878">
      <c r="A878">
        <f>IF('FINANCIAL CREDITORS'!$A$324="","",'FINANCIAL CREDITORS'!$A$324)</f>
        <v/>
      </c>
      <c r="B878">
        <f>IF('FINANCIAL CREDITORS'!$C$324="","",'FINANCIAL CREDITORS'!$C$324)</f>
        <v/>
      </c>
      <c r="C878">
        <f>'FINANCIAL CREDITORS'!$U$324</f>
        <v/>
      </c>
      <c r="D878">
        <f>'FINANCIAL CREDITORS'!$Y$324</f>
        <v/>
      </c>
      <c r="E878">
        <f>'FINANCIAL CREDITORS'!$AC$324</f>
        <v/>
      </c>
      <c r="F878">
        <f>IF('FINANCIAL CREDITORS'!$V$324="","",'FINANCIAL CREDITORS'!$V$324)</f>
        <v/>
      </c>
      <c r="G878">
        <f>IF('FINANCIAL CREDITORS'!$D$324="","",'FINANCIAL CREDITORS'!$D$324)</f>
        <v/>
      </c>
      <c r="H878">
        <f>IF('FINANCIAL CREDITORS'!$G$324="","",'FINANCIAL CREDITORS'!$G$324)</f>
        <v/>
      </c>
      <c r="I878">
        <f>IF('FINANCIAL CREDITORS'!$AT$324="","",'FINANCIAL CREDITORS'!$AT$324)</f>
        <v/>
      </c>
      <c r="J878">
        <f>IF('FINANCIAL CREDITORS'!$AX$324="","",'FINANCIAL CREDITORS'!$AX$324)</f>
        <v/>
      </c>
      <c r="K878">
        <f>IF('FINANCIAL CREDITORS'!$N$324="","",'FINANCIAL CREDITORS'!$N$324)</f>
        <v/>
      </c>
      <c r="L878">
        <f>IF('FINANCIAL CREDITORS'!$AE$324="","",'FINANCIAL CREDITORS'!$AE$324)</f>
        <v/>
      </c>
      <c r="M878" t="inlineStr">
        <is>
          <t>FINANCIAL</t>
        </is>
      </c>
      <c r="N878" t="inlineStr">
        <is>
          <t>FINANCIAL CREDITORS · row 324</t>
        </is>
      </c>
    </row>
    <row r="879">
      <c r="A879">
        <f>IF('FINANCIAL CREDITORS'!$A$325="","",'FINANCIAL CREDITORS'!$A$325)</f>
        <v/>
      </c>
      <c r="B879">
        <f>IF('FINANCIAL CREDITORS'!$C$325="","",'FINANCIAL CREDITORS'!$C$325)</f>
        <v/>
      </c>
      <c r="C879">
        <f>'FINANCIAL CREDITORS'!$U$325</f>
        <v/>
      </c>
      <c r="D879">
        <f>'FINANCIAL CREDITORS'!$Y$325</f>
        <v/>
      </c>
      <c r="E879">
        <f>'FINANCIAL CREDITORS'!$AC$325</f>
        <v/>
      </c>
      <c r="F879">
        <f>IF('FINANCIAL CREDITORS'!$V$325="","",'FINANCIAL CREDITORS'!$V$325)</f>
        <v/>
      </c>
      <c r="G879">
        <f>IF('FINANCIAL CREDITORS'!$D$325="","",'FINANCIAL CREDITORS'!$D$325)</f>
        <v/>
      </c>
      <c r="H879">
        <f>IF('FINANCIAL CREDITORS'!$G$325="","",'FINANCIAL CREDITORS'!$G$325)</f>
        <v/>
      </c>
      <c r="I879">
        <f>IF('FINANCIAL CREDITORS'!$AT$325="","",'FINANCIAL CREDITORS'!$AT$325)</f>
        <v/>
      </c>
      <c r="J879">
        <f>IF('FINANCIAL CREDITORS'!$AX$325="","",'FINANCIAL CREDITORS'!$AX$325)</f>
        <v/>
      </c>
      <c r="K879">
        <f>IF('FINANCIAL CREDITORS'!$N$325="","",'FINANCIAL CREDITORS'!$N$325)</f>
        <v/>
      </c>
      <c r="L879">
        <f>IF('FINANCIAL CREDITORS'!$AE$325="","",'FINANCIAL CREDITORS'!$AE$325)</f>
        <v/>
      </c>
      <c r="M879" t="inlineStr">
        <is>
          <t>FINANCIAL</t>
        </is>
      </c>
      <c r="N879" t="inlineStr">
        <is>
          <t>FINANCIAL CREDITORS · row 325</t>
        </is>
      </c>
    </row>
    <row r="880">
      <c r="A880">
        <f>IF('FINANCIAL CREDITORS'!$A$326="","",'FINANCIAL CREDITORS'!$A$326)</f>
        <v/>
      </c>
      <c r="B880">
        <f>IF('FINANCIAL CREDITORS'!$C$326="","",'FINANCIAL CREDITORS'!$C$326)</f>
        <v/>
      </c>
      <c r="C880">
        <f>'FINANCIAL CREDITORS'!$U$326</f>
        <v/>
      </c>
      <c r="D880">
        <f>'FINANCIAL CREDITORS'!$Y$326</f>
        <v/>
      </c>
      <c r="E880">
        <f>'FINANCIAL CREDITORS'!$AC$326</f>
        <v/>
      </c>
      <c r="F880">
        <f>IF('FINANCIAL CREDITORS'!$V$326="","",'FINANCIAL CREDITORS'!$V$326)</f>
        <v/>
      </c>
      <c r="G880">
        <f>IF('FINANCIAL CREDITORS'!$D$326="","",'FINANCIAL CREDITORS'!$D$326)</f>
        <v/>
      </c>
      <c r="H880">
        <f>IF('FINANCIAL CREDITORS'!$G$326="","",'FINANCIAL CREDITORS'!$G$326)</f>
        <v/>
      </c>
      <c r="I880">
        <f>IF('FINANCIAL CREDITORS'!$AT$326="","",'FINANCIAL CREDITORS'!$AT$326)</f>
        <v/>
      </c>
      <c r="J880">
        <f>IF('FINANCIAL CREDITORS'!$AX$326="","",'FINANCIAL CREDITORS'!$AX$326)</f>
        <v/>
      </c>
      <c r="K880">
        <f>IF('FINANCIAL CREDITORS'!$N$326="","",'FINANCIAL CREDITORS'!$N$326)</f>
        <v/>
      </c>
      <c r="L880">
        <f>IF('FINANCIAL CREDITORS'!$AE$326="","",'FINANCIAL CREDITORS'!$AE$326)</f>
        <v/>
      </c>
      <c r="M880" t="inlineStr">
        <is>
          <t>FINANCIAL</t>
        </is>
      </c>
      <c r="N880" t="inlineStr">
        <is>
          <t>FINANCIAL CREDITORS · row 326</t>
        </is>
      </c>
    </row>
    <row r="881">
      <c r="A881">
        <f>IF('FINANCIAL CREDITORS'!$A$327="","",'FINANCIAL CREDITORS'!$A$327)</f>
        <v/>
      </c>
      <c r="B881">
        <f>IF('FINANCIAL CREDITORS'!$C$327="","",'FINANCIAL CREDITORS'!$C$327)</f>
        <v/>
      </c>
      <c r="C881">
        <f>'FINANCIAL CREDITORS'!$U$327</f>
        <v/>
      </c>
      <c r="D881">
        <f>'FINANCIAL CREDITORS'!$Y$327</f>
        <v/>
      </c>
      <c r="E881">
        <f>'FINANCIAL CREDITORS'!$AC$327</f>
        <v/>
      </c>
      <c r="F881">
        <f>IF('FINANCIAL CREDITORS'!$V$327="","",'FINANCIAL CREDITORS'!$V$327)</f>
        <v/>
      </c>
      <c r="G881">
        <f>IF('FINANCIAL CREDITORS'!$D$327="","",'FINANCIAL CREDITORS'!$D$327)</f>
        <v/>
      </c>
      <c r="H881">
        <f>IF('FINANCIAL CREDITORS'!$G$327="","",'FINANCIAL CREDITORS'!$G$327)</f>
        <v/>
      </c>
      <c r="I881">
        <f>IF('FINANCIAL CREDITORS'!$AT$327="","",'FINANCIAL CREDITORS'!$AT$327)</f>
        <v/>
      </c>
      <c r="J881">
        <f>IF('FINANCIAL CREDITORS'!$AX$327="","",'FINANCIAL CREDITORS'!$AX$327)</f>
        <v/>
      </c>
      <c r="K881">
        <f>IF('FINANCIAL CREDITORS'!$N$327="","",'FINANCIAL CREDITORS'!$N$327)</f>
        <v/>
      </c>
      <c r="L881">
        <f>IF('FINANCIAL CREDITORS'!$AE$327="","",'FINANCIAL CREDITORS'!$AE$327)</f>
        <v/>
      </c>
      <c r="M881" t="inlineStr">
        <is>
          <t>FINANCIAL</t>
        </is>
      </c>
      <c r="N881" t="inlineStr">
        <is>
          <t>FINANCIAL CREDITORS · row 327</t>
        </is>
      </c>
    </row>
    <row r="882">
      <c r="A882">
        <f>IF('FINANCIAL CREDITORS'!$A$328="","",'FINANCIAL CREDITORS'!$A$328)</f>
        <v/>
      </c>
      <c r="B882">
        <f>IF('FINANCIAL CREDITORS'!$C$328="","",'FINANCIAL CREDITORS'!$C$328)</f>
        <v/>
      </c>
      <c r="C882">
        <f>'FINANCIAL CREDITORS'!$U$328</f>
        <v/>
      </c>
      <c r="D882">
        <f>'FINANCIAL CREDITORS'!$Y$328</f>
        <v/>
      </c>
      <c r="E882">
        <f>'FINANCIAL CREDITORS'!$AC$328</f>
        <v/>
      </c>
      <c r="F882">
        <f>IF('FINANCIAL CREDITORS'!$V$328="","",'FINANCIAL CREDITORS'!$V$328)</f>
        <v/>
      </c>
      <c r="G882">
        <f>IF('FINANCIAL CREDITORS'!$D$328="","",'FINANCIAL CREDITORS'!$D$328)</f>
        <v/>
      </c>
      <c r="H882">
        <f>IF('FINANCIAL CREDITORS'!$G$328="","",'FINANCIAL CREDITORS'!$G$328)</f>
        <v/>
      </c>
      <c r="I882">
        <f>IF('FINANCIAL CREDITORS'!$AT$328="","",'FINANCIAL CREDITORS'!$AT$328)</f>
        <v/>
      </c>
      <c r="J882">
        <f>IF('FINANCIAL CREDITORS'!$AX$328="","",'FINANCIAL CREDITORS'!$AX$328)</f>
        <v/>
      </c>
      <c r="K882">
        <f>IF('FINANCIAL CREDITORS'!$N$328="","",'FINANCIAL CREDITORS'!$N$328)</f>
        <v/>
      </c>
      <c r="L882">
        <f>IF('FINANCIAL CREDITORS'!$AE$328="","",'FINANCIAL CREDITORS'!$AE$328)</f>
        <v/>
      </c>
      <c r="M882" t="inlineStr">
        <is>
          <t>FINANCIAL</t>
        </is>
      </c>
      <c r="N882" t="inlineStr">
        <is>
          <t>FINANCIAL CREDITORS · row 328</t>
        </is>
      </c>
    </row>
    <row r="883">
      <c r="A883">
        <f>IF('FINANCIAL CREDITORS'!$A$329="","",'FINANCIAL CREDITORS'!$A$329)</f>
        <v/>
      </c>
      <c r="B883">
        <f>IF('FINANCIAL CREDITORS'!$C$329="","",'FINANCIAL CREDITORS'!$C$329)</f>
        <v/>
      </c>
      <c r="C883">
        <f>'FINANCIAL CREDITORS'!$U$329</f>
        <v/>
      </c>
      <c r="D883">
        <f>'FINANCIAL CREDITORS'!$Y$329</f>
        <v/>
      </c>
      <c r="E883">
        <f>'FINANCIAL CREDITORS'!$AC$329</f>
        <v/>
      </c>
      <c r="F883">
        <f>IF('FINANCIAL CREDITORS'!$V$329="","",'FINANCIAL CREDITORS'!$V$329)</f>
        <v/>
      </c>
      <c r="G883">
        <f>IF('FINANCIAL CREDITORS'!$D$329="","",'FINANCIAL CREDITORS'!$D$329)</f>
        <v/>
      </c>
      <c r="H883">
        <f>IF('FINANCIAL CREDITORS'!$G$329="","",'FINANCIAL CREDITORS'!$G$329)</f>
        <v/>
      </c>
      <c r="I883">
        <f>IF('FINANCIAL CREDITORS'!$AT$329="","",'FINANCIAL CREDITORS'!$AT$329)</f>
        <v/>
      </c>
      <c r="J883">
        <f>IF('FINANCIAL CREDITORS'!$AX$329="","",'FINANCIAL CREDITORS'!$AX$329)</f>
        <v/>
      </c>
      <c r="K883">
        <f>IF('FINANCIAL CREDITORS'!$N$329="","",'FINANCIAL CREDITORS'!$N$329)</f>
        <v/>
      </c>
      <c r="L883">
        <f>IF('FINANCIAL CREDITORS'!$AE$329="","",'FINANCIAL CREDITORS'!$AE$329)</f>
        <v/>
      </c>
      <c r="M883" t="inlineStr">
        <is>
          <t>FINANCIAL</t>
        </is>
      </c>
      <c r="N883" t="inlineStr">
        <is>
          <t>FINANCIAL CREDITORS · row 329</t>
        </is>
      </c>
    </row>
    <row r="884">
      <c r="A884">
        <f>IF('FINANCIAL CREDITORS'!$A$330="","",'FINANCIAL CREDITORS'!$A$330)</f>
        <v/>
      </c>
      <c r="B884">
        <f>IF('FINANCIAL CREDITORS'!$C$330="","",'FINANCIAL CREDITORS'!$C$330)</f>
        <v/>
      </c>
      <c r="C884">
        <f>'FINANCIAL CREDITORS'!$U$330</f>
        <v/>
      </c>
      <c r="D884">
        <f>'FINANCIAL CREDITORS'!$Y$330</f>
        <v/>
      </c>
      <c r="E884">
        <f>'FINANCIAL CREDITORS'!$AC$330</f>
        <v/>
      </c>
      <c r="F884">
        <f>IF('FINANCIAL CREDITORS'!$V$330="","",'FINANCIAL CREDITORS'!$V$330)</f>
        <v/>
      </c>
      <c r="G884">
        <f>IF('FINANCIAL CREDITORS'!$D$330="","",'FINANCIAL CREDITORS'!$D$330)</f>
        <v/>
      </c>
      <c r="H884">
        <f>IF('FINANCIAL CREDITORS'!$G$330="","",'FINANCIAL CREDITORS'!$G$330)</f>
        <v/>
      </c>
      <c r="I884">
        <f>IF('FINANCIAL CREDITORS'!$AT$330="","",'FINANCIAL CREDITORS'!$AT$330)</f>
        <v/>
      </c>
      <c r="J884">
        <f>IF('FINANCIAL CREDITORS'!$AX$330="","",'FINANCIAL CREDITORS'!$AX$330)</f>
        <v/>
      </c>
      <c r="K884">
        <f>IF('FINANCIAL CREDITORS'!$N$330="","",'FINANCIAL CREDITORS'!$N$330)</f>
        <v/>
      </c>
      <c r="L884">
        <f>IF('FINANCIAL CREDITORS'!$AE$330="","",'FINANCIAL CREDITORS'!$AE$330)</f>
        <v/>
      </c>
      <c r="M884" t="inlineStr">
        <is>
          <t>FINANCIAL</t>
        </is>
      </c>
      <c r="N884" t="inlineStr">
        <is>
          <t>FINANCIAL CREDITORS · row 330</t>
        </is>
      </c>
    </row>
    <row r="885">
      <c r="A885">
        <f>IF('FINANCIAL CREDITORS'!$A$331="","",'FINANCIAL CREDITORS'!$A$331)</f>
        <v/>
      </c>
      <c r="B885">
        <f>IF('FINANCIAL CREDITORS'!$C$331="","",'FINANCIAL CREDITORS'!$C$331)</f>
        <v/>
      </c>
      <c r="C885">
        <f>'FINANCIAL CREDITORS'!$U$331</f>
        <v/>
      </c>
      <c r="D885">
        <f>'FINANCIAL CREDITORS'!$Y$331</f>
        <v/>
      </c>
      <c r="E885">
        <f>'FINANCIAL CREDITORS'!$AC$331</f>
        <v/>
      </c>
      <c r="F885">
        <f>IF('FINANCIAL CREDITORS'!$V$331="","",'FINANCIAL CREDITORS'!$V$331)</f>
        <v/>
      </c>
      <c r="G885">
        <f>IF('FINANCIAL CREDITORS'!$D$331="","",'FINANCIAL CREDITORS'!$D$331)</f>
        <v/>
      </c>
      <c r="H885">
        <f>IF('FINANCIAL CREDITORS'!$G$331="","",'FINANCIAL CREDITORS'!$G$331)</f>
        <v/>
      </c>
      <c r="I885">
        <f>IF('FINANCIAL CREDITORS'!$AT$331="","",'FINANCIAL CREDITORS'!$AT$331)</f>
        <v/>
      </c>
      <c r="J885">
        <f>IF('FINANCIAL CREDITORS'!$AX$331="","",'FINANCIAL CREDITORS'!$AX$331)</f>
        <v/>
      </c>
      <c r="K885">
        <f>IF('FINANCIAL CREDITORS'!$N$331="","",'FINANCIAL CREDITORS'!$N$331)</f>
        <v/>
      </c>
      <c r="L885">
        <f>IF('FINANCIAL CREDITORS'!$AE$331="","",'FINANCIAL CREDITORS'!$AE$331)</f>
        <v/>
      </c>
      <c r="M885" t="inlineStr">
        <is>
          <t>FINANCIAL</t>
        </is>
      </c>
      <c r="N885" t="inlineStr">
        <is>
          <t>FINANCIAL CREDITORS · row 331</t>
        </is>
      </c>
    </row>
    <row r="886">
      <c r="A886">
        <f>IF('FINANCIAL CREDITORS'!$A$332="","",'FINANCIAL CREDITORS'!$A$332)</f>
        <v/>
      </c>
      <c r="B886">
        <f>IF('FINANCIAL CREDITORS'!$C$332="","",'FINANCIAL CREDITORS'!$C$332)</f>
        <v/>
      </c>
      <c r="C886">
        <f>'FINANCIAL CREDITORS'!$U$332</f>
        <v/>
      </c>
      <c r="D886">
        <f>'FINANCIAL CREDITORS'!$Y$332</f>
        <v/>
      </c>
      <c r="E886">
        <f>'FINANCIAL CREDITORS'!$AC$332</f>
        <v/>
      </c>
      <c r="F886">
        <f>IF('FINANCIAL CREDITORS'!$V$332="","",'FINANCIAL CREDITORS'!$V$332)</f>
        <v/>
      </c>
      <c r="G886">
        <f>IF('FINANCIAL CREDITORS'!$D$332="","",'FINANCIAL CREDITORS'!$D$332)</f>
        <v/>
      </c>
      <c r="H886">
        <f>IF('FINANCIAL CREDITORS'!$G$332="","",'FINANCIAL CREDITORS'!$G$332)</f>
        <v/>
      </c>
      <c r="I886">
        <f>IF('FINANCIAL CREDITORS'!$AT$332="","",'FINANCIAL CREDITORS'!$AT$332)</f>
        <v/>
      </c>
      <c r="J886">
        <f>IF('FINANCIAL CREDITORS'!$AX$332="","",'FINANCIAL CREDITORS'!$AX$332)</f>
        <v/>
      </c>
      <c r="K886">
        <f>IF('FINANCIAL CREDITORS'!$N$332="","",'FINANCIAL CREDITORS'!$N$332)</f>
        <v/>
      </c>
      <c r="L886">
        <f>IF('FINANCIAL CREDITORS'!$AE$332="","",'FINANCIAL CREDITORS'!$AE$332)</f>
        <v/>
      </c>
      <c r="M886" t="inlineStr">
        <is>
          <t>FINANCIAL</t>
        </is>
      </c>
      <c r="N886" t="inlineStr">
        <is>
          <t>FINANCIAL CREDITORS · row 332</t>
        </is>
      </c>
    </row>
    <row r="887">
      <c r="A887">
        <f>IF('FINANCIAL CREDITORS'!$A$333="","",'FINANCIAL CREDITORS'!$A$333)</f>
        <v/>
      </c>
      <c r="B887">
        <f>IF('FINANCIAL CREDITORS'!$C$333="","",'FINANCIAL CREDITORS'!$C$333)</f>
        <v/>
      </c>
      <c r="C887">
        <f>'FINANCIAL CREDITORS'!$U$333</f>
        <v/>
      </c>
      <c r="D887">
        <f>'FINANCIAL CREDITORS'!$Y$333</f>
        <v/>
      </c>
      <c r="E887">
        <f>'FINANCIAL CREDITORS'!$AC$333</f>
        <v/>
      </c>
      <c r="F887">
        <f>IF('FINANCIAL CREDITORS'!$V$333="","",'FINANCIAL CREDITORS'!$V$333)</f>
        <v/>
      </c>
      <c r="G887">
        <f>IF('FINANCIAL CREDITORS'!$D$333="","",'FINANCIAL CREDITORS'!$D$333)</f>
        <v/>
      </c>
      <c r="H887">
        <f>IF('FINANCIAL CREDITORS'!$G$333="","",'FINANCIAL CREDITORS'!$G$333)</f>
        <v/>
      </c>
      <c r="I887">
        <f>IF('FINANCIAL CREDITORS'!$AT$333="","",'FINANCIAL CREDITORS'!$AT$333)</f>
        <v/>
      </c>
      <c r="J887">
        <f>IF('FINANCIAL CREDITORS'!$AX$333="","",'FINANCIAL CREDITORS'!$AX$333)</f>
        <v/>
      </c>
      <c r="K887">
        <f>IF('FINANCIAL CREDITORS'!$N$333="","",'FINANCIAL CREDITORS'!$N$333)</f>
        <v/>
      </c>
      <c r="L887">
        <f>IF('FINANCIAL CREDITORS'!$AE$333="","",'FINANCIAL CREDITORS'!$AE$333)</f>
        <v/>
      </c>
      <c r="M887" t="inlineStr">
        <is>
          <t>FINANCIAL</t>
        </is>
      </c>
      <c r="N887" t="inlineStr">
        <is>
          <t>FINANCIAL CREDITORS · row 333</t>
        </is>
      </c>
    </row>
    <row r="888">
      <c r="A888">
        <f>IF('FINANCIAL CREDITORS'!$A$334="","",'FINANCIAL CREDITORS'!$A$334)</f>
        <v/>
      </c>
      <c r="B888">
        <f>IF('FINANCIAL CREDITORS'!$C$334="","",'FINANCIAL CREDITORS'!$C$334)</f>
        <v/>
      </c>
      <c r="C888">
        <f>'FINANCIAL CREDITORS'!$U$334</f>
        <v/>
      </c>
      <c r="D888">
        <f>'FINANCIAL CREDITORS'!$Y$334</f>
        <v/>
      </c>
      <c r="E888">
        <f>'FINANCIAL CREDITORS'!$AC$334</f>
        <v/>
      </c>
      <c r="F888">
        <f>IF('FINANCIAL CREDITORS'!$V$334="","",'FINANCIAL CREDITORS'!$V$334)</f>
        <v/>
      </c>
      <c r="G888">
        <f>IF('FINANCIAL CREDITORS'!$D$334="","",'FINANCIAL CREDITORS'!$D$334)</f>
        <v/>
      </c>
      <c r="H888">
        <f>IF('FINANCIAL CREDITORS'!$G$334="","",'FINANCIAL CREDITORS'!$G$334)</f>
        <v/>
      </c>
      <c r="I888">
        <f>IF('FINANCIAL CREDITORS'!$AT$334="","",'FINANCIAL CREDITORS'!$AT$334)</f>
        <v/>
      </c>
      <c r="J888">
        <f>IF('FINANCIAL CREDITORS'!$AX$334="","",'FINANCIAL CREDITORS'!$AX$334)</f>
        <v/>
      </c>
      <c r="K888">
        <f>IF('FINANCIAL CREDITORS'!$N$334="","",'FINANCIAL CREDITORS'!$N$334)</f>
        <v/>
      </c>
      <c r="L888">
        <f>IF('FINANCIAL CREDITORS'!$AE$334="","",'FINANCIAL CREDITORS'!$AE$334)</f>
        <v/>
      </c>
      <c r="M888" t="inlineStr">
        <is>
          <t>FINANCIAL</t>
        </is>
      </c>
      <c r="N888" t="inlineStr">
        <is>
          <t>FINANCIAL CREDITORS · row 334</t>
        </is>
      </c>
    </row>
    <row r="889">
      <c r="A889">
        <f>IF('FINANCIAL CREDITORS'!$A$335="","",'FINANCIAL CREDITORS'!$A$335)</f>
        <v/>
      </c>
      <c r="B889">
        <f>IF('FINANCIAL CREDITORS'!$C$335="","",'FINANCIAL CREDITORS'!$C$335)</f>
        <v/>
      </c>
      <c r="C889">
        <f>'FINANCIAL CREDITORS'!$U$335</f>
        <v/>
      </c>
      <c r="D889">
        <f>'FINANCIAL CREDITORS'!$Y$335</f>
        <v/>
      </c>
      <c r="E889">
        <f>'FINANCIAL CREDITORS'!$AC$335</f>
        <v/>
      </c>
      <c r="F889">
        <f>IF('FINANCIAL CREDITORS'!$V$335="","",'FINANCIAL CREDITORS'!$V$335)</f>
        <v/>
      </c>
      <c r="G889">
        <f>IF('FINANCIAL CREDITORS'!$D$335="","",'FINANCIAL CREDITORS'!$D$335)</f>
        <v/>
      </c>
      <c r="H889">
        <f>IF('FINANCIAL CREDITORS'!$G$335="","",'FINANCIAL CREDITORS'!$G$335)</f>
        <v/>
      </c>
      <c r="I889">
        <f>IF('FINANCIAL CREDITORS'!$AT$335="","",'FINANCIAL CREDITORS'!$AT$335)</f>
        <v/>
      </c>
      <c r="J889">
        <f>IF('FINANCIAL CREDITORS'!$AX$335="","",'FINANCIAL CREDITORS'!$AX$335)</f>
        <v/>
      </c>
      <c r="K889">
        <f>IF('FINANCIAL CREDITORS'!$N$335="","",'FINANCIAL CREDITORS'!$N$335)</f>
        <v/>
      </c>
      <c r="L889">
        <f>IF('FINANCIAL CREDITORS'!$AE$335="","",'FINANCIAL CREDITORS'!$AE$335)</f>
        <v/>
      </c>
      <c r="M889" t="inlineStr">
        <is>
          <t>FINANCIAL</t>
        </is>
      </c>
      <c r="N889" t="inlineStr">
        <is>
          <t>FINANCIAL CREDITORS · row 335</t>
        </is>
      </c>
    </row>
    <row r="890">
      <c r="A890">
        <f>IF('FINANCIAL CREDITORS'!$A$336="","",'FINANCIAL CREDITORS'!$A$336)</f>
        <v/>
      </c>
      <c r="B890">
        <f>IF('FINANCIAL CREDITORS'!$C$336="","",'FINANCIAL CREDITORS'!$C$336)</f>
        <v/>
      </c>
      <c r="C890">
        <f>'FINANCIAL CREDITORS'!$U$336</f>
        <v/>
      </c>
      <c r="D890">
        <f>'FINANCIAL CREDITORS'!$Y$336</f>
        <v/>
      </c>
      <c r="E890">
        <f>'FINANCIAL CREDITORS'!$AC$336</f>
        <v/>
      </c>
      <c r="F890">
        <f>IF('FINANCIAL CREDITORS'!$V$336="","",'FINANCIAL CREDITORS'!$V$336)</f>
        <v/>
      </c>
      <c r="G890">
        <f>IF('FINANCIAL CREDITORS'!$D$336="","",'FINANCIAL CREDITORS'!$D$336)</f>
        <v/>
      </c>
      <c r="H890">
        <f>IF('FINANCIAL CREDITORS'!$G$336="","",'FINANCIAL CREDITORS'!$G$336)</f>
        <v/>
      </c>
      <c r="I890">
        <f>IF('FINANCIAL CREDITORS'!$AT$336="","",'FINANCIAL CREDITORS'!$AT$336)</f>
        <v/>
      </c>
      <c r="J890">
        <f>IF('FINANCIAL CREDITORS'!$AX$336="","",'FINANCIAL CREDITORS'!$AX$336)</f>
        <v/>
      </c>
      <c r="K890">
        <f>IF('FINANCIAL CREDITORS'!$N$336="","",'FINANCIAL CREDITORS'!$N$336)</f>
        <v/>
      </c>
      <c r="L890">
        <f>IF('FINANCIAL CREDITORS'!$AE$336="","",'FINANCIAL CREDITORS'!$AE$336)</f>
        <v/>
      </c>
      <c r="M890" t="inlineStr">
        <is>
          <t>FINANCIAL</t>
        </is>
      </c>
      <c r="N890" t="inlineStr">
        <is>
          <t>FINANCIAL CREDITORS · row 336</t>
        </is>
      </c>
    </row>
    <row r="891">
      <c r="A891">
        <f>IF('FINANCIAL CREDITORS'!$A$337="","",'FINANCIAL CREDITORS'!$A$337)</f>
        <v/>
      </c>
      <c r="B891">
        <f>IF('FINANCIAL CREDITORS'!$C$337="","",'FINANCIAL CREDITORS'!$C$337)</f>
        <v/>
      </c>
      <c r="C891">
        <f>'FINANCIAL CREDITORS'!$U$337</f>
        <v/>
      </c>
      <c r="D891">
        <f>'FINANCIAL CREDITORS'!$Y$337</f>
        <v/>
      </c>
      <c r="E891">
        <f>'FINANCIAL CREDITORS'!$AC$337</f>
        <v/>
      </c>
      <c r="F891">
        <f>IF('FINANCIAL CREDITORS'!$V$337="","",'FINANCIAL CREDITORS'!$V$337)</f>
        <v/>
      </c>
      <c r="G891">
        <f>IF('FINANCIAL CREDITORS'!$D$337="","",'FINANCIAL CREDITORS'!$D$337)</f>
        <v/>
      </c>
      <c r="H891">
        <f>IF('FINANCIAL CREDITORS'!$G$337="","",'FINANCIAL CREDITORS'!$G$337)</f>
        <v/>
      </c>
      <c r="I891">
        <f>IF('FINANCIAL CREDITORS'!$AT$337="","",'FINANCIAL CREDITORS'!$AT$337)</f>
        <v/>
      </c>
      <c r="J891">
        <f>IF('FINANCIAL CREDITORS'!$AX$337="","",'FINANCIAL CREDITORS'!$AX$337)</f>
        <v/>
      </c>
      <c r="K891">
        <f>IF('FINANCIAL CREDITORS'!$N$337="","",'FINANCIAL CREDITORS'!$N$337)</f>
        <v/>
      </c>
      <c r="L891">
        <f>IF('FINANCIAL CREDITORS'!$AE$337="","",'FINANCIAL CREDITORS'!$AE$337)</f>
        <v/>
      </c>
      <c r="M891" t="inlineStr">
        <is>
          <t>FINANCIAL</t>
        </is>
      </c>
      <c r="N891" t="inlineStr">
        <is>
          <t>FINANCIAL CREDITORS · row 337</t>
        </is>
      </c>
    </row>
    <row r="892">
      <c r="A892">
        <f>IF('FINANCIAL CREDITORS'!$A$338="","",'FINANCIAL CREDITORS'!$A$338)</f>
        <v/>
      </c>
      <c r="B892">
        <f>IF('FINANCIAL CREDITORS'!$C$338="","",'FINANCIAL CREDITORS'!$C$338)</f>
        <v/>
      </c>
      <c r="C892">
        <f>'FINANCIAL CREDITORS'!$U$338</f>
        <v/>
      </c>
      <c r="D892">
        <f>'FINANCIAL CREDITORS'!$Y$338</f>
        <v/>
      </c>
      <c r="E892">
        <f>'FINANCIAL CREDITORS'!$AC$338</f>
        <v/>
      </c>
      <c r="F892">
        <f>IF('FINANCIAL CREDITORS'!$V$338="","",'FINANCIAL CREDITORS'!$V$338)</f>
        <v/>
      </c>
      <c r="G892">
        <f>IF('FINANCIAL CREDITORS'!$D$338="","",'FINANCIAL CREDITORS'!$D$338)</f>
        <v/>
      </c>
      <c r="H892">
        <f>IF('FINANCIAL CREDITORS'!$G$338="","",'FINANCIAL CREDITORS'!$G$338)</f>
        <v/>
      </c>
      <c r="I892">
        <f>IF('FINANCIAL CREDITORS'!$AT$338="","",'FINANCIAL CREDITORS'!$AT$338)</f>
        <v/>
      </c>
      <c r="J892">
        <f>IF('FINANCIAL CREDITORS'!$AX$338="","",'FINANCIAL CREDITORS'!$AX$338)</f>
        <v/>
      </c>
      <c r="K892">
        <f>IF('FINANCIAL CREDITORS'!$N$338="","",'FINANCIAL CREDITORS'!$N$338)</f>
        <v/>
      </c>
      <c r="L892">
        <f>IF('FINANCIAL CREDITORS'!$AE$338="","",'FINANCIAL CREDITORS'!$AE$338)</f>
        <v/>
      </c>
      <c r="M892" t="inlineStr">
        <is>
          <t>FINANCIAL</t>
        </is>
      </c>
      <c r="N892" t="inlineStr">
        <is>
          <t>FINANCIAL CREDITORS · row 338</t>
        </is>
      </c>
    </row>
    <row r="893">
      <c r="A893">
        <f>IF('FINANCIAL CREDITORS'!$A$339="","",'FINANCIAL CREDITORS'!$A$339)</f>
        <v/>
      </c>
      <c r="B893">
        <f>IF('FINANCIAL CREDITORS'!$C$339="","",'FINANCIAL CREDITORS'!$C$339)</f>
        <v/>
      </c>
      <c r="C893">
        <f>'FINANCIAL CREDITORS'!$U$339</f>
        <v/>
      </c>
      <c r="D893">
        <f>'FINANCIAL CREDITORS'!$Y$339</f>
        <v/>
      </c>
      <c r="E893">
        <f>'FINANCIAL CREDITORS'!$AC$339</f>
        <v/>
      </c>
      <c r="F893">
        <f>IF('FINANCIAL CREDITORS'!$V$339="","",'FINANCIAL CREDITORS'!$V$339)</f>
        <v/>
      </c>
      <c r="G893">
        <f>IF('FINANCIAL CREDITORS'!$D$339="","",'FINANCIAL CREDITORS'!$D$339)</f>
        <v/>
      </c>
      <c r="H893">
        <f>IF('FINANCIAL CREDITORS'!$G$339="","",'FINANCIAL CREDITORS'!$G$339)</f>
        <v/>
      </c>
      <c r="I893">
        <f>IF('FINANCIAL CREDITORS'!$AT$339="","",'FINANCIAL CREDITORS'!$AT$339)</f>
        <v/>
      </c>
      <c r="J893">
        <f>IF('FINANCIAL CREDITORS'!$AX$339="","",'FINANCIAL CREDITORS'!$AX$339)</f>
        <v/>
      </c>
      <c r="K893">
        <f>IF('FINANCIAL CREDITORS'!$N$339="","",'FINANCIAL CREDITORS'!$N$339)</f>
        <v/>
      </c>
      <c r="L893">
        <f>IF('FINANCIAL CREDITORS'!$AE$339="","",'FINANCIAL CREDITORS'!$AE$339)</f>
        <v/>
      </c>
      <c r="M893" t="inlineStr">
        <is>
          <t>FINANCIAL</t>
        </is>
      </c>
      <c r="N893" t="inlineStr">
        <is>
          <t>FINANCIAL CREDITORS · row 339</t>
        </is>
      </c>
    </row>
    <row r="894">
      <c r="A894">
        <f>IF('FINANCIAL CREDITORS'!$A$340="","",'FINANCIAL CREDITORS'!$A$340)</f>
        <v/>
      </c>
      <c r="B894">
        <f>IF('FINANCIAL CREDITORS'!$C$340="","",'FINANCIAL CREDITORS'!$C$340)</f>
        <v/>
      </c>
      <c r="C894">
        <f>'FINANCIAL CREDITORS'!$U$340</f>
        <v/>
      </c>
      <c r="D894">
        <f>'FINANCIAL CREDITORS'!$Y$340</f>
        <v/>
      </c>
      <c r="E894">
        <f>'FINANCIAL CREDITORS'!$AC$340</f>
        <v/>
      </c>
      <c r="F894">
        <f>IF('FINANCIAL CREDITORS'!$V$340="","",'FINANCIAL CREDITORS'!$V$340)</f>
        <v/>
      </c>
      <c r="G894">
        <f>IF('FINANCIAL CREDITORS'!$D$340="","",'FINANCIAL CREDITORS'!$D$340)</f>
        <v/>
      </c>
      <c r="H894">
        <f>IF('FINANCIAL CREDITORS'!$G$340="","",'FINANCIAL CREDITORS'!$G$340)</f>
        <v/>
      </c>
      <c r="I894">
        <f>IF('FINANCIAL CREDITORS'!$AT$340="","",'FINANCIAL CREDITORS'!$AT$340)</f>
        <v/>
      </c>
      <c r="J894">
        <f>IF('FINANCIAL CREDITORS'!$AX$340="","",'FINANCIAL CREDITORS'!$AX$340)</f>
        <v/>
      </c>
      <c r="K894">
        <f>IF('FINANCIAL CREDITORS'!$N$340="","",'FINANCIAL CREDITORS'!$N$340)</f>
        <v/>
      </c>
      <c r="L894">
        <f>IF('FINANCIAL CREDITORS'!$AE$340="","",'FINANCIAL CREDITORS'!$AE$340)</f>
        <v/>
      </c>
      <c r="M894" t="inlineStr">
        <is>
          <t>FINANCIAL</t>
        </is>
      </c>
      <c r="N894" t="inlineStr">
        <is>
          <t>FINANCIAL CREDITORS · row 340</t>
        </is>
      </c>
    </row>
    <row r="895">
      <c r="A895">
        <f>IF('FINANCIAL CREDITORS'!$A$341="","",'FINANCIAL CREDITORS'!$A$341)</f>
        <v/>
      </c>
      <c r="B895">
        <f>IF('FINANCIAL CREDITORS'!$C$341="","",'FINANCIAL CREDITORS'!$C$341)</f>
        <v/>
      </c>
      <c r="C895">
        <f>'FINANCIAL CREDITORS'!$U$341</f>
        <v/>
      </c>
      <c r="D895">
        <f>'FINANCIAL CREDITORS'!$Y$341</f>
        <v/>
      </c>
      <c r="E895">
        <f>'FINANCIAL CREDITORS'!$AC$341</f>
        <v/>
      </c>
      <c r="F895">
        <f>IF('FINANCIAL CREDITORS'!$V$341="","",'FINANCIAL CREDITORS'!$V$341)</f>
        <v/>
      </c>
      <c r="G895">
        <f>IF('FINANCIAL CREDITORS'!$D$341="","",'FINANCIAL CREDITORS'!$D$341)</f>
        <v/>
      </c>
      <c r="H895">
        <f>IF('FINANCIAL CREDITORS'!$G$341="","",'FINANCIAL CREDITORS'!$G$341)</f>
        <v/>
      </c>
      <c r="I895">
        <f>IF('FINANCIAL CREDITORS'!$AT$341="","",'FINANCIAL CREDITORS'!$AT$341)</f>
        <v/>
      </c>
      <c r="J895">
        <f>IF('FINANCIAL CREDITORS'!$AX$341="","",'FINANCIAL CREDITORS'!$AX$341)</f>
        <v/>
      </c>
      <c r="K895">
        <f>IF('FINANCIAL CREDITORS'!$N$341="","",'FINANCIAL CREDITORS'!$N$341)</f>
        <v/>
      </c>
      <c r="L895">
        <f>IF('FINANCIAL CREDITORS'!$AE$341="","",'FINANCIAL CREDITORS'!$AE$341)</f>
        <v/>
      </c>
      <c r="M895" t="inlineStr">
        <is>
          <t>FINANCIAL</t>
        </is>
      </c>
      <c r="N895" t="inlineStr">
        <is>
          <t>FINANCIAL CREDITORS · row 341</t>
        </is>
      </c>
    </row>
    <row r="896">
      <c r="A896">
        <f>IF('FINANCIAL CREDITORS'!$A$342="","",'FINANCIAL CREDITORS'!$A$342)</f>
        <v/>
      </c>
      <c r="B896">
        <f>IF('FINANCIAL CREDITORS'!$C$342="","",'FINANCIAL CREDITORS'!$C$342)</f>
        <v/>
      </c>
      <c r="C896">
        <f>'FINANCIAL CREDITORS'!$U$342</f>
        <v/>
      </c>
      <c r="D896">
        <f>'FINANCIAL CREDITORS'!$Y$342</f>
        <v/>
      </c>
      <c r="E896">
        <f>'FINANCIAL CREDITORS'!$AC$342</f>
        <v/>
      </c>
      <c r="F896">
        <f>IF('FINANCIAL CREDITORS'!$V$342="","",'FINANCIAL CREDITORS'!$V$342)</f>
        <v/>
      </c>
      <c r="G896">
        <f>IF('FINANCIAL CREDITORS'!$D$342="","",'FINANCIAL CREDITORS'!$D$342)</f>
        <v/>
      </c>
      <c r="H896">
        <f>IF('FINANCIAL CREDITORS'!$G$342="","",'FINANCIAL CREDITORS'!$G$342)</f>
        <v/>
      </c>
      <c r="I896">
        <f>IF('FINANCIAL CREDITORS'!$AT$342="","",'FINANCIAL CREDITORS'!$AT$342)</f>
        <v/>
      </c>
      <c r="J896">
        <f>IF('FINANCIAL CREDITORS'!$AX$342="","",'FINANCIAL CREDITORS'!$AX$342)</f>
        <v/>
      </c>
      <c r="K896">
        <f>IF('FINANCIAL CREDITORS'!$N$342="","",'FINANCIAL CREDITORS'!$N$342)</f>
        <v/>
      </c>
      <c r="L896">
        <f>IF('FINANCIAL CREDITORS'!$AE$342="","",'FINANCIAL CREDITORS'!$AE$342)</f>
        <v/>
      </c>
      <c r="M896" t="inlineStr">
        <is>
          <t>FINANCIAL</t>
        </is>
      </c>
      <c r="N896" t="inlineStr">
        <is>
          <t>FINANCIAL CREDITORS · row 342</t>
        </is>
      </c>
    </row>
    <row r="897">
      <c r="A897">
        <f>IF('FINANCIAL CREDITORS'!$A$343="","",'FINANCIAL CREDITORS'!$A$343)</f>
        <v/>
      </c>
      <c r="B897">
        <f>IF('FINANCIAL CREDITORS'!$C$343="","",'FINANCIAL CREDITORS'!$C$343)</f>
        <v/>
      </c>
      <c r="C897">
        <f>'FINANCIAL CREDITORS'!$U$343</f>
        <v/>
      </c>
      <c r="D897">
        <f>'FINANCIAL CREDITORS'!$Y$343</f>
        <v/>
      </c>
      <c r="E897">
        <f>'FINANCIAL CREDITORS'!$AC$343</f>
        <v/>
      </c>
      <c r="F897">
        <f>IF('FINANCIAL CREDITORS'!$V$343="","",'FINANCIAL CREDITORS'!$V$343)</f>
        <v/>
      </c>
      <c r="G897">
        <f>IF('FINANCIAL CREDITORS'!$D$343="","",'FINANCIAL CREDITORS'!$D$343)</f>
        <v/>
      </c>
      <c r="H897">
        <f>IF('FINANCIAL CREDITORS'!$G$343="","",'FINANCIAL CREDITORS'!$G$343)</f>
        <v/>
      </c>
      <c r="I897">
        <f>IF('FINANCIAL CREDITORS'!$AT$343="","",'FINANCIAL CREDITORS'!$AT$343)</f>
        <v/>
      </c>
      <c r="J897">
        <f>IF('FINANCIAL CREDITORS'!$AX$343="","",'FINANCIAL CREDITORS'!$AX$343)</f>
        <v/>
      </c>
      <c r="K897">
        <f>IF('FINANCIAL CREDITORS'!$N$343="","",'FINANCIAL CREDITORS'!$N$343)</f>
        <v/>
      </c>
      <c r="L897">
        <f>IF('FINANCIAL CREDITORS'!$AE$343="","",'FINANCIAL CREDITORS'!$AE$343)</f>
        <v/>
      </c>
      <c r="M897" t="inlineStr">
        <is>
          <t>FINANCIAL</t>
        </is>
      </c>
      <c r="N897" t="inlineStr">
        <is>
          <t>FINANCIAL CREDITORS · row 343</t>
        </is>
      </c>
    </row>
    <row r="898">
      <c r="A898">
        <f>IF('FINANCIAL CREDITORS'!$A$344="","",'FINANCIAL CREDITORS'!$A$344)</f>
        <v/>
      </c>
      <c r="B898">
        <f>IF('FINANCIAL CREDITORS'!$C$344="","",'FINANCIAL CREDITORS'!$C$344)</f>
        <v/>
      </c>
      <c r="C898">
        <f>'FINANCIAL CREDITORS'!$U$344</f>
        <v/>
      </c>
      <c r="D898">
        <f>'FINANCIAL CREDITORS'!$Y$344</f>
        <v/>
      </c>
      <c r="E898">
        <f>'FINANCIAL CREDITORS'!$AC$344</f>
        <v/>
      </c>
      <c r="F898">
        <f>IF('FINANCIAL CREDITORS'!$V$344="","",'FINANCIAL CREDITORS'!$V$344)</f>
        <v/>
      </c>
      <c r="G898">
        <f>IF('FINANCIAL CREDITORS'!$D$344="","",'FINANCIAL CREDITORS'!$D$344)</f>
        <v/>
      </c>
      <c r="H898">
        <f>IF('FINANCIAL CREDITORS'!$G$344="","",'FINANCIAL CREDITORS'!$G$344)</f>
        <v/>
      </c>
      <c r="I898">
        <f>IF('FINANCIAL CREDITORS'!$AT$344="","",'FINANCIAL CREDITORS'!$AT$344)</f>
        <v/>
      </c>
      <c r="J898">
        <f>IF('FINANCIAL CREDITORS'!$AX$344="","",'FINANCIAL CREDITORS'!$AX$344)</f>
        <v/>
      </c>
      <c r="K898">
        <f>IF('FINANCIAL CREDITORS'!$N$344="","",'FINANCIAL CREDITORS'!$N$344)</f>
        <v/>
      </c>
      <c r="L898">
        <f>IF('FINANCIAL CREDITORS'!$AE$344="","",'FINANCIAL CREDITORS'!$AE$344)</f>
        <v/>
      </c>
      <c r="M898" t="inlineStr">
        <is>
          <t>FINANCIAL</t>
        </is>
      </c>
      <c r="N898" t="inlineStr">
        <is>
          <t>FINANCIAL CREDITORS · row 344</t>
        </is>
      </c>
    </row>
    <row r="899">
      <c r="A899">
        <f>IF('FINANCIAL CREDITORS'!$A$345="","",'FINANCIAL CREDITORS'!$A$345)</f>
        <v/>
      </c>
      <c r="B899">
        <f>IF('FINANCIAL CREDITORS'!$C$345="","",'FINANCIAL CREDITORS'!$C$345)</f>
        <v/>
      </c>
      <c r="C899">
        <f>'FINANCIAL CREDITORS'!$U$345</f>
        <v/>
      </c>
      <c r="D899">
        <f>'FINANCIAL CREDITORS'!$Y$345</f>
        <v/>
      </c>
      <c r="E899">
        <f>'FINANCIAL CREDITORS'!$AC$345</f>
        <v/>
      </c>
      <c r="F899">
        <f>IF('FINANCIAL CREDITORS'!$V$345="","",'FINANCIAL CREDITORS'!$V$345)</f>
        <v/>
      </c>
      <c r="G899">
        <f>IF('FINANCIAL CREDITORS'!$D$345="","",'FINANCIAL CREDITORS'!$D$345)</f>
        <v/>
      </c>
      <c r="H899">
        <f>IF('FINANCIAL CREDITORS'!$G$345="","",'FINANCIAL CREDITORS'!$G$345)</f>
        <v/>
      </c>
      <c r="I899">
        <f>IF('FINANCIAL CREDITORS'!$AT$345="","",'FINANCIAL CREDITORS'!$AT$345)</f>
        <v/>
      </c>
      <c r="J899">
        <f>IF('FINANCIAL CREDITORS'!$AX$345="","",'FINANCIAL CREDITORS'!$AX$345)</f>
        <v/>
      </c>
      <c r="K899">
        <f>IF('FINANCIAL CREDITORS'!$N$345="","",'FINANCIAL CREDITORS'!$N$345)</f>
        <v/>
      </c>
      <c r="L899">
        <f>IF('FINANCIAL CREDITORS'!$AE$345="","",'FINANCIAL CREDITORS'!$AE$345)</f>
        <v/>
      </c>
      <c r="M899" t="inlineStr">
        <is>
          <t>FINANCIAL</t>
        </is>
      </c>
      <c r="N899" t="inlineStr">
        <is>
          <t>FINANCIAL CREDITORS · row 345</t>
        </is>
      </c>
    </row>
    <row r="900">
      <c r="A900">
        <f>IF('FINANCIAL CREDITORS'!$A$346="","",'FINANCIAL CREDITORS'!$A$346)</f>
        <v/>
      </c>
      <c r="B900">
        <f>IF('FINANCIAL CREDITORS'!$C$346="","",'FINANCIAL CREDITORS'!$C$346)</f>
        <v/>
      </c>
      <c r="C900">
        <f>'FINANCIAL CREDITORS'!$U$346</f>
        <v/>
      </c>
      <c r="D900">
        <f>'FINANCIAL CREDITORS'!$Y$346</f>
        <v/>
      </c>
      <c r="E900">
        <f>'FINANCIAL CREDITORS'!$AC$346</f>
        <v/>
      </c>
      <c r="F900">
        <f>IF('FINANCIAL CREDITORS'!$V$346="","",'FINANCIAL CREDITORS'!$V$346)</f>
        <v/>
      </c>
      <c r="G900">
        <f>IF('FINANCIAL CREDITORS'!$D$346="","",'FINANCIAL CREDITORS'!$D$346)</f>
        <v/>
      </c>
      <c r="H900">
        <f>IF('FINANCIAL CREDITORS'!$G$346="","",'FINANCIAL CREDITORS'!$G$346)</f>
        <v/>
      </c>
      <c r="I900">
        <f>IF('FINANCIAL CREDITORS'!$AT$346="","",'FINANCIAL CREDITORS'!$AT$346)</f>
        <v/>
      </c>
      <c r="J900">
        <f>IF('FINANCIAL CREDITORS'!$AX$346="","",'FINANCIAL CREDITORS'!$AX$346)</f>
        <v/>
      </c>
      <c r="K900">
        <f>IF('FINANCIAL CREDITORS'!$N$346="","",'FINANCIAL CREDITORS'!$N$346)</f>
        <v/>
      </c>
      <c r="L900">
        <f>IF('FINANCIAL CREDITORS'!$AE$346="","",'FINANCIAL CREDITORS'!$AE$346)</f>
        <v/>
      </c>
      <c r="M900" t="inlineStr">
        <is>
          <t>FINANCIAL</t>
        </is>
      </c>
      <c r="N900" t="inlineStr">
        <is>
          <t>FINANCIAL CREDITORS · row 346</t>
        </is>
      </c>
    </row>
    <row r="901">
      <c r="A901">
        <f>IF('FINANCIAL CREDITORS'!$A$347="","",'FINANCIAL CREDITORS'!$A$347)</f>
        <v/>
      </c>
      <c r="B901">
        <f>IF('FINANCIAL CREDITORS'!$C$347="","",'FINANCIAL CREDITORS'!$C$347)</f>
        <v/>
      </c>
      <c r="C901">
        <f>'FINANCIAL CREDITORS'!$U$347</f>
        <v/>
      </c>
      <c r="D901">
        <f>'FINANCIAL CREDITORS'!$Y$347</f>
        <v/>
      </c>
      <c r="E901">
        <f>'FINANCIAL CREDITORS'!$AC$347</f>
        <v/>
      </c>
      <c r="F901">
        <f>IF('FINANCIAL CREDITORS'!$V$347="","",'FINANCIAL CREDITORS'!$V$347)</f>
        <v/>
      </c>
      <c r="G901">
        <f>IF('FINANCIAL CREDITORS'!$D$347="","",'FINANCIAL CREDITORS'!$D$347)</f>
        <v/>
      </c>
      <c r="H901">
        <f>IF('FINANCIAL CREDITORS'!$G$347="","",'FINANCIAL CREDITORS'!$G$347)</f>
        <v/>
      </c>
      <c r="I901">
        <f>IF('FINANCIAL CREDITORS'!$AT$347="","",'FINANCIAL CREDITORS'!$AT$347)</f>
        <v/>
      </c>
      <c r="J901">
        <f>IF('FINANCIAL CREDITORS'!$AX$347="","",'FINANCIAL CREDITORS'!$AX$347)</f>
        <v/>
      </c>
      <c r="K901">
        <f>IF('FINANCIAL CREDITORS'!$N$347="","",'FINANCIAL CREDITORS'!$N$347)</f>
        <v/>
      </c>
      <c r="L901">
        <f>IF('FINANCIAL CREDITORS'!$AE$347="","",'FINANCIAL CREDITORS'!$AE$347)</f>
        <v/>
      </c>
      <c r="M901" t="inlineStr">
        <is>
          <t>FINANCIAL</t>
        </is>
      </c>
      <c r="N901" t="inlineStr">
        <is>
          <t>FINANCIAL CREDITORS · row 347</t>
        </is>
      </c>
    </row>
    <row r="902">
      <c r="A902">
        <f>IF('FINANCIAL CREDITORS'!$A$348="","",'FINANCIAL CREDITORS'!$A$348)</f>
        <v/>
      </c>
      <c r="B902">
        <f>IF('FINANCIAL CREDITORS'!$C$348="","",'FINANCIAL CREDITORS'!$C$348)</f>
        <v/>
      </c>
      <c r="C902">
        <f>'FINANCIAL CREDITORS'!$U$348</f>
        <v/>
      </c>
      <c r="D902">
        <f>'FINANCIAL CREDITORS'!$Y$348</f>
        <v/>
      </c>
      <c r="E902">
        <f>'FINANCIAL CREDITORS'!$AC$348</f>
        <v/>
      </c>
      <c r="F902">
        <f>IF('FINANCIAL CREDITORS'!$V$348="","",'FINANCIAL CREDITORS'!$V$348)</f>
        <v/>
      </c>
      <c r="G902">
        <f>IF('FINANCIAL CREDITORS'!$D$348="","",'FINANCIAL CREDITORS'!$D$348)</f>
        <v/>
      </c>
      <c r="H902">
        <f>IF('FINANCIAL CREDITORS'!$G$348="","",'FINANCIAL CREDITORS'!$G$348)</f>
        <v/>
      </c>
      <c r="I902">
        <f>IF('FINANCIAL CREDITORS'!$AT$348="","",'FINANCIAL CREDITORS'!$AT$348)</f>
        <v/>
      </c>
      <c r="J902">
        <f>IF('FINANCIAL CREDITORS'!$AX$348="","",'FINANCIAL CREDITORS'!$AX$348)</f>
        <v/>
      </c>
      <c r="K902">
        <f>IF('FINANCIAL CREDITORS'!$N$348="","",'FINANCIAL CREDITORS'!$N$348)</f>
        <v/>
      </c>
      <c r="L902">
        <f>IF('FINANCIAL CREDITORS'!$AE$348="","",'FINANCIAL CREDITORS'!$AE$348)</f>
        <v/>
      </c>
      <c r="M902" t="inlineStr">
        <is>
          <t>FINANCIAL</t>
        </is>
      </c>
      <c r="N902" t="inlineStr">
        <is>
          <t>FINANCIAL CREDITORS · row 348</t>
        </is>
      </c>
    </row>
    <row r="903">
      <c r="A903">
        <f>IF('FINANCIAL CREDITORS'!$A$349="","",'FINANCIAL CREDITORS'!$A$349)</f>
        <v/>
      </c>
      <c r="B903">
        <f>IF('FINANCIAL CREDITORS'!$C$349="","",'FINANCIAL CREDITORS'!$C$349)</f>
        <v/>
      </c>
      <c r="C903">
        <f>'FINANCIAL CREDITORS'!$U$349</f>
        <v/>
      </c>
      <c r="D903">
        <f>'FINANCIAL CREDITORS'!$Y$349</f>
        <v/>
      </c>
      <c r="E903">
        <f>'FINANCIAL CREDITORS'!$AC$349</f>
        <v/>
      </c>
      <c r="F903">
        <f>IF('FINANCIAL CREDITORS'!$V$349="","",'FINANCIAL CREDITORS'!$V$349)</f>
        <v/>
      </c>
      <c r="G903">
        <f>IF('FINANCIAL CREDITORS'!$D$349="","",'FINANCIAL CREDITORS'!$D$349)</f>
        <v/>
      </c>
      <c r="H903">
        <f>IF('FINANCIAL CREDITORS'!$G$349="","",'FINANCIAL CREDITORS'!$G$349)</f>
        <v/>
      </c>
      <c r="I903">
        <f>IF('FINANCIAL CREDITORS'!$AT$349="","",'FINANCIAL CREDITORS'!$AT$349)</f>
        <v/>
      </c>
      <c r="J903">
        <f>IF('FINANCIAL CREDITORS'!$AX$349="","",'FINANCIAL CREDITORS'!$AX$349)</f>
        <v/>
      </c>
      <c r="K903">
        <f>IF('FINANCIAL CREDITORS'!$N$349="","",'FINANCIAL CREDITORS'!$N$349)</f>
        <v/>
      </c>
      <c r="L903">
        <f>IF('FINANCIAL CREDITORS'!$AE$349="","",'FINANCIAL CREDITORS'!$AE$349)</f>
        <v/>
      </c>
      <c r="M903" t="inlineStr">
        <is>
          <t>FINANCIAL</t>
        </is>
      </c>
      <c r="N903" t="inlineStr">
        <is>
          <t>FINANCIAL CREDITORS · row 349</t>
        </is>
      </c>
    </row>
    <row r="904">
      <c r="A904">
        <f>IF('FINANCIAL CREDITORS'!$A$350="","",'FINANCIAL CREDITORS'!$A$350)</f>
        <v/>
      </c>
      <c r="B904">
        <f>IF('FINANCIAL CREDITORS'!$C$350="","",'FINANCIAL CREDITORS'!$C$350)</f>
        <v/>
      </c>
      <c r="C904">
        <f>'FINANCIAL CREDITORS'!$U$350</f>
        <v/>
      </c>
      <c r="D904">
        <f>'FINANCIAL CREDITORS'!$Y$350</f>
        <v/>
      </c>
      <c r="E904">
        <f>'FINANCIAL CREDITORS'!$AC$350</f>
        <v/>
      </c>
      <c r="F904">
        <f>IF('FINANCIAL CREDITORS'!$V$350="","",'FINANCIAL CREDITORS'!$V$350)</f>
        <v/>
      </c>
      <c r="G904">
        <f>IF('FINANCIAL CREDITORS'!$D$350="","",'FINANCIAL CREDITORS'!$D$350)</f>
        <v/>
      </c>
      <c r="H904">
        <f>IF('FINANCIAL CREDITORS'!$G$350="","",'FINANCIAL CREDITORS'!$G$350)</f>
        <v/>
      </c>
      <c r="I904">
        <f>IF('FINANCIAL CREDITORS'!$AT$350="","",'FINANCIAL CREDITORS'!$AT$350)</f>
        <v/>
      </c>
      <c r="J904">
        <f>IF('FINANCIAL CREDITORS'!$AX$350="","",'FINANCIAL CREDITORS'!$AX$350)</f>
        <v/>
      </c>
      <c r="K904">
        <f>IF('FINANCIAL CREDITORS'!$N$350="","",'FINANCIAL CREDITORS'!$N$350)</f>
        <v/>
      </c>
      <c r="L904">
        <f>IF('FINANCIAL CREDITORS'!$AE$350="","",'FINANCIAL CREDITORS'!$AE$350)</f>
        <v/>
      </c>
      <c r="M904" t="inlineStr">
        <is>
          <t>FINANCIAL</t>
        </is>
      </c>
      <c r="N904" t="inlineStr">
        <is>
          <t>FINANCIAL CREDITORS · row 350</t>
        </is>
      </c>
    </row>
    <row r="905">
      <c r="A905">
        <f>IF('FINANCIAL CREDITORS'!$A$351="","",'FINANCIAL CREDITORS'!$A$351)</f>
        <v/>
      </c>
      <c r="B905">
        <f>IF('FINANCIAL CREDITORS'!$C$351="","",'FINANCIAL CREDITORS'!$C$351)</f>
        <v/>
      </c>
      <c r="C905">
        <f>'FINANCIAL CREDITORS'!$U$351</f>
        <v/>
      </c>
      <c r="D905">
        <f>'FINANCIAL CREDITORS'!$Y$351</f>
        <v/>
      </c>
      <c r="E905">
        <f>'FINANCIAL CREDITORS'!$AC$351</f>
        <v/>
      </c>
      <c r="F905">
        <f>IF('FINANCIAL CREDITORS'!$V$351="","",'FINANCIAL CREDITORS'!$V$351)</f>
        <v/>
      </c>
      <c r="G905">
        <f>IF('FINANCIAL CREDITORS'!$D$351="","",'FINANCIAL CREDITORS'!$D$351)</f>
        <v/>
      </c>
      <c r="H905">
        <f>IF('FINANCIAL CREDITORS'!$G$351="","",'FINANCIAL CREDITORS'!$G$351)</f>
        <v/>
      </c>
      <c r="I905">
        <f>IF('FINANCIAL CREDITORS'!$AT$351="","",'FINANCIAL CREDITORS'!$AT$351)</f>
        <v/>
      </c>
      <c r="J905">
        <f>IF('FINANCIAL CREDITORS'!$AX$351="","",'FINANCIAL CREDITORS'!$AX$351)</f>
        <v/>
      </c>
      <c r="K905">
        <f>IF('FINANCIAL CREDITORS'!$N$351="","",'FINANCIAL CREDITORS'!$N$351)</f>
        <v/>
      </c>
      <c r="L905">
        <f>IF('FINANCIAL CREDITORS'!$AE$351="","",'FINANCIAL CREDITORS'!$AE$351)</f>
        <v/>
      </c>
      <c r="M905" t="inlineStr">
        <is>
          <t>FINANCIAL</t>
        </is>
      </c>
      <c r="N905" t="inlineStr">
        <is>
          <t>FINANCIAL CREDITORS · row 351</t>
        </is>
      </c>
    </row>
    <row r="906">
      <c r="A906">
        <f>IF('FINANCIAL CREDITORS'!$A$352="","",'FINANCIAL CREDITORS'!$A$352)</f>
        <v/>
      </c>
      <c r="B906">
        <f>IF('FINANCIAL CREDITORS'!$C$352="","",'FINANCIAL CREDITORS'!$C$352)</f>
        <v/>
      </c>
      <c r="C906">
        <f>'FINANCIAL CREDITORS'!$U$352</f>
        <v/>
      </c>
      <c r="D906">
        <f>'FINANCIAL CREDITORS'!$Y$352</f>
        <v/>
      </c>
      <c r="E906">
        <f>'FINANCIAL CREDITORS'!$AC$352</f>
        <v/>
      </c>
      <c r="F906">
        <f>IF('FINANCIAL CREDITORS'!$V$352="","",'FINANCIAL CREDITORS'!$V$352)</f>
        <v/>
      </c>
      <c r="G906">
        <f>IF('FINANCIAL CREDITORS'!$D$352="","",'FINANCIAL CREDITORS'!$D$352)</f>
        <v/>
      </c>
      <c r="H906">
        <f>IF('FINANCIAL CREDITORS'!$G$352="","",'FINANCIAL CREDITORS'!$G$352)</f>
        <v/>
      </c>
      <c r="I906">
        <f>IF('FINANCIAL CREDITORS'!$AT$352="","",'FINANCIAL CREDITORS'!$AT$352)</f>
        <v/>
      </c>
      <c r="J906">
        <f>IF('FINANCIAL CREDITORS'!$AX$352="","",'FINANCIAL CREDITORS'!$AX$352)</f>
        <v/>
      </c>
      <c r="K906">
        <f>IF('FINANCIAL CREDITORS'!$N$352="","",'FINANCIAL CREDITORS'!$N$352)</f>
        <v/>
      </c>
      <c r="L906">
        <f>IF('FINANCIAL CREDITORS'!$AE$352="","",'FINANCIAL CREDITORS'!$AE$352)</f>
        <v/>
      </c>
      <c r="M906" t="inlineStr">
        <is>
          <t>FINANCIAL</t>
        </is>
      </c>
      <c r="N906" t="inlineStr">
        <is>
          <t>FINANCIAL CREDITORS · row 352</t>
        </is>
      </c>
    </row>
    <row r="907">
      <c r="A907">
        <f>IF('FINANCIAL CREDITORS'!$A$353="","",'FINANCIAL CREDITORS'!$A$353)</f>
        <v/>
      </c>
      <c r="B907">
        <f>IF('FINANCIAL CREDITORS'!$C$353="","",'FINANCIAL CREDITORS'!$C$353)</f>
        <v/>
      </c>
      <c r="C907">
        <f>'FINANCIAL CREDITORS'!$U$353</f>
        <v/>
      </c>
      <c r="D907">
        <f>'FINANCIAL CREDITORS'!$Y$353</f>
        <v/>
      </c>
      <c r="E907">
        <f>'FINANCIAL CREDITORS'!$AC$353</f>
        <v/>
      </c>
      <c r="F907">
        <f>IF('FINANCIAL CREDITORS'!$V$353="","",'FINANCIAL CREDITORS'!$V$353)</f>
        <v/>
      </c>
      <c r="G907">
        <f>IF('FINANCIAL CREDITORS'!$D$353="","",'FINANCIAL CREDITORS'!$D$353)</f>
        <v/>
      </c>
      <c r="H907">
        <f>IF('FINANCIAL CREDITORS'!$G$353="","",'FINANCIAL CREDITORS'!$G$353)</f>
        <v/>
      </c>
      <c r="I907">
        <f>IF('FINANCIAL CREDITORS'!$AT$353="","",'FINANCIAL CREDITORS'!$AT$353)</f>
        <v/>
      </c>
      <c r="J907">
        <f>IF('FINANCIAL CREDITORS'!$AX$353="","",'FINANCIAL CREDITORS'!$AX$353)</f>
        <v/>
      </c>
      <c r="K907">
        <f>IF('FINANCIAL CREDITORS'!$N$353="","",'FINANCIAL CREDITORS'!$N$353)</f>
        <v/>
      </c>
      <c r="L907">
        <f>IF('FINANCIAL CREDITORS'!$AE$353="","",'FINANCIAL CREDITORS'!$AE$353)</f>
        <v/>
      </c>
      <c r="M907" t="inlineStr">
        <is>
          <t>FINANCIAL</t>
        </is>
      </c>
      <c r="N907" t="inlineStr">
        <is>
          <t>FINANCIAL CREDITORS · row 353</t>
        </is>
      </c>
    </row>
    <row r="908">
      <c r="A908">
        <f>IF('FINANCIAL CREDITORS'!$A$354="","",'FINANCIAL CREDITORS'!$A$354)</f>
        <v/>
      </c>
      <c r="B908">
        <f>IF('FINANCIAL CREDITORS'!$C$354="","",'FINANCIAL CREDITORS'!$C$354)</f>
        <v/>
      </c>
      <c r="C908">
        <f>'FINANCIAL CREDITORS'!$U$354</f>
        <v/>
      </c>
      <c r="D908">
        <f>'FINANCIAL CREDITORS'!$Y$354</f>
        <v/>
      </c>
      <c r="E908">
        <f>'FINANCIAL CREDITORS'!$AC$354</f>
        <v/>
      </c>
      <c r="F908">
        <f>IF('FINANCIAL CREDITORS'!$V$354="","",'FINANCIAL CREDITORS'!$V$354)</f>
        <v/>
      </c>
      <c r="G908">
        <f>IF('FINANCIAL CREDITORS'!$D$354="","",'FINANCIAL CREDITORS'!$D$354)</f>
        <v/>
      </c>
      <c r="H908">
        <f>IF('FINANCIAL CREDITORS'!$G$354="","",'FINANCIAL CREDITORS'!$G$354)</f>
        <v/>
      </c>
      <c r="I908">
        <f>IF('FINANCIAL CREDITORS'!$AT$354="","",'FINANCIAL CREDITORS'!$AT$354)</f>
        <v/>
      </c>
      <c r="J908">
        <f>IF('FINANCIAL CREDITORS'!$AX$354="","",'FINANCIAL CREDITORS'!$AX$354)</f>
        <v/>
      </c>
      <c r="K908">
        <f>IF('FINANCIAL CREDITORS'!$N$354="","",'FINANCIAL CREDITORS'!$N$354)</f>
        <v/>
      </c>
      <c r="L908">
        <f>IF('FINANCIAL CREDITORS'!$AE$354="","",'FINANCIAL CREDITORS'!$AE$354)</f>
        <v/>
      </c>
      <c r="M908" t="inlineStr">
        <is>
          <t>FINANCIAL</t>
        </is>
      </c>
      <c r="N908" t="inlineStr">
        <is>
          <t>FINANCIAL CREDITORS · row 354</t>
        </is>
      </c>
    </row>
    <row r="909">
      <c r="A909">
        <f>IF('FINANCIAL CREDITORS'!$A$355="","",'FINANCIAL CREDITORS'!$A$355)</f>
        <v/>
      </c>
      <c r="B909">
        <f>IF('FINANCIAL CREDITORS'!$C$355="","",'FINANCIAL CREDITORS'!$C$355)</f>
        <v/>
      </c>
      <c r="C909">
        <f>'FINANCIAL CREDITORS'!$U$355</f>
        <v/>
      </c>
      <c r="D909">
        <f>'FINANCIAL CREDITORS'!$Y$355</f>
        <v/>
      </c>
      <c r="E909">
        <f>'FINANCIAL CREDITORS'!$AC$355</f>
        <v/>
      </c>
      <c r="F909">
        <f>IF('FINANCIAL CREDITORS'!$V$355="","",'FINANCIAL CREDITORS'!$V$355)</f>
        <v/>
      </c>
      <c r="G909">
        <f>IF('FINANCIAL CREDITORS'!$D$355="","",'FINANCIAL CREDITORS'!$D$355)</f>
        <v/>
      </c>
      <c r="H909">
        <f>IF('FINANCIAL CREDITORS'!$G$355="","",'FINANCIAL CREDITORS'!$G$355)</f>
        <v/>
      </c>
      <c r="I909">
        <f>IF('FINANCIAL CREDITORS'!$AT$355="","",'FINANCIAL CREDITORS'!$AT$355)</f>
        <v/>
      </c>
      <c r="J909">
        <f>IF('FINANCIAL CREDITORS'!$AX$355="","",'FINANCIAL CREDITORS'!$AX$355)</f>
        <v/>
      </c>
      <c r="K909">
        <f>IF('FINANCIAL CREDITORS'!$N$355="","",'FINANCIAL CREDITORS'!$N$355)</f>
        <v/>
      </c>
      <c r="L909">
        <f>IF('FINANCIAL CREDITORS'!$AE$355="","",'FINANCIAL CREDITORS'!$AE$355)</f>
        <v/>
      </c>
      <c r="M909" t="inlineStr">
        <is>
          <t>FINANCIAL</t>
        </is>
      </c>
      <c r="N909" t="inlineStr">
        <is>
          <t>FINANCIAL CREDITORS · row 355</t>
        </is>
      </c>
    </row>
    <row r="910">
      <c r="A910">
        <f>IF('FINANCIAL CREDITORS'!$A$356="","",'FINANCIAL CREDITORS'!$A$356)</f>
        <v/>
      </c>
      <c r="B910">
        <f>IF('FINANCIAL CREDITORS'!$C$356="","",'FINANCIAL CREDITORS'!$C$356)</f>
        <v/>
      </c>
      <c r="C910">
        <f>'FINANCIAL CREDITORS'!$U$356</f>
        <v/>
      </c>
      <c r="D910">
        <f>'FINANCIAL CREDITORS'!$Y$356</f>
        <v/>
      </c>
      <c r="E910">
        <f>'FINANCIAL CREDITORS'!$AC$356</f>
        <v/>
      </c>
      <c r="F910">
        <f>IF('FINANCIAL CREDITORS'!$V$356="","",'FINANCIAL CREDITORS'!$V$356)</f>
        <v/>
      </c>
      <c r="G910">
        <f>IF('FINANCIAL CREDITORS'!$D$356="","",'FINANCIAL CREDITORS'!$D$356)</f>
        <v/>
      </c>
      <c r="H910">
        <f>IF('FINANCIAL CREDITORS'!$G$356="","",'FINANCIAL CREDITORS'!$G$356)</f>
        <v/>
      </c>
      <c r="I910">
        <f>IF('FINANCIAL CREDITORS'!$AT$356="","",'FINANCIAL CREDITORS'!$AT$356)</f>
        <v/>
      </c>
      <c r="J910">
        <f>IF('FINANCIAL CREDITORS'!$AX$356="","",'FINANCIAL CREDITORS'!$AX$356)</f>
        <v/>
      </c>
      <c r="K910">
        <f>IF('FINANCIAL CREDITORS'!$N$356="","",'FINANCIAL CREDITORS'!$N$356)</f>
        <v/>
      </c>
      <c r="L910">
        <f>IF('FINANCIAL CREDITORS'!$AE$356="","",'FINANCIAL CREDITORS'!$AE$356)</f>
        <v/>
      </c>
      <c r="M910" t="inlineStr">
        <is>
          <t>FINANCIAL</t>
        </is>
      </c>
      <c r="N910" t="inlineStr">
        <is>
          <t>FINANCIAL CREDITORS · row 356</t>
        </is>
      </c>
    </row>
    <row r="911">
      <c r="A911">
        <f>IF('FINANCIAL CREDITORS'!$A$357="","",'FINANCIAL CREDITORS'!$A$357)</f>
        <v/>
      </c>
      <c r="B911">
        <f>IF('FINANCIAL CREDITORS'!$C$357="","",'FINANCIAL CREDITORS'!$C$357)</f>
        <v/>
      </c>
      <c r="C911">
        <f>'FINANCIAL CREDITORS'!$U$357</f>
        <v/>
      </c>
      <c r="D911">
        <f>'FINANCIAL CREDITORS'!$Y$357</f>
        <v/>
      </c>
      <c r="E911">
        <f>'FINANCIAL CREDITORS'!$AC$357</f>
        <v/>
      </c>
      <c r="F911">
        <f>IF('FINANCIAL CREDITORS'!$V$357="","",'FINANCIAL CREDITORS'!$V$357)</f>
        <v/>
      </c>
      <c r="G911">
        <f>IF('FINANCIAL CREDITORS'!$D$357="","",'FINANCIAL CREDITORS'!$D$357)</f>
        <v/>
      </c>
      <c r="H911">
        <f>IF('FINANCIAL CREDITORS'!$G$357="","",'FINANCIAL CREDITORS'!$G$357)</f>
        <v/>
      </c>
      <c r="I911">
        <f>IF('FINANCIAL CREDITORS'!$AT$357="","",'FINANCIAL CREDITORS'!$AT$357)</f>
        <v/>
      </c>
      <c r="J911">
        <f>IF('FINANCIAL CREDITORS'!$AX$357="","",'FINANCIAL CREDITORS'!$AX$357)</f>
        <v/>
      </c>
      <c r="K911">
        <f>IF('FINANCIAL CREDITORS'!$N$357="","",'FINANCIAL CREDITORS'!$N$357)</f>
        <v/>
      </c>
      <c r="L911">
        <f>IF('FINANCIAL CREDITORS'!$AE$357="","",'FINANCIAL CREDITORS'!$AE$357)</f>
        <v/>
      </c>
      <c r="M911" t="inlineStr">
        <is>
          <t>FINANCIAL</t>
        </is>
      </c>
      <c r="N911" t="inlineStr">
        <is>
          <t>FINANCIAL CREDITORS · row 357</t>
        </is>
      </c>
    </row>
    <row r="912">
      <c r="A912">
        <f>IF('FINANCIAL CREDITORS'!$A$358="","",'FINANCIAL CREDITORS'!$A$358)</f>
        <v/>
      </c>
      <c r="B912">
        <f>IF('FINANCIAL CREDITORS'!$C$358="","",'FINANCIAL CREDITORS'!$C$358)</f>
        <v/>
      </c>
      <c r="C912">
        <f>'FINANCIAL CREDITORS'!$U$358</f>
        <v/>
      </c>
      <c r="D912">
        <f>'FINANCIAL CREDITORS'!$Y$358</f>
        <v/>
      </c>
      <c r="E912">
        <f>'FINANCIAL CREDITORS'!$AC$358</f>
        <v/>
      </c>
      <c r="F912">
        <f>IF('FINANCIAL CREDITORS'!$V$358="","",'FINANCIAL CREDITORS'!$V$358)</f>
        <v/>
      </c>
      <c r="G912">
        <f>IF('FINANCIAL CREDITORS'!$D$358="","",'FINANCIAL CREDITORS'!$D$358)</f>
        <v/>
      </c>
      <c r="H912">
        <f>IF('FINANCIAL CREDITORS'!$G$358="","",'FINANCIAL CREDITORS'!$G$358)</f>
        <v/>
      </c>
      <c r="I912">
        <f>IF('FINANCIAL CREDITORS'!$AT$358="","",'FINANCIAL CREDITORS'!$AT$358)</f>
        <v/>
      </c>
      <c r="J912">
        <f>IF('FINANCIAL CREDITORS'!$AX$358="","",'FINANCIAL CREDITORS'!$AX$358)</f>
        <v/>
      </c>
      <c r="K912">
        <f>IF('FINANCIAL CREDITORS'!$N$358="","",'FINANCIAL CREDITORS'!$N$358)</f>
        <v/>
      </c>
      <c r="L912">
        <f>IF('FINANCIAL CREDITORS'!$AE$358="","",'FINANCIAL CREDITORS'!$AE$358)</f>
        <v/>
      </c>
      <c r="M912" t="inlineStr">
        <is>
          <t>FINANCIAL</t>
        </is>
      </c>
      <c r="N912" t="inlineStr">
        <is>
          <t>FINANCIAL CREDITORS · row 358</t>
        </is>
      </c>
    </row>
    <row r="913">
      <c r="A913">
        <f>IF('FINANCIAL CREDITORS'!$A$359="","",'FINANCIAL CREDITORS'!$A$359)</f>
        <v/>
      </c>
      <c r="B913">
        <f>IF('FINANCIAL CREDITORS'!$C$359="","",'FINANCIAL CREDITORS'!$C$359)</f>
        <v/>
      </c>
      <c r="C913">
        <f>'FINANCIAL CREDITORS'!$U$359</f>
        <v/>
      </c>
      <c r="D913">
        <f>'FINANCIAL CREDITORS'!$Y$359</f>
        <v/>
      </c>
      <c r="E913">
        <f>'FINANCIAL CREDITORS'!$AC$359</f>
        <v/>
      </c>
      <c r="F913">
        <f>IF('FINANCIAL CREDITORS'!$V$359="","",'FINANCIAL CREDITORS'!$V$359)</f>
        <v/>
      </c>
      <c r="G913">
        <f>IF('FINANCIAL CREDITORS'!$D$359="","",'FINANCIAL CREDITORS'!$D$359)</f>
        <v/>
      </c>
      <c r="H913">
        <f>IF('FINANCIAL CREDITORS'!$G$359="","",'FINANCIAL CREDITORS'!$G$359)</f>
        <v/>
      </c>
      <c r="I913">
        <f>IF('FINANCIAL CREDITORS'!$AT$359="","",'FINANCIAL CREDITORS'!$AT$359)</f>
        <v/>
      </c>
      <c r="J913">
        <f>IF('FINANCIAL CREDITORS'!$AX$359="","",'FINANCIAL CREDITORS'!$AX$359)</f>
        <v/>
      </c>
      <c r="K913">
        <f>IF('FINANCIAL CREDITORS'!$N$359="","",'FINANCIAL CREDITORS'!$N$359)</f>
        <v/>
      </c>
      <c r="L913">
        <f>IF('FINANCIAL CREDITORS'!$AE$359="","",'FINANCIAL CREDITORS'!$AE$359)</f>
        <v/>
      </c>
      <c r="M913" t="inlineStr">
        <is>
          <t>FINANCIAL</t>
        </is>
      </c>
      <c r="N913" t="inlineStr">
        <is>
          <t>FINANCIAL CREDITORS · row 359</t>
        </is>
      </c>
    </row>
    <row r="914">
      <c r="A914">
        <f>IF('FINANCIAL CREDITORS'!$A$360="","",'FINANCIAL CREDITORS'!$A$360)</f>
        <v/>
      </c>
      <c r="B914">
        <f>IF('FINANCIAL CREDITORS'!$C$360="","",'FINANCIAL CREDITORS'!$C$360)</f>
        <v/>
      </c>
      <c r="C914">
        <f>'FINANCIAL CREDITORS'!$U$360</f>
        <v/>
      </c>
      <c r="D914">
        <f>'FINANCIAL CREDITORS'!$Y$360</f>
        <v/>
      </c>
      <c r="E914">
        <f>'FINANCIAL CREDITORS'!$AC$360</f>
        <v/>
      </c>
      <c r="F914">
        <f>IF('FINANCIAL CREDITORS'!$V$360="","",'FINANCIAL CREDITORS'!$V$360)</f>
        <v/>
      </c>
      <c r="G914">
        <f>IF('FINANCIAL CREDITORS'!$D$360="","",'FINANCIAL CREDITORS'!$D$360)</f>
        <v/>
      </c>
      <c r="H914">
        <f>IF('FINANCIAL CREDITORS'!$G$360="","",'FINANCIAL CREDITORS'!$G$360)</f>
        <v/>
      </c>
      <c r="I914">
        <f>IF('FINANCIAL CREDITORS'!$AT$360="","",'FINANCIAL CREDITORS'!$AT$360)</f>
        <v/>
      </c>
      <c r="J914">
        <f>IF('FINANCIAL CREDITORS'!$AX$360="","",'FINANCIAL CREDITORS'!$AX$360)</f>
        <v/>
      </c>
      <c r="K914">
        <f>IF('FINANCIAL CREDITORS'!$N$360="","",'FINANCIAL CREDITORS'!$N$360)</f>
        <v/>
      </c>
      <c r="L914">
        <f>IF('FINANCIAL CREDITORS'!$AE$360="","",'FINANCIAL CREDITORS'!$AE$360)</f>
        <v/>
      </c>
      <c r="M914" t="inlineStr">
        <is>
          <t>FINANCIAL</t>
        </is>
      </c>
      <c r="N914" t="inlineStr">
        <is>
          <t>FINANCIAL CREDITORS · row 360</t>
        </is>
      </c>
    </row>
    <row r="915">
      <c r="A915">
        <f>IF('FINANCIAL CREDITORS'!$A$361="","",'FINANCIAL CREDITORS'!$A$361)</f>
        <v/>
      </c>
      <c r="B915">
        <f>IF('FINANCIAL CREDITORS'!$C$361="","",'FINANCIAL CREDITORS'!$C$361)</f>
        <v/>
      </c>
      <c r="C915">
        <f>'FINANCIAL CREDITORS'!$U$361</f>
        <v/>
      </c>
      <c r="D915">
        <f>'FINANCIAL CREDITORS'!$Y$361</f>
        <v/>
      </c>
      <c r="E915">
        <f>'FINANCIAL CREDITORS'!$AC$361</f>
        <v/>
      </c>
      <c r="F915">
        <f>IF('FINANCIAL CREDITORS'!$V$361="","",'FINANCIAL CREDITORS'!$V$361)</f>
        <v/>
      </c>
      <c r="G915">
        <f>IF('FINANCIAL CREDITORS'!$D$361="","",'FINANCIAL CREDITORS'!$D$361)</f>
        <v/>
      </c>
      <c r="H915">
        <f>IF('FINANCIAL CREDITORS'!$G$361="","",'FINANCIAL CREDITORS'!$G$361)</f>
        <v/>
      </c>
      <c r="I915">
        <f>IF('FINANCIAL CREDITORS'!$AT$361="","",'FINANCIAL CREDITORS'!$AT$361)</f>
        <v/>
      </c>
      <c r="J915">
        <f>IF('FINANCIAL CREDITORS'!$AX$361="","",'FINANCIAL CREDITORS'!$AX$361)</f>
        <v/>
      </c>
      <c r="K915">
        <f>IF('FINANCIAL CREDITORS'!$N$361="","",'FINANCIAL CREDITORS'!$N$361)</f>
        <v/>
      </c>
      <c r="L915">
        <f>IF('FINANCIAL CREDITORS'!$AE$361="","",'FINANCIAL CREDITORS'!$AE$361)</f>
        <v/>
      </c>
      <c r="M915" t="inlineStr">
        <is>
          <t>FINANCIAL</t>
        </is>
      </c>
      <c r="N915" t="inlineStr">
        <is>
          <t>FINANCIAL CREDITORS · row 361</t>
        </is>
      </c>
    </row>
    <row r="916">
      <c r="A916">
        <f>IF('FINANCIAL CREDITORS'!$A$362="","",'FINANCIAL CREDITORS'!$A$362)</f>
        <v/>
      </c>
      <c r="B916">
        <f>IF('FINANCIAL CREDITORS'!$C$362="","",'FINANCIAL CREDITORS'!$C$362)</f>
        <v/>
      </c>
      <c r="C916">
        <f>'FINANCIAL CREDITORS'!$U$362</f>
        <v/>
      </c>
      <c r="D916">
        <f>'FINANCIAL CREDITORS'!$Y$362</f>
        <v/>
      </c>
      <c r="E916">
        <f>'FINANCIAL CREDITORS'!$AC$362</f>
        <v/>
      </c>
      <c r="F916">
        <f>IF('FINANCIAL CREDITORS'!$V$362="","",'FINANCIAL CREDITORS'!$V$362)</f>
        <v/>
      </c>
      <c r="G916">
        <f>IF('FINANCIAL CREDITORS'!$D$362="","",'FINANCIAL CREDITORS'!$D$362)</f>
        <v/>
      </c>
      <c r="H916">
        <f>IF('FINANCIAL CREDITORS'!$G$362="","",'FINANCIAL CREDITORS'!$G$362)</f>
        <v/>
      </c>
      <c r="I916">
        <f>IF('FINANCIAL CREDITORS'!$AT$362="","",'FINANCIAL CREDITORS'!$AT$362)</f>
        <v/>
      </c>
      <c r="J916">
        <f>IF('FINANCIAL CREDITORS'!$AX$362="","",'FINANCIAL CREDITORS'!$AX$362)</f>
        <v/>
      </c>
      <c r="K916">
        <f>IF('FINANCIAL CREDITORS'!$N$362="","",'FINANCIAL CREDITORS'!$N$362)</f>
        <v/>
      </c>
      <c r="L916">
        <f>IF('FINANCIAL CREDITORS'!$AE$362="","",'FINANCIAL CREDITORS'!$AE$362)</f>
        <v/>
      </c>
      <c r="M916" t="inlineStr">
        <is>
          <t>FINANCIAL</t>
        </is>
      </c>
      <c r="N916" t="inlineStr">
        <is>
          <t>FINANCIAL CREDITORS · row 362</t>
        </is>
      </c>
    </row>
    <row r="917">
      <c r="A917">
        <f>IF('FINANCIAL CREDITORS'!$A$363="","",'FINANCIAL CREDITORS'!$A$363)</f>
        <v/>
      </c>
      <c r="B917">
        <f>IF('FINANCIAL CREDITORS'!$C$363="","",'FINANCIAL CREDITORS'!$C$363)</f>
        <v/>
      </c>
      <c r="C917">
        <f>'FINANCIAL CREDITORS'!$U$363</f>
        <v/>
      </c>
      <c r="D917">
        <f>'FINANCIAL CREDITORS'!$Y$363</f>
        <v/>
      </c>
      <c r="E917">
        <f>'FINANCIAL CREDITORS'!$AC$363</f>
        <v/>
      </c>
      <c r="F917">
        <f>IF('FINANCIAL CREDITORS'!$V$363="","",'FINANCIAL CREDITORS'!$V$363)</f>
        <v/>
      </c>
      <c r="G917">
        <f>IF('FINANCIAL CREDITORS'!$D$363="","",'FINANCIAL CREDITORS'!$D$363)</f>
        <v/>
      </c>
      <c r="H917">
        <f>IF('FINANCIAL CREDITORS'!$G$363="","",'FINANCIAL CREDITORS'!$G$363)</f>
        <v/>
      </c>
      <c r="I917">
        <f>IF('FINANCIAL CREDITORS'!$AT$363="","",'FINANCIAL CREDITORS'!$AT$363)</f>
        <v/>
      </c>
      <c r="J917">
        <f>IF('FINANCIAL CREDITORS'!$AX$363="","",'FINANCIAL CREDITORS'!$AX$363)</f>
        <v/>
      </c>
      <c r="K917">
        <f>IF('FINANCIAL CREDITORS'!$N$363="","",'FINANCIAL CREDITORS'!$N$363)</f>
        <v/>
      </c>
      <c r="L917">
        <f>IF('FINANCIAL CREDITORS'!$AE$363="","",'FINANCIAL CREDITORS'!$AE$363)</f>
        <v/>
      </c>
      <c r="M917" t="inlineStr">
        <is>
          <t>FINANCIAL</t>
        </is>
      </c>
      <c r="N917" t="inlineStr">
        <is>
          <t>FINANCIAL CREDITORS · row 363</t>
        </is>
      </c>
    </row>
    <row r="918">
      <c r="A918">
        <f>IF('FINANCIAL CREDITORS'!$A$364="","",'FINANCIAL CREDITORS'!$A$364)</f>
        <v/>
      </c>
      <c r="B918">
        <f>IF('FINANCIAL CREDITORS'!$C$364="","",'FINANCIAL CREDITORS'!$C$364)</f>
        <v/>
      </c>
      <c r="C918">
        <f>'FINANCIAL CREDITORS'!$U$364</f>
        <v/>
      </c>
      <c r="D918">
        <f>'FINANCIAL CREDITORS'!$Y$364</f>
        <v/>
      </c>
      <c r="E918">
        <f>'FINANCIAL CREDITORS'!$AC$364</f>
        <v/>
      </c>
      <c r="F918">
        <f>IF('FINANCIAL CREDITORS'!$V$364="","",'FINANCIAL CREDITORS'!$V$364)</f>
        <v/>
      </c>
      <c r="G918">
        <f>IF('FINANCIAL CREDITORS'!$D$364="","",'FINANCIAL CREDITORS'!$D$364)</f>
        <v/>
      </c>
      <c r="H918">
        <f>IF('FINANCIAL CREDITORS'!$G$364="","",'FINANCIAL CREDITORS'!$G$364)</f>
        <v/>
      </c>
      <c r="I918">
        <f>IF('FINANCIAL CREDITORS'!$AT$364="","",'FINANCIAL CREDITORS'!$AT$364)</f>
        <v/>
      </c>
      <c r="J918">
        <f>IF('FINANCIAL CREDITORS'!$AX$364="","",'FINANCIAL CREDITORS'!$AX$364)</f>
        <v/>
      </c>
      <c r="K918">
        <f>IF('FINANCIAL CREDITORS'!$N$364="","",'FINANCIAL CREDITORS'!$N$364)</f>
        <v/>
      </c>
      <c r="L918">
        <f>IF('FINANCIAL CREDITORS'!$AE$364="","",'FINANCIAL CREDITORS'!$AE$364)</f>
        <v/>
      </c>
      <c r="M918" t="inlineStr">
        <is>
          <t>FINANCIAL</t>
        </is>
      </c>
      <c r="N918" t="inlineStr">
        <is>
          <t>FINANCIAL CREDITORS · row 364</t>
        </is>
      </c>
    </row>
    <row r="919">
      <c r="A919">
        <f>IF('FINANCIAL CREDITORS'!$A$365="","",'FINANCIAL CREDITORS'!$A$365)</f>
        <v/>
      </c>
      <c r="B919">
        <f>IF('FINANCIAL CREDITORS'!$C$365="","",'FINANCIAL CREDITORS'!$C$365)</f>
        <v/>
      </c>
      <c r="C919">
        <f>'FINANCIAL CREDITORS'!$U$365</f>
        <v/>
      </c>
      <c r="D919">
        <f>'FINANCIAL CREDITORS'!$Y$365</f>
        <v/>
      </c>
      <c r="E919">
        <f>'FINANCIAL CREDITORS'!$AC$365</f>
        <v/>
      </c>
      <c r="F919">
        <f>IF('FINANCIAL CREDITORS'!$V$365="","",'FINANCIAL CREDITORS'!$V$365)</f>
        <v/>
      </c>
      <c r="G919">
        <f>IF('FINANCIAL CREDITORS'!$D$365="","",'FINANCIAL CREDITORS'!$D$365)</f>
        <v/>
      </c>
      <c r="H919">
        <f>IF('FINANCIAL CREDITORS'!$G$365="","",'FINANCIAL CREDITORS'!$G$365)</f>
        <v/>
      </c>
      <c r="I919">
        <f>IF('FINANCIAL CREDITORS'!$AT$365="","",'FINANCIAL CREDITORS'!$AT$365)</f>
        <v/>
      </c>
      <c r="J919">
        <f>IF('FINANCIAL CREDITORS'!$AX$365="","",'FINANCIAL CREDITORS'!$AX$365)</f>
        <v/>
      </c>
      <c r="K919">
        <f>IF('FINANCIAL CREDITORS'!$N$365="","",'FINANCIAL CREDITORS'!$N$365)</f>
        <v/>
      </c>
      <c r="L919">
        <f>IF('FINANCIAL CREDITORS'!$AE$365="","",'FINANCIAL CREDITORS'!$AE$365)</f>
        <v/>
      </c>
      <c r="M919" t="inlineStr">
        <is>
          <t>FINANCIAL</t>
        </is>
      </c>
      <c r="N919" t="inlineStr">
        <is>
          <t>FINANCIAL CREDITORS · row 365</t>
        </is>
      </c>
    </row>
    <row r="920">
      <c r="A920">
        <f>IF('FINANCIAL CREDITORS'!$A$366="","",'FINANCIAL CREDITORS'!$A$366)</f>
        <v/>
      </c>
      <c r="B920">
        <f>IF('FINANCIAL CREDITORS'!$C$366="","",'FINANCIAL CREDITORS'!$C$366)</f>
        <v/>
      </c>
      <c r="C920">
        <f>'FINANCIAL CREDITORS'!$U$366</f>
        <v/>
      </c>
      <c r="D920">
        <f>'FINANCIAL CREDITORS'!$Y$366</f>
        <v/>
      </c>
      <c r="E920">
        <f>'FINANCIAL CREDITORS'!$AC$366</f>
        <v/>
      </c>
      <c r="F920">
        <f>IF('FINANCIAL CREDITORS'!$V$366="","",'FINANCIAL CREDITORS'!$V$366)</f>
        <v/>
      </c>
      <c r="G920">
        <f>IF('FINANCIAL CREDITORS'!$D$366="","",'FINANCIAL CREDITORS'!$D$366)</f>
        <v/>
      </c>
      <c r="H920">
        <f>IF('FINANCIAL CREDITORS'!$G$366="","",'FINANCIAL CREDITORS'!$G$366)</f>
        <v/>
      </c>
      <c r="I920">
        <f>IF('FINANCIAL CREDITORS'!$AT$366="","",'FINANCIAL CREDITORS'!$AT$366)</f>
        <v/>
      </c>
      <c r="J920">
        <f>IF('FINANCIAL CREDITORS'!$AX$366="","",'FINANCIAL CREDITORS'!$AX$366)</f>
        <v/>
      </c>
      <c r="K920">
        <f>IF('FINANCIAL CREDITORS'!$N$366="","",'FINANCIAL CREDITORS'!$N$366)</f>
        <v/>
      </c>
      <c r="L920">
        <f>IF('FINANCIAL CREDITORS'!$AE$366="","",'FINANCIAL CREDITORS'!$AE$366)</f>
        <v/>
      </c>
      <c r="M920" t="inlineStr">
        <is>
          <t>FINANCIAL</t>
        </is>
      </c>
      <c r="N920" t="inlineStr">
        <is>
          <t>FINANCIAL CREDITORS · row 366</t>
        </is>
      </c>
    </row>
    <row r="921">
      <c r="A921">
        <f>IF('FINANCIAL CREDITORS'!$A$367="","",'FINANCIAL CREDITORS'!$A$367)</f>
        <v/>
      </c>
      <c r="B921">
        <f>IF('FINANCIAL CREDITORS'!$C$367="","",'FINANCIAL CREDITORS'!$C$367)</f>
        <v/>
      </c>
      <c r="C921">
        <f>'FINANCIAL CREDITORS'!$U$367</f>
        <v/>
      </c>
      <c r="D921">
        <f>'FINANCIAL CREDITORS'!$Y$367</f>
        <v/>
      </c>
      <c r="E921">
        <f>'FINANCIAL CREDITORS'!$AC$367</f>
        <v/>
      </c>
      <c r="F921">
        <f>IF('FINANCIAL CREDITORS'!$V$367="","",'FINANCIAL CREDITORS'!$V$367)</f>
        <v/>
      </c>
      <c r="G921">
        <f>IF('FINANCIAL CREDITORS'!$D$367="","",'FINANCIAL CREDITORS'!$D$367)</f>
        <v/>
      </c>
      <c r="H921">
        <f>IF('FINANCIAL CREDITORS'!$G$367="","",'FINANCIAL CREDITORS'!$G$367)</f>
        <v/>
      </c>
      <c r="I921">
        <f>IF('FINANCIAL CREDITORS'!$AT$367="","",'FINANCIAL CREDITORS'!$AT$367)</f>
        <v/>
      </c>
      <c r="J921">
        <f>IF('FINANCIAL CREDITORS'!$AX$367="","",'FINANCIAL CREDITORS'!$AX$367)</f>
        <v/>
      </c>
      <c r="K921">
        <f>IF('FINANCIAL CREDITORS'!$N$367="","",'FINANCIAL CREDITORS'!$N$367)</f>
        <v/>
      </c>
      <c r="L921">
        <f>IF('FINANCIAL CREDITORS'!$AE$367="","",'FINANCIAL CREDITORS'!$AE$367)</f>
        <v/>
      </c>
      <c r="M921" t="inlineStr">
        <is>
          <t>FINANCIAL</t>
        </is>
      </c>
      <c r="N921" t="inlineStr">
        <is>
          <t>FINANCIAL CREDITORS · row 367</t>
        </is>
      </c>
    </row>
    <row r="922">
      <c r="A922">
        <f>IF('FINANCIAL CREDITORS'!$A$368="","",'FINANCIAL CREDITORS'!$A$368)</f>
        <v/>
      </c>
      <c r="B922">
        <f>IF('FINANCIAL CREDITORS'!$C$368="","",'FINANCIAL CREDITORS'!$C$368)</f>
        <v/>
      </c>
      <c r="C922">
        <f>'FINANCIAL CREDITORS'!$U$368</f>
        <v/>
      </c>
      <c r="D922">
        <f>'FINANCIAL CREDITORS'!$Y$368</f>
        <v/>
      </c>
      <c r="E922">
        <f>'FINANCIAL CREDITORS'!$AC$368</f>
        <v/>
      </c>
      <c r="F922">
        <f>IF('FINANCIAL CREDITORS'!$V$368="","",'FINANCIAL CREDITORS'!$V$368)</f>
        <v/>
      </c>
      <c r="G922">
        <f>IF('FINANCIAL CREDITORS'!$D$368="","",'FINANCIAL CREDITORS'!$D$368)</f>
        <v/>
      </c>
      <c r="H922">
        <f>IF('FINANCIAL CREDITORS'!$G$368="","",'FINANCIAL CREDITORS'!$G$368)</f>
        <v/>
      </c>
      <c r="I922">
        <f>IF('FINANCIAL CREDITORS'!$AT$368="","",'FINANCIAL CREDITORS'!$AT$368)</f>
        <v/>
      </c>
      <c r="J922">
        <f>IF('FINANCIAL CREDITORS'!$AX$368="","",'FINANCIAL CREDITORS'!$AX$368)</f>
        <v/>
      </c>
      <c r="K922">
        <f>IF('FINANCIAL CREDITORS'!$N$368="","",'FINANCIAL CREDITORS'!$N$368)</f>
        <v/>
      </c>
      <c r="L922">
        <f>IF('FINANCIAL CREDITORS'!$AE$368="","",'FINANCIAL CREDITORS'!$AE$368)</f>
        <v/>
      </c>
      <c r="M922" t="inlineStr">
        <is>
          <t>FINANCIAL</t>
        </is>
      </c>
      <c r="N922" t="inlineStr">
        <is>
          <t>FINANCIAL CREDITORS · row 368</t>
        </is>
      </c>
    </row>
    <row r="923">
      <c r="A923">
        <f>IF('FINANCIAL CREDITORS'!$A$369="","",'FINANCIAL CREDITORS'!$A$369)</f>
        <v/>
      </c>
      <c r="B923">
        <f>IF('FINANCIAL CREDITORS'!$C$369="","",'FINANCIAL CREDITORS'!$C$369)</f>
        <v/>
      </c>
      <c r="C923">
        <f>'FINANCIAL CREDITORS'!$U$369</f>
        <v/>
      </c>
      <c r="D923">
        <f>'FINANCIAL CREDITORS'!$Y$369</f>
        <v/>
      </c>
      <c r="E923">
        <f>'FINANCIAL CREDITORS'!$AC$369</f>
        <v/>
      </c>
      <c r="F923">
        <f>IF('FINANCIAL CREDITORS'!$V$369="","",'FINANCIAL CREDITORS'!$V$369)</f>
        <v/>
      </c>
      <c r="G923">
        <f>IF('FINANCIAL CREDITORS'!$D$369="","",'FINANCIAL CREDITORS'!$D$369)</f>
        <v/>
      </c>
      <c r="H923">
        <f>IF('FINANCIAL CREDITORS'!$G$369="","",'FINANCIAL CREDITORS'!$G$369)</f>
        <v/>
      </c>
      <c r="I923">
        <f>IF('FINANCIAL CREDITORS'!$AT$369="","",'FINANCIAL CREDITORS'!$AT$369)</f>
        <v/>
      </c>
      <c r="J923">
        <f>IF('FINANCIAL CREDITORS'!$AX$369="","",'FINANCIAL CREDITORS'!$AX$369)</f>
        <v/>
      </c>
      <c r="K923">
        <f>IF('FINANCIAL CREDITORS'!$N$369="","",'FINANCIAL CREDITORS'!$N$369)</f>
        <v/>
      </c>
      <c r="L923">
        <f>IF('FINANCIAL CREDITORS'!$AE$369="","",'FINANCIAL CREDITORS'!$AE$369)</f>
        <v/>
      </c>
      <c r="M923" t="inlineStr">
        <is>
          <t>FINANCIAL</t>
        </is>
      </c>
      <c r="N923" t="inlineStr">
        <is>
          <t>FINANCIAL CREDITORS · row 369</t>
        </is>
      </c>
    </row>
    <row r="924">
      <c r="A924">
        <f>IF('FINANCIAL CREDITORS'!$A$370="","",'FINANCIAL CREDITORS'!$A$370)</f>
        <v/>
      </c>
      <c r="B924">
        <f>IF('FINANCIAL CREDITORS'!$C$370="","",'FINANCIAL CREDITORS'!$C$370)</f>
        <v/>
      </c>
      <c r="C924">
        <f>'FINANCIAL CREDITORS'!$U$370</f>
        <v/>
      </c>
      <c r="D924">
        <f>'FINANCIAL CREDITORS'!$Y$370</f>
        <v/>
      </c>
      <c r="E924">
        <f>'FINANCIAL CREDITORS'!$AC$370</f>
        <v/>
      </c>
      <c r="F924">
        <f>IF('FINANCIAL CREDITORS'!$V$370="","",'FINANCIAL CREDITORS'!$V$370)</f>
        <v/>
      </c>
      <c r="G924">
        <f>IF('FINANCIAL CREDITORS'!$D$370="","",'FINANCIAL CREDITORS'!$D$370)</f>
        <v/>
      </c>
      <c r="H924">
        <f>IF('FINANCIAL CREDITORS'!$G$370="","",'FINANCIAL CREDITORS'!$G$370)</f>
        <v/>
      </c>
      <c r="I924">
        <f>IF('FINANCIAL CREDITORS'!$AT$370="","",'FINANCIAL CREDITORS'!$AT$370)</f>
        <v/>
      </c>
      <c r="J924">
        <f>IF('FINANCIAL CREDITORS'!$AX$370="","",'FINANCIAL CREDITORS'!$AX$370)</f>
        <v/>
      </c>
      <c r="K924">
        <f>IF('FINANCIAL CREDITORS'!$N$370="","",'FINANCIAL CREDITORS'!$N$370)</f>
        <v/>
      </c>
      <c r="L924">
        <f>IF('FINANCIAL CREDITORS'!$AE$370="","",'FINANCIAL CREDITORS'!$AE$370)</f>
        <v/>
      </c>
      <c r="M924" t="inlineStr">
        <is>
          <t>FINANCIAL</t>
        </is>
      </c>
      <c r="N924" t="inlineStr">
        <is>
          <t>FINANCIAL CREDITORS · row 370</t>
        </is>
      </c>
    </row>
    <row r="925">
      <c r="A925">
        <f>IF('FINANCIAL CREDITORS'!$A$371="","",'FINANCIAL CREDITORS'!$A$371)</f>
        <v/>
      </c>
      <c r="B925">
        <f>IF('FINANCIAL CREDITORS'!$C$371="","",'FINANCIAL CREDITORS'!$C$371)</f>
        <v/>
      </c>
      <c r="C925">
        <f>'FINANCIAL CREDITORS'!$U$371</f>
        <v/>
      </c>
      <c r="D925">
        <f>'FINANCIAL CREDITORS'!$Y$371</f>
        <v/>
      </c>
      <c r="E925">
        <f>'FINANCIAL CREDITORS'!$AC$371</f>
        <v/>
      </c>
      <c r="F925">
        <f>IF('FINANCIAL CREDITORS'!$V$371="","",'FINANCIAL CREDITORS'!$V$371)</f>
        <v/>
      </c>
      <c r="G925">
        <f>IF('FINANCIAL CREDITORS'!$D$371="","",'FINANCIAL CREDITORS'!$D$371)</f>
        <v/>
      </c>
      <c r="H925">
        <f>IF('FINANCIAL CREDITORS'!$G$371="","",'FINANCIAL CREDITORS'!$G$371)</f>
        <v/>
      </c>
      <c r="I925">
        <f>IF('FINANCIAL CREDITORS'!$AT$371="","",'FINANCIAL CREDITORS'!$AT$371)</f>
        <v/>
      </c>
      <c r="J925">
        <f>IF('FINANCIAL CREDITORS'!$AX$371="","",'FINANCIAL CREDITORS'!$AX$371)</f>
        <v/>
      </c>
      <c r="K925">
        <f>IF('FINANCIAL CREDITORS'!$N$371="","",'FINANCIAL CREDITORS'!$N$371)</f>
        <v/>
      </c>
      <c r="L925">
        <f>IF('FINANCIAL CREDITORS'!$AE$371="","",'FINANCIAL CREDITORS'!$AE$371)</f>
        <v/>
      </c>
      <c r="M925" t="inlineStr">
        <is>
          <t>FINANCIAL</t>
        </is>
      </c>
      <c r="N925" t="inlineStr">
        <is>
          <t>FINANCIAL CREDITORS · row 371</t>
        </is>
      </c>
    </row>
    <row r="926">
      <c r="A926">
        <f>IF('FINANCIAL CREDITORS'!$A$372="","",'FINANCIAL CREDITORS'!$A$372)</f>
        <v/>
      </c>
      <c r="B926">
        <f>IF('FINANCIAL CREDITORS'!$C$372="","",'FINANCIAL CREDITORS'!$C$372)</f>
        <v/>
      </c>
      <c r="C926">
        <f>'FINANCIAL CREDITORS'!$U$372</f>
        <v/>
      </c>
      <c r="D926">
        <f>'FINANCIAL CREDITORS'!$Y$372</f>
        <v/>
      </c>
      <c r="E926">
        <f>'FINANCIAL CREDITORS'!$AC$372</f>
        <v/>
      </c>
      <c r="F926">
        <f>IF('FINANCIAL CREDITORS'!$V$372="","",'FINANCIAL CREDITORS'!$V$372)</f>
        <v/>
      </c>
      <c r="G926">
        <f>IF('FINANCIAL CREDITORS'!$D$372="","",'FINANCIAL CREDITORS'!$D$372)</f>
        <v/>
      </c>
      <c r="H926">
        <f>IF('FINANCIAL CREDITORS'!$G$372="","",'FINANCIAL CREDITORS'!$G$372)</f>
        <v/>
      </c>
      <c r="I926">
        <f>IF('FINANCIAL CREDITORS'!$AT$372="","",'FINANCIAL CREDITORS'!$AT$372)</f>
        <v/>
      </c>
      <c r="J926">
        <f>IF('FINANCIAL CREDITORS'!$AX$372="","",'FINANCIAL CREDITORS'!$AX$372)</f>
        <v/>
      </c>
      <c r="K926">
        <f>IF('FINANCIAL CREDITORS'!$N$372="","",'FINANCIAL CREDITORS'!$N$372)</f>
        <v/>
      </c>
      <c r="L926">
        <f>IF('FINANCIAL CREDITORS'!$AE$372="","",'FINANCIAL CREDITORS'!$AE$372)</f>
        <v/>
      </c>
      <c r="M926" t="inlineStr">
        <is>
          <t>FINANCIAL</t>
        </is>
      </c>
      <c r="N926" t="inlineStr">
        <is>
          <t>FINANCIAL CREDITORS · row 372</t>
        </is>
      </c>
    </row>
    <row r="927">
      <c r="A927">
        <f>IF('FINANCIAL CREDITORS'!$A$373="","",'FINANCIAL CREDITORS'!$A$373)</f>
        <v/>
      </c>
      <c r="B927">
        <f>IF('FINANCIAL CREDITORS'!$C$373="","",'FINANCIAL CREDITORS'!$C$373)</f>
        <v/>
      </c>
      <c r="C927">
        <f>'FINANCIAL CREDITORS'!$U$373</f>
        <v/>
      </c>
      <c r="D927">
        <f>'FINANCIAL CREDITORS'!$Y$373</f>
        <v/>
      </c>
      <c r="E927">
        <f>'FINANCIAL CREDITORS'!$AC$373</f>
        <v/>
      </c>
      <c r="F927">
        <f>IF('FINANCIAL CREDITORS'!$V$373="","",'FINANCIAL CREDITORS'!$V$373)</f>
        <v/>
      </c>
      <c r="G927">
        <f>IF('FINANCIAL CREDITORS'!$D$373="","",'FINANCIAL CREDITORS'!$D$373)</f>
        <v/>
      </c>
      <c r="H927">
        <f>IF('FINANCIAL CREDITORS'!$G$373="","",'FINANCIAL CREDITORS'!$G$373)</f>
        <v/>
      </c>
      <c r="I927">
        <f>IF('FINANCIAL CREDITORS'!$AT$373="","",'FINANCIAL CREDITORS'!$AT$373)</f>
        <v/>
      </c>
      <c r="J927">
        <f>IF('FINANCIAL CREDITORS'!$AX$373="","",'FINANCIAL CREDITORS'!$AX$373)</f>
        <v/>
      </c>
      <c r="K927">
        <f>IF('FINANCIAL CREDITORS'!$N$373="","",'FINANCIAL CREDITORS'!$N$373)</f>
        <v/>
      </c>
      <c r="L927">
        <f>IF('FINANCIAL CREDITORS'!$AE$373="","",'FINANCIAL CREDITORS'!$AE$373)</f>
        <v/>
      </c>
      <c r="M927" t="inlineStr">
        <is>
          <t>FINANCIAL</t>
        </is>
      </c>
      <c r="N927" t="inlineStr">
        <is>
          <t>FINANCIAL CREDITORS · row 373</t>
        </is>
      </c>
    </row>
    <row r="928">
      <c r="A928">
        <f>IF('FINANCIAL CREDITORS'!$A$374="","",'FINANCIAL CREDITORS'!$A$374)</f>
        <v/>
      </c>
      <c r="B928">
        <f>IF('FINANCIAL CREDITORS'!$C$374="","",'FINANCIAL CREDITORS'!$C$374)</f>
        <v/>
      </c>
      <c r="C928">
        <f>'FINANCIAL CREDITORS'!$U$374</f>
        <v/>
      </c>
      <c r="D928">
        <f>'FINANCIAL CREDITORS'!$Y$374</f>
        <v/>
      </c>
      <c r="E928">
        <f>'FINANCIAL CREDITORS'!$AC$374</f>
        <v/>
      </c>
      <c r="F928">
        <f>IF('FINANCIAL CREDITORS'!$V$374="","",'FINANCIAL CREDITORS'!$V$374)</f>
        <v/>
      </c>
      <c r="G928">
        <f>IF('FINANCIAL CREDITORS'!$D$374="","",'FINANCIAL CREDITORS'!$D$374)</f>
        <v/>
      </c>
      <c r="H928">
        <f>IF('FINANCIAL CREDITORS'!$G$374="","",'FINANCIAL CREDITORS'!$G$374)</f>
        <v/>
      </c>
      <c r="I928">
        <f>IF('FINANCIAL CREDITORS'!$AT$374="","",'FINANCIAL CREDITORS'!$AT$374)</f>
        <v/>
      </c>
      <c r="J928">
        <f>IF('FINANCIAL CREDITORS'!$AX$374="","",'FINANCIAL CREDITORS'!$AX$374)</f>
        <v/>
      </c>
      <c r="K928">
        <f>IF('FINANCIAL CREDITORS'!$N$374="","",'FINANCIAL CREDITORS'!$N$374)</f>
        <v/>
      </c>
      <c r="L928">
        <f>IF('FINANCIAL CREDITORS'!$AE$374="","",'FINANCIAL CREDITORS'!$AE$374)</f>
        <v/>
      </c>
      <c r="M928" t="inlineStr">
        <is>
          <t>FINANCIAL</t>
        </is>
      </c>
      <c r="N928" t="inlineStr">
        <is>
          <t>FINANCIAL CREDITORS · row 374</t>
        </is>
      </c>
    </row>
    <row r="929">
      <c r="A929">
        <f>IF('FINANCIAL CREDITORS'!$A$375="","",'FINANCIAL CREDITORS'!$A$375)</f>
        <v/>
      </c>
      <c r="B929">
        <f>IF('FINANCIAL CREDITORS'!$C$375="","",'FINANCIAL CREDITORS'!$C$375)</f>
        <v/>
      </c>
      <c r="C929">
        <f>'FINANCIAL CREDITORS'!$U$375</f>
        <v/>
      </c>
      <c r="D929">
        <f>'FINANCIAL CREDITORS'!$Y$375</f>
        <v/>
      </c>
      <c r="E929">
        <f>'FINANCIAL CREDITORS'!$AC$375</f>
        <v/>
      </c>
      <c r="F929">
        <f>IF('FINANCIAL CREDITORS'!$V$375="","",'FINANCIAL CREDITORS'!$V$375)</f>
        <v/>
      </c>
      <c r="G929">
        <f>IF('FINANCIAL CREDITORS'!$D$375="","",'FINANCIAL CREDITORS'!$D$375)</f>
        <v/>
      </c>
      <c r="H929">
        <f>IF('FINANCIAL CREDITORS'!$G$375="","",'FINANCIAL CREDITORS'!$G$375)</f>
        <v/>
      </c>
      <c r="I929">
        <f>IF('FINANCIAL CREDITORS'!$AT$375="","",'FINANCIAL CREDITORS'!$AT$375)</f>
        <v/>
      </c>
      <c r="J929">
        <f>IF('FINANCIAL CREDITORS'!$AX$375="","",'FINANCIAL CREDITORS'!$AX$375)</f>
        <v/>
      </c>
      <c r="K929">
        <f>IF('FINANCIAL CREDITORS'!$N$375="","",'FINANCIAL CREDITORS'!$N$375)</f>
        <v/>
      </c>
      <c r="L929">
        <f>IF('FINANCIAL CREDITORS'!$AE$375="","",'FINANCIAL CREDITORS'!$AE$375)</f>
        <v/>
      </c>
      <c r="M929" t="inlineStr">
        <is>
          <t>FINANCIAL</t>
        </is>
      </c>
      <c r="N929" t="inlineStr">
        <is>
          <t>FINANCIAL CREDITORS · row 375</t>
        </is>
      </c>
    </row>
    <row r="930">
      <c r="A930">
        <f>IF('FINANCIAL CREDITORS'!$A$376="","",'FINANCIAL CREDITORS'!$A$376)</f>
        <v/>
      </c>
      <c r="B930">
        <f>IF('FINANCIAL CREDITORS'!$C$376="","",'FINANCIAL CREDITORS'!$C$376)</f>
        <v/>
      </c>
      <c r="C930">
        <f>'FINANCIAL CREDITORS'!$U$376</f>
        <v/>
      </c>
      <c r="D930">
        <f>'FINANCIAL CREDITORS'!$Y$376</f>
        <v/>
      </c>
      <c r="E930">
        <f>'FINANCIAL CREDITORS'!$AC$376</f>
        <v/>
      </c>
      <c r="F930">
        <f>IF('FINANCIAL CREDITORS'!$V$376="","",'FINANCIAL CREDITORS'!$V$376)</f>
        <v/>
      </c>
      <c r="G930">
        <f>IF('FINANCIAL CREDITORS'!$D$376="","",'FINANCIAL CREDITORS'!$D$376)</f>
        <v/>
      </c>
      <c r="H930">
        <f>IF('FINANCIAL CREDITORS'!$G$376="","",'FINANCIAL CREDITORS'!$G$376)</f>
        <v/>
      </c>
      <c r="I930">
        <f>IF('FINANCIAL CREDITORS'!$AT$376="","",'FINANCIAL CREDITORS'!$AT$376)</f>
        <v/>
      </c>
      <c r="J930">
        <f>IF('FINANCIAL CREDITORS'!$AX$376="","",'FINANCIAL CREDITORS'!$AX$376)</f>
        <v/>
      </c>
      <c r="K930">
        <f>IF('FINANCIAL CREDITORS'!$N$376="","",'FINANCIAL CREDITORS'!$N$376)</f>
        <v/>
      </c>
      <c r="L930">
        <f>IF('FINANCIAL CREDITORS'!$AE$376="","",'FINANCIAL CREDITORS'!$AE$376)</f>
        <v/>
      </c>
      <c r="M930" t="inlineStr">
        <is>
          <t>FINANCIAL</t>
        </is>
      </c>
      <c r="N930" t="inlineStr">
        <is>
          <t>FINANCIAL CREDITORS · row 376</t>
        </is>
      </c>
    </row>
    <row r="931">
      <c r="A931">
        <f>IF('FINANCIAL CREDITORS'!$A$377="","",'FINANCIAL CREDITORS'!$A$377)</f>
        <v/>
      </c>
      <c r="B931">
        <f>IF('FINANCIAL CREDITORS'!$C$377="","",'FINANCIAL CREDITORS'!$C$377)</f>
        <v/>
      </c>
      <c r="C931">
        <f>'FINANCIAL CREDITORS'!$U$377</f>
        <v/>
      </c>
      <c r="D931">
        <f>'FINANCIAL CREDITORS'!$Y$377</f>
        <v/>
      </c>
      <c r="E931">
        <f>'FINANCIAL CREDITORS'!$AC$377</f>
        <v/>
      </c>
      <c r="F931">
        <f>IF('FINANCIAL CREDITORS'!$V$377="","",'FINANCIAL CREDITORS'!$V$377)</f>
        <v/>
      </c>
      <c r="G931">
        <f>IF('FINANCIAL CREDITORS'!$D$377="","",'FINANCIAL CREDITORS'!$D$377)</f>
        <v/>
      </c>
      <c r="H931">
        <f>IF('FINANCIAL CREDITORS'!$G$377="","",'FINANCIAL CREDITORS'!$G$377)</f>
        <v/>
      </c>
      <c r="I931">
        <f>IF('FINANCIAL CREDITORS'!$AT$377="","",'FINANCIAL CREDITORS'!$AT$377)</f>
        <v/>
      </c>
      <c r="J931">
        <f>IF('FINANCIAL CREDITORS'!$AX$377="","",'FINANCIAL CREDITORS'!$AX$377)</f>
        <v/>
      </c>
      <c r="K931">
        <f>IF('FINANCIAL CREDITORS'!$N$377="","",'FINANCIAL CREDITORS'!$N$377)</f>
        <v/>
      </c>
      <c r="L931">
        <f>IF('FINANCIAL CREDITORS'!$AE$377="","",'FINANCIAL CREDITORS'!$AE$377)</f>
        <v/>
      </c>
      <c r="M931" t="inlineStr">
        <is>
          <t>FINANCIAL</t>
        </is>
      </c>
      <c r="N931" t="inlineStr">
        <is>
          <t>FINANCIAL CREDITORS · row 377</t>
        </is>
      </c>
    </row>
    <row r="932">
      <c r="A932">
        <f>IF('FINANCIAL CREDITORS'!$A$378="","",'FINANCIAL CREDITORS'!$A$378)</f>
        <v/>
      </c>
      <c r="B932">
        <f>IF('FINANCIAL CREDITORS'!$C$378="","",'FINANCIAL CREDITORS'!$C$378)</f>
        <v/>
      </c>
      <c r="C932">
        <f>'FINANCIAL CREDITORS'!$U$378</f>
        <v/>
      </c>
      <c r="D932">
        <f>'FINANCIAL CREDITORS'!$Y$378</f>
        <v/>
      </c>
      <c r="E932">
        <f>'FINANCIAL CREDITORS'!$AC$378</f>
        <v/>
      </c>
      <c r="F932">
        <f>IF('FINANCIAL CREDITORS'!$V$378="","",'FINANCIAL CREDITORS'!$V$378)</f>
        <v/>
      </c>
      <c r="G932">
        <f>IF('FINANCIAL CREDITORS'!$D$378="","",'FINANCIAL CREDITORS'!$D$378)</f>
        <v/>
      </c>
      <c r="H932">
        <f>IF('FINANCIAL CREDITORS'!$G$378="","",'FINANCIAL CREDITORS'!$G$378)</f>
        <v/>
      </c>
      <c r="I932">
        <f>IF('FINANCIAL CREDITORS'!$AT$378="","",'FINANCIAL CREDITORS'!$AT$378)</f>
        <v/>
      </c>
      <c r="J932">
        <f>IF('FINANCIAL CREDITORS'!$AX$378="","",'FINANCIAL CREDITORS'!$AX$378)</f>
        <v/>
      </c>
      <c r="K932">
        <f>IF('FINANCIAL CREDITORS'!$N$378="","",'FINANCIAL CREDITORS'!$N$378)</f>
        <v/>
      </c>
      <c r="L932">
        <f>IF('FINANCIAL CREDITORS'!$AE$378="","",'FINANCIAL CREDITORS'!$AE$378)</f>
        <v/>
      </c>
      <c r="M932" t="inlineStr">
        <is>
          <t>FINANCIAL</t>
        </is>
      </c>
      <c r="N932" t="inlineStr">
        <is>
          <t>FINANCIAL CREDITORS · row 378</t>
        </is>
      </c>
    </row>
    <row r="933">
      <c r="A933">
        <f>IF('FINANCIAL CREDITORS'!$A$379="","",'FINANCIAL CREDITORS'!$A$379)</f>
        <v/>
      </c>
      <c r="B933">
        <f>IF('FINANCIAL CREDITORS'!$C$379="","",'FINANCIAL CREDITORS'!$C$379)</f>
        <v/>
      </c>
      <c r="C933">
        <f>'FINANCIAL CREDITORS'!$U$379</f>
        <v/>
      </c>
      <c r="D933">
        <f>'FINANCIAL CREDITORS'!$Y$379</f>
        <v/>
      </c>
      <c r="E933">
        <f>'FINANCIAL CREDITORS'!$AC$379</f>
        <v/>
      </c>
      <c r="F933">
        <f>IF('FINANCIAL CREDITORS'!$V$379="","",'FINANCIAL CREDITORS'!$V$379)</f>
        <v/>
      </c>
      <c r="G933">
        <f>IF('FINANCIAL CREDITORS'!$D$379="","",'FINANCIAL CREDITORS'!$D$379)</f>
        <v/>
      </c>
      <c r="H933">
        <f>IF('FINANCIAL CREDITORS'!$G$379="","",'FINANCIAL CREDITORS'!$G$379)</f>
        <v/>
      </c>
      <c r="I933">
        <f>IF('FINANCIAL CREDITORS'!$AT$379="","",'FINANCIAL CREDITORS'!$AT$379)</f>
        <v/>
      </c>
      <c r="J933">
        <f>IF('FINANCIAL CREDITORS'!$AX$379="","",'FINANCIAL CREDITORS'!$AX$379)</f>
        <v/>
      </c>
      <c r="K933">
        <f>IF('FINANCIAL CREDITORS'!$N$379="","",'FINANCIAL CREDITORS'!$N$379)</f>
        <v/>
      </c>
      <c r="L933">
        <f>IF('FINANCIAL CREDITORS'!$AE$379="","",'FINANCIAL CREDITORS'!$AE$379)</f>
        <v/>
      </c>
      <c r="M933" t="inlineStr">
        <is>
          <t>FINANCIAL</t>
        </is>
      </c>
      <c r="N933" t="inlineStr">
        <is>
          <t>FINANCIAL CREDITORS · row 379</t>
        </is>
      </c>
    </row>
    <row r="934">
      <c r="A934">
        <f>IF('FINANCIAL CREDITORS'!$A$380="","",'FINANCIAL CREDITORS'!$A$380)</f>
        <v/>
      </c>
      <c r="B934">
        <f>IF('FINANCIAL CREDITORS'!$C$380="","",'FINANCIAL CREDITORS'!$C$380)</f>
        <v/>
      </c>
      <c r="C934">
        <f>'FINANCIAL CREDITORS'!$U$380</f>
        <v/>
      </c>
      <c r="D934">
        <f>'FINANCIAL CREDITORS'!$Y$380</f>
        <v/>
      </c>
      <c r="E934">
        <f>'FINANCIAL CREDITORS'!$AC$380</f>
        <v/>
      </c>
      <c r="F934">
        <f>IF('FINANCIAL CREDITORS'!$V$380="","",'FINANCIAL CREDITORS'!$V$380)</f>
        <v/>
      </c>
      <c r="G934">
        <f>IF('FINANCIAL CREDITORS'!$D$380="","",'FINANCIAL CREDITORS'!$D$380)</f>
        <v/>
      </c>
      <c r="H934">
        <f>IF('FINANCIAL CREDITORS'!$G$380="","",'FINANCIAL CREDITORS'!$G$380)</f>
        <v/>
      </c>
      <c r="I934">
        <f>IF('FINANCIAL CREDITORS'!$AT$380="","",'FINANCIAL CREDITORS'!$AT$380)</f>
        <v/>
      </c>
      <c r="J934">
        <f>IF('FINANCIAL CREDITORS'!$AX$380="","",'FINANCIAL CREDITORS'!$AX$380)</f>
        <v/>
      </c>
      <c r="K934">
        <f>IF('FINANCIAL CREDITORS'!$N$380="","",'FINANCIAL CREDITORS'!$N$380)</f>
        <v/>
      </c>
      <c r="L934">
        <f>IF('FINANCIAL CREDITORS'!$AE$380="","",'FINANCIAL CREDITORS'!$AE$380)</f>
        <v/>
      </c>
      <c r="M934" t="inlineStr">
        <is>
          <t>FINANCIAL</t>
        </is>
      </c>
      <c r="N934" t="inlineStr">
        <is>
          <t>FINANCIAL CREDITORS · row 380</t>
        </is>
      </c>
    </row>
    <row r="935">
      <c r="A935">
        <f>IF('FINANCIAL CREDITORS'!$A$381="","",'FINANCIAL CREDITORS'!$A$381)</f>
        <v/>
      </c>
      <c r="B935">
        <f>IF('FINANCIAL CREDITORS'!$C$381="","",'FINANCIAL CREDITORS'!$C$381)</f>
        <v/>
      </c>
      <c r="C935">
        <f>'FINANCIAL CREDITORS'!$U$381</f>
        <v/>
      </c>
      <c r="D935">
        <f>'FINANCIAL CREDITORS'!$Y$381</f>
        <v/>
      </c>
      <c r="E935">
        <f>'FINANCIAL CREDITORS'!$AC$381</f>
        <v/>
      </c>
      <c r="F935">
        <f>IF('FINANCIAL CREDITORS'!$V$381="","",'FINANCIAL CREDITORS'!$V$381)</f>
        <v/>
      </c>
      <c r="G935">
        <f>IF('FINANCIAL CREDITORS'!$D$381="","",'FINANCIAL CREDITORS'!$D$381)</f>
        <v/>
      </c>
      <c r="H935">
        <f>IF('FINANCIAL CREDITORS'!$G$381="","",'FINANCIAL CREDITORS'!$G$381)</f>
        <v/>
      </c>
      <c r="I935">
        <f>IF('FINANCIAL CREDITORS'!$AT$381="","",'FINANCIAL CREDITORS'!$AT$381)</f>
        <v/>
      </c>
      <c r="J935">
        <f>IF('FINANCIAL CREDITORS'!$AX$381="","",'FINANCIAL CREDITORS'!$AX$381)</f>
        <v/>
      </c>
      <c r="K935">
        <f>IF('FINANCIAL CREDITORS'!$N$381="","",'FINANCIAL CREDITORS'!$N$381)</f>
        <v/>
      </c>
      <c r="L935">
        <f>IF('FINANCIAL CREDITORS'!$AE$381="","",'FINANCIAL CREDITORS'!$AE$381)</f>
        <v/>
      </c>
      <c r="M935" t="inlineStr">
        <is>
          <t>FINANCIAL</t>
        </is>
      </c>
      <c r="N935" t="inlineStr">
        <is>
          <t>FINANCIAL CREDITORS · row 381</t>
        </is>
      </c>
    </row>
    <row r="936">
      <c r="A936">
        <f>IF('FINANCIAL CREDITORS'!$A$382="","",'FINANCIAL CREDITORS'!$A$382)</f>
        <v/>
      </c>
      <c r="B936">
        <f>IF('FINANCIAL CREDITORS'!$C$382="","",'FINANCIAL CREDITORS'!$C$382)</f>
        <v/>
      </c>
      <c r="C936">
        <f>'FINANCIAL CREDITORS'!$U$382</f>
        <v/>
      </c>
      <c r="D936">
        <f>'FINANCIAL CREDITORS'!$Y$382</f>
        <v/>
      </c>
      <c r="E936">
        <f>'FINANCIAL CREDITORS'!$AC$382</f>
        <v/>
      </c>
      <c r="F936">
        <f>IF('FINANCIAL CREDITORS'!$V$382="","",'FINANCIAL CREDITORS'!$V$382)</f>
        <v/>
      </c>
      <c r="G936">
        <f>IF('FINANCIAL CREDITORS'!$D$382="","",'FINANCIAL CREDITORS'!$D$382)</f>
        <v/>
      </c>
      <c r="H936">
        <f>IF('FINANCIAL CREDITORS'!$G$382="","",'FINANCIAL CREDITORS'!$G$382)</f>
        <v/>
      </c>
      <c r="I936">
        <f>IF('FINANCIAL CREDITORS'!$AT$382="","",'FINANCIAL CREDITORS'!$AT$382)</f>
        <v/>
      </c>
      <c r="J936">
        <f>IF('FINANCIAL CREDITORS'!$AX$382="","",'FINANCIAL CREDITORS'!$AX$382)</f>
        <v/>
      </c>
      <c r="K936">
        <f>IF('FINANCIAL CREDITORS'!$N$382="","",'FINANCIAL CREDITORS'!$N$382)</f>
        <v/>
      </c>
      <c r="L936">
        <f>IF('FINANCIAL CREDITORS'!$AE$382="","",'FINANCIAL CREDITORS'!$AE$382)</f>
        <v/>
      </c>
      <c r="M936" t="inlineStr">
        <is>
          <t>FINANCIAL</t>
        </is>
      </c>
      <c r="N936" t="inlineStr">
        <is>
          <t>FINANCIAL CREDITORS · row 382</t>
        </is>
      </c>
    </row>
    <row r="937">
      <c r="A937">
        <f>IF('FINANCIAL CREDITORS'!$A$383="","",'FINANCIAL CREDITORS'!$A$383)</f>
        <v/>
      </c>
      <c r="B937">
        <f>IF('FINANCIAL CREDITORS'!$C$383="","",'FINANCIAL CREDITORS'!$C$383)</f>
        <v/>
      </c>
      <c r="C937">
        <f>'FINANCIAL CREDITORS'!$U$383</f>
        <v/>
      </c>
      <c r="D937">
        <f>'FINANCIAL CREDITORS'!$Y$383</f>
        <v/>
      </c>
      <c r="E937">
        <f>'FINANCIAL CREDITORS'!$AC$383</f>
        <v/>
      </c>
      <c r="F937">
        <f>IF('FINANCIAL CREDITORS'!$V$383="","",'FINANCIAL CREDITORS'!$V$383)</f>
        <v/>
      </c>
      <c r="G937">
        <f>IF('FINANCIAL CREDITORS'!$D$383="","",'FINANCIAL CREDITORS'!$D$383)</f>
        <v/>
      </c>
      <c r="H937">
        <f>IF('FINANCIAL CREDITORS'!$G$383="","",'FINANCIAL CREDITORS'!$G$383)</f>
        <v/>
      </c>
      <c r="I937">
        <f>IF('FINANCIAL CREDITORS'!$AT$383="","",'FINANCIAL CREDITORS'!$AT$383)</f>
        <v/>
      </c>
      <c r="J937">
        <f>IF('FINANCIAL CREDITORS'!$AX$383="","",'FINANCIAL CREDITORS'!$AX$383)</f>
        <v/>
      </c>
      <c r="K937">
        <f>IF('FINANCIAL CREDITORS'!$N$383="","",'FINANCIAL CREDITORS'!$N$383)</f>
        <v/>
      </c>
      <c r="L937">
        <f>IF('FINANCIAL CREDITORS'!$AE$383="","",'FINANCIAL CREDITORS'!$AE$383)</f>
        <v/>
      </c>
      <c r="M937" t="inlineStr">
        <is>
          <t>FINANCIAL</t>
        </is>
      </c>
      <c r="N937" t="inlineStr">
        <is>
          <t>FINANCIAL CREDITORS · row 383</t>
        </is>
      </c>
    </row>
    <row r="938">
      <c r="A938">
        <f>IF('FINANCIAL CREDITORS'!$A$384="","",'FINANCIAL CREDITORS'!$A$384)</f>
        <v/>
      </c>
      <c r="B938">
        <f>IF('FINANCIAL CREDITORS'!$C$384="","",'FINANCIAL CREDITORS'!$C$384)</f>
        <v/>
      </c>
      <c r="C938">
        <f>'FINANCIAL CREDITORS'!$U$384</f>
        <v/>
      </c>
      <c r="D938">
        <f>'FINANCIAL CREDITORS'!$Y$384</f>
        <v/>
      </c>
      <c r="E938">
        <f>'FINANCIAL CREDITORS'!$AC$384</f>
        <v/>
      </c>
      <c r="F938">
        <f>IF('FINANCIAL CREDITORS'!$V$384="","",'FINANCIAL CREDITORS'!$V$384)</f>
        <v/>
      </c>
      <c r="G938">
        <f>IF('FINANCIAL CREDITORS'!$D$384="","",'FINANCIAL CREDITORS'!$D$384)</f>
        <v/>
      </c>
      <c r="H938">
        <f>IF('FINANCIAL CREDITORS'!$G$384="","",'FINANCIAL CREDITORS'!$G$384)</f>
        <v/>
      </c>
      <c r="I938">
        <f>IF('FINANCIAL CREDITORS'!$AT$384="","",'FINANCIAL CREDITORS'!$AT$384)</f>
        <v/>
      </c>
      <c r="J938">
        <f>IF('FINANCIAL CREDITORS'!$AX$384="","",'FINANCIAL CREDITORS'!$AX$384)</f>
        <v/>
      </c>
      <c r="K938">
        <f>IF('FINANCIAL CREDITORS'!$N$384="","",'FINANCIAL CREDITORS'!$N$384)</f>
        <v/>
      </c>
      <c r="L938">
        <f>IF('FINANCIAL CREDITORS'!$AE$384="","",'FINANCIAL CREDITORS'!$AE$384)</f>
        <v/>
      </c>
      <c r="M938" t="inlineStr">
        <is>
          <t>FINANCIAL</t>
        </is>
      </c>
      <c r="N938" t="inlineStr">
        <is>
          <t>FINANCIAL CREDITORS · row 384</t>
        </is>
      </c>
    </row>
    <row r="939">
      <c r="A939">
        <f>IF('FINANCIAL CREDITORS'!$A$385="","",'FINANCIAL CREDITORS'!$A$385)</f>
        <v/>
      </c>
      <c r="B939">
        <f>IF('FINANCIAL CREDITORS'!$C$385="","",'FINANCIAL CREDITORS'!$C$385)</f>
        <v/>
      </c>
      <c r="C939">
        <f>'FINANCIAL CREDITORS'!$U$385</f>
        <v/>
      </c>
      <c r="D939">
        <f>'FINANCIAL CREDITORS'!$Y$385</f>
        <v/>
      </c>
      <c r="E939">
        <f>'FINANCIAL CREDITORS'!$AC$385</f>
        <v/>
      </c>
      <c r="F939">
        <f>IF('FINANCIAL CREDITORS'!$V$385="","",'FINANCIAL CREDITORS'!$V$385)</f>
        <v/>
      </c>
      <c r="G939">
        <f>IF('FINANCIAL CREDITORS'!$D$385="","",'FINANCIAL CREDITORS'!$D$385)</f>
        <v/>
      </c>
      <c r="H939">
        <f>IF('FINANCIAL CREDITORS'!$G$385="","",'FINANCIAL CREDITORS'!$G$385)</f>
        <v/>
      </c>
      <c r="I939">
        <f>IF('FINANCIAL CREDITORS'!$AT$385="","",'FINANCIAL CREDITORS'!$AT$385)</f>
        <v/>
      </c>
      <c r="J939">
        <f>IF('FINANCIAL CREDITORS'!$AX$385="","",'FINANCIAL CREDITORS'!$AX$385)</f>
        <v/>
      </c>
      <c r="K939">
        <f>IF('FINANCIAL CREDITORS'!$N$385="","",'FINANCIAL CREDITORS'!$N$385)</f>
        <v/>
      </c>
      <c r="L939">
        <f>IF('FINANCIAL CREDITORS'!$AE$385="","",'FINANCIAL CREDITORS'!$AE$385)</f>
        <v/>
      </c>
      <c r="M939" t="inlineStr">
        <is>
          <t>FINANCIAL</t>
        </is>
      </c>
      <c r="N939" t="inlineStr">
        <is>
          <t>FINANCIAL CREDITORS · row 385</t>
        </is>
      </c>
    </row>
    <row r="940">
      <c r="A940">
        <f>IF('FINANCIAL CREDITORS'!$A$386="","",'FINANCIAL CREDITORS'!$A$386)</f>
        <v/>
      </c>
      <c r="B940">
        <f>IF('FINANCIAL CREDITORS'!$C$386="","",'FINANCIAL CREDITORS'!$C$386)</f>
        <v/>
      </c>
      <c r="C940">
        <f>'FINANCIAL CREDITORS'!$U$386</f>
        <v/>
      </c>
      <c r="D940">
        <f>'FINANCIAL CREDITORS'!$Y$386</f>
        <v/>
      </c>
      <c r="E940">
        <f>'FINANCIAL CREDITORS'!$AC$386</f>
        <v/>
      </c>
      <c r="F940">
        <f>IF('FINANCIAL CREDITORS'!$V$386="","",'FINANCIAL CREDITORS'!$V$386)</f>
        <v/>
      </c>
      <c r="G940">
        <f>IF('FINANCIAL CREDITORS'!$D$386="","",'FINANCIAL CREDITORS'!$D$386)</f>
        <v/>
      </c>
      <c r="H940">
        <f>IF('FINANCIAL CREDITORS'!$G$386="","",'FINANCIAL CREDITORS'!$G$386)</f>
        <v/>
      </c>
      <c r="I940">
        <f>IF('FINANCIAL CREDITORS'!$AT$386="","",'FINANCIAL CREDITORS'!$AT$386)</f>
        <v/>
      </c>
      <c r="J940">
        <f>IF('FINANCIAL CREDITORS'!$AX$386="","",'FINANCIAL CREDITORS'!$AX$386)</f>
        <v/>
      </c>
      <c r="K940">
        <f>IF('FINANCIAL CREDITORS'!$N$386="","",'FINANCIAL CREDITORS'!$N$386)</f>
        <v/>
      </c>
      <c r="L940">
        <f>IF('FINANCIAL CREDITORS'!$AE$386="","",'FINANCIAL CREDITORS'!$AE$386)</f>
        <v/>
      </c>
      <c r="M940" t="inlineStr">
        <is>
          <t>FINANCIAL</t>
        </is>
      </c>
      <c r="N940" t="inlineStr">
        <is>
          <t>FINANCIAL CREDITORS · row 386</t>
        </is>
      </c>
    </row>
    <row r="941">
      <c r="A941">
        <f>IF('FINANCIAL CREDITORS'!$A$387="","",'FINANCIAL CREDITORS'!$A$387)</f>
        <v/>
      </c>
      <c r="B941">
        <f>IF('FINANCIAL CREDITORS'!$C$387="","",'FINANCIAL CREDITORS'!$C$387)</f>
        <v/>
      </c>
      <c r="C941">
        <f>'FINANCIAL CREDITORS'!$U$387</f>
        <v/>
      </c>
      <c r="D941">
        <f>'FINANCIAL CREDITORS'!$Y$387</f>
        <v/>
      </c>
      <c r="E941">
        <f>'FINANCIAL CREDITORS'!$AC$387</f>
        <v/>
      </c>
      <c r="F941">
        <f>IF('FINANCIAL CREDITORS'!$V$387="","",'FINANCIAL CREDITORS'!$V$387)</f>
        <v/>
      </c>
      <c r="G941">
        <f>IF('FINANCIAL CREDITORS'!$D$387="","",'FINANCIAL CREDITORS'!$D$387)</f>
        <v/>
      </c>
      <c r="H941">
        <f>IF('FINANCIAL CREDITORS'!$G$387="","",'FINANCIAL CREDITORS'!$G$387)</f>
        <v/>
      </c>
      <c r="I941">
        <f>IF('FINANCIAL CREDITORS'!$AT$387="","",'FINANCIAL CREDITORS'!$AT$387)</f>
        <v/>
      </c>
      <c r="J941">
        <f>IF('FINANCIAL CREDITORS'!$AX$387="","",'FINANCIAL CREDITORS'!$AX$387)</f>
        <v/>
      </c>
      <c r="K941">
        <f>IF('FINANCIAL CREDITORS'!$N$387="","",'FINANCIAL CREDITORS'!$N$387)</f>
        <v/>
      </c>
      <c r="L941">
        <f>IF('FINANCIAL CREDITORS'!$AE$387="","",'FINANCIAL CREDITORS'!$AE$387)</f>
        <v/>
      </c>
      <c r="M941" t="inlineStr">
        <is>
          <t>FINANCIAL</t>
        </is>
      </c>
      <c r="N941" t="inlineStr">
        <is>
          <t>FINANCIAL CREDITORS · row 387</t>
        </is>
      </c>
    </row>
    <row r="942">
      <c r="A942">
        <f>IF('FINANCIAL CREDITORS'!$A$388="","",'FINANCIAL CREDITORS'!$A$388)</f>
        <v/>
      </c>
      <c r="B942">
        <f>IF('FINANCIAL CREDITORS'!$C$388="","",'FINANCIAL CREDITORS'!$C$388)</f>
        <v/>
      </c>
      <c r="C942">
        <f>'FINANCIAL CREDITORS'!$U$388</f>
        <v/>
      </c>
      <c r="D942">
        <f>'FINANCIAL CREDITORS'!$Y$388</f>
        <v/>
      </c>
      <c r="E942">
        <f>'FINANCIAL CREDITORS'!$AC$388</f>
        <v/>
      </c>
      <c r="F942">
        <f>IF('FINANCIAL CREDITORS'!$V$388="","",'FINANCIAL CREDITORS'!$V$388)</f>
        <v/>
      </c>
      <c r="G942">
        <f>IF('FINANCIAL CREDITORS'!$D$388="","",'FINANCIAL CREDITORS'!$D$388)</f>
        <v/>
      </c>
      <c r="H942">
        <f>IF('FINANCIAL CREDITORS'!$G$388="","",'FINANCIAL CREDITORS'!$G$388)</f>
        <v/>
      </c>
      <c r="I942">
        <f>IF('FINANCIAL CREDITORS'!$AT$388="","",'FINANCIAL CREDITORS'!$AT$388)</f>
        <v/>
      </c>
      <c r="J942">
        <f>IF('FINANCIAL CREDITORS'!$AX$388="","",'FINANCIAL CREDITORS'!$AX$388)</f>
        <v/>
      </c>
      <c r="K942">
        <f>IF('FINANCIAL CREDITORS'!$N$388="","",'FINANCIAL CREDITORS'!$N$388)</f>
        <v/>
      </c>
      <c r="L942">
        <f>IF('FINANCIAL CREDITORS'!$AE$388="","",'FINANCIAL CREDITORS'!$AE$388)</f>
        <v/>
      </c>
      <c r="M942" t="inlineStr">
        <is>
          <t>FINANCIAL</t>
        </is>
      </c>
      <c r="N942" t="inlineStr">
        <is>
          <t>FINANCIAL CREDITORS · row 388</t>
        </is>
      </c>
    </row>
    <row r="943">
      <c r="A943">
        <f>IF('FINANCIAL CREDITORS'!$A$389="","",'FINANCIAL CREDITORS'!$A$389)</f>
        <v/>
      </c>
      <c r="B943">
        <f>IF('FINANCIAL CREDITORS'!$C$389="","",'FINANCIAL CREDITORS'!$C$389)</f>
        <v/>
      </c>
      <c r="C943">
        <f>'FINANCIAL CREDITORS'!$U$389</f>
        <v/>
      </c>
      <c r="D943">
        <f>'FINANCIAL CREDITORS'!$Y$389</f>
        <v/>
      </c>
      <c r="E943">
        <f>'FINANCIAL CREDITORS'!$AC$389</f>
        <v/>
      </c>
      <c r="F943">
        <f>IF('FINANCIAL CREDITORS'!$V$389="","",'FINANCIAL CREDITORS'!$V$389)</f>
        <v/>
      </c>
      <c r="G943">
        <f>IF('FINANCIAL CREDITORS'!$D$389="","",'FINANCIAL CREDITORS'!$D$389)</f>
        <v/>
      </c>
      <c r="H943">
        <f>IF('FINANCIAL CREDITORS'!$G$389="","",'FINANCIAL CREDITORS'!$G$389)</f>
        <v/>
      </c>
      <c r="I943">
        <f>IF('FINANCIAL CREDITORS'!$AT$389="","",'FINANCIAL CREDITORS'!$AT$389)</f>
        <v/>
      </c>
      <c r="J943">
        <f>IF('FINANCIAL CREDITORS'!$AX$389="","",'FINANCIAL CREDITORS'!$AX$389)</f>
        <v/>
      </c>
      <c r="K943">
        <f>IF('FINANCIAL CREDITORS'!$N$389="","",'FINANCIAL CREDITORS'!$N$389)</f>
        <v/>
      </c>
      <c r="L943">
        <f>IF('FINANCIAL CREDITORS'!$AE$389="","",'FINANCIAL CREDITORS'!$AE$389)</f>
        <v/>
      </c>
      <c r="M943" t="inlineStr">
        <is>
          <t>FINANCIAL</t>
        </is>
      </c>
      <c r="N943" t="inlineStr">
        <is>
          <t>FINANCIAL CREDITORS · row 389</t>
        </is>
      </c>
    </row>
    <row r="944">
      <c r="A944">
        <f>IF('FINANCIAL CREDITORS'!$A$390="","",'FINANCIAL CREDITORS'!$A$390)</f>
        <v/>
      </c>
      <c r="B944">
        <f>IF('FINANCIAL CREDITORS'!$C$390="","",'FINANCIAL CREDITORS'!$C$390)</f>
        <v/>
      </c>
      <c r="C944">
        <f>'FINANCIAL CREDITORS'!$U$390</f>
        <v/>
      </c>
      <c r="D944">
        <f>'FINANCIAL CREDITORS'!$Y$390</f>
        <v/>
      </c>
      <c r="E944">
        <f>'FINANCIAL CREDITORS'!$AC$390</f>
        <v/>
      </c>
      <c r="F944">
        <f>IF('FINANCIAL CREDITORS'!$V$390="","",'FINANCIAL CREDITORS'!$V$390)</f>
        <v/>
      </c>
      <c r="G944">
        <f>IF('FINANCIAL CREDITORS'!$D$390="","",'FINANCIAL CREDITORS'!$D$390)</f>
        <v/>
      </c>
      <c r="H944">
        <f>IF('FINANCIAL CREDITORS'!$G$390="","",'FINANCIAL CREDITORS'!$G$390)</f>
        <v/>
      </c>
      <c r="I944">
        <f>IF('FINANCIAL CREDITORS'!$AT$390="","",'FINANCIAL CREDITORS'!$AT$390)</f>
        <v/>
      </c>
      <c r="J944">
        <f>IF('FINANCIAL CREDITORS'!$AX$390="","",'FINANCIAL CREDITORS'!$AX$390)</f>
        <v/>
      </c>
      <c r="K944">
        <f>IF('FINANCIAL CREDITORS'!$N$390="","",'FINANCIAL CREDITORS'!$N$390)</f>
        <v/>
      </c>
      <c r="L944">
        <f>IF('FINANCIAL CREDITORS'!$AE$390="","",'FINANCIAL CREDITORS'!$AE$390)</f>
        <v/>
      </c>
      <c r="M944" t="inlineStr">
        <is>
          <t>FINANCIAL</t>
        </is>
      </c>
      <c r="N944" t="inlineStr">
        <is>
          <t>FINANCIAL CREDITORS · row 390</t>
        </is>
      </c>
    </row>
    <row r="945">
      <c r="A945">
        <f>IF('FINANCIAL CREDITORS'!$A$391="","",'FINANCIAL CREDITORS'!$A$391)</f>
        <v/>
      </c>
      <c r="B945">
        <f>IF('FINANCIAL CREDITORS'!$C$391="","",'FINANCIAL CREDITORS'!$C$391)</f>
        <v/>
      </c>
      <c r="C945">
        <f>'FINANCIAL CREDITORS'!$U$391</f>
        <v/>
      </c>
      <c r="D945">
        <f>'FINANCIAL CREDITORS'!$Y$391</f>
        <v/>
      </c>
      <c r="E945">
        <f>'FINANCIAL CREDITORS'!$AC$391</f>
        <v/>
      </c>
      <c r="F945">
        <f>IF('FINANCIAL CREDITORS'!$V$391="","",'FINANCIAL CREDITORS'!$V$391)</f>
        <v/>
      </c>
      <c r="G945">
        <f>IF('FINANCIAL CREDITORS'!$D$391="","",'FINANCIAL CREDITORS'!$D$391)</f>
        <v/>
      </c>
      <c r="H945">
        <f>IF('FINANCIAL CREDITORS'!$G$391="","",'FINANCIAL CREDITORS'!$G$391)</f>
        <v/>
      </c>
      <c r="I945">
        <f>IF('FINANCIAL CREDITORS'!$AT$391="","",'FINANCIAL CREDITORS'!$AT$391)</f>
        <v/>
      </c>
      <c r="J945">
        <f>IF('FINANCIAL CREDITORS'!$AX$391="","",'FINANCIAL CREDITORS'!$AX$391)</f>
        <v/>
      </c>
      <c r="K945">
        <f>IF('FINANCIAL CREDITORS'!$N$391="","",'FINANCIAL CREDITORS'!$N$391)</f>
        <v/>
      </c>
      <c r="L945">
        <f>IF('FINANCIAL CREDITORS'!$AE$391="","",'FINANCIAL CREDITORS'!$AE$391)</f>
        <v/>
      </c>
      <c r="M945" t="inlineStr">
        <is>
          <t>FINANCIAL</t>
        </is>
      </c>
      <c r="N945" t="inlineStr">
        <is>
          <t>FINANCIAL CREDITORS · row 391</t>
        </is>
      </c>
    </row>
    <row r="946">
      <c r="A946">
        <f>IF('FINANCIAL CREDITORS'!$A$392="","",'FINANCIAL CREDITORS'!$A$392)</f>
        <v/>
      </c>
      <c r="B946">
        <f>IF('FINANCIAL CREDITORS'!$C$392="","",'FINANCIAL CREDITORS'!$C$392)</f>
        <v/>
      </c>
      <c r="C946">
        <f>'FINANCIAL CREDITORS'!$U$392</f>
        <v/>
      </c>
      <c r="D946">
        <f>'FINANCIAL CREDITORS'!$Y$392</f>
        <v/>
      </c>
      <c r="E946">
        <f>'FINANCIAL CREDITORS'!$AC$392</f>
        <v/>
      </c>
      <c r="F946">
        <f>IF('FINANCIAL CREDITORS'!$V$392="","",'FINANCIAL CREDITORS'!$V$392)</f>
        <v/>
      </c>
      <c r="G946">
        <f>IF('FINANCIAL CREDITORS'!$D$392="","",'FINANCIAL CREDITORS'!$D$392)</f>
        <v/>
      </c>
      <c r="H946">
        <f>IF('FINANCIAL CREDITORS'!$G$392="","",'FINANCIAL CREDITORS'!$G$392)</f>
        <v/>
      </c>
      <c r="I946">
        <f>IF('FINANCIAL CREDITORS'!$AT$392="","",'FINANCIAL CREDITORS'!$AT$392)</f>
        <v/>
      </c>
      <c r="J946">
        <f>IF('FINANCIAL CREDITORS'!$AX$392="","",'FINANCIAL CREDITORS'!$AX$392)</f>
        <v/>
      </c>
      <c r="K946">
        <f>IF('FINANCIAL CREDITORS'!$N$392="","",'FINANCIAL CREDITORS'!$N$392)</f>
        <v/>
      </c>
      <c r="L946">
        <f>IF('FINANCIAL CREDITORS'!$AE$392="","",'FINANCIAL CREDITORS'!$AE$392)</f>
        <v/>
      </c>
      <c r="M946" t="inlineStr">
        <is>
          <t>FINANCIAL</t>
        </is>
      </c>
      <c r="N946" t="inlineStr">
        <is>
          <t>FINANCIAL CREDITORS · row 392</t>
        </is>
      </c>
    </row>
    <row r="947">
      <c r="A947">
        <f>IF('FINANCIAL CREDITORS'!$A$393="","",'FINANCIAL CREDITORS'!$A$393)</f>
        <v/>
      </c>
      <c r="B947">
        <f>IF('FINANCIAL CREDITORS'!$C$393="","",'FINANCIAL CREDITORS'!$C$393)</f>
        <v/>
      </c>
      <c r="C947">
        <f>'FINANCIAL CREDITORS'!$U$393</f>
        <v/>
      </c>
      <c r="D947">
        <f>'FINANCIAL CREDITORS'!$Y$393</f>
        <v/>
      </c>
      <c r="E947">
        <f>'FINANCIAL CREDITORS'!$AC$393</f>
        <v/>
      </c>
      <c r="F947">
        <f>IF('FINANCIAL CREDITORS'!$V$393="","",'FINANCIAL CREDITORS'!$V$393)</f>
        <v/>
      </c>
      <c r="G947">
        <f>IF('FINANCIAL CREDITORS'!$D$393="","",'FINANCIAL CREDITORS'!$D$393)</f>
        <v/>
      </c>
      <c r="H947">
        <f>IF('FINANCIAL CREDITORS'!$G$393="","",'FINANCIAL CREDITORS'!$G$393)</f>
        <v/>
      </c>
      <c r="I947">
        <f>IF('FINANCIAL CREDITORS'!$AT$393="","",'FINANCIAL CREDITORS'!$AT$393)</f>
        <v/>
      </c>
      <c r="J947">
        <f>IF('FINANCIAL CREDITORS'!$AX$393="","",'FINANCIAL CREDITORS'!$AX$393)</f>
        <v/>
      </c>
      <c r="K947">
        <f>IF('FINANCIAL CREDITORS'!$N$393="","",'FINANCIAL CREDITORS'!$N$393)</f>
        <v/>
      </c>
      <c r="L947">
        <f>IF('FINANCIAL CREDITORS'!$AE$393="","",'FINANCIAL CREDITORS'!$AE$393)</f>
        <v/>
      </c>
      <c r="M947" t="inlineStr">
        <is>
          <t>FINANCIAL</t>
        </is>
      </c>
      <c r="N947" t="inlineStr">
        <is>
          <t>FINANCIAL CREDITORS · row 393</t>
        </is>
      </c>
    </row>
    <row r="948">
      <c r="A948">
        <f>IF('FINANCIAL CREDITORS'!$A$394="","",'FINANCIAL CREDITORS'!$A$394)</f>
        <v/>
      </c>
      <c r="B948">
        <f>IF('FINANCIAL CREDITORS'!$C$394="","",'FINANCIAL CREDITORS'!$C$394)</f>
        <v/>
      </c>
      <c r="C948">
        <f>'FINANCIAL CREDITORS'!$U$394</f>
        <v/>
      </c>
      <c r="D948">
        <f>'FINANCIAL CREDITORS'!$Y$394</f>
        <v/>
      </c>
      <c r="E948">
        <f>'FINANCIAL CREDITORS'!$AC$394</f>
        <v/>
      </c>
      <c r="F948">
        <f>IF('FINANCIAL CREDITORS'!$V$394="","",'FINANCIAL CREDITORS'!$V$394)</f>
        <v/>
      </c>
      <c r="G948">
        <f>IF('FINANCIAL CREDITORS'!$D$394="","",'FINANCIAL CREDITORS'!$D$394)</f>
        <v/>
      </c>
      <c r="H948">
        <f>IF('FINANCIAL CREDITORS'!$G$394="","",'FINANCIAL CREDITORS'!$G$394)</f>
        <v/>
      </c>
      <c r="I948">
        <f>IF('FINANCIAL CREDITORS'!$AT$394="","",'FINANCIAL CREDITORS'!$AT$394)</f>
        <v/>
      </c>
      <c r="J948">
        <f>IF('FINANCIAL CREDITORS'!$AX$394="","",'FINANCIAL CREDITORS'!$AX$394)</f>
        <v/>
      </c>
      <c r="K948">
        <f>IF('FINANCIAL CREDITORS'!$N$394="","",'FINANCIAL CREDITORS'!$N$394)</f>
        <v/>
      </c>
      <c r="L948">
        <f>IF('FINANCIAL CREDITORS'!$AE$394="","",'FINANCIAL CREDITORS'!$AE$394)</f>
        <v/>
      </c>
      <c r="M948" t="inlineStr">
        <is>
          <t>FINANCIAL</t>
        </is>
      </c>
      <c r="N948" t="inlineStr">
        <is>
          <t>FINANCIAL CREDITORS · row 394</t>
        </is>
      </c>
    </row>
    <row r="949">
      <c r="A949">
        <f>IF('FINANCIAL CREDITORS'!$A$395="","",'FINANCIAL CREDITORS'!$A$395)</f>
        <v/>
      </c>
      <c r="B949">
        <f>IF('FINANCIAL CREDITORS'!$C$395="","",'FINANCIAL CREDITORS'!$C$395)</f>
        <v/>
      </c>
      <c r="C949">
        <f>'FINANCIAL CREDITORS'!$U$395</f>
        <v/>
      </c>
      <c r="D949">
        <f>'FINANCIAL CREDITORS'!$Y$395</f>
        <v/>
      </c>
      <c r="E949">
        <f>'FINANCIAL CREDITORS'!$AC$395</f>
        <v/>
      </c>
      <c r="F949">
        <f>IF('FINANCIAL CREDITORS'!$V$395="","",'FINANCIAL CREDITORS'!$V$395)</f>
        <v/>
      </c>
      <c r="G949">
        <f>IF('FINANCIAL CREDITORS'!$D$395="","",'FINANCIAL CREDITORS'!$D$395)</f>
        <v/>
      </c>
      <c r="H949">
        <f>IF('FINANCIAL CREDITORS'!$G$395="","",'FINANCIAL CREDITORS'!$G$395)</f>
        <v/>
      </c>
      <c r="I949">
        <f>IF('FINANCIAL CREDITORS'!$AT$395="","",'FINANCIAL CREDITORS'!$AT$395)</f>
        <v/>
      </c>
      <c r="J949">
        <f>IF('FINANCIAL CREDITORS'!$AX$395="","",'FINANCIAL CREDITORS'!$AX$395)</f>
        <v/>
      </c>
      <c r="K949">
        <f>IF('FINANCIAL CREDITORS'!$N$395="","",'FINANCIAL CREDITORS'!$N$395)</f>
        <v/>
      </c>
      <c r="L949">
        <f>IF('FINANCIAL CREDITORS'!$AE$395="","",'FINANCIAL CREDITORS'!$AE$395)</f>
        <v/>
      </c>
      <c r="M949" t="inlineStr">
        <is>
          <t>FINANCIAL</t>
        </is>
      </c>
      <c r="N949" t="inlineStr">
        <is>
          <t>FINANCIAL CREDITORS · row 395</t>
        </is>
      </c>
    </row>
    <row r="950">
      <c r="A950">
        <f>IF('FINANCIAL CREDITORS'!$A$396="","",'FINANCIAL CREDITORS'!$A$396)</f>
        <v/>
      </c>
      <c r="B950">
        <f>IF('FINANCIAL CREDITORS'!$C$396="","",'FINANCIAL CREDITORS'!$C$396)</f>
        <v/>
      </c>
      <c r="C950">
        <f>'FINANCIAL CREDITORS'!$U$396</f>
        <v/>
      </c>
      <c r="D950">
        <f>'FINANCIAL CREDITORS'!$Y$396</f>
        <v/>
      </c>
      <c r="E950">
        <f>'FINANCIAL CREDITORS'!$AC$396</f>
        <v/>
      </c>
      <c r="F950">
        <f>IF('FINANCIAL CREDITORS'!$V$396="","",'FINANCIAL CREDITORS'!$V$396)</f>
        <v/>
      </c>
      <c r="G950">
        <f>IF('FINANCIAL CREDITORS'!$D$396="","",'FINANCIAL CREDITORS'!$D$396)</f>
        <v/>
      </c>
      <c r="H950">
        <f>IF('FINANCIAL CREDITORS'!$G$396="","",'FINANCIAL CREDITORS'!$G$396)</f>
        <v/>
      </c>
      <c r="I950">
        <f>IF('FINANCIAL CREDITORS'!$AT$396="","",'FINANCIAL CREDITORS'!$AT$396)</f>
        <v/>
      </c>
      <c r="J950">
        <f>IF('FINANCIAL CREDITORS'!$AX$396="","",'FINANCIAL CREDITORS'!$AX$396)</f>
        <v/>
      </c>
      <c r="K950">
        <f>IF('FINANCIAL CREDITORS'!$N$396="","",'FINANCIAL CREDITORS'!$N$396)</f>
        <v/>
      </c>
      <c r="L950">
        <f>IF('FINANCIAL CREDITORS'!$AE$396="","",'FINANCIAL CREDITORS'!$AE$396)</f>
        <v/>
      </c>
      <c r="M950" t="inlineStr">
        <is>
          <t>FINANCIAL</t>
        </is>
      </c>
      <c r="N950" t="inlineStr">
        <is>
          <t>FINANCIAL CREDITORS · row 396</t>
        </is>
      </c>
    </row>
    <row r="951">
      <c r="A951">
        <f>IF('FINANCIAL CREDITORS'!$A$397="","",'FINANCIAL CREDITORS'!$A$397)</f>
        <v/>
      </c>
      <c r="B951">
        <f>IF('FINANCIAL CREDITORS'!$C$397="","",'FINANCIAL CREDITORS'!$C$397)</f>
        <v/>
      </c>
      <c r="C951">
        <f>'FINANCIAL CREDITORS'!$U$397</f>
        <v/>
      </c>
      <c r="D951">
        <f>'FINANCIAL CREDITORS'!$Y$397</f>
        <v/>
      </c>
      <c r="E951">
        <f>'FINANCIAL CREDITORS'!$AC$397</f>
        <v/>
      </c>
      <c r="F951">
        <f>IF('FINANCIAL CREDITORS'!$V$397="","",'FINANCIAL CREDITORS'!$V$397)</f>
        <v/>
      </c>
      <c r="G951">
        <f>IF('FINANCIAL CREDITORS'!$D$397="","",'FINANCIAL CREDITORS'!$D$397)</f>
        <v/>
      </c>
      <c r="H951">
        <f>IF('FINANCIAL CREDITORS'!$G$397="","",'FINANCIAL CREDITORS'!$G$397)</f>
        <v/>
      </c>
      <c r="I951">
        <f>IF('FINANCIAL CREDITORS'!$AT$397="","",'FINANCIAL CREDITORS'!$AT$397)</f>
        <v/>
      </c>
      <c r="J951">
        <f>IF('FINANCIAL CREDITORS'!$AX$397="","",'FINANCIAL CREDITORS'!$AX$397)</f>
        <v/>
      </c>
      <c r="K951">
        <f>IF('FINANCIAL CREDITORS'!$N$397="","",'FINANCIAL CREDITORS'!$N$397)</f>
        <v/>
      </c>
      <c r="L951">
        <f>IF('FINANCIAL CREDITORS'!$AE$397="","",'FINANCIAL CREDITORS'!$AE$397)</f>
        <v/>
      </c>
      <c r="M951" t="inlineStr">
        <is>
          <t>FINANCIAL</t>
        </is>
      </c>
      <c r="N951" t="inlineStr">
        <is>
          <t>FINANCIAL CREDITORS · row 397</t>
        </is>
      </c>
    </row>
    <row r="952">
      <c r="A952">
        <f>IF('FINANCIAL CREDITORS'!$A$398="","",'FINANCIAL CREDITORS'!$A$398)</f>
        <v/>
      </c>
      <c r="B952">
        <f>IF('FINANCIAL CREDITORS'!$C$398="","",'FINANCIAL CREDITORS'!$C$398)</f>
        <v/>
      </c>
      <c r="C952">
        <f>'FINANCIAL CREDITORS'!$U$398</f>
        <v/>
      </c>
      <c r="D952">
        <f>'FINANCIAL CREDITORS'!$Y$398</f>
        <v/>
      </c>
      <c r="E952">
        <f>'FINANCIAL CREDITORS'!$AC$398</f>
        <v/>
      </c>
      <c r="F952">
        <f>IF('FINANCIAL CREDITORS'!$V$398="","",'FINANCIAL CREDITORS'!$V$398)</f>
        <v/>
      </c>
      <c r="G952">
        <f>IF('FINANCIAL CREDITORS'!$D$398="","",'FINANCIAL CREDITORS'!$D$398)</f>
        <v/>
      </c>
      <c r="H952">
        <f>IF('FINANCIAL CREDITORS'!$G$398="","",'FINANCIAL CREDITORS'!$G$398)</f>
        <v/>
      </c>
      <c r="I952">
        <f>IF('FINANCIAL CREDITORS'!$AT$398="","",'FINANCIAL CREDITORS'!$AT$398)</f>
        <v/>
      </c>
      <c r="J952">
        <f>IF('FINANCIAL CREDITORS'!$AX$398="","",'FINANCIAL CREDITORS'!$AX$398)</f>
        <v/>
      </c>
      <c r="K952">
        <f>IF('FINANCIAL CREDITORS'!$N$398="","",'FINANCIAL CREDITORS'!$N$398)</f>
        <v/>
      </c>
      <c r="L952">
        <f>IF('FINANCIAL CREDITORS'!$AE$398="","",'FINANCIAL CREDITORS'!$AE$398)</f>
        <v/>
      </c>
      <c r="M952" t="inlineStr">
        <is>
          <t>FINANCIAL</t>
        </is>
      </c>
      <c r="N952" t="inlineStr">
        <is>
          <t>FINANCIAL CREDITORS · row 398</t>
        </is>
      </c>
    </row>
    <row r="953">
      <c r="A953">
        <f>IF('FINANCIAL CREDITORS'!$A$399="","",'FINANCIAL CREDITORS'!$A$399)</f>
        <v/>
      </c>
      <c r="B953">
        <f>IF('FINANCIAL CREDITORS'!$C$399="","",'FINANCIAL CREDITORS'!$C$399)</f>
        <v/>
      </c>
      <c r="C953">
        <f>'FINANCIAL CREDITORS'!$U$399</f>
        <v/>
      </c>
      <c r="D953">
        <f>'FINANCIAL CREDITORS'!$Y$399</f>
        <v/>
      </c>
      <c r="E953">
        <f>'FINANCIAL CREDITORS'!$AC$399</f>
        <v/>
      </c>
      <c r="F953">
        <f>IF('FINANCIAL CREDITORS'!$V$399="","",'FINANCIAL CREDITORS'!$V$399)</f>
        <v/>
      </c>
      <c r="G953">
        <f>IF('FINANCIAL CREDITORS'!$D$399="","",'FINANCIAL CREDITORS'!$D$399)</f>
        <v/>
      </c>
      <c r="H953">
        <f>IF('FINANCIAL CREDITORS'!$G$399="","",'FINANCIAL CREDITORS'!$G$399)</f>
        <v/>
      </c>
      <c r="I953">
        <f>IF('FINANCIAL CREDITORS'!$AT$399="","",'FINANCIAL CREDITORS'!$AT$399)</f>
        <v/>
      </c>
      <c r="J953">
        <f>IF('FINANCIAL CREDITORS'!$AX$399="","",'FINANCIAL CREDITORS'!$AX$399)</f>
        <v/>
      </c>
      <c r="K953">
        <f>IF('FINANCIAL CREDITORS'!$N$399="","",'FINANCIAL CREDITORS'!$N$399)</f>
        <v/>
      </c>
      <c r="L953">
        <f>IF('FINANCIAL CREDITORS'!$AE$399="","",'FINANCIAL CREDITORS'!$AE$399)</f>
        <v/>
      </c>
      <c r="M953" t="inlineStr">
        <is>
          <t>FINANCIAL</t>
        </is>
      </c>
      <c r="N953" t="inlineStr">
        <is>
          <t>FINANCIAL CREDITORS · row 399</t>
        </is>
      </c>
    </row>
    <row r="954">
      <c r="A954">
        <f>IF('FINANCIAL CREDITORS'!$A$400="","",'FINANCIAL CREDITORS'!$A$400)</f>
        <v/>
      </c>
      <c r="B954">
        <f>IF('FINANCIAL CREDITORS'!$C$400="","",'FINANCIAL CREDITORS'!$C$400)</f>
        <v/>
      </c>
      <c r="C954">
        <f>'FINANCIAL CREDITORS'!$U$400</f>
        <v/>
      </c>
      <c r="D954">
        <f>'FINANCIAL CREDITORS'!$Y$400</f>
        <v/>
      </c>
      <c r="E954">
        <f>'FINANCIAL CREDITORS'!$AC$400</f>
        <v/>
      </c>
      <c r="F954">
        <f>IF('FINANCIAL CREDITORS'!$V$400="","",'FINANCIAL CREDITORS'!$V$400)</f>
        <v/>
      </c>
      <c r="G954">
        <f>IF('FINANCIAL CREDITORS'!$D$400="","",'FINANCIAL CREDITORS'!$D$400)</f>
        <v/>
      </c>
      <c r="H954">
        <f>IF('FINANCIAL CREDITORS'!$G$400="","",'FINANCIAL CREDITORS'!$G$400)</f>
        <v/>
      </c>
      <c r="I954">
        <f>IF('FINANCIAL CREDITORS'!$AT$400="","",'FINANCIAL CREDITORS'!$AT$400)</f>
        <v/>
      </c>
      <c r="J954">
        <f>IF('FINANCIAL CREDITORS'!$AX$400="","",'FINANCIAL CREDITORS'!$AX$400)</f>
        <v/>
      </c>
      <c r="K954">
        <f>IF('FINANCIAL CREDITORS'!$N$400="","",'FINANCIAL CREDITORS'!$N$400)</f>
        <v/>
      </c>
      <c r="L954">
        <f>IF('FINANCIAL CREDITORS'!$AE$400="","",'FINANCIAL CREDITORS'!$AE$400)</f>
        <v/>
      </c>
      <c r="M954" t="inlineStr">
        <is>
          <t>FINANCIAL</t>
        </is>
      </c>
      <c r="N954" t="inlineStr">
        <is>
          <t>FINANCIAL CREDITORS · row 400</t>
        </is>
      </c>
    </row>
    <row r="955">
      <c r="A955">
        <f>IF('FINANCIAL CREDITORS'!$A$401="","",'FINANCIAL CREDITORS'!$A$401)</f>
        <v/>
      </c>
      <c r="B955">
        <f>IF('FINANCIAL CREDITORS'!$C$401="","",'FINANCIAL CREDITORS'!$C$401)</f>
        <v/>
      </c>
      <c r="C955">
        <f>'FINANCIAL CREDITORS'!$U$401</f>
        <v/>
      </c>
      <c r="D955">
        <f>'FINANCIAL CREDITORS'!$Y$401</f>
        <v/>
      </c>
      <c r="E955">
        <f>'FINANCIAL CREDITORS'!$AC$401</f>
        <v/>
      </c>
      <c r="F955">
        <f>IF('FINANCIAL CREDITORS'!$V$401="","",'FINANCIAL CREDITORS'!$V$401)</f>
        <v/>
      </c>
      <c r="G955">
        <f>IF('FINANCIAL CREDITORS'!$D$401="","",'FINANCIAL CREDITORS'!$D$401)</f>
        <v/>
      </c>
      <c r="H955">
        <f>IF('FINANCIAL CREDITORS'!$G$401="","",'FINANCIAL CREDITORS'!$G$401)</f>
        <v/>
      </c>
      <c r="I955">
        <f>IF('FINANCIAL CREDITORS'!$AT$401="","",'FINANCIAL CREDITORS'!$AT$401)</f>
        <v/>
      </c>
      <c r="J955">
        <f>IF('FINANCIAL CREDITORS'!$AX$401="","",'FINANCIAL CREDITORS'!$AX$401)</f>
        <v/>
      </c>
      <c r="K955">
        <f>IF('FINANCIAL CREDITORS'!$N$401="","",'FINANCIAL CREDITORS'!$N$401)</f>
        <v/>
      </c>
      <c r="L955">
        <f>IF('FINANCIAL CREDITORS'!$AE$401="","",'FINANCIAL CREDITORS'!$AE$401)</f>
        <v/>
      </c>
      <c r="M955" t="inlineStr">
        <is>
          <t>FINANCIAL</t>
        </is>
      </c>
      <c r="N955" t="inlineStr">
        <is>
          <t>FINANCIAL CREDITORS · row 401</t>
        </is>
      </c>
    </row>
    <row r="956">
      <c r="A956">
        <f>IF('FINANCIAL CREDITORS'!$A$402="","",'FINANCIAL CREDITORS'!$A$402)</f>
        <v/>
      </c>
      <c r="B956">
        <f>IF('FINANCIAL CREDITORS'!$C$402="","",'FINANCIAL CREDITORS'!$C$402)</f>
        <v/>
      </c>
      <c r="C956">
        <f>'FINANCIAL CREDITORS'!$U$402</f>
        <v/>
      </c>
      <c r="D956">
        <f>'FINANCIAL CREDITORS'!$Y$402</f>
        <v/>
      </c>
      <c r="E956">
        <f>'FINANCIAL CREDITORS'!$AC$402</f>
        <v/>
      </c>
      <c r="F956">
        <f>IF('FINANCIAL CREDITORS'!$V$402="","",'FINANCIAL CREDITORS'!$V$402)</f>
        <v/>
      </c>
      <c r="G956">
        <f>IF('FINANCIAL CREDITORS'!$D$402="","",'FINANCIAL CREDITORS'!$D$402)</f>
        <v/>
      </c>
      <c r="H956">
        <f>IF('FINANCIAL CREDITORS'!$G$402="","",'FINANCIAL CREDITORS'!$G$402)</f>
        <v/>
      </c>
      <c r="I956">
        <f>IF('FINANCIAL CREDITORS'!$AT$402="","",'FINANCIAL CREDITORS'!$AT$402)</f>
        <v/>
      </c>
      <c r="J956">
        <f>IF('FINANCIAL CREDITORS'!$AX$402="","",'FINANCIAL CREDITORS'!$AX$402)</f>
        <v/>
      </c>
      <c r="K956">
        <f>IF('FINANCIAL CREDITORS'!$N$402="","",'FINANCIAL CREDITORS'!$N$402)</f>
        <v/>
      </c>
      <c r="L956">
        <f>IF('FINANCIAL CREDITORS'!$AE$402="","",'FINANCIAL CREDITORS'!$AE$402)</f>
        <v/>
      </c>
      <c r="M956" t="inlineStr">
        <is>
          <t>FINANCIAL</t>
        </is>
      </c>
      <c r="N956" t="inlineStr">
        <is>
          <t>FINANCIAL CREDITORS · row 402</t>
        </is>
      </c>
    </row>
    <row r="957">
      <c r="A957">
        <f>IF('FINANCIAL CREDITORS'!$A$403="","",'FINANCIAL CREDITORS'!$A$403)</f>
        <v/>
      </c>
      <c r="B957">
        <f>IF('FINANCIAL CREDITORS'!$C$403="","",'FINANCIAL CREDITORS'!$C$403)</f>
        <v/>
      </c>
      <c r="C957">
        <f>'FINANCIAL CREDITORS'!$U$403</f>
        <v/>
      </c>
      <c r="D957">
        <f>'FINANCIAL CREDITORS'!$Y$403</f>
        <v/>
      </c>
      <c r="E957">
        <f>'FINANCIAL CREDITORS'!$AC$403</f>
        <v/>
      </c>
      <c r="F957">
        <f>IF('FINANCIAL CREDITORS'!$V$403="","",'FINANCIAL CREDITORS'!$V$403)</f>
        <v/>
      </c>
      <c r="G957">
        <f>IF('FINANCIAL CREDITORS'!$D$403="","",'FINANCIAL CREDITORS'!$D$403)</f>
        <v/>
      </c>
      <c r="H957">
        <f>IF('FINANCIAL CREDITORS'!$G$403="","",'FINANCIAL CREDITORS'!$G$403)</f>
        <v/>
      </c>
      <c r="I957">
        <f>IF('FINANCIAL CREDITORS'!$AT$403="","",'FINANCIAL CREDITORS'!$AT$403)</f>
        <v/>
      </c>
      <c r="J957">
        <f>IF('FINANCIAL CREDITORS'!$AX$403="","",'FINANCIAL CREDITORS'!$AX$403)</f>
        <v/>
      </c>
      <c r="K957">
        <f>IF('FINANCIAL CREDITORS'!$N$403="","",'FINANCIAL CREDITORS'!$N$403)</f>
        <v/>
      </c>
      <c r="L957">
        <f>IF('FINANCIAL CREDITORS'!$AE$403="","",'FINANCIAL CREDITORS'!$AE$403)</f>
        <v/>
      </c>
      <c r="M957" t="inlineStr">
        <is>
          <t>FINANCIAL</t>
        </is>
      </c>
      <c r="N957" t="inlineStr">
        <is>
          <t>FINANCIAL CREDITORS · row 403</t>
        </is>
      </c>
    </row>
    <row r="958">
      <c r="A958">
        <f>IF('FINANCIAL CREDITORS'!$A$404="","",'FINANCIAL CREDITORS'!$A$404)</f>
        <v/>
      </c>
      <c r="B958">
        <f>IF('FINANCIAL CREDITORS'!$C$404="","",'FINANCIAL CREDITORS'!$C$404)</f>
        <v/>
      </c>
      <c r="C958">
        <f>'FINANCIAL CREDITORS'!$U$404</f>
        <v/>
      </c>
      <c r="D958">
        <f>'FINANCIAL CREDITORS'!$Y$404</f>
        <v/>
      </c>
      <c r="E958">
        <f>'FINANCIAL CREDITORS'!$AC$404</f>
        <v/>
      </c>
      <c r="F958">
        <f>IF('FINANCIAL CREDITORS'!$V$404="","",'FINANCIAL CREDITORS'!$V$404)</f>
        <v/>
      </c>
      <c r="G958">
        <f>IF('FINANCIAL CREDITORS'!$D$404="","",'FINANCIAL CREDITORS'!$D$404)</f>
        <v/>
      </c>
      <c r="H958">
        <f>IF('FINANCIAL CREDITORS'!$G$404="","",'FINANCIAL CREDITORS'!$G$404)</f>
        <v/>
      </c>
      <c r="I958">
        <f>IF('FINANCIAL CREDITORS'!$AT$404="","",'FINANCIAL CREDITORS'!$AT$404)</f>
        <v/>
      </c>
      <c r="J958">
        <f>IF('FINANCIAL CREDITORS'!$AX$404="","",'FINANCIAL CREDITORS'!$AX$404)</f>
        <v/>
      </c>
      <c r="K958">
        <f>IF('FINANCIAL CREDITORS'!$N$404="","",'FINANCIAL CREDITORS'!$N$404)</f>
        <v/>
      </c>
      <c r="L958">
        <f>IF('FINANCIAL CREDITORS'!$AE$404="","",'FINANCIAL CREDITORS'!$AE$404)</f>
        <v/>
      </c>
      <c r="M958" t="inlineStr">
        <is>
          <t>FINANCIAL</t>
        </is>
      </c>
      <c r="N958" t="inlineStr">
        <is>
          <t>FINANCIAL CREDITORS · row 404</t>
        </is>
      </c>
    </row>
    <row r="959">
      <c r="A959">
        <f>IF('FINANCIAL CREDITORS'!$A$405="","",'FINANCIAL CREDITORS'!$A$405)</f>
        <v/>
      </c>
      <c r="B959">
        <f>IF('FINANCIAL CREDITORS'!$C$405="","",'FINANCIAL CREDITORS'!$C$405)</f>
        <v/>
      </c>
      <c r="C959">
        <f>'FINANCIAL CREDITORS'!$U$405</f>
        <v/>
      </c>
      <c r="D959">
        <f>'FINANCIAL CREDITORS'!$Y$405</f>
        <v/>
      </c>
      <c r="E959">
        <f>'FINANCIAL CREDITORS'!$AC$405</f>
        <v/>
      </c>
      <c r="F959">
        <f>IF('FINANCIAL CREDITORS'!$V$405="","",'FINANCIAL CREDITORS'!$V$405)</f>
        <v/>
      </c>
      <c r="G959">
        <f>IF('FINANCIAL CREDITORS'!$D$405="","",'FINANCIAL CREDITORS'!$D$405)</f>
        <v/>
      </c>
      <c r="H959">
        <f>IF('FINANCIAL CREDITORS'!$G$405="","",'FINANCIAL CREDITORS'!$G$405)</f>
        <v/>
      </c>
      <c r="I959">
        <f>IF('FINANCIAL CREDITORS'!$AT$405="","",'FINANCIAL CREDITORS'!$AT$405)</f>
        <v/>
      </c>
      <c r="J959">
        <f>IF('FINANCIAL CREDITORS'!$AX$405="","",'FINANCIAL CREDITORS'!$AX$405)</f>
        <v/>
      </c>
      <c r="K959">
        <f>IF('FINANCIAL CREDITORS'!$N$405="","",'FINANCIAL CREDITORS'!$N$405)</f>
        <v/>
      </c>
      <c r="L959">
        <f>IF('FINANCIAL CREDITORS'!$AE$405="","",'FINANCIAL CREDITORS'!$AE$405)</f>
        <v/>
      </c>
      <c r="M959" t="inlineStr">
        <is>
          <t>FINANCIAL</t>
        </is>
      </c>
      <c r="N959" t="inlineStr">
        <is>
          <t>FINANCIAL CREDITORS · row 405</t>
        </is>
      </c>
    </row>
    <row r="960">
      <c r="A960">
        <f>IF('FINANCIAL CREDITORS'!$A$406="","",'FINANCIAL CREDITORS'!$A$406)</f>
        <v/>
      </c>
      <c r="B960">
        <f>IF('FINANCIAL CREDITORS'!$C$406="","",'FINANCIAL CREDITORS'!$C$406)</f>
        <v/>
      </c>
      <c r="C960">
        <f>'FINANCIAL CREDITORS'!$U$406</f>
        <v/>
      </c>
      <c r="D960">
        <f>'FINANCIAL CREDITORS'!$Y$406</f>
        <v/>
      </c>
      <c r="E960">
        <f>'FINANCIAL CREDITORS'!$AC$406</f>
        <v/>
      </c>
      <c r="F960">
        <f>IF('FINANCIAL CREDITORS'!$V$406="","",'FINANCIAL CREDITORS'!$V$406)</f>
        <v/>
      </c>
      <c r="G960">
        <f>IF('FINANCIAL CREDITORS'!$D$406="","",'FINANCIAL CREDITORS'!$D$406)</f>
        <v/>
      </c>
      <c r="H960">
        <f>IF('FINANCIAL CREDITORS'!$G$406="","",'FINANCIAL CREDITORS'!$G$406)</f>
        <v/>
      </c>
      <c r="I960">
        <f>IF('FINANCIAL CREDITORS'!$AT$406="","",'FINANCIAL CREDITORS'!$AT$406)</f>
        <v/>
      </c>
      <c r="J960">
        <f>IF('FINANCIAL CREDITORS'!$AX$406="","",'FINANCIAL CREDITORS'!$AX$406)</f>
        <v/>
      </c>
      <c r="K960">
        <f>IF('FINANCIAL CREDITORS'!$N$406="","",'FINANCIAL CREDITORS'!$N$406)</f>
        <v/>
      </c>
      <c r="L960">
        <f>IF('FINANCIAL CREDITORS'!$AE$406="","",'FINANCIAL CREDITORS'!$AE$406)</f>
        <v/>
      </c>
      <c r="M960" t="inlineStr">
        <is>
          <t>FINANCIAL</t>
        </is>
      </c>
      <c r="N960" t="inlineStr">
        <is>
          <t>FINANCIAL CREDITORS · row 406</t>
        </is>
      </c>
    </row>
    <row r="961">
      <c r="A961">
        <f>IF('FINANCIAL CREDITORS'!$A$407="","",'FINANCIAL CREDITORS'!$A$407)</f>
        <v/>
      </c>
      <c r="B961">
        <f>IF('FINANCIAL CREDITORS'!$C$407="","",'FINANCIAL CREDITORS'!$C$407)</f>
        <v/>
      </c>
      <c r="C961">
        <f>'FINANCIAL CREDITORS'!$U$407</f>
        <v/>
      </c>
      <c r="D961">
        <f>'FINANCIAL CREDITORS'!$Y$407</f>
        <v/>
      </c>
      <c r="E961">
        <f>'FINANCIAL CREDITORS'!$AC$407</f>
        <v/>
      </c>
      <c r="F961">
        <f>IF('FINANCIAL CREDITORS'!$V$407="","",'FINANCIAL CREDITORS'!$V$407)</f>
        <v/>
      </c>
      <c r="G961">
        <f>IF('FINANCIAL CREDITORS'!$D$407="","",'FINANCIAL CREDITORS'!$D$407)</f>
        <v/>
      </c>
      <c r="H961">
        <f>IF('FINANCIAL CREDITORS'!$G$407="","",'FINANCIAL CREDITORS'!$G$407)</f>
        <v/>
      </c>
      <c r="I961">
        <f>IF('FINANCIAL CREDITORS'!$AT$407="","",'FINANCIAL CREDITORS'!$AT$407)</f>
        <v/>
      </c>
      <c r="J961">
        <f>IF('FINANCIAL CREDITORS'!$AX$407="","",'FINANCIAL CREDITORS'!$AX$407)</f>
        <v/>
      </c>
      <c r="K961">
        <f>IF('FINANCIAL CREDITORS'!$N$407="","",'FINANCIAL CREDITORS'!$N$407)</f>
        <v/>
      </c>
      <c r="L961">
        <f>IF('FINANCIAL CREDITORS'!$AE$407="","",'FINANCIAL CREDITORS'!$AE$407)</f>
        <v/>
      </c>
      <c r="M961" t="inlineStr">
        <is>
          <t>FINANCIAL</t>
        </is>
      </c>
      <c r="N961" t="inlineStr">
        <is>
          <t>FINANCIAL CREDITORS · row 407</t>
        </is>
      </c>
    </row>
    <row r="962">
      <c r="A962">
        <f>IF('FINANCIAL CREDITORS'!$A$408="","",'FINANCIAL CREDITORS'!$A$408)</f>
        <v/>
      </c>
      <c r="B962">
        <f>IF('FINANCIAL CREDITORS'!$C$408="","",'FINANCIAL CREDITORS'!$C$408)</f>
        <v/>
      </c>
      <c r="C962">
        <f>'FINANCIAL CREDITORS'!$U$408</f>
        <v/>
      </c>
      <c r="D962">
        <f>'FINANCIAL CREDITORS'!$Y$408</f>
        <v/>
      </c>
      <c r="E962">
        <f>'FINANCIAL CREDITORS'!$AC$408</f>
        <v/>
      </c>
      <c r="F962">
        <f>IF('FINANCIAL CREDITORS'!$V$408="","",'FINANCIAL CREDITORS'!$V$408)</f>
        <v/>
      </c>
      <c r="G962">
        <f>IF('FINANCIAL CREDITORS'!$D$408="","",'FINANCIAL CREDITORS'!$D$408)</f>
        <v/>
      </c>
      <c r="H962">
        <f>IF('FINANCIAL CREDITORS'!$G$408="","",'FINANCIAL CREDITORS'!$G$408)</f>
        <v/>
      </c>
      <c r="I962">
        <f>IF('FINANCIAL CREDITORS'!$AT$408="","",'FINANCIAL CREDITORS'!$AT$408)</f>
        <v/>
      </c>
      <c r="J962">
        <f>IF('FINANCIAL CREDITORS'!$AX$408="","",'FINANCIAL CREDITORS'!$AX$408)</f>
        <v/>
      </c>
      <c r="K962">
        <f>IF('FINANCIAL CREDITORS'!$N$408="","",'FINANCIAL CREDITORS'!$N$408)</f>
        <v/>
      </c>
      <c r="L962">
        <f>IF('FINANCIAL CREDITORS'!$AE$408="","",'FINANCIAL CREDITORS'!$AE$408)</f>
        <v/>
      </c>
      <c r="M962" t="inlineStr">
        <is>
          <t>FINANCIAL</t>
        </is>
      </c>
      <c r="N962" t="inlineStr">
        <is>
          <t>FINANCIAL CREDITORS · row 408</t>
        </is>
      </c>
    </row>
    <row r="963">
      <c r="A963">
        <f>IF('FINANCIAL CREDITORS'!$A$409="","",'FINANCIAL CREDITORS'!$A$409)</f>
        <v/>
      </c>
      <c r="B963">
        <f>IF('FINANCIAL CREDITORS'!$C$409="","",'FINANCIAL CREDITORS'!$C$409)</f>
        <v/>
      </c>
      <c r="C963">
        <f>'FINANCIAL CREDITORS'!$U$409</f>
        <v/>
      </c>
      <c r="D963">
        <f>'FINANCIAL CREDITORS'!$Y$409</f>
        <v/>
      </c>
      <c r="E963">
        <f>'FINANCIAL CREDITORS'!$AC$409</f>
        <v/>
      </c>
      <c r="F963">
        <f>IF('FINANCIAL CREDITORS'!$V$409="","",'FINANCIAL CREDITORS'!$V$409)</f>
        <v/>
      </c>
      <c r="G963">
        <f>IF('FINANCIAL CREDITORS'!$D$409="","",'FINANCIAL CREDITORS'!$D$409)</f>
        <v/>
      </c>
      <c r="H963">
        <f>IF('FINANCIAL CREDITORS'!$G$409="","",'FINANCIAL CREDITORS'!$G$409)</f>
        <v/>
      </c>
      <c r="I963">
        <f>IF('FINANCIAL CREDITORS'!$AT$409="","",'FINANCIAL CREDITORS'!$AT$409)</f>
        <v/>
      </c>
      <c r="J963">
        <f>IF('FINANCIAL CREDITORS'!$AX$409="","",'FINANCIAL CREDITORS'!$AX$409)</f>
        <v/>
      </c>
      <c r="K963">
        <f>IF('FINANCIAL CREDITORS'!$N$409="","",'FINANCIAL CREDITORS'!$N$409)</f>
        <v/>
      </c>
      <c r="L963">
        <f>IF('FINANCIAL CREDITORS'!$AE$409="","",'FINANCIAL CREDITORS'!$AE$409)</f>
        <v/>
      </c>
      <c r="M963" t="inlineStr">
        <is>
          <t>FINANCIAL</t>
        </is>
      </c>
      <c r="N963" t="inlineStr">
        <is>
          <t>FINANCIAL CREDITORS · row 409</t>
        </is>
      </c>
    </row>
    <row r="964">
      <c r="A964">
        <f>IF('FINANCIAL CREDITORS'!$A$410="","",'FINANCIAL CREDITORS'!$A$410)</f>
        <v/>
      </c>
      <c r="B964">
        <f>IF('FINANCIAL CREDITORS'!$C$410="","",'FINANCIAL CREDITORS'!$C$410)</f>
        <v/>
      </c>
      <c r="C964">
        <f>'FINANCIAL CREDITORS'!$U$410</f>
        <v/>
      </c>
      <c r="D964">
        <f>'FINANCIAL CREDITORS'!$Y$410</f>
        <v/>
      </c>
      <c r="E964">
        <f>'FINANCIAL CREDITORS'!$AC$410</f>
        <v/>
      </c>
      <c r="F964">
        <f>IF('FINANCIAL CREDITORS'!$V$410="","",'FINANCIAL CREDITORS'!$V$410)</f>
        <v/>
      </c>
      <c r="G964">
        <f>IF('FINANCIAL CREDITORS'!$D$410="","",'FINANCIAL CREDITORS'!$D$410)</f>
        <v/>
      </c>
      <c r="H964">
        <f>IF('FINANCIAL CREDITORS'!$G$410="","",'FINANCIAL CREDITORS'!$G$410)</f>
        <v/>
      </c>
      <c r="I964">
        <f>IF('FINANCIAL CREDITORS'!$AT$410="","",'FINANCIAL CREDITORS'!$AT$410)</f>
        <v/>
      </c>
      <c r="J964">
        <f>IF('FINANCIAL CREDITORS'!$AX$410="","",'FINANCIAL CREDITORS'!$AX$410)</f>
        <v/>
      </c>
      <c r="K964">
        <f>IF('FINANCIAL CREDITORS'!$N$410="","",'FINANCIAL CREDITORS'!$N$410)</f>
        <v/>
      </c>
      <c r="L964">
        <f>IF('FINANCIAL CREDITORS'!$AE$410="","",'FINANCIAL CREDITORS'!$AE$410)</f>
        <v/>
      </c>
      <c r="M964" t="inlineStr">
        <is>
          <t>FINANCIAL</t>
        </is>
      </c>
      <c r="N964" t="inlineStr">
        <is>
          <t>FINANCIAL CREDITORS · row 410</t>
        </is>
      </c>
    </row>
    <row r="965">
      <c r="A965">
        <f>IF('FINANCIAL CREDITORS'!$A$411="","",'FINANCIAL CREDITORS'!$A$411)</f>
        <v/>
      </c>
      <c r="B965">
        <f>IF('FINANCIAL CREDITORS'!$C$411="","",'FINANCIAL CREDITORS'!$C$411)</f>
        <v/>
      </c>
      <c r="C965">
        <f>'FINANCIAL CREDITORS'!$U$411</f>
        <v/>
      </c>
      <c r="D965">
        <f>'FINANCIAL CREDITORS'!$Y$411</f>
        <v/>
      </c>
      <c r="E965">
        <f>'FINANCIAL CREDITORS'!$AC$411</f>
        <v/>
      </c>
      <c r="F965">
        <f>IF('FINANCIAL CREDITORS'!$V$411="","",'FINANCIAL CREDITORS'!$V$411)</f>
        <v/>
      </c>
      <c r="G965">
        <f>IF('FINANCIAL CREDITORS'!$D$411="","",'FINANCIAL CREDITORS'!$D$411)</f>
        <v/>
      </c>
      <c r="H965">
        <f>IF('FINANCIAL CREDITORS'!$G$411="","",'FINANCIAL CREDITORS'!$G$411)</f>
        <v/>
      </c>
      <c r="I965">
        <f>IF('FINANCIAL CREDITORS'!$AT$411="","",'FINANCIAL CREDITORS'!$AT$411)</f>
        <v/>
      </c>
      <c r="J965">
        <f>IF('FINANCIAL CREDITORS'!$AX$411="","",'FINANCIAL CREDITORS'!$AX$411)</f>
        <v/>
      </c>
      <c r="K965">
        <f>IF('FINANCIAL CREDITORS'!$N$411="","",'FINANCIAL CREDITORS'!$N$411)</f>
        <v/>
      </c>
      <c r="L965">
        <f>IF('FINANCIAL CREDITORS'!$AE$411="","",'FINANCIAL CREDITORS'!$AE$411)</f>
        <v/>
      </c>
      <c r="M965" t="inlineStr">
        <is>
          <t>FINANCIAL</t>
        </is>
      </c>
      <c r="N965" t="inlineStr">
        <is>
          <t>FINANCIAL CREDITORS · row 411</t>
        </is>
      </c>
    </row>
    <row r="966">
      <c r="A966">
        <f>IF('FINANCIAL CREDITORS'!$A$412="","",'FINANCIAL CREDITORS'!$A$412)</f>
        <v/>
      </c>
      <c r="B966">
        <f>IF('FINANCIAL CREDITORS'!$C$412="","",'FINANCIAL CREDITORS'!$C$412)</f>
        <v/>
      </c>
      <c r="C966">
        <f>'FINANCIAL CREDITORS'!$U$412</f>
        <v/>
      </c>
      <c r="D966">
        <f>'FINANCIAL CREDITORS'!$Y$412</f>
        <v/>
      </c>
      <c r="E966">
        <f>'FINANCIAL CREDITORS'!$AC$412</f>
        <v/>
      </c>
      <c r="F966">
        <f>IF('FINANCIAL CREDITORS'!$V$412="","",'FINANCIAL CREDITORS'!$V$412)</f>
        <v/>
      </c>
      <c r="G966">
        <f>IF('FINANCIAL CREDITORS'!$D$412="","",'FINANCIAL CREDITORS'!$D$412)</f>
        <v/>
      </c>
      <c r="H966">
        <f>IF('FINANCIAL CREDITORS'!$G$412="","",'FINANCIAL CREDITORS'!$G$412)</f>
        <v/>
      </c>
      <c r="I966">
        <f>IF('FINANCIAL CREDITORS'!$AT$412="","",'FINANCIAL CREDITORS'!$AT$412)</f>
        <v/>
      </c>
      <c r="J966">
        <f>IF('FINANCIAL CREDITORS'!$AX$412="","",'FINANCIAL CREDITORS'!$AX$412)</f>
        <v/>
      </c>
      <c r="K966">
        <f>IF('FINANCIAL CREDITORS'!$N$412="","",'FINANCIAL CREDITORS'!$N$412)</f>
        <v/>
      </c>
      <c r="L966">
        <f>IF('FINANCIAL CREDITORS'!$AE$412="","",'FINANCIAL CREDITORS'!$AE$412)</f>
        <v/>
      </c>
      <c r="M966" t="inlineStr">
        <is>
          <t>FINANCIAL</t>
        </is>
      </c>
      <c r="N966" t="inlineStr">
        <is>
          <t>FINANCIAL CREDITORS · row 412</t>
        </is>
      </c>
    </row>
    <row r="967">
      <c r="A967">
        <f>IF('FINANCIAL CREDITORS'!$A$413="","",'FINANCIAL CREDITORS'!$A$413)</f>
        <v/>
      </c>
      <c r="B967">
        <f>IF('FINANCIAL CREDITORS'!$C$413="","",'FINANCIAL CREDITORS'!$C$413)</f>
        <v/>
      </c>
      <c r="C967">
        <f>'FINANCIAL CREDITORS'!$U$413</f>
        <v/>
      </c>
      <c r="D967">
        <f>'FINANCIAL CREDITORS'!$Y$413</f>
        <v/>
      </c>
      <c r="E967">
        <f>'FINANCIAL CREDITORS'!$AC$413</f>
        <v/>
      </c>
      <c r="F967">
        <f>IF('FINANCIAL CREDITORS'!$V$413="","",'FINANCIAL CREDITORS'!$V$413)</f>
        <v/>
      </c>
      <c r="G967">
        <f>IF('FINANCIAL CREDITORS'!$D$413="","",'FINANCIAL CREDITORS'!$D$413)</f>
        <v/>
      </c>
      <c r="H967">
        <f>IF('FINANCIAL CREDITORS'!$G$413="","",'FINANCIAL CREDITORS'!$G$413)</f>
        <v/>
      </c>
      <c r="I967">
        <f>IF('FINANCIAL CREDITORS'!$AT$413="","",'FINANCIAL CREDITORS'!$AT$413)</f>
        <v/>
      </c>
      <c r="J967">
        <f>IF('FINANCIAL CREDITORS'!$AX$413="","",'FINANCIAL CREDITORS'!$AX$413)</f>
        <v/>
      </c>
      <c r="K967">
        <f>IF('FINANCIAL CREDITORS'!$N$413="","",'FINANCIAL CREDITORS'!$N$413)</f>
        <v/>
      </c>
      <c r="L967">
        <f>IF('FINANCIAL CREDITORS'!$AE$413="","",'FINANCIAL CREDITORS'!$AE$413)</f>
        <v/>
      </c>
      <c r="M967" t="inlineStr">
        <is>
          <t>FINANCIAL</t>
        </is>
      </c>
      <c r="N967" t="inlineStr">
        <is>
          <t>FINANCIAL CREDITORS · row 413</t>
        </is>
      </c>
    </row>
    <row r="968">
      <c r="A968">
        <f>IF('FINANCIAL CREDITORS'!$A$414="","",'FINANCIAL CREDITORS'!$A$414)</f>
        <v/>
      </c>
      <c r="B968">
        <f>IF('FINANCIAL CREDITORS'!$C$414="","",'FINANCIAL CREDITORS'!$C$414)</f>
        <v/>
      </c>
      <c r="C968">
        <f>'FINANCIAL CREDITORS'!$U$414</f>
        <v/>
      </c>
      <c r="D968">
        <f>'FINANCIAL CREDITORS'!$Y$414</f>
        <v/>
      </c>
      <c r="E968">
        <f>'FINANCIAL CREDITORS'!$AC$414</f>
        <v/>
      </c>
      <c r="F968">
        <f>IF('FINANCIAL CREDITORS'!$V$414="","",'FINANCIAL CREDITORS'!$V$414)</f>
        <v/>
      </c>
      <c r="G968">
        <f>IF('FINANCIAL CREDITORS'!$D$414="","",'FINANCIAL CREDITORS'!$D$414)</f>
        <v/>
      </c>
      <c r="H968">
        <f>IF('FINANCIAL CREDITORS'!$G$414="","",'FINANCIAL CREDITORS'!$G$414)</f>
        <v/>
      </c>
      <c r="I968">
        <f>IF('FINANCIAL CREDITORS'!$AT$414="","",'FINANCIAL CREDITORS'!$AT$414)</f>
        <v/>
      </c>
      <c r="J968">
        <f>IF('FINANCIAL CREDITORS'!$AX$414="","",'FINANCIAL CREDITORS'!$AX$414)</f>
        <v/>
      </c>
      <c r="K968">
        <f>IF('FINANCIAL CREDITORS'!$N$414="","",'FINANCIAL CREDITORS'!$N$414)</f>
        <v/>
      </c>
      <c r="L968">
        <f>IF('FINANCIAL CREDITORS'!$AE$414="","",'FINANCIAL CREDITORS'!$AE$414)</f>
        <v/>
      </c>
      <c r="M968" t="inlineStr">
        <is>
          <t>FINANCIAL</t>
        </is>
      </c>
      <c r="N968" t="inlineStr">
        <is>
          <t>FINANCIAL CREDITORS · row 414</t>
        </is>
      </c>
    </row>
    <row r="969">
      <c r="A969">
        <f>IF('FINANCIAL CREDITORS'!$A$415="","",'FINANCIAL CREDITORS'!$A$415)</f>
        <v/>
      </c>
      <c r="B969">
        <f>IF('FINANCIAL CREDITORS'!$C$415="","",'FINANCIAL CREDITORS'!$C$415)</f>
        <v/>
      </c>
      <c r="C969">
        <f>'FINANCIAL CREDITORS'!$U$415</f>
        <v/>
      </c>
      <c r="D969">
        <f>'FINANCIAL CREDITORS'!$Y$415</f>
        <v/>
      </c>
      <c r="E969">
        <f>'FINANCIAL CREDITORS'!$AC$415</f>
        <v/>
      </c>
      <c r="F969">
        <f>IF('FINANCIAL CREDITORS'!$V$415="","",'FINANCIAL CREDITORS'!$V$415)</f>
        <v/>
      </c>
      <c r="G969">
        <f>IF('FINANCIAL CREDITORS'!$D$415="","",'FINANCIAL CREDITORS'!$D$415)</f>
        <v/>
      </c>
      <c r="H969">
        <f>IF('FINANCIAL CREDITORS'!$G$415="","",'FINANCIAL CREDITORS'!$G$415)</f>
        <v/>
      </c>
      <c r="I969">
        <f>IF('FINANCIAL CREDITORS'!$AT$415="","",'FINANCIAL CREDITORS'!$AT$415)</f>
        <v/>
      </c>
      <c r="J969">
        <f>IF('FINANCIAL CREDITORS'!$AX$415="","",'FINANCIAL CREDITORS'!$AX$415)</f>
        <v/>
      </c>
      <c r="K969">
        <f>IF('FINANCIAL CREDITORS'!$N$415="","",'FINANCIAL CREDITORS'!$N$415)</f>
        <v/>
      </c>
      <c r="L969">
        <f>IF('FINANCIAL CREDITORS'!$AE$415="","",'FINANCIAL CREDITORS'!$AE$415)</f>
        <v/>
      </c>
      <c r="M969" t="inlineStr">
        <is>
          <t>FINANCIAL</t>
        </is>
      </c>
      <c r="N969" t="inlineStr">
        <is>
          <t>FINANCIAL CREDITORS · row 415</t>
        </is>
      </c>
    </row>
    <row r="970">
      <c r="A970">
        <f>IF('FINANCIAL CREDITORS'!$A$416="","",'FINANCIAL CREDITORS'!$A$416)</f>
        <v/>
      </c>
      <c r="B970">
        <f>IF('FINANCIAL CREDITORS'!$C$416="","",'FINANCIAL CREDITORS'!$C$416)</f>
        <v/>
      </c>
      <c r="C970">
        <f>'FINANCIAL CREDITORS'!$U$416</f>
        <v/>
      </c>
      <c r="D970">
        <f>'FINANCIAL CREDITORS'!$Y$416</f>
        <v/>
      </c>
      <c r="E970">
        <f>'FINANCIAL CREDITORS'!$AC$416</f>
        <v/>
      </c>
      <c r="F970">
        <f>IF('FINANCIAL CREDITORS'!$V$416="","",'FINANCIAL CREDITORS'!$V$416)</f>
        <v/>
      </c>
      <c r="G970">
        <f>IF('FINANCIAL CREDITORS'!$D$416="","",'FINANCIAL CREDITORS'!$D$416)</f>
        <v/>
      </c>
      <c r="H970">
        <f>IF('FINANCIAL CREDITORS'!$G$416="","",'FINANCIAL CREDITORS'!$G$416)</f>
        <v/>
      </c>
      <c r="I970">
        <f>IF('FINANCIAL CREDITORS'!$AT$416="","",'FINANCIAL CREDITORS'!$AT$416)</f>
        <v/>
      </c>
      <c r="J970">
        <f>IF('FINANCIAL CREDITORS'!$AX$416="","",'FINANCIAL CREDITORS'!$AX$416)</f>
        <v/>
      </c>
      <c r="K970">
        <f>IF('FINANCIAL CREDITORS'!$N$416="","",'FINANCIAL CREDITORS'!$N$416)</f>
        <v/>
      </c>
      <c r="L970">
        <f>IF('FINANCIAL CREDITORS'!$AE$416="","",'FINANCIAL CREDITORS'!$AE$416)</f>
        <v/>
      </c>
      <c r="M970" t="inlineStr">
        <is>
          <t>FINANCIAL</t>
        </is>
      </c>
      <c r="N970" t="inlineStr">
        <is>
          <t>FINANCIAL CREDITORS · row 416</t>
        </is>
      </c>
    </row>
    <row r="971">
      <c r="A971">
        <f>IF('FINANCIAL CREDITORS'!$A$417="","",'FINANCIAL CREDITORS'!$A$417)</f>
        <v/>
      </c>
      <c r="B971">
        <f>IF('FINANCIAL CREDITORS'!$C$417="","",'FINANCIAL CREDITORS'!$C$417)</f>
        <v/>
      </c>
      <c r="C971">
        <f>'FINANCIAL CREDITORS'!$U$417</f>
        <v/>
      </c>
      <c r="D971">
        <f>'FINANCIAL CREDITORS'!$Y$417</f>
        <v/>
      </c>
      <c r="E971">
        <f>'FINANCIAL CREDITORS'!$AC$417</f>
        <v/>
      </c>
      <c r="F971">
        <f>IF('FINANCIAL CREDITORS'!$V$417="","",'FINANCIAL CREDITORS'!$V$417)</f>
        <v/>
      </c>
      <c r="G971">
        <f>IF('FINANCIAL CREDITORS'!$D$417="","",'FINANCIAL CREDITORS'!$D$417)</f>
        <v/>
      </c>
      <c r="H971">
        <f>IF('FINANCIAL CREDITORS'!$G$417="","",'FINANCIAL CREDITORS'!$G$417)</f>
        <v/>
      </c>
      <c r="I971">
        <f>IF('FINANCIAL CREDITORS'!$AT$417="","",'FINANCIAL CREDITORS'!$AT$417)</f>
        <v/>
      </c>
      <c r="J971">
        <f>IF('FINANCIAL CREDITORS'!$AX$417="","",'FINANCIAL CREDITORS'!$AX$417)</f>
        <v/>
      </c>
      <c r="K971">
        <f>IF('FINANCIAL CREDITORS'!$N$417="","",'FINANCIAL CREDITORS'!$N$417)</f>
        <v/>
      </c>
      <c r="L971">
        <f>IF('FINANCIAL CREDITORS'!$AE$417="","",'FINANCIAL CREDITORS'!$AE$417)</f>
        <v/>
      </c>
      <c r="M971" t="inlineStr">
        <is>
          <t>FINANCIAL</t>
        </is>
      </c>
      <c r="N971" t="inlineStr">
        <is>
          <t>FINANCIAL CREDITORS · row 417</t>
        </is>
      </c>
    </row>
    <row r="972">
      <c r="A972">
        <f>IF('FINANCIAL CREDITORS'!$A$418="","",'FINANCIAL CREDITORS'!$A$418)</f>
        <v/>
      </c>
      <c r="B972">
        <f>IF('FINANCIAL CREDITORS'!$C$418="","",'FINANCIAL CREDITORS'!$C$418)</f>
        <v/>
      </c>
      <c r="C972">
        <f>'FINANCIAL CREDITORS'!$U$418</f>
        <v/>
      </c>
      <c r="D972">
        <f>'FINANCIAL CREDITORS'!$Y$418</f>
        <v/>
      </c>
      <c r="E972">
        <f>'FINANCIAL CREDITORS'!$AC$418</f>
        <v/>
      </c>
      <c r="F972">
        <f>IF('FINANCIAL CREDITORS'!$V$418="","",'FINANCIAL CREDITORS'!$V$418)</f>
        <v/>
      </c>
      <c r="G972">
        <f>IF('FINANCIAL CREDITORS'!$D$418="","",'FINANCIAL CREDITORS'!$D$418)</f>
        <v/>
      </c>
      <c r="H972">
        <f>IF('FINANCIAL CREDITORS'!$G$418="","",'FINANCIAL CREDITORS'!$G$418)</f>
        <v/>
      </c>
      <c r="I972">
        <f>IF('FINANCIAL CREDITORS'!$AT$418="","",'FINANCIAL CREDITORS'!$AT$418)</f>
        <v/>
      </c>
      <c r="J972">
        <f>IF('FINANCIAL CREDITORS'!$AX$418="","",'FINANCIAL CREDITORS'!$AX$418)</f>
        <v/>
      </c>
      <c r="K972">
        <f>IF('FINANCIAL CREDITORS'!$N$418="","",'FINANCIAL CREDITORS'!$N$418)</f>
        <v/>
      </c>
      <c r="L972">
        <f>IF('FINANCIAL CREDITORS'!$AE$418="","",'FINANCIAL CREDITORS'!$AE$418)</f>
        <v/>
      </c>
      <c r="M972" t="inlineStr">
        <is>
          <t>FINANCIAL</t>
        </is>
      </c>
      <c r="N972" t="inlineStr">
        <is>
          <t>FINANCIAL CREDITORS · row 418</t>
        </is>
      </c>
    </row>
    <row r="973">
      <c r="A973">
        <f>IF('FINANCIAL CREDITORS'!$A$419="","",'FINANCIAL CREDITORS'!$A$419)</f>
        <v/>
      </c>
      <c r="B973">
        <f>IF('FINANCIAL CREDITORS'!$C$419="","",'FINANCIAL CREDITORS'!$C$419)</f>
        <v/>
      </c>
      <c r="C973">
        <f>'FINANCIAL CREDITORS'!$U$419</f>
        <v/>
      </c>
      <c r="D973">
        <f>'FINANCIAL CREDITORS'!$Y$419</f>
        <v/>
      </c>
      <c r="E973">
        <f>'FINANCIAL CREDITORS'!$AC$419</f>
        <v/>
      </c>
      <c r="F973">
        <f>IF('FINANCIAL CREDITORS'!$V$419="","",'FINANCIAL CREDITORS'!$V$419)</f>
        <v/>
      </c>
      <c r="G973">
        <f>IF('FINANCIAL CREDITORS'!$D$419="","",'FINANCIAL CREDITORS'!$D$419)</f>
        <v/>
      </c>
      <c r="H973">
        <f>IF('FINANCIAL CREDITORS'!$G$419="","",'FINANCIAL CREDITORS'!$G$419)</f>
        <v/>
      </c>
      <c r="I973">
        <f>IF('FINANCIAL CREDITORS'!$AT$419="","",'FINANCIAL CREDITORS'!$AT$419)</f>
        <v/>
      </c>
      <c r="J973">
        <f>IF('FINANCIAL CREDITORS'!$AX$419="","",'FINANCIAL CREDITORS'!$AX$419)</f>
        <v/>
      </c>
      <c r="K973">
        <f>IF('FINANCIAL CREDITORS'!$N$419="","",'FINANCIAL CREDITORS'!$N$419)</f>
        <v/>
      </c>
      <c r="L973">
        <f>IF('FINANCIAL CREDITORS'!$AE$419="","",'FINANCIAL CREDITORS'!$AE$419)</f>
        <v/>
      </c>
      <c r="M973" t="inlineStr">
        <is>
          <t>FINANCIAL</t>
        </is>
      </c>
      <c r="N973" t="inlineStr">
        <is>
          <t>FINANCIAL CREDITORS · row 419</t>
        </is>
      </c>
    </row>
    <row r="974">
      <c r="A974">
        <f>IF('FINANCIAL CREDITORS'!$A$420="","",'FINANCIAL CREDITORS'!$A$420)</f>
        <v/>
      </c>
      <c r="B974">
        <f>IF('FINANCIAL CREDITORS'!$C$420="","",'FINANCIAL CREDITORS'!$C$420)</f>
        <v/>
      </c>
      <c r="C974">
        <f>'FINANCIAL CREDITORS'!$U$420</f>
        <v/>
      </c>
      <c r="D974">
        <f>'FINANCIAL CREDITORS'!$Y$420</f>
        <v/>
      </c>
      <c r="E974">
        <f>'FINANCIAL CREDITORS'!$AC$420</f>
        <v/>
      </c>
      <c r="F974">
        <f>IF('FINANCIAL CREDITORS'!$V$420="","",'FINANCIAL CREDITORS'!$V$420)</f>
        <v/>
      </c>
      <c r="G974">
        <f>IF('FINANCIAL CREDITORS'!$D$420="","",'FINANCIAL CREDITORS'!$D$420)</f>
        <v/>
      </c>
      <c r="H974">
        <f>IF('FINANCIAL CREDITORS'!$G$420="","",'FINANCIAL CREDITORS'!$G$420)</f>
        <v/>
      </c>
      <c r="I974">
        <f>IF('FINANCIAL CREDITORS'!$AT$420="","",'FINANCIAL CREDITORS'!$AT$420)</f>
        <v/>
      </c>
      <c r="J974">
        <f>IF('FINANCIAL CREDITORS'!$AX$420="","",'FINANCIAL CREDITORS'!$AX$420)</f>
        <v/>
      </c>
      <c r="K974">
        <f>IF('FINANCIAL CREDITORS'!$N$420="","",'FINANCIAL CREDITORS'!$N$420)</f>
        <v/>
      </c>
      <c r="L974">
        <f>IF('FINANCIAL CREDITORS'!$AE$420="","",'FINANCIAL CREDITORS'!$AE$420)</f>
        <v/>
      </c>
      <c r="M974" t="inlineStr">
        <is>
          <t>FINANCIAL</t>
        </is>
      </c>
      <c r="N974" t="inlineStr">
        <is>
          <t>FINANCIAL CREDITORS · row 420</t>
        </is>
      </c>
    </row>
    <row r="975">
      <c r="A975">
        <f>IF('FINANCIAL CREDITORS'!$A$421="","",'FINANCIAL CREDITORS'!$A$421)</f>
        <v/>
      </c>
      <c r="B975">
        <f>IF('FINANCIAL CREDITORS'!$C$421="","",'FINANCIAL CREDITORS'!$C$421)</f>
        <v/>
      </c>
      <c r="C975">
        <f>'FINANCIAL CREDITORS'!$U$421</f>
        <v/>
      </c>
      <c r="D975">
        <f>'FINANCIAL CREDITORS'!$Y$421</f>
        <v/>
      </c>
      <c r="E975">
        <f>'FINANCIAL CREDITORS'!$AC$421</f>
        <v/>
      </c>
      <c r="F975">
        <f>IF('FINANCIAL CREDITORS'!$V$421="","",'FINANCIAL CREDITORS'!$V$421)</f>
        <v/>
      </c>
      <c r="G975">
        <f>IF('FINANCIAL CREDITORS'!$D$421="","",'FINANCIAL CREDITORS'!$D$421)</f>
        <v/>
      </c>
      <c r="H975">
        <f>IF('FINANCIAL CREDITORS'!$G$421="","",'FINANCIAL CREDITORS'!$G$421)</f>
        <v/>
      </c>
      <c r="I975">
        <f>IF('FINANCIAL CREDITORS'!$AT$421="","",'FINANCIAL CREDITORS'!$AT$421)</f>
        <v/>
      </c>
      <c r="J975">
        <f>IF('FINANCIAL CREDITORS'!$AX$421="","",'FINANCIAL CREDITORS'!$AX$421)</f>
        <v/>
      </c>
      <c r="K975">
        <f>IF('FINANCIAL CREDITORS'!$N$421="","",'FINANCIAL CREDITORS'!$N$421)</f>
        <v/>
      </c>
      <c r="L975">
        <f>IF('FINANCIAL CREDITORS'!$AE$421="","",'FINANCIAL CREDITORS'!$AE$421)</f>
        <v/>
      </c>
      <c r="M975" t="inlineStr">
        <is>
          <t>FINANCIAL</t>
        </is>
      </c>
      <c r="N975" t="inlineStr">
        <is>
          <t>FINANCIAL CREDITORS · row 421</t>
        </is>
      </c>
    </row>
    <row r="976">
      <c r="A976">
        <f>IF('FINANCIAL CREDITORS'!$A$422="","",'FINANCIAL CREDITORS'!$A$422)</f>
        <v/>
      </c>
      <c r="B976">
        <f>IF('FINANCIAL CREDITORS'!$C$422="","",'FINANCIAL CREDITORS'!$C$422)</f>
        <v/>
      </c>
      <c r="C976">
        <f>'FINANCIAL CREDITORS'!$U$422</f>
        <v/>
      </c>
      <c r="D976">
        <f>'FINANCIAL CREDITORS'!$Y$422</f>
        <v/>
      </c>
      <c r="E976">
        <f>'FINANCIAL CREDITORS'!$AC$422</f>
        <v/>
      </c>
      <c r="F976">
        <f>IF('FINANCIAL CREDITORS'!$V$422="","",'FINANCIAL CREDITORS'!$V$422)</f>
        <v/>
      </c>
      <c r="G976">
        <f>IF('FINANCIAL CREDITORS'!$D$422="","",'FINANCIAL CREDITORS'!$D$422)</f>
        <v/>
      </c>
      <c r="H976">
        <f>IF('FINANCIAL CREDITORS'!$G$422="","",'FINANCIAL CREDITORS'!$G$422)</f>
        <v/>
      </c>
      <c r="I976">
        <f>IF('FINANCIAL CREDITORS'!$AT$422="","",'FINANCIAL CREDITORS'!$AT$422)</f>
        <v/>
      </c>
      <c r="J976">
        <f>IF('FINANCIAL CREDITORS'!$AX$422="","",'FINANCIAL CREDITORS'!$AX$422)</f>
        <v/>
      </c>
      <c r="K976">
        <f>IF('FINANCIAL CREDITORS'!$N$422="","",'FINANCIAL CREDITORS'!$N$422)</f>
        <v/>
      </c>
      <c r="L976">
        <f>IF('FINANCIAL CREDITORS'!$AE$422="","",'FINANCIAL CREDITORS'!$AE$422)</f>
        <v/>
      </c>
      <c r="M976" t="inlineStr">
        <is>
          <t>FINANCIAL</t>
        </is>
      </c>
      <c r="N976" t="inlineStr">
        <is>
          <t>FINANCIAL CREDITORS · row 422</t>
        </is>
      </c>
    </row>
    <row r="977">
      <c r="A977">
        <f>IF('FINANCIAL CREDITORS'!$A$423="","",'FINANCIAL CREDITORS'!$A$423)</f>
        <v/>
      </c>
      <c r="B977">
        <f>IF('FINANCIAL CREDITORS'!$C$423="","",'FINANCIAL CREDITORS'!$C$423)</f>
        <v/>
      </c>
      <c r="C977">
        <f>'FINANCIAL CREDITORS'!$U$423</f>
        <v/>
      </c>
      <c r="D977">
        <f>'FINANCIAL CREDITORS'!$Y$423</f>
        <v/>
      </c>
      <c r="E977">
        <f>'FINANCIAL CREDITORS'!$AC$423</f>
        <v/>
      </c>
      <c r="F977">
        <f>IF('FINANCIAL CREDITORS'!$V$423="","",'FINANCIAL CREDITORS'!$V$423)</f>
        <v/>
      </c>
      <c r="G977">
        <f>IF('FINANCIAL CREDITORS'!$D$423="","",'FINANCIAL CREDITORS'!$D$423)</f>
        <v/>
      </c>
      <c r="H977">
        <f>IF('FINANCIAL CREDITORS'!$G$423="","",'FINANCIAL CREDITORS'!$G$423)</f>
        <v/>
      </c>
      <c r="I977">
        <f>IF('FINANCIAL CREDITORS'!$AT$423="","",'FINANCIAL CREDITORS'!$AT$423)</f>
        <v/>
      </c>
      <c r="J977">
        <f>IF('FINANCIAL CREDITORS'!$AX$423="","",'FINANCIAL CREDITORS'!$AX$423)</f>
        <v/>
      </c>
      <c r="K977">
        <f>IF('FINANCIAL CREDITORS'!$N$423="","",'FINANCIAL CREDITORS'!$N$423)</f>
        <v/>
      </c>
      <c r="L977">
        <f>IF('FINANCIAL CREDITORS'!$AE$423="","",'FINANCIAL CREDITORS'!$AE$423)</f>
        <v/>
      </c>
      <c r="M977" t="inlineStr">
        <is>
          <t>FINANCIAL</t>
        </is>
      </c>
      <c r="N977" t="inlineStr">
        <is>
          <t>FINANCIAL CREDITORS · row 423</t>
        </is>
      </c>
    </row>
    <row r="978">
      <c r="A978">
        <f>IF('FINANCIAL CREDITORS'!$A$424="","",'FINANCIAL CREDITORS'!$A$424)</f>
        <v/>
      </c>
      <c r="B978">
        <f>IF('FINANCIAL CREDITORS'!$C$424="","",'FINANCIAL CREDITORS'!$C$424)</f>
        <v/>
      </c>
      <c r="C978">
        <f>'FINANCIAL CREDITORS'!$U$424</f>
        <v/>
      </c>
      <c r="D978">
        <f>'FINANCIAL CREDITORS'!$Y$424</f>
        <v/>
      </c>
      <c r="E978">
        <f>'FINANCIAL CREDITORS'!$AC$424</f>
        <v/>
      </c>
      <c r="F978">
        <f>IF('FINANCIAL CREDITORS'!$V$424="","",'FINANCIAL CREDITORS'!$V$424)</f>
        <v/>
      </c>
      <c r="G978">
        <f>IF('FINANCIAL CREDITORS'!$D$424="","",'FINANCIAL CREDITORS'!$D$424)</f>
        <v/>
      </c>
      <c r="H978">
        <f>IF('FINANCIAL CREDITORS'!$G$424="","",'FINANCIAL CREDITORS'!$G$424)</f>
        <v/>
      </c>
      <c r="I978">
        <f>IF('FINANCIAL CREDITORS'!$AT$424="","",'FINANCIAL CREDITORS'!$AT$424)</f>
        <v/>
      </c>
      <c r="J978">
        <f>IF('FINANCIAL CREDITORS'!$AX$424="","",'FINANCIAL CREDITORS'!$AX$424)</f>
        <v/>
      </c>
      <c r="K978">
        <f>IF('FINANCIAL CREDITORS'!$N$424="","",'FINANCIAL CREDITORS'!$N$424)</f>
        <v/>
      </c>
      <c r="L978">
        <f>IF('FINANCIAL CREDITORS'!$AE$424="","",'FINANCIAL CREDITORS'!$AE$424)</f>
        <v/>
      </c>
      <c r="M978" t="inlineStr">
        <is>
          <t>FINANCIAL</t>
        </is>
      </c>
      <c r="N978" t="inlineStr">
        <is>
          <t>FINANCIAL CREDITORS · row 424</t>
        </is>
      </c>
    </row>
    <row r="979">
      <c r="A979">
        <f>IF('FINANCIAL CREDITORS'!$A$425="","",'FINANCIAL CREDITORS'!$A$425)</f>
        <v/>
      </c>
      <c r="B979">
        <f>IF('FINANCIAL CREDITORS'!$C$425="","",'FINANCIAL CREDITORS'!$C$425)</f>
        <v/>
      </c>
      <c r="C979">
        <f>'FINANCIAL CREDITORS'!$U$425</f>
        <v/>
      </c>
      <c r="D979">
        <f>'FINANCIAL CREDITORS'!$Y$425</f>
        <v/>
      </c>
      <c r="E979">
        <f>'FINANCIAL CREDITORS'!$AC$425</f>
        <v/>
      </c>
      <c r="F979">
        <f>IF('FINANCIAL CREDITORS'!$V$425="","",'FINANCIAL CREDITORS'!$V$425)</f>
        <v/>
      </c>
      <c r="G979">
        <f>IF('FINANCIAL CREDITORS'!$D$425="","",'FINANCIAL CREDITORS'!$D$425)</f>
        <v/>
      </c>
      <c r="H979">
        <f>IF('FINANCIAL CREDITORS'!$G$425="","",'FINANCIAL CREDITORS'!$G$425)</f>
        <v/>
      </c>
      <c r="I979">
        <f>IF('FINANCIAL CREDITORS'!$AT$425="","",'FINANCIAL CREDITORS'!$AT$425)</f>
        <v/>
      </c>
      <c r="J979">
        <f>IF('FINANCIAL CREDITORS'!$AX$425="","",'FINANCIAL CREDITORS'!$AX$425)</f>
        <v/>
      </c>
      <c r="K979">
        <f>IF('FINANCIAL CREDITORS'!$N$425="","",'FINANCIAL CREDITORS'!$N$425)</f>
        <v/>
      </c>
      <c r="L979">
        <f>IF('FINANCIAL CREDITORS'!$AE$425="","",'FINANCIAL CREDITORS'!$AE$425)</f>
        <v/>
      </c>
      <c r="M979" t="inlineStr">
        <is>
          <t>FINANCIAL</t>
        </is>
      </c>
      <c r="N979" t="inlineStr">
        <is>
          <t>FINANCIAL CREDITORS · row 425</t>
        </is>
      </c>
    </row>
    <row r="980">
      <c r="A980">
        <f>IF('FINANCIAL CREDITORS'!$A$426="","",'FINANCIAL CREDITORS'!$A$426)</f>
        <v/>
      </c>
      <c r="B980">
        <f>IF('FINANCIAL CREDITORS'!$C$426="","",'FINANCIAL CREDITORS'!$C$426)</f>
        <v/>
      </c>
      <c r="C980">
        <f>'FINANCIAL CREDITORS'!$U$426</f>
        <v/>
      </c>
      <c r="D980">
        <f>'FINANCIAL CREDITORS'!$Y$426</f>
        <v/>
      </c>
      <c r="E980">
        <f>'FINANCIAL CREDITORS'!$AC$426</f>
        <v/>
      </c>
      <c r="F980">
        <f>IF('FINANCIAL CREDITORS'!$V$426="","",'FINANCIAL CREDITORS'!$V$426)</f>
        <v/>
      </c>
      <c r="G980">
        <f>IF('FINANCIAL CREDITORS'!$D$426="","",'FINANCIAL CREDITORS'!$D$426)</f>
        <v/>
      </c>
      <c r="H980">
        <f>IF('FINANCIAL CREDITORS'!$G$426="","",'FINANCIAL CREDITORS'!$G$426)</f>
        <v/>
      </c>
      <c r="I980">
        <f>IF('FINANCIAL CREDITORS'!$AT$426="","",'FINANCIAL CREDITORS'!$AT$426)</f>
        <v/>
      </c>
      <c r="J980">
        <f>IF('FINANCIAL CREDITORS'!$AX$426="","",'FINANCIAL CREDITORS'!$AX$426)</f>
        <v/>
      </c>
      <c r="K980">
        <f>IF('FINANCIAL CREDITORS'!$N$426="","",'FINANCIAL CREDITORS'!$N$426)</f>
        <v/>
      </c>
      <c r="L980">
        <f>IF('FINANCIAL CREDITORS'!$AE$426="","",'FINANCIAL CREDITORS'!$AE$426)</f>
        <v/>
      </c>
      <c r="M980" t="inlineStr">
        <is>
          <t>FINANCIAL</t>
        </is>
      </c>
      <c r="N980" t="inlineStr">
        <is>
          <t>FINANCIAL CREDITORS · row 426</t>
        </is>
      </c>
    </row>
    <row r="981">
      <c r="A981">
        <f>IF('FINANCIAL CREDITORS'!$A$427="","",'FINANCIAL CREDITORS'!$A$427)</f>
        <v/>
      </c>
      <c r="B981">
        <f>IF('FINANCIAL CREDITORS'!$C$427="","",'FINANCIAL CREDITORS'!$C$427)</f>
        <v/>
      </c>
      <c r="C981">
        <f>'FINANCIAL CREDITORS'!$U$427</f>
        <v/>
      </c>
      <c r="D981">
        <f>'FINANCIAL CREDITORS'!$Y$427</f>
        <v/>
      </c>
      <c r="E981">
        <f>'FINANCIAL CREDITORS'!$AC$427</f>
        <v/>
      </c>
      <c r="F981">
        <f>IF('FINANCIAL CREDITORS'!$V$427="","",'FINANCIAL CREDITORS'!$V$427)</f>
        <v/>
      </c>
      <c r="G981">
        <f>IF('FINANCIAL CREDITORS'!$D$427="","",'FINANCIAL CREDITORS'!$D$427)</f>
        <v/>
      </c>
      <c r="H981">
        <f>IF('FINANCIAL CREDITORS'!$G$427="","",'FINANCIAL CREDITORS'!$G$427)</f>
        <v/>
      </c>
      <c r="I981">
        <f>IF('FINANCIAL CREDITORS'!$AT$427="","",'FINANCIAL CREDITORS'!$AT$427)</f>
        <v/>
      </c>
      <c r="J981">
        <f>IF('FINANCIAL CREDITORS'!$AX$427="","",'FINANCIAL CREDITORS'!$AX$427)</f>
        <v/>
      </c>
      <c r="K981">
        <f>IF('FINANCIAL CREDITORS'!$N$427="","",'FINANCIAL CREDITORS'!$N$427)</f>
        <v/>
      </c>
      <c r="L981">
        <f>IF('FINANCIAL CREDITORS'!$AE$427="","",'FINANCIAL CREDITORS'!$AE$427)</f>
        <v/>
      </c>
      <c r="M981" t="inlineStr">
        <is>
          <t>FINANCIAL</t>
        </is>
      </c>
      <c r="N981" t="inlineStr">
        <is>
          <t>FINANCIAL CREDITORS · row 427</t>
        </is>
      </c>
    </row>
    <row r="982">
      <c r="A982">
        <f>IF('FINANCIAL CREDITORS'!$A$428="","",'FINANCIAL CREDITORS'!$A$428)</f>
        <v/>
      </c>
      <c r="B982">
        <f>IF('FINANCIAL CREDITORS'!$C$428="","",'FINANCIAL CREDITORS'!$C$428)</f>
        <v/>
      </c>
      <c r="C982">
        <f>'FINANCIAL CREDITORS'!$U$428</f>
        <v/>
      </c>
      <c r="D982">
        <f>'FINANCIAL CREDITORS'!$Y$428</f>
        <v/>
      </c>
      <c r="E982">
        <f>'FINANCIAL CREDITORS'!$AC$428</f>
        <v/>
      </c>
      <c r="F982">
        <f>IF('FINANCIAL CREDITORS'!$V$428="","",'FINANCIAL CREDITORS'!$V$428)</f>
        <v/>
      </c>
      <c r="G982">
        <f>IF('FINANCIAL CREDITORS'!$D$428="","",'FINANCIAL CREDITORS'!$D$428)</f>
        <v/>
      </c>
      <c r="H982">
        <f>IF('FINANCIAL CREDITORS'!$G$428="","",'FINANCIAL CREDITORS'!$G$428)</f>
        <v/>
      </c>
      <c r="I982">
        <f>IF('FINANCIAL CREDITORS'!$AT$428="","",'FINANCIAL CREDITORS'!$AT$428)</f>
        <v/>
      </c>
      <c r="J982">
        <f>IF('FINANCIAL CREDITORS'!$AX$428="","",'FINANCIAL CREDITORS'!$AX$428)</f>
        <v/>
      </c>
      <c r="K982">
        <f>IF('FINANCIAL CREDITORS'!$N$428="","",'FINANCIAL CREDITORS'!$N$428)</f>
        <v/>
      </c>
      <c r="L982">
        <f>IF('FINANCIAL CREDITORS'!$AE$428="","",'FINANCIAL CREDITORS'!$AE$428)</f>
        <v/>
      </c>
      <c r="M982" t="inlineStr">
        <is>
          <t>FINANCIAL</t>
        </is>
      </c>
      <c r="N982" t="inlineStr">
        <is>
          <t>FINANCIAL CREDITORS · row 428</t>
        </is>
      </c>
    </row>
    <row r="983">
      <c r="A983">
        <f>IF('FINANCIAL CREDITORS'!$A$429="","",'FINANCIAL CREDITORS'!$A$429)</f>
        <v/>
      </c>
      <c r="B983">
        <f>IF('FINANCIAL CREDITORS'!$C$429="","",'FINANCIAL CREDITORS'!$C$429)</f>
        <v/>
      </c>
      <c r="C983">
        <f>'FINANCIAL CREDITORS'!$U$429</f>
        <v/>
      </c>
      <c r="D983">
        <f>'FINANCIAL CREDITORS'!$Y$429</f>
        <v/>
      </c>
      <c r="E983">
        <f>'FINANCIAL CREDITORS'!$AC$429</f>
        <v/>
      </c>
      <c r="F983">
        <f>IF('FINANCIAL CREDITORS'!$V$429="","",'FINANCIAL CREDITORS'!$V$429)</f>
        <v/>
      </c>
      <c r="G983">
        <f>IF('FINANCIAL CREDITORS'!$D$429="","",'FINANCIAL CREDITORS'!$D$429)</f>
        <v/>
      </c>
      <c r="H983">
        <f>IF('FINANCIAL CREDITORS'!$G$429="","",'FINANCIAL CREDITORS'!$G$429)</f>
        <v/>
      </c>
      <c r="I983">
        <f>IF('FINANCIAL CREDITORS'!$AT$429="","",'FINANCIAL CREDITORS'!$AT$429)</f>
        <v/>
      </c>
      <c r="J983">
        <f>IF('FINANCIAL CREDITORS'!$AX$429="","",'FINANCIAL CREDITORS'!$AX$429)</f>
        <v/>
      </c>
      <c r="K983">
        <f>IF('FINANCIAL CREDITORS'!$N$429="","",'FINANCIAL CREDITORS'!$N$429)</f>
        <v/>
      </c>
      <c r="L983">
        <f>IF('FINANCIAL CREDITORS'!$AE$429="","",'FINANCIAL CREDITORS'!$AE$429)</f>
        <v/>
      </c>
      <c r="M983" t="inlineStr">
        <is>
          <t>FINANCIAL</t>
        </is>
      </c>
      <c r="N983" t="inlineStr">
        <is>
          <t>FINANCIAL CREDITORS · row 429</t>
        </is>
      </c>
    </row>
    <row r="984">
      <c r="A984">
        <f>IF('FINANCIAL CREDITORS'!$A$430="","",'FINANCIAL CREDITORS'!$A$430)</f>
        <v/>
      </c>
      <c r="B984">
        <f>IF('FINANCIAL CREDITORS'!$C$430="","",'FINANCIAL CREDITORS'!$C$430)</f>
        <v/>
      </c>
      <c r="C984">
        <f>'FINANCIAL CREDITORS'!$U$430</f>
        <v/>
      </c>
      <c r="D984">
        <f>'FINANCIAL CREDITORS'!$Y$430</f>
        <v/>
      </c>
      <c r="E984">
        <f>'FINANCIAL CREDITORS'!$AC$430</f>
        <v/>
      </c>
      <c r="F984">
        <f>IF('FINANCIAL CREDITORS'!$V$430="","",'FINANCIAL CREDITORS'!$V$430)</f>
        <v/>
      </c>
      <c r="G984">
        <f>IF('FINANCIAL CREDITORS'!$D$430="","",'FINANCIAL CREDITORS'!$D$430)</f>
        <v/>
      </c>
      <c r="H984">
        <f>IF('FINANCIAL CREDITORS'!$G$430="","",'FINANCIAL CREDITORS'!$G$430)</f>
        <v/>
      </c>
      <c r="I984">
        <f>IF('FINANCIAL CREDITORS'!$AT$430="","",'FINANCIAL CREDITORS'!$AT$430)</f>
        <v/>
      </c>
      <c r="J984">
        <f>IF('FINANCIAL CREDITORS'!$AX$430="","",'FINANCIAL CREDITORS'!$AX$430)</f>
        <v/>
      </c>
      <c r="K984">
        <f>IF('FINANCIAL CREDITORS'!$N$430="","",'FINANCIAL CREDITORS'!$N$430)</f>
        <v/>
      </c>
      <c r="L984">
        <f>IF('FINANCIAL CREDITORS'!$AE$430="","",'FINANCIAL CREDITORS'!$AE$430)</f>
        <v/>
      </c>
      <c r="M984" t="inlineStr">
        <is>
          <t>FINANCIAL</t>
        </is>
      </c>
      <c r="N984" t="inlineStr">
        <is>
          <t>FINANCIAL CREDITORS · row 430</t>
        </is>
      </c>
    </row>
    <row r="985">
      <c r="A985">
        <f>IF('FINANCIAL CREDITORS'!$A$431="","",'FINANCIAL CREDITORS'!$A$431)</f>
        <v/>
      </c>
      <c r="B985">
        <f>IF('FINANCIAL CREDITORS'!$C$431="","",'FINANCIAL CREDITORS'!$C$431)</f>
        <v/>
      </c>
      <c r="C985">
        <f>'FINANCIAL CREDITORS'!$U$431</f>
        <v/>
      </c>
      <c r="D985">
        <f>'FINANCIAL CREDITORS'!$Y$431</f>
        <v/>
      </c>
      <c r="E985">
        <f>'FINANCIAL CREDITORS'!$AC$431</f>
        <v/>
      </c>
      <c r="F985">
        <f>IF('FINANCIAL CREDITORS'!$V$431="","",'FINANCIAL CREDITORS'!$V$431)</f>
        <v/>
      </c>
      <c r="G985">
        <f>IF('FINANCIAL CREDITORS'!$D$431="","",'FINANCIAL CREDITORS'!$D$431)</f>
        <v/>
      </c>
      <c r="H985">
        <f>IF('FINANCIAL CREDITORS'!$G$431="","",'FINANCIAL CREDITORS'!$G$431)</f>
        <v/>
      </c>
      <c r="I985">
        <f>IF('FINANCIAL CREDITORS'!$AT$431="","",'FINANCIAL CREDITORS'!$AT$431)</f>
        <v/>
      </c>
      <c r="J985">
        <f>IF('FINANCIAL CREDITORS'!$AX$431="","",'FINANCIAL CREDITORS'!$AX$431)</f>
        <v/>
      </c>
      <c r="K985">
        <f>IF('FINANCIAL CREDITORS'!$N$431="","",'FINANCIAL CREDITORS'!$N$431)</f>
        <v/>
      </c>
      <c r="L985">
        <f>IF('FINANCIAL CREDITORS'!$AE$431="","",'FINANCIAL CREDITORS'!$AE$431)</f>
        <v/>
      </c>
      <c r="M985" t="inlineStr">
        <is>
          <t>FINANCIAL</t>
        </is>
      </c>
      <c r="N985" t="inlineStr">
        <is>
          <t>FINANCIAL CREDITORS · row 431</t>
        </is>
      </c>
    </row>
    <row r="986">
      <c r="A986">
        <f>IF('FINANCIAL CREDITORS'!$A$432="","",'FINANCIAL CREDITORS'!$A$432)</f>
        <v/>
      </c>
      <c r="B986">
        <f>IF('FINANCIAL CREDITORS'!$C$432="","",'FINANCIAL CREDITORS'!$C$432)</f>
        <v/>
      </c>
      <c r="C986">
        <f>'FINANCIAL CREDITORS'!$U$432</f>
        <v/>
      </c>
      <c r="D986">
        <f>'FINANCIAL CREDITORS'!$Y$432</f>
        <v/>
      </c>
      <c r="E986">
        <f>'FINANCIAL CREDITORS'!$AC$432</f>
        <v/>
      </c>
      <c r="F986">
        <f>IF('FINANCIAL CREDITORS'!$V$432="","",'FINANCIAL CREDITORS'!$V$432)</f>
        <v/>
      </c>
      <c r="G986">
        <f>IF('FINANCIAL CREDITORS'!$D$432="","",'FINANCIAL CREDITORS'!$D$432)</f>
        <v/>
      </c>
      <c r="H986">
        <f>IF('FINANCIAL CREDITORS'!$G$432="","",'FINANCIAL CREDITORS'!$G$432)</f>
        <v/>
      </c>
      <c r="I986">
        <f>IF('FINANCIAL CREDITORS'!$AT$432="","",'FINANCIAL CREDITORS'!$AT$432)</f>
        <v/>
      </c>
      <c r="J986">
        <f>IF('FINANCIAL CREDITORS'!$AX$432="","",'FINANCIAL CREDITORS'!$AX$432)</f>
        <v/>
      </c>
      <c r="K986">
        <f>IF('FINANCIAL CREDITORS'!$N$432="","",'FINANCIAL CREDITORS'!$N$432)</f>
        <v/>
      </c>
      <c r="L986">
        <f>IF('FINANCIAL CREDITORS'!$AE$432="","",'FINANCIAL CREDITORS'!$AE$432)</f>
        <v/>
      </c>
      <c r="M986" t="inlineStr">
        <is>
          <t>FINANCIAL</t>
        </is>
      </c>
      <c r="N986" t="inlineStr">
        <is>
          <t>FINANCIAL CREDITORS · row 432</t>
        </is>
      </c>
    </row>
    <row r="987">
      <c r="A987">
        <f>IF('FINANCIAL CREDITORS'!$A$433="","",'FINANCIAL CREDITORS'!$A$433)</f>
        <v/>
      </c>
      <c r="B987">
        <f>IF('FINANCIAL CREDITORS'!$C$433="","",'FINANCIAL CREDITORS'!$C$433)</f>
        <v/>
      </c>
      <c r="C987">
        <f>'FINANCIAL CREDITORS'!$U$433</f>
        <v/>
      </c>
      <c r="D987">
        <f>'FINANCIAL CREDITORS'!$Y$433</f>
        <v/>
      </c>
      <c r="E987">
        <f>'FINANCIAL CREDITORS'!$AC$433</f>
        <v/>
      </c>
      <c r="F987">
        <f>IF('FINANCIAL CREDITORS'!$V$433="","",'FINANCIAL CREDITORS'!$V$433)</f>
        <v/>
      </c>
      <c r="G987">
        <f>IF('FINANCIAL CREDITORS'!$D$433="","",'FINANCIAL CREDITORS'!$D$433)</f>
        <v/>
      </c>
      <c r="H987">
        <f>IF('FINANCIAL CREDITORS'!$G$433="","",'FINANCIAL CREDITORS'!$G$433)</f>
        <v/>
      </c>
      <c r="I987">
        <f>IF('FINANCIAL CREDITORS'!$AT$433="","",'FINANCIAL CREDITORS'!$AT$433)</f>
        <v/>
      </c>
      <c r="J987">
        <f>IF('FINANCIAL CREDITORS'!$AX$433="","",'FINANCIAL CREDITORS'!$AX$433)</f>
        <v/>
      </c>
      <c r="K987">
        <f>IF('FINANCIAL CREDITORS'!$N$433="","",'FINANCIAL CREDITORS'!$N$433)</f>
        <v/>
      </c>
      <c r="L987">
        <f>IF('FINANCIAL CREDITORS'!$AE$433="","",'FINANCIAL CREDITORS'!$AE$433)</f>
        <v/>
      </c>
      <c r="M987" t="inlineStr">
        <is>
          <t>FINANCIAL</t>
        </is>
      </c>
      <c r="N987" t="inlineStr">
        <is>
          <t>FINANCIAL CREDITORS · row 433</t>
        </is>
      </c>
    </row>
    <row r="988">
      <c r="A988">
        <f>IF('FINANCIAL CREDITORS'!$A$434="","",'FINANCIAL CREDITORS'!$A$434)</f>
        <v/>
      </c>
      <c r="B988">
        <f>IF('FINANCIAL CREDITORS'!$C$434="","",'FINANCIAL CREDITORS'!$C$434)</f>
        <v/>
      </c>
      <c r="C988">
        <f>'FINANCIAL CREDITORS'!$U$434</f>
        <v/>
      </c>
      <c r="D988">
        <f>'FINANCIAL CREDITORS'!$Y$434</f>
        <v/>
      </c>
      <c r="E988">
        <f>'FINANCIAL CREDITORS'!$AC$434</f>
        <v/>
      </c>
      <c r="F988">
        <f>IF('FINANCIAL CREDITORS'!$V$434="","",'FINANCIAL CREDITORS'!$V$434)</f>
        <v/>
      </c>
      <c r="G988">
        <f>IF('FINANCIAL CREDITORS'!$D$434="","",'FINANCIAL CREDITORS'!$D$434)</f>
        <v/>
      </c>
      <c r="H988">
        <f>IF('FINANCIAL CREDITORS'!$G$434="","",'FINANCIAL CREDITORS'!$G$434)</f>
        <v/>
      </c>
      <c r="I988">
        <f>IF('FINANCIAL CREDITORS'!$AT$434="","",'FINANCIAL CREDITORS'!$AT$434)</f>
        <v/>
      </c>
      <c r="J988">
        <f>IF('FINANCIAL CREDITORS'!$AX$434="","",'FINANCIAL CREDITORS'!$AX$434)</f>
        <v/>
      </c>
      <c r="K988">
        <f>IF('FINANCIAL CREDITORS'!$N$434="","",'FINANCIAL CREDITORS'!$N$434)</f>
        <v/>
      </c>
      <c r="L988">
        <f>IF('FINANCIAL CREDITORS'!$AE$434="","",'FINANCIAL CREDITORS'!$AE$434)</f>
        <v/>
      </c>
      <c r="M988" t="inlineStr">
        <is>
          <t>FINANCIAL</t>
        </is>
      </c>
      <c r="N988" t="inlineStr">
        <is>
          <t>FINANCIAL CREDITORS · row 434</t>
        </is>
      </c>
    </row>
    <row r="989">
      <c r="A989">
        <f>IF('FINANCIAL CREDITORS'!$A$435="","",'FINANCIAL CREDITORS'!$A$435)</f>
        <v/>
      </c>
      <c r="B989">
        <f>IF('FINANCIAL CREDITORS'!$C$435="","",'FINANCIAL CREDITORS'!$C$435)</f>
        <v/>
      </c>
      <c r="C989">
        <f>'FINANCIAL CREDITORS'!$U$435</f>
        <v/>
      </c>
      <c r="D989">
        <f>'FINANCIAL CREDITORS'!$Y$435</f>
        <v/>
      </c>
      <c r="E989">
        <f>'FINANCIAL CREDITORS'!$AC$435</f>
        <v/>
      </c>
      <c r="F989">
        <f>IF('FINANCIAL CREDITORS'!$V$435="","",'FINANCIAL CREDITORS'!$V$435)</f>
        <v/>
      </c>
      <c r="G989">
        <f>IF('FINANCIAL CREDITORS'!$D$435="","",'FINANCIAL CREDITORS'!$D$435)</f>
        <v/>
      </c>
      <c r="H989">
        <f>IF('FINANCIAL CREDITORS'!$G$435="","",'FINANCIAL CREDITORS'!$G$435)</f>
        <v/>
      </c>
      <c r="I989">
        <f>IF('FINANCIAL CREDITORS'!$AT$435="","",'FINANCIAL CREDITORS'!$AT$435)</f>
        <v/>
      </c>
      <c r="J989">
        <f>IF('FINANCIAL CREDITORS'!$AX$435="","",'FINANCIAL CREDITORS'!$AX$435)</f>
        <v/>
      </c>
      <c r="K989">
        <f>IF('FINANCIAL CREDITORS'!$N$435="","",'FINANCIAL CREDITORS'!$N$435)</f>
        <v/>
      </c>
      <c r="L989">
        <f>IF('FINANCIAL CREDITORS'!$AE$435="","",'FINANCIAL CREDITORS'!$AE$435)</f>
        <v/>
      </c>
      <c r="M989" t="inlineStr">
        <is>
          <t>FINANCIAL</t>
        </is>
      </c>
      <c r="N989" t="inlineStr">
        <is>
          <t>FINANCIAL CREDITORS · row 435</t>
        </is>
      </c>
    </row>
    <row r="990">
      <c r="A990">
        <f>IF('FINANCIAL CREDITORS'!$A$436="","",'FINANCIAL CREDITORS'!$A$436)</f>
        <v/>
      </c>
      <c r="B990">
        <f>IF('FINANCIAL CREDITORS'!$C$436="","",'FINANCIAL CREDITORS'!$C$436)</f>
        <v/>
      </c>
      <c r="C990">
        <f>'FINANCIAL CREDITORS'!$U$436</f>
        <v/>
      </c>
      <c r="D990">
        <f>'FINANCIAL CREDITORS'!$Y$436</f>
        <v/>
      </c>
      <c r="E990">
        <f>'FINANCIAL CREDITORS'!$AC$436</f>
        <v/>
      </c>
      <c r="F990">
        <f>IF('FINANCIAL CREDITORS'!$V$436="","",'FINANCIAL CREDITORS'!$V$436)</f>
        <v/>
      </c>
      <c r="G990">
        <f>IF('FINANCIAL CREDITORS'!$D$436="","",'FINANCIAL CREDITORS'!$D$436)</f>
        <v/>
      </c>
      <c r="H990">
        <f>IF('FINANCIAL CREDITORS'!$G$436="","",'FINANCIAL CREDITORS'!$G$436)</f>
        <v/>
      </c>
      <c r="I990">
        <f>IF('FINANCIAL CREDITORS'!$AT$436="","",'FINANCIAL CREDITORS'!$AT$436)</f>
        <v/>
      </c>
      <c r="J990">
        <f>IF('FINANCIAL CREDITORS'!$AX$436="","",'FINANCIAL CREDITORS'!$AX$436)</f>
        <v/>
      </c>
      <c r="K990">
        <f>IF('FINANCIAL CREDITORS'!$N$436="","",'FINANCIAL CREDITORS'!$N$436)</f>
        <v/>
      </c>
      <c r="L990">
        <f>IF('FINANCIAL CREDITORS'!$AE$436="","",'FINANCIAL CREDITORS'!$AE$436)</f>
        <v/>
      </c>
      <c r="M990" t="inlineStr">
        <is>
          <t>FINANCIAL</t>
        </is>
      </c>
      <c r="N990" t="inlineStr">
        <is>
          <t>FINANCIAL CREDITORS · row 436</t>
        </is>
      </c>
    </row>
    <row r="991">
      <c r="A991">
        <f>IF('FINANCIAL CREDITORS'!$A$437="","",'FINANCIAL CREDITORS'!$A$437)</f>
        <v/>
      </c>
      <c r="B991">
        <f>IF('FINANCIAL CREDITORS'!$C$437="","",'FINANCIAL CREDITORS'!$C$437)</f>
        <v/>
      </c>
      <c r="C991">
        <f>'FINANCIAL CREDITORS'!$U$437</f>
        <v/>
      </c>
      <c r="D991">
        <f>'FINANCIAL CREDITORS'!$Y$437</f>
        <v/>
      </c>
      <c r="E991">
        <f>'FINANCIAL CREDITORS'!$AC$437</f>
        <v/>
      </c>
      <c r="F991">
        <f>IF('FINANCIAL CREDITORS'!$V$437="","",'FINANCIAL CREDITORS'!$V$437)</f>
        <v/>
      </c>
      <c r="G991">
        <f>IF('FINANCIAL CREDITORS'!$D$437="","",'FINANCIAL CREDITORS'!$D$437)</f>
        <v/>
      </c>
      <c r="H991">
        <f>IF('FINANCIAL CREDITORS'!$G$437="","",'FINANCIAL CREDITORS'!$G$437)</f>
        <v/>
      </c>
      <c r="I991">
        <f>IF('FINANCIAL CREDITORS'!$AT$437="","",'FINANCIAL CREDITORS'!$AT$437)</f>
        <v/>
      </c>
      <c r="J991">
        <f>IF('FINANCIAL CREDITORS'!$AX$437="","",'FINANCIAL CREDITORS'!$AX$437)</f>
        <v/>
      </c>
      <c r="K991">
        <f>IF('FINANCIAL CREDITORS'!$N$437="","",'FINANCIAL CREDITORS'!$N$437)</f>
        <v/>
      </c>
      <c r="L991">
        <f>IF('FINANCIAL CREDITORS'!$AE$437="","",'FINANCIAL CREDITORS'!$AE$437)</f>
        <v/>
      </c>
      <c r="M991" t="inlineStr">
        <is>
          <t>FINANCIAL</t>
        </is>
      </c>
      <c r="N991" t="inlineStr">
        <is>
          <t>FINANCIAL CREDITORS · row 437</t>
        </is>
      </c>
    </row>
    <row r="992">
      <c r="A992">
        <f>IF('FINANCIAL CREDITORS'!$A$438="","",'FINANCIAL CREDITORS'!$A$438)</f>
        <v/>
      </c>
      <c r="B992">
        <f>IF('FINANCIAL CREDITORS'!$C$438="","",'FINANCIAL CREDITORS'!$C$438)</f>
        <v/>
      </c>
      <c r="C992">
        <f>'FINANCIAL CREDITORS'!$U$438</f>
        <v/>
      </c>
      <c r="D992">
        <f>'FINANCIAL CREDITORS'!$Y$438</f>
        <v/>
      </c>
      <c r="E992">
        <f>'FINANCIAL CREDITORS'!$AC$438</f>
        <v/>
      </c>
      <c r="F992">
        <f>IF('FINANCIAL CREDITORS'!$V$438="","",'FINANCIAL CREDITORS'!$V$438)</f>
        <v/>
      </c>
      <c r="G992">
        <f>IF('FINANCIAL CREDITORS'!$D$438="","",'FINANCIAL CREDITORS'!$D$438)</f>
        <v/>
      </c>
      <c r="H992">
        <f>IF('FINANCIAL CREDITORS'!$G$438="","",'FINANCIAL CREDITORS'!$G$438)</f>
        <v/>
      </c>
      <c r="I992">
        <f>IF('FINANCIAL CREDITORS'!$AT$438="","",'FINANCIAL CREDITORS'!$AT$438)</f>
        <v/>
      </c>
      <c r="J992">
        <f>IF('FINANCIAL CREDITORS'!$AX$438="","",'FINANCIAL CREDITORS'!$AX$438)</f>
        <v/>
      </c>
      <c r="K992">
        <f>IF('FINANCIAL CREDITORS'!$N$438="","",'FINANCIAL CREDITORS'!$N$438)</f>
        <v/>
      </c>
      <c r="L992">
        <f>IF('FINANCIAL CREDITORS'!$AE$438="","",'FINANCIAL CREDITORS'!$AE$438)</f>
        <v/>
      </c>
      <c r="M992" t="inlineStr">
        <is>
          <t>FINANCIAL</t>
        </is>
      </c>
      <c r="N992" t="inlineStr">
        <is>
          <t>FINANCIAL CREDITORS · row 438</t>
        </is>
      </c>
    </row>
    <row r="993">
      <c r="A993">
        <f>IF('FINANCIAL CREDITORS'!$A$439="","",'FINANCIAL CREDITORS'!$A$439)</f>
        <v/>
      </c>
      <c r="B993">
        <f>IF('FINANCIAL CREDITORS'!$C$439="","",'FINANCIAL CREDITORS'!$C$439)</f>
        <v/>
      </c>
      <c r="C993">
        <f>'FINANCIAL CREDITORS'!$U$439</f>
        <v/>
      </c>
      <c r="D993">
        <f>'FINANCIAL CREDITORS'!$Y$439</f>
        <v/>
      </c>
      <c r="E993">
        <f>'FINANCIAL CREDITORS'!$AC$439</f>
        <v/>
      </c>
      <c r="F993">
        <f>IF('FINANCIAL CREDITORS'!$V$439="","",'FINANCIAL CREDITORS'!$V$439)</f>
        <v/>
      </c>
      <c r="G993">
        <f>IF('FINANCIAL CREDITORS'!$D$439="","",'FINANCIAL CREDITORS'!$D$439)</f>
        <v/>
      </c>
      <c r="H993">
        <f>IF('FINANCIAL CREDITORS'!$G$439="","",'FINANCIAL CREDITORS'!$G$439)</f>
        <v/>
      </c>
      <c r="I993">
        <f>IF('FINANCIAL CREDITORS'!$AT$439="","",'FINANCIAL CREDITORS'!$AT$439)</f>
        <v/>
      </c>
      <c r="J993">
        <f>IF('FINANCIAL CREDITORS'!$AX$439="","",'FINANCIAL CREDITORS'!$AX$439)</f>
        <v/>
      </c>
      <c r="K993">
        <f>IF('FINANCIAL CREDITORS'!$N$439="","",'FINANCIAL CREDITORS'!$N$439)</f>
        <v/>
      </c>
      <c r="L993">
        <f>IF('FINANCIAL CREDITORS'!$AE$439="","",'FINANCIAL CREDITORS'!$AE$439)</f>
        <v/>
      </c>
      <c r="M993" t="inlineStr">
        <is>
          <t>FINANCIAL</t>
        </is>
      </c>
      <c r="N993" t="inlineStr">
        <is>
          <t>FINANCIAL CREDITORS · row 439</t>
        </is>
      </c>
    </row>
    <row r="994">
      <c r="A994">
        <f>IF('FINANCIAL CREDITORS'!$A$440="","",'FINANCIAL CREDITORS'!$A$440)</f>
        <v/>
      </c>
      <c r="B994">
        <f>IF('FINANCIAL CREDITORS'!$C$440="","",'FINANCIAL CREDITORS'!$C$440)</f>
        <v/>
      </c>
      <c r="C994">
        <f>'FINANCIAL CREDITORS'!$U$440</f>
        <v/>
      </c>
      <c r="D994">
        <f>'FINANCIAL CREDITORS'!$Y$440</f>
        <v/>
      </c>
      <c r="E994">
        <f>'FINANCIAL CREDITORS'!$AC$440</f>
        <v/>
      </c>
      <c r="F994">
        <f>IF('FINANCIAL CREDITORS'!$V$440="","",'FINANCIAL CREDITORS'!$V$440)</f>
        <v/>
      </c>
      <c r="G994">
        <f>IF('FINANCIAL CREDITORS'!$D$440="","",'FINANCIAL CREDITORS'!$D$440)</f>
        <v/>
      </c>
      <c r="H994">
        <f>IF('FINANCIAL CREDITORS'!$G$440="","",'FINANCIAL CREDITORS'!$G$440)</f>
        <v/>
      </c>
      <c r="I994">
        <f>IF('FINANCIAL CREDITORS'!$AT$440="","",'FINANCIAL CREDITORS'!$AT$440)</f>
        <v/>
      </c>
      <c r="J994">
        <f>IF('FINANCIAL CREDITORS'!$AX$440="","",'FINANCIAL CREDITORS'!$AX$440)</f>
        <v/>
      </c>
      <c r="K994">
        <f>IF('FINANCIAL CREDITORS'!$N$440="","",'FINANCIAL CREDITORS'!$N$440)</f>
        <v/>
      </c>
      <c r="L994">
        <f>IF('FINANCIAL CREDITORS'!$AE$440="","",'FINANCIAL CREDITORS'!$AE$440)</f>
        <v/>
      </c>
      <c r="M994" t="inlineStr">
        <is>
          <t>FINANCIAL</t>
        </is>
      </c>
      <c r="N994" t="inlineStr">
        <is>
          <t>FINANCIAL CREDITORS · row 440</t>
        </is>
      </c>
    </row>
    <row r="995">
      <c r="A995">
        <f>IF('FINANCIAL CREDITORS'!$A$441="","",'FINANCIAL CREDITORS'!$A$441)</f>
        <v/>
      </c>
      <c r="B995">
        <f>IF('FINANCIAL CREDITORS'!$C$441="","",'FINANCIAL CREDITORS'!$C$441)</f>
        <v/>
      </c>
      <c r="C995">
        <f>'FINANCIAL CREDITORS'!$U$441</f>
        <v/>
      </c>
      <c r="D995">
        <f>'FINANCIAL CREDITORS'!$Y$441</f>
        <v/>
      </c>
      <c r="E995">
        <f>'FINANCIAL CREDITORS'!$AC$441</f>
        <v/>
      </c>
      <c r="F995">
        <f>IF('FINANCIAL CREDITORS'!$V$441="","",'FINANCIAL CREDITORS'!$V$441)</f>
        <v/>
      </c>
      <c r="G995">
        <f>IF('FINANCIAL CREDITORS'!$D$441="","",'FINANCIAL CREDITORS'!$D$441)</f>
        <v/>
      </c>
      <c r="H995">
        <f>IF('FINANCIAL CREDITORS'!$G$441="","",'FINANCIAL CREDITORS'!$G$441)</f>
        <v/>
      </c>
      <c r="I995">
        <f>IF('FINANCIAL CREDITORS'!$AT$441="","",'FINANCIAL CREDITORS'!$AT$441)</f>
        <v/>
      </c>
      <c r="J995">
        <f>IF('FINANCIAL CREDITORS'!$AX$441="","",'FINANCIAL CREDITORS'!$AX$441)</f>
        <v/>
      </c>
      <c r="K995">
        <f>IF('FINANCIAL CREDITORS'!$N$441="","",'FINANCIAL CREDITORS'!$N$441)</f>
        <v/>
      </c>
      <c r="L995">
        <f>IF('FINANCIAL CREDITORS'!$AE$441="","",'FINANCIAL CREDITORS'!$AE$441)</f>
        <v/>
      </c>
      <c r="M995" t="inlineStr">
        <is>
          <t>FINANCIAL</t>
        </is>
      </c>
      <c r="N995" t="inlineStr">
        <is>
          <t>FINANCIAL CREDITORS · row 441</t>
        </is>
      </c>
    </row>
    <row r="996">
      <c r="A996">
        <f>IF('FINANCIAL CREDITORS'!$A$442="","",'FINANCIAL CREDITORS'!$A$442)</f>
        <v/>
      </c>
      <c r="B996">
        <f>IF('FINANCIAL CREDITORS'!$C$442="","",'FINANCIAL CREDITORS'!$C$442)</f>
        <v/>
      </c>
      <c r="C996">
        <f>'FINANCIAL CREDITORS'!$U$442</f>
        <v/>
      </c>
      <c r="D996">
        <f>'FINANCIAL CREDITORS'!$Y$442</f>
        <v/>
      </c>
      <c r="E996">
        <f>'FINANCIAL CREDITORS'!$AC$442</f>
        <v/>
      </c>
      <c r="F996">
        <f>IF('FINANCIAL CREDITORS'!$V$442="","",'FINANCIAL CREDITORS'!$V$442)</f>
        <v/>
      </c>
      <c r="G996">
        <f>IF('FINANCIAL CREDITORS'!$D$442="","",'FINANCIAL CREDITORS'!$D$442)</f>
        <v/>
      </c>
      <c r="H996">
        <f>IF('FINANCIAL CREDITORS'!$G$442="","",'FINANCIAL CREDITORS'!$G$442)</f>
        <v/>
      </c>
      <c r="I996">
        <f>IF('FINANCIAL CREDITORS'!$AT$442="","",'FINANCIAL CREDITORS'!$AT$442)</f>
        <v/>
      </c>
      <c r="J996">
        <f>IF('FINANCIAL CREDITORS'!$AX$442="","",'FINANCIAL CREDITORS'!$AX$442)</f>
        <v/>
      </c>
      <c r="K996">
        <f>IF('FINANCIAL CREDITORS'!$N$442="","",'FINANCIAL CREDITORS'!$N$442)</f>
        <v/>
      </c>
      <c r="L996">
        <f>IF('FINANCIAL CREDITORS'!$AE$442="","",'FINANCIAL CREDITORS'!$AE$442)</f>
        <v/>
      </c>
      <c r="M996" t="inlineStr">
        <is>
          <t>FINANCIAL</t>
        </is>
      </c>
      <c r="N996" t="inlineStr">
        <is>
          <t>FINANCIAL CREDITORS · row 442</t>
        </is>
      </c>
    </row>
    <row r="997">
      <c r="A997">
        <f>IF('FINANCIAL CREDITORS'!$A$443="","",'FINANCIAL CREDITORS'!$A$443)</f>
        <v/>
      </c>
      <c r="B997">
        <f>IF('FINANCIAL CREDITORS'!$C$443="","",'FINANCIAL CREDITORS'!$C$443)</f>
        <v/>
      </c>
      <c r="C997">
        <f>'FINANCIAL CREDITORS'!$U$443</f>
        <v/>
      </c>
      <c r="D997">
        <f>'FINANCIAL CREDITORS'!$Y$443</f>
        <v/>
      </c>
      <c r="E997">
        <f>'FINANCIAL CREDITORS'!$AC$443</f>
        <v/>
      </c>
      <c r="F997">
        <f>IF('FINANCIAL CREDITORS'!$V$443="","",'FINANCIAL CREDITORS'!$V$443)</f>
        <v/>
      </c>
      <c r="G997">
        <f>IF('FINANCIAL CREDITORS'!$D$443="","",'FINANCIAL CREDITORS'!$D$443)</f>
        <v/>
      </c>
      <c r="H997">
        <f>IF('FINANCIAL CREDITORS'!$G$443="","",'FINANCIAL CREDITORS'!$G$443)</f>
        <v/>
      </c>
      <c r="I997">
        <f>IF('FINANCIAL CREDITORS'!$AT$443="","",'FINANCIAL CREDITORS'!$AT$443)</f>
        <v/>
      </c>
      <c r="J997">
        <f>IF('FINANCIAL CREDITORS'!$AX$443="","",'FINANCIAL CREDITORS'!$AX$443)</f>
        <v/>
      </c>
      <c r="K997">
        <f>IF('FINANCIAL CREDITORS'!$N$443="","",'FINANCIAL CREDITORS'!$N$443)</f>
        <v/>
      </c>
      <c r="L997">
        <f>IF('FINANCIAL CREDITORS'!$AE$443="","",'FINANCIAL CREDITORS'!$AE$443)</f>
        <v/>
      </c>
      <c r="M997" t="inlineStr">
        <is>
          <t>FINANCIAL</t>
        </is>
      </c>
      <c r="N997" t="inlineStr">
        <is>
          <t>FINANCIAL CREDITORS · row 443</t>
        </is>
      </c>
    </row>
    <row r="998">
      <c r="A998">
        <f>IF('FINANCIAL CREDITORS'!$A$444="","",'FINANCIAL CREDITORS'!$A$444)</f>
        <v/>
      </c>
      <c r="B998">
        <f>IF('FINANCIAL CREDITORS'!$C$444="","",'FINANCIAL CREDITORS'!$C$444)</f>
        <v/>
      </c>
      <c r="C998">
        <f>'FINANCIAL CREDITORS'!$U$444</f>
        <v/>
      </c>
      <c r="D998">
        <f>'FINANCIAL CREDITORS'!$Y$444</f>
        <v/>
      </c>
      <c r="E998">
        <f>'FINANCIAL CREDITORS'!$AC$444</f>
        <v/>
      </c>
      <c r="F998">
        <f>IF('FINANCIAL CREDITORS'!$V$444="","",'FINANCIAL CREDITORS'!$V$444)</f>
        <v/>
      </c>
      <c r="G998">
        <f>IF('FINANCIAL CREDITORS'!$D$444="","",'FINANCIAL CREDITORS'!$D$444)</f>
        <v/>
      </c>
      <c r="H998">
        <f>IF('FINANCIAL CREDITORS'!$G$444="","",'FINANCIAL CREDITORS'!$G$444)</f>
        <v/>
      </c>
      <c r="I998">
        <f>IF('FINANCIAL CREDITORS'!$AT$444="","",'FINANCIAL CREDITORS'!$AT$444)</f>
        <v/>
      </c>
      <c r="J998">
        <f>IF('FINANCIAL CREDITORS'!$AX$444="","",'FINANCIAL CREDITORS'!$AX$444)</f>
        <v/>
      </c>
      <c r="K998">
        <f>IF('FINANCIAL CREDITORS'!$N$444="","",'FINANCIAL CREDITORS'!$N$444)</f>
        <v/>
      </c>
      <c r="L998">
        <f>IF('FINANCIAL CREDITORS'!$AE$444="","",'FINANCIAL CREDITORS'!$AE$444)</f>
        <v/>
      </c>
      <c r="M998" t="inlineStr">
        <is>
          <t>FINANCIAL</t>
        </is>
      </c>
      <c r="N998" t="inlineStr">
        <is>
          <t>FINANCIAL CREDITORS · row 444</t>
        </is>
      </c>
    </row>
    <row r="999">
      <c r="A999">
        <f>IF('FINANCIAL CREDITORS'!$A$445="","",'FINANCIAL CREDITORS'!$A$445)</f>
        <v/>
      </c>
      <c r="B999">
        <f>IF('FINANCIAL CREDITORS'!$C$445="","",'FINANCIAL CREDITORS'!$C$445)</f>
        <v/>
      </c>
      <c r="C999">
        <f>'FINANCIAL CREDITORS'!$U$445</f>
        <v/>
      </c>
      <c r="D999">
        <f>'FINANCIAL CREDITORS'!$Y$445</f>
        <v/>
      </c>
      <c r="E999">
        <f>'FINANCIAL CREDITORS'!$AC$445</f>
        <v/>
      </c>
      <c r="F999">
        <f>IF('FINANCIAL CREDITORS'!$V$445="","",'FINANCIAL CREDITORS'!$V$445)</f>
        <v/>
      </c>
      <c r="G999">
        <f>IF('FINANCIAL CREDITORS'!$D$445="","",'FINANCIAL CREDITORS'!$D$445)</f>
        <v/>
      </c>
      <c r="H999">
        <f>IF('FINANCIAL CREDITORS'!$G$445="","",'FINANCIAL CREDITORS'!$G$445)</f>
        <v/>
      </c>
      <c r="I999">
        <f>IF('FINANCIAL CREDITORS'!$AT$445="","",'FINANCIAL CREDITORS'!$AT$445)</f>
        <v/>
      </c>
      <c r="J999">
        <f>IF('FINANCIAL CREDITORS'!$AX$445="","",'FINANCIAL CREDITORS'!$AX$445)</f>
        <v/>
      </c>
      <c r="K999">
        <f>IF('FINANCIAL CREDITORS'!$N$445="","",'FINANCIAL CREDITORS'!$N$445)</f>
        <v/>
      </c>
      <c r="L999">
        <f>IF('FINANCIAL CREDITORS'!$AE$445="","",'FINANCIAL CREDITORS'!$AE$445)</f>
        <v/>
      </c>
      <c r="M999" t="inlineStr">
        <is>
          <t>FINANCIAL</t>
        </is>
      </c>
      <c r="N999" t="inlineStr">
        <is>
          <t>FINANCIAL CREDITORS · row 445</t>
        </is>
      </c>
    </row>
    <row r="1000">
      <c r="A1000">
        <f>IF('FINANCIAL CREDITORS'!$A$446="","",'FINANCIAL CREDITORS'!$A$446)</f>
        <v/>
      </c>
      <c r="B1000">
        <f>IF('FINANCIAL CREDITORS'!$C$446="","",'FINANCIAL CREDITORS'!$C$446)</f>
        <v/>
      </c>
      <c r="C1000">
        <f>'FINANCIAL CREDITORS'!$U$446</f>
        <v/>
      </c>
      <c r="D1000">
        <f>'FINANCIAL CREDITORS'!$Y$446</f>
        <v/>
      </c>
      <c r="E1000">
        <f>'FINANCIAL CREDITORS'!$AC$446</f>
        <v/>
      </c>
      <c r="F1000">
        <f>IF('FINANCIAL CREDITORS'!$V$446="","",'FINANCIAL CREDITORS'!$V$446)</f>
        <v/>
      </c>
      <c r="G1000">
        <f>IF('FINANCIAL CREDITORS'!$D$446="","",'FINANCIAL CREDITORS'!$D$446)</f>
        <v/>
      </c>
      <c r="H1000">
        <f>IF('FINANCIAL CREDITORS'!$G$446="","",'FINANCIAL CREDITORS'!$G$446)</f>
        <v/>
      </c>
      <c r="I1000">
        <f>IF('FINANCIAL CREDITORS'!$AT$446="","",'FINANCIAL CREDITORS'!$AT$446)</f>
        <v/>
      </c>
      <c r="J1000">
        <f>IF('FINANCIAL CREDITORS'!$AX$446="","",'FINANCIAL CREDITORS'!$AX$446)</f>
        <v/>
      </c>
      <c r="K1000">
        <f>IF('FINANCIAL CREDITORS'!$N$446="","",'FINANCIAL CREDITORS'!$N$446)</f>
        <v/>
      </c>
      <c r="L1000">
        <f>IF('FINANCIAL CREDITORS'!$AE$446="","",'FINANCIAL CREDITORS'!$AE$446)</f>
        <v/>
      </c>
      <c r="M1000" t="inlineStr">
        <is>
          <t>FINANCIAL</t>
        </is>
      </c>
      <c r="N1000" t="inlineStr">
        <is>
          <t>FINANCIAL CREDITORS · row 446</t>
        </is>
      </c>
    </row>
    <row r="1001">
      <c r="A1001">
        <f>IF('FINANCIAL CREDITORS'!$A$447="","",'FINANCIAL CREDITORS'!$A$447)</f>
        <v/>
      </c>
      <c r="B1001">
        <f>IF('FINANCIAL CREDITORS'!$C$447="","",'FINANCIAL CREDITORS'!$C$447)</f>
        <v/>
      </c>
      <c r="C1001">
        <f>'FINANCIAL CREDITORS'!$U$447</f>
        <v/>
      </c>
      <c r="D1001">
        <f>'FINANCIAL CREDITORS'!$Y$447</f>
        <v/>
      </c>
      <c r="E1001">
        <f>'FINANCIAL CREDITORS'!$AC$447</f>
        <v/>
      </c>
      <c r="F1001">
        <f>IF('FINANCIAL CREDITORS'!$V$447="","",'FINANCIAL CREDITORS'!$V$447)</f>
        <v/>
      </c>
      <c r="G1001">
        <f>IF('FINANCIAL CREDITORS'!$D$447="","",'FINANCIAL CREDITORS'!$D$447)</f>
        <v/>
      </c>
      <c r="H1001">
        <f>IF('FINANCIAL CREDITORS'!$G$447="","",'FINANCIAL CREDITORS'!$G$447)</f>
        <v/>
      </c>
      <c r="I1001">
        <f>IF('FINANCIAL CREDITORS'!$AT$447="","",'FINANCIAL CREDITORS'!$AT$447)</f>
        <v/>
      </c>
      <c r="J1001">
        <f>IF('FINANCIAL CREDITORS'!$AX$447="","",'FINANCIAL CREDITORS'!$AX$447)</f>
        <v/>
      </c>
      <c r="K1001">
        <f>IF('FINANCIAL CREDITORS'!$N$447="","",'FINANCIAL CREDITORS'!$N$447)</f>
        <v/>
      </c>
      <c r="L1001">
        <f>IF('FINANCIAL CREDITORS'!$AE$447="","",'FINANCIAL CREDITORS'!$AE$447)</f>
        <v/>
      </c>
      <c r="M1001" t="inlineStr">
        <is>
          <t>FINANCIAL</t>
        </is>
      </c>
      <c r="N1001" t="inlineStr">
        <is>
          <t>FINANCIAL CREDITORS · row 447</t>
        </is>
      </c>
    </row>
    <row r="1002">
      <c r="A1002">
        <f>IF('FINANCIAL CREDITORS'!$A$448="","",'FINANCIAL CREDITORS'!$A$448)</f>
        <v/>
      </c>
      <c r="B1002">
        <f>IF('FINANCIAL CREDITORS'!$C$448="","",'FINANCIAL CREDITORS'!$C$448)</f>
        <v/>
      </c>
      <c r="C1002">
        <f>'FINANCIAL CREDITORS'!$U$448</f>
        <v/>
      </c>
      <c r="D1002">
        <f>'FINANCIAL CREDITORS'!$Y$448</f>
        <v/>
      </c>
      <c r="E1002">
        <f>'FINANCIAL CREDITORS'!$AC$448</f>
        <v/>
      </c>
      <c r="F1002">
        <f>IF('FINANCIAL CREDITORS'!$V$448="","",'FINANCIAL CREDITORS'!$V$448)</f>
        <v/>
      </c>
      <c r="G1002">
        <f>IF('FINANCIAL CREDITORS'!$D$448="","",'FINANCIAL CREDITORS'!$D$448)</f>
        <v/>
      </c>
      <c r="H1002">
        <f>IF('FINANCIAL CREDITORS'!$G$448="","",'FINANCIAL CREDITORS'!$G$448)</f>
        <v/>
      </c>
      <c r="I1002">
        <f>IF('FINANCIAL CREDITORS'!$AT$448="","",'FINANCIAL CREDITORS'!$AT$448)</f>
        <v/>
      </c>
      <c r="J1002">
        <f>IF('FINANCIAL CREDITORS'!$AX$448="","",'FINANCIAL CREDITORS'!$AX$448)</f>
        <v/>
      </c>
      <c r="K1002">
        <f>IF('FINANCIAL CREDITORS'!$N$448="","",'FINANCIAL CREDITORS'!$N$448)</f>
        <v/>
      </c>
      <c r="L1002">
        <f>IF('FINANCIAL CREDITORS'!$AE$448="","",'FINANCIAL CREDITORS'!$AE$448)</f>
        <v/>
      </c>
      <c r="M1002" t="inlineStr">
        <is>
          <t>FINANCIAL</t>
        </is>
      </c>
      <c r="N1002" t="inlineStr">
        <is>
          <t>FINANCIAL CREDITORS · row 448</t>
        </is>
      </c>
    </row>
    <row r="1003">
      <c r="A1003">
        <f>IF('FINANCIAL CREDITORS'!$A$449="","",'FINANCIAL CREDITORS'!$A$449)</f>
        <v/>
      </c>
      <c r="B1003">
        <f>IF('FINANCIAL CREDITORS'!$C$449="","",'FINANCIAL CREDITORS'!$C$449)</f>
        <v/>
      </c>
      <c r="C1003">
        <f>'FINANCIAL CREDITORS'!$U$449</f>
        <v/>
      </c>
      <c r="D1003">
        <f>'FINANCIAL CREDITORS'!$Y$449</f>
        <v/>
      </c>
      <c r="E1003">
        <f>'FINANCIAL CREDITORS'!$AC$449</f>
        <v/>
      </c>
      <c r="F1003">
        <f>IF('FINANCIAL CREDITORS'!$V$449="","",'FINANCIAL CREDITORS'!$V$449)</f>
        <v/>
      </c>
      <c r="G1003">
        <f>IF('FINANCIAL CREDITORS'!$D$449="","",'FINANCIAL CREDITORS'!$D$449)</f>
        <v/>
      </c>
      <c r="H1003">
        <f>IF('FINANCIAL CREDITORS'!$G$449="","",'FINANCIAL CREDITORS'!$G$449)</f>
        <v/>
      </c>
      <c r="I1003">
        <f>IF('FINANCIAL CREDITORS'!$AT$449="","",'FINANCIAL CREDITORS'!$AT$449)</f>
        <v/>
      </c>
      <c r="J1003">
        <f>IF('FINANCIAL CREDITORS'!$AX$449="","",'FINANCIAL CREDITORS'!$AX$449)</f>
        <v/>
      </c>
      <c r="K1003">
        <f>IF('FINANCIAL CREDITORS'!$N$449="","",'FINANCIAL CREDITORS'!$N$449)</f>
        <v/>
      </c>
      <c r="L1003">
        <f>IF('FINANCIAL CREDITORS'!$AE$449="","",'FINANCIAL CREDITORS'!$AE$449)</f>
        <v/>
      </c>
      <c r="M1003" t="inlineStr">
        <is>
          <t>FINANCIAL</t>
        </is>
      </c>
      <c r="N1003" t="inlineStr">
        <is>
          <t>FINANCIAL CREDITORS · row 449</t>
        </is>
      </c>
    </row>
    <row r="1004">
      <c r="A1004">
        <f>IF('FINANCIAL CREDITORS'!$A$450="","",'FINANCIAL CREDITORS'!$A$450)</f>
        <v/>
      </c>
      <c r="B1004">
        <f>IF('FINANCIAL CREDITORS'!$C$450="","",'FINANCIAL CREDITORS'!$C$450)</f>
        <v/>
      </c>
      <c r="C1004">
        <f>'FINANCIAL CREDITORS'!$U$450</f>
        <v/>
      </c>
      <c r="D1004">
        <f>'FINANCIAL CREDITORS'!$Y$450</f>
        <v/>
      </c>
      <c r="E1004">
        <f>'FINANCIAL CREDITORS'!$AC$450</f>
        <v/>
      </c>
      <c r="F1004">
        <f>IF('FINANCIAL CREDITORS'!$V$450="","",'FINANCIAL CREDITORS'!$V$450)</f>
        <v/>
      </c>
      <c r="G1004">
        <f>IF('FINANCIAL CREDITORS'!$D$450="","",'FINANCIAL CREDITORS'!$D$450)</f>
        <v/>
      </c>
      <c r="H1004">
        <f>IF('FINANCIAL CREDITORS'!$G$450="","",'FINANCIAL CREDITORS'!$G$450)</f>
        <v/>
      </c>
      <c r="I1004">
        <f>IF('FINANCIAL CREDITORS'!$AT$450="","",'FINANCIAL CREDITORS'!$AT$450)</f>
        <v/>
      </c>
      <c r="J1004">
        <f>IF('FINANCIAL CREDITORS'!$AX$450="","",'FINANCIAL CREDITORS'!$AX$450)</f>
        <v/>
      </c>
      <c r="K1004">
        <f>IF('FINANCIAL CREDITORS'!$N$450="","",'FINANCIAL CREDITORS'!$N$450)</f>
        <v/>
      </c>
      <c r="L1004">
        <f>IF('FINANCIAL CREDITORS'!$AE$450="","",'FINANCIAL CREDITORS'!$AE$450)</f>
        <v/>
      </c>
      <c r="M1004" t="inlineStr">
        <is>
          <t>FINANCIAL</t>
        </is>
      </c>
      <c r="N1004" t="inlineStr">
        <is>
          <t>FINANCIAL CREDITORS · row 450</t>
        </is>
      </c>
    </row>
    <row r="1005">
      <c r="A1005">
        <f>IF('FINANCIAL CREDITORS'!$A$451="","",'FINANCIAL CREDITORS'!$A$451)</f>
        <v/>
      </c>
      <c r="B1005">
        <f>IF('FINANCIAL CREDITORS'!$C$451="","",'FINANCIAL CREDITORS'!$C$451)</f>
        <v/>
      </c>
      <c r="C1005">
        <f>'FINANCIAL CREDITORS'!$U$451</f>
        <v/>
      </c>
      <c r="D1005">
        <f>'FINANCIAL CREDITORS'!$Y$451</f>
        <v/>
      </c>
      <c r="E1005">
        <f>'FINANCIAL CREDITORS'!$AC$451</f>
        <v/>
      </c>
      <c r="F1005">
        <f>IF('FINANCIAL CREDITORS'!$V$451="","",'FINANCIAL CREDITORS'!$V$451)</f>
        <v/>
      </c>
      <c r="G1005">
        <f>IF('FINANCIAL CREDITORS'!$D$451="","",'FINANCIAL CREDITORS'!$D$451)</f>
        <v/>
      </c>
      <c r="H1005">
        <f>IF('FINANCIAL CREDITORS'!$G$451="","",'FINANCIAL CREDITORS'!$G$451)</f>
        <v/>
      </c>
      <c r="I1005">
        <f>IF('FINANCIAL CREDITORS'!$AT$451="","",'FINANCIAL CREDITORS'!$AT$451)</f>
        <v/>
      </c>
      <c r="J1005">
        <f>IF('FINANCIAL CREDITORS'!$AX$451="","",'FINANCIAL CREDITORS'!$AX$451)</f>
        <v/>
      </c>
      <c r="K1005">
        <f>IF('FINANCIAL CREDITORS'!$N$451="","",'FINANCIAL CREDITORS'!$N$451)</f>
        <v/>
      </c>
      <c r="L1005">
        <f>IF('FINANCIAL CREDITORS'!$AE$451="","",'FINANCIAL CREDITORS'!$AE$451)</f>
        <v/>
      </c>
      <c r="M1005" t="inlineStr">
        <is>
          <t>FINANCIAL</t>
        </is>
      </c>
      <c r="N1005" t="inlineStr">
        <is>
          <t>FINANCIAL CREDITORS · row 451</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4" customWidth="1" min="1" max="1"/>
    <col width="95" customWidth="1" min="6" max="6"/>
  </cols>
  <sheetData>
    <row r="1">
      <c r="A1" s="40" t="inlineStr">
        <is>
          <t>PRICING ASSUMPTIONS — yellow cells are editable; every quote on both call tabs recalculates</t>
        </is>
      </c>
    </row>
    <row r="3">
      <c r="A3" t="inlineStr">
        <is>
          <t>Target investor IRR (annual)</t>
        </is>
      </c>
      <c r="B3" s="41" t="n">
        <v>0.25</v>
      </c>
    </row>
    <row r="4">
      <c r="A4" t="inlineStr">
        <is>
          <t>Our buy price as share of fund price</t>
        </is>
      </c>
      <c r="B4" s="41" t="n">
        <v>0.6</v>
      </c>
    </row>
    <row r="6">
      <c r="A6" s="3" t="inlineStr">
        <is>
          <t>Debtor band</t>
        </is>
      </c>
      <c r="B6" s="3" t="inlineStr">
        <is>
          <t>Class III recovery %</t>
        </is>
      </c>
      <c r="C6" s="3" t="inlineStr">
        <is>
          <t>Grace (y)</t>
        </is>
      </c>
      <c r="D6" s="3" t="inlineStr">
        <is>
          <t>Term (y)</t>
        </is>
      </c>
      <c r="E6" s="3" t="inlineStr">
        <is>
          <t>Plan lag (y)</t>
        </is>
      </c>
      <c r="F6" s="3" t="inlineStr">
        <is>
          <t>What the band means</t>
        </is>
      </c>
    </row>
    <row r="7">
      <c r="A7" t="inlineStr">
        <is>
          <t>A</t>
        </is>
      </c>
      <c r="B7" s="41" t="n">
        <v>0.4</v>
      </c>
      <c r="C7" s="42" t="n">
        <v>2</v>
      </c>
      <c r="D7" s="42" t="n">
        <v>8</v>
      </c>
      <c r="E7" s="42" t="n">
        <v>1.5</v>
      </c>
      <c r="F7" t="inlineStr">
        <is>
          <t>Plan confirmed (art. 58) or plan document found; case live; debtor ATIVA at RFB</t>
        </is>
      </c>
    </row>
    <row r="8">
      <c r="A8" t="inlineStr">
        <is>
          <t>B</t>
        </is>
      </c>
      <c r="B8" s="41" t="n">
        <v>0.3</v>
      </c>
      <c r="C8" s="42" t="n">
        <v>2</v>
      </c>
      <c r="D8" s="42" t="n">
        <v>8</v>
      </c>
      <c r="E8" s="42" t="n">
        <v>1.5</v>
      </c>
      <c r="F8" t="inlineStr">
        <is>
          <t>Live case, no confirmed plan found yet — the payment clock has not started</t>
        </is>
      </c>
    </row>
    <row r="9">
      <c r="A9" t="inlineStr">
        <is>
          <t>C</t>
        </is>
      </c>
      <c r="B9" s="41" t="n">
        <v>0.15</v>
      </c>
      <c r="C9" s="42" t="n">
        <v>3</v>
      </c>
      <c r="D9" s="42" t="n">
        <v>10</v>
      </c>
      <c r="E9" s="42" t="n">
        <v>2.5</v>
      </c>
      <c r="F9" t="inlineStr">
        <is>
          <t>Stale: &gt;4 years since filing with no plan, or no movement in 12 months, or case closed</t>
        </is>
      </c>
    </row>
    <row r="10">
      <c r="A10" t="inlineStr">
        <is>
          <t>D</t>
        </is>
      </c>
      <c r="B10" s="41" t="n">
        <v>0.03</v>
      </c>
      <c r="C10" s="42" t="n">
        <v>0</v>
      </c>
      <c r="D10" s="42" t="n">
        <v>0</v>
      </c>
      <c r="E10" s="42" t="n">
        <v>6</v>
      </c>
      <c r="F10" t="inlineStr">
        <is>
          <t>Avoid: falência decreed, or debtor no longer ATIVA at RFB — liquidation payout years away</t>
        </is>
      </c>
    </row>
    <row r="11">
      <c r="A11" t="inlineStr">
        <is>
          <t>U</t>
        </is>
      </c>
      <c r="B11" s="41" t="n">
        <v>0.25</v>
      </c>
      <c r="C11" s="42" t="n">
        <v>3</v>
      </c>
      <c r="D11" s="42" t="n">
        <v>8</v>
      </c>
      <c r="E11" s="42" t="n">
        <v>2.5</v>
      </c>
      <c r="F11" t="inlineStr">
        <is>
          <t>Unresolved: debtor or case not identified — conservative default</t>
        </is>
      </c>
    </row>
    <row r="13">
      <c r="A13" t="inlineStr">
        <is>
          <t>Fund price = face × recovery% ÷ (1+IRR)^(years to payment). Our quote = fund price × share. Our ágio = fund price − quote.</t>
        </is>
      </c>
    </row>
    <row r="14">
      <c r="A14" t="inlineStr">
        <is>
          <t>Years to payment — band A (plan confirmed): max(1, grace + term/2 − years already elapsed under the plan), where the plan is assumed confirmed 'plan lag' years after filing.</t>
        </is>
      </c>
    </row>
    <row r="15">
      <c r="A15" t="inlineStr">
        <is>
          <t>Years to payment — bands B, C, ?: plan lag (years from today until a plan is confirmed) + grace + term/2. Band D: plan lag = years until a liquidation payout.</t>
        </is>
      </c>
    </row>
    <row r="16">
      <c r="A16" t="inlineStr">
        <is>
          <t>So an old case with no confirmed plan prices LOWER than a fresh one, never higher. Recovery % is an assumption per band, not a term read from any plan.</t>
        </is>
      </c>
    </row>
    <row r="17">
      <c r="A17" t="inlineStr">
        <is>
          <t>Financial creditors (banks, FIDCs, co-ops) usually get worse class III terms than trade suppliers (longer terms, larger haircuts, no small-creditor preference); the same band recovery is an UPPER bound for them.</t>
        </is>
      </c>
    </row>
    <row r="18">
      <c r="A18" t="inlineStr">
        <is>
          <t>Everything on this tab is a MODEL. The face value, the page/row and the source document are court data; the quote is ours.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2026-09-04T16:58:31Z</dcterms:created>
  <dcterms:modified xsi:type="dcterms:W3CDTF">2026-09-04T16:58:35Z</dcterms:modified>
</cp:coreProperties>
</file>