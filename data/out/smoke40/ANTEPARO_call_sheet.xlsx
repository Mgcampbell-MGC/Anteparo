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umptions" sheetId="2" state="visible" r:id="rId2"/>
    <sheet name="Call List" sheetId="3" state="visible" r:id="rId3"/>
    <sheet name="Pooling (100-200k)" sheetId="4" state="visible" r:id="rId4"/>
    <sheet name="Needs CNPJ (name only)" sheetId="5" state="visible" r:id="rId5"/>
    <sheet name="Sources" sheetId="6" state="visible" r:id="rId6"/>
    <sheet name="Diff vs Drive sheet" sheetId="7" state="visible" r:id="rId7"/>
  </sheets>
  <definedNames>
    <definedName name="_xlnm._FilterDatabase" localSheetId="2" hidden="1">'Call List'!$A$1:$AT$55</definedName>
    <definedName name="_xlnm._FilterDatabase" localSheetId="3" hidden="1">'Pooling (100-200k)'!$A$1:$AT$18</definedName>
    <definedName name="_xlnm._FilterDatabase" localSheetId="4" hidden="1">'Needs CNPJ (name only)'!$A$1:$I$46</definedName>
    <definedName name="_xlnm._FilterDatabase" localSheetId="5" hidden="1">'Sources'!$A$1:$L$41</definedName>
    <definedName name="_xlnm._FilterDatabase" localSheetId="6" hidden="1">'Diff vs Drive sheet'!$A$1:$I$125</definedName>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7">
    <font>
      <name val="Calibri"/>
      <family val="2"/>
      <color theme="1"/>
      <sz val="11"/>
      <scheme val="minor"/>
    </font>
    <font>
      <b val="1"/>
      <sz val="12"/>
    </font>
    <font>
      <sz val="11"/>
    </font>
    <font>
      <b val="1"/>
      <color rgb="00FFFFFF"/>
    </font>
    <font>
      <i val="1"/>
    </font>
    <font>
      <color rgb="000563C1"/>
      <u val="single"/>
    </font>
    <font>
      <b val="1"/>
    </font>
  </fonts>
  <fills count="8">
    <fill>
      <patternFill/>
    </fill>
    <fill>
      <patternFill patternType="gray125"/>
    </fill>
    <fill>
      <patternFill patternType="solid">
        <fgColor rgb="001F3A5F"/>
      </patternFill>
    </fill>
    <fill>
      <patternFill patternType="solid">
        <fgColor rgb="00FFF2CC"/>
      </patternFill>
    </fill>
    <fill>
      <patternFill patternType="solid">
        <fgColor rgb="00FFF4D6"/>
      </patternFill>
    </fill>
    <fill>
      <patternFill patternType="solid">
        <fgColor rgb="00E6EEF8"/>
      </patternFill>
    </fill>
    <fill>
      <patternFill patternType="solid">
        <fgColor rgb="00E8F1E8"/>
      </patternFill>
    </fill>
    <fill>
      <patternFill patternType="solid">
        <fgColor rgb="00FCE4D6"/>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9" fontId="0" fillId="3" borderId="0" pivotButton="0" quotePrefix="0" xfId="0"/>
    <xf numFmtId="0" fontId="3" fillId="2" borderId="0" pivotButton="0" quotePrefix="0" xfId="0"/>
    <xf numFmtId="0" fontId="0" fillId="3" borderId="0" pivotButton="0" quotePrefix="0" xfId="0"/>
    <xf numFmtId="0" fontId="4" fillId="0" borderId="0" pivotButton="0" quotePrefix="0" xfId="0"/>
    <xf numFmtId="0" fontId="3" fillId="2" borderId="0" applyAlignment="1" pivotButton="0" quotePrefix="0" xfId="0">
      <alignment vertical="center" wrapText="1"/>
    </xf>
    <xf numFmtId="0" fontId="0" fillId="4" borderId="0" pivotButton="0" quotePrefix="0" xfId="0"/>
    <xf numFmtId="4" fontId="0" fillId="0" borderId="0" pivotButton="0" quotePrefix="0" xfId="0"/>
    <xf numFmtId="0" fontId="0" fillId="5" borderId="0" pivotButton="0" quotePrefix="0" xfId="0"/>
    <xf numFmtId="165" fontId="0" fillId="5" borderId="0" pivotButton="0" quotePrefix="0" xfId="0"/>
    <xf numFmtId="9" fontId="0" fillId="5" borderId="0" pivotButton="0" quotePrefix="0" xfId="0"/>
    <xf numFmtId="164" fontId="0" fillId="5" borderId="0" pivotButton="0" quotePrefix="0" xfId="0"/>
    <xf numFmtId="3" fontId="0" fillId="5" borderId="0" pivotButton="0" quotePrefix="0" xfId="0"/>
    <xf numFmtId="3" fontId="6" fillId="5" borderId="0" pivotButton="0" quotePrefix="0" xfId="0"/>
    <xf numFmtId="0" fontId="5" fillId="6" borderId="0" pivotButton="0" quotePrefix="0" xfId="0"/>
    <xf numFmtId="0" fontId="0" fillId="6" borderId="0" pivotButton="0" quotePrefix="0" xfId="0"/>
    <xf numFmtId="0" fontId="5" fillId="0" borderId="0" pivotButton="0" quotePrefix="0" xfId="0"/>
    <xf numFmtId="0" fontId="0" fillId="7" borderId="0" pivotButton="0" quotePrefix="0" xfId="0"/>
    <xf numFmtId="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assistjud.com.br/wp-content/uploads/elementor/forms/65098c80a5824.pdf" TargetMode="External" Id="rId1" /><Relationship Type="http://schemas.openxmlformats.org/officeDocument/2006/relationships/hyperlink" Target="https://assistjud.com.br/wp-content/uploads/elementor/forms/65098c80a5824.pdf" TargetMode="External" Id="rId2" /><Relationship Type="http://schemas.openxmlformats.org/officeDocument/2006/relationships/hyperlink" Target="http://bernardobicalho.com.br/login/app/documents/Rela%C3%A7%C3%A3o%20de%20Credores/6.%20RVC-%20Nutricium%20-%20simplificada.pdf" TargetMode="External" Id="rId3" /><Relationship Type="http://schemas.openxmlformats.org/officeDocument/2006/relationships/hyperlink" Target="https://diligence.adm.br/wp-content/uploads/2025/06/Edital-1a-Lista-de-Credores.pdf" TargetMode="External" Id="rId4" /><Relationship Type="http://schemas.openxmlformats.org/officeDocument/2006/relationships/hyperlink" Target="https://lrflideres.com.br/wp-content/plugins/download-attachments/includes/download.php?id=6879" TargetMode="External" Id="rId5" /><Relationship Type="http://schemas.openxmlformats.org/officeDocument/2006/relationships/hyperlink" Target="https://lrflideres.com.br/wp-content/plugins/download-attachments/includes/download.php?id=6879" TargetMode="External" Id="rId6" /><Relationship Type="http://schemas.openxmlformats.org/officeDocument/2006/relationships/hyperlink" Target="https://lrflideres.com.br/wp-content/plugins/download-attachments/includes/download.php?id=6879" TargetMode="External" Id="rId7" /><Relationship Type="http://schemas.openxmlformats.org/officeDocument/2006/relationships/hyperlink" Target="https://lrflideres.com.br/wp-content/plugins/download-attachments/includes/download.php?id=6879" TargetMode="External" Id="rId8" /><Relationship Type="http://schemas.openxmlformats.org/officeDocument/2006/relationships/hyperlink" Target="https://lrflideres.com.br/wp-content/plugins/download-attachments/includes/download.php?id=6879" TargetMode="External" Id="rId9" /><Relationship Type="http://schemas.openxmlformats.org/officeDocument/2006/relationships/hyperlink" Target="https://assistjud.com.br/wp-content/uploads/elementor/forms/65098c80a5824.pdf" TargetMode="External" Id="rId10" /><Relationship Type="http://schemas.openxmlformats.org/officeDocument/2006/relationships/hyperlink" Target="https://lrflideres.com.br/wp-content/plugins/download-attachments/includes/download.php?id=5828" TargetMode="External" Id="rId11" /><Relationship Type="http://schemas.openxmlformats.org/officeDocument/2006/relationships/hyperlink" Target="https://lrflideres.com.br/wp-content/plugins/download-attachments/includes/download.php?id=6879" TargetMode="External" Id="rId12" /><Relationship Type="http://schemas.openxmlformats.org/officeDocument/2006/relationships/hyperlink" Target="https://lrflideres.com.br/wp-content/plugins/download-attachments/includes/download.php?id=6879" TargetMode="External" Id="rId13" /><Relationship Type="http://schemas.openxmlformats.org/officeDocument/2006/relationships/hyperlink" Target="https://assistjud.com.br/wp-content/uploads/elementor/forms/65098c80a5824.pdf" TargetMode="External" Id="rId14" /><Relationship Type="http://schemas.openxmlformats.org/officeDocument/2006/relationships/hyperlink" Target="https://assistjud.com.br/wp-content/uploads/elementor/forms/65098c80a5824.pdf" TargetMode="External" Id="rId15" /><Relationship Type="http://schemas.openxmlformats.org/officeDocument/2006/relationships/hyperlink" Target="https://lrflideres.com.br/wp-content/plugins/download-attachments/includes/download.php?id=6879" TargetMode="External" Id="rId16" /><Relationship Type="http://schemas.openxmlformats.org/officeDocument/2006/relationships/hyperlink" Target="https://lrflideres.com.br/wp-content/plugins/download-attachments/includes/download.php?id=6879" TargetMode="External" Id="rId17" /><Relationship Type="http://schemas.openxmlformats.org/officeDocument/2006/relationships/hyperlink" Target="https://assistjud.com.br/wp-content/uploads/elementor/forms/65098c80a5824.pdf" TargetMode="External" Id="rId18" /><Relationship Type="http://schemas.openxmlformats.org/officeDocument/2006/relationships/hyperlink" Target="https://lrflideres.com.br/wp-content/plugins/download-attachments/includes/download.php?id=6879" TargetMode="External" Id="rId19" /><Relationship Type="http://schemas.openxmlformats.org/officeDocument/2006/relationships/hyperlink" Target="https://assistjud.com.br/wp-content/uploads/elementor/forms/65098c80a5824.pdf" TargetMode="External" Id="rId20" /><Relationship Type="http://schemas.openxmlformats.org/officeDocument/2006/relationships/hyperlink" Target="https://assistjud.com.br/wp-content/uploads/elementor/forms/65098c80a5824.pdf" TargetMode="External" Id="rId21" /><Relationship Type="http://schemas.openxmlformats.org/officeDocument/2006/relationships/hyperlink" Target="https://assistjud.com.br/wp-content/uploads/elementor/forms/65098c80a5824.pdf" TargetMode="External" Id="rId22" /><Relationship Type="http://schemas.openxmlformats.org/officeDocument/2006/relationships/hyperlink" Target="https://lrflideres.com.br/wp-content/plugins/download-attachments/includes/download.php?id=6879" TargetMode="External" Id="rId23" /><Relationship Type="http://schemas.openxmlformats.org/officeDocument/2006/relationships/hyperlink" Target="https://assistjud.com.br/wp-content/uploads/elementor/forms/65098c80a5824.pdf" TargetMode="External" Id="rId24" /><Relationship Type="http://schemas.openxmlformats.org/officeDocument/2006/relationships/hyperlink" Target="https://diligence.adm.br/wp-content/uploads/2025/06/Edital-1a-Lista-de-Credores.pdf" TargetMode="External" Id="rId25" /><Relationship Type="http://schemas.openxmlformats.org/officeDocument/2006/relationships/hyperlink" Target="https://diligence.adm.br/wp-content/uploads/2025/06/Edital-1a-Lista-de-Credores.pdf" TargetMode="External" Id="rId26" /><Relationship Type="http://schemas.openxmlformats.org/officeDocument/2006/relationships/hyperlink" Target="https://lrflideres.com.br/wp-content/plugins/download-attachments/includes/download.php?id=6879" TargetMode="External" Id="rId27" /><Relationship Type="http://schemas.openxmlformats.org/officeDocument/2006/relationships/hyperlink" Target="https://assistjud.com.br/wp-content/uploads/elementor/forms/65098c80a5824.pdf" TargetMode="External" Id="rId28" /><Relationship Type="http://schemas.openxmlformats.org/officeDocument/2006/relationships/hyperlink" Target="https://assistjud.com.br/wp-content/uploads/elementor/forms/65098c80a5824.pdf" TargetMode="External" Id="rId29" /><Relationship Type="http://schemas.openxmlformats.org/officeDocument/2006/relationships/hyperlink" Target="https://assistjud.com.br/wp-content/uploads/elementor/forms/65098c80a5824.pdf" TargetMode="External" Id="rId30" /><Relationship Type="http://schemas.openxmlformats.org/officeDocument/2006/relationships/hyperlink" Target="https://lrflideres.com.br/wp-content/uploads/2022/08/4.-EDITAL-2a-LISTA-DE-CREDORES.pdf" TargetMode="External" Id="rId31" /><Relationship Type="http://schemas.openxmlformats.org/officeDocument/2006/relationships/hyperlink" Target="https://lrflideres.com.br/wp-content/uploads/2022/08/4.-EDITAL-2a-LISTA-DE-CREDORES.pdf" TargetMode="External" Id="rId32" /><Relationship Type="http://schemas.openxmlformats.org/officeDocument/2006/relationships/hyperlink" Target="https://assistjud.com.br/wp-content/uploads/elementor/forms/65098c80a5824.pdf" TargetMode="External" Id="rId33" /><Relationship Type="http://schemas.openxmlformats.org/officeDocument/2006/relationships/hyperlink" Target="http://bernardobicalho.com.br/login/app/documents/Rela%C3%A7%C3%A3o%20de%20Credores/6.%20RVC-%20Nutricium%20-%20simplificada.pdf" TargetMode="External" Id="rId34" /><Relationship Type="http://schemas.openxmlformats.org/officeDocument/2006/relationships/hyperlink" Target="https://assistjud.com.br/wp-content/uploads/elementor/forms/65098c80a5824.pdf" TargetMode="External" Id="rId35" /><Relationship Type="http://schemas.openxmlformats.org/officeDocument/2006/relationships/hyperlink" Target="https://lrflideres.com.br/wp-content/plugins/download-attachments/includes/download.php?id=6879" TargetMode="External" Id="rId36" /><Relationship Type="http://schemas.openxmlformats.org/officeDocument/2006/relationships/hyperlink" Target="https://lrflideres.com.br/wp-content/plugins/download-attachments/includes/download.php?id=5001" TargetMode="External" Id="rId37" /><Relationship Type="http://schemas.openxmlformats.org/officeDocument/2006/relationships/hyperlink" Target="https://lrflideres.com.br/wp-content/plugins/download-attachments/includes/download.php?id=6879" TargetMode="External" Id="rId38" /><Relationship Type="http://schemas.openxmlformats.org/officeDocument/2006/relationships/hyperlink" Target="https://diligence.adm.br/wp-content/uploads/2025/06/Edital-1a-Lista-de-Credores.pdf" TargetMode="External" Id="rId39" /><Relationship Type="http://schemas.openxmlformats.org/officeDocument/2006/relationships/hyperlink" Target="https://lrflideres.com.br/wp-content/plugins/download-attachments/includes/download.php?id=5001" TargetMode="External" Id="rId40" /><Relationship Type="http://schemas.openxmlformats.org/officeDocument/2006/relationships/hyperlink" Target="https://lrflideres.com.br/wp-content/plugins/download-attachments/includes/download.php?id=5001" TargetMode="External" Id="rId41" /><Relationship Type="http://schemas.openxmlformats.org/officeDocument/2006/relationships/hyperlink" Target="https://assistjud.com.br/wp-content/uploads/elementor/forms/65098c80a5824.pdf" TargetMode="External" Id="rId42" /><Relationship Type="http://schemas.openxmlformats.org/officeDocument/2006/relationships/hyperlink" Target="https://assistjud.com.br/wp-content/uploads/elementor/forms/65098c80a5824.pdf" TargetMode="External" Id="rId43" /><Relationship Type="http://schemas.openxmlformats.org/officeDocument/2006/relationships/hyperlink" Target="https://diligence.adm.br/wp-content/uploads/2025/06/Edital-1a-Lista-de-Credores.pdf" TargetMode="External" Id="rId44" /><Relationship Type="http://schemas.openxmlformats.org/officeDocument/2006/relationships/hyperlink" Target="https://lrflideres.com.br/wp-content/plugins/download-attachments/includes/download.php?id=5001" TargetMode="External" Id="rId45" /><Relationship Type="http://schemas.openxmlformats.org/officeDocument/2006/relationships/hyperlink" Target="https://cdn.dol.com.br/img/attachmentinline/940000/6publicacao-2-edital-art-7-parag-2-da-lei-11101-20009467060.pdf?xid=3272528" TargetMode="External" Id="rId46" /><Relationship Type="http://schemas.openxmlformats.org/officeDocument/2006/relationships/hyperlink" Target="https://lrflideres.com.br/wp-content/plugins/download-attachments/includes/download.php?id=5001" TargetMode="External" Id="rId47" /><Relationship Type="http://schemas.openxmlformats.org/officeDocument/2006/relationships/hyperlink" Target="https://diligence.adm.br/wp-content/uploads/2025/06/Edital-1a-Lista-de-Credores.pdf" TargetMode="External" Id="rId48" /><Relationship Type="http://schemas.openxmlformats.org/officeDocument/2006/relationships/hyperlink" Target="https://lrflideres.com.br/wp-content/plugins/download-attachments/includes/download.php?id=6879" TargetMode="External" Id="rId49" /><Relationship Type="http://schemas.openxmlformats.org/officeDocument/2006/relationships/hyperlink" Target="https://lrflideres.com.br/wp-content/plugins/download-attachments/includes/download.php?id=5828" TargetMode="External" Id="rId50" /><Relationship Type="http://schemas.openxmlformats.org/officeDocument/2006/relationships/hyperlink" Target="https://administradorajudicialgs.com.br/wp-content/uploads/2023/08/edital-quadro-geral-de-credores.pdf" TargetMode="External" Id="rId51" /><Relationship Type="http://schemas.openxmlformats.org/officeDocument/2006/relationships/hyperlink" Target="http://bernardobicalho.com.br/login/app/documents/Rela%C3%A7%C3%A3o%20de%20Credores/6.%20RVC-%20Nutricium%20-%20simplificada.pdf" TargetMode="External" Id="rId52" /><Relationship Type="http://schemas.openxmlformats.org/officeDocument/2006/relationships/hyperlink" Target="https://assistjud.com.br/wp-content/uploads/elementor/forms/65098c80a5824.pdf" TargetMode="External" Id="rId53" /><Relationship Type="http://schemas.openxmlformats.org/officeDocument/2006/relationships/hyperlink" Target="https://lrflideres.com.br/wp-content/plugins/download-attachments/includes/download.php?id=5001" TargetMode="External" Id="rId54" /></Relationships>
</file>

<file path=xl/worksheets/_rels/sheet4.xml.rels><Relationships xmlns="http://schemas.openxmlformats.org/package/2006/relationships"><Relationship Type="http://schemas.openxmlformats.org/officeDocument/2006/relationships/hyperlink" Target="https://cdn.dol.com.br/img/attachmentinline/940000/6publicacao-2-edital-art-7-parag-2-da-lei-11101-20009467060.pdf?xid=3272528" TargetMode="External" Id="rId1" /><Relationship Type="http://schemas.openxmlformats.org/officeDocument/2006/relationships/hyperlink" Target="https://assistjud.com.br/wp-content/uploads/elementor/forms/65098c80a5824.pdf" TargetMode="External" Id="rId2" /><Relationship Type="http://schemas.openxmlformats.org/officeDocument/2006/relationships/hyperlink" Target="https://lrflideres.com.br/wp-content/plugins/download-attachments/includes/download.php?id=6879" TargetMode="External" Id="rId3" /><Relationship Type="http://schemas.openxmlformats.org/officeDocument/2006/relationships/hyperlink" Target="https://lrflideres.com.br/wp-content/plugins/download-attachments/includes/download.php?id=5001" TargetMode="External" Id="rId4" /><Relationship Type="http://schemas.openxmlformats.org/officeDocument/2006/relationships/hyperlink" Target="https://cdn.dol.com.br/img/attachmentinline/940000/6publicacao-2-edital-art-7-parag-2-da-lei-11101-20009467060.pdf?xid=3272528" TargetMode="External" Id="rId5" /><Relationship Type="http://schemas.openxmlformats.org/officeDocument/2006/relationships/hyperlink" Target="https://lrflideres.com.br/wp-content/uploads/2022/08/4.-EDITAL-2a-LISTA-DE-CREDORES.pdf" TargetMode="External" Id="rId6" /><Relationship Type="http://schemas.openxmlformats.org/officeDocument/2006/relationships/hyperlink" Target="http://bernardobicalho.com.br/login/app/documents/Rela%C3%A7%C3%A3o%20de%20Credores/6.%20RVC-%20Nutricium%20-%20simplificada.pdf" TargetMode="External" Id="rId7" /><Relationship Type="http://schemas.openxmlformats.org/officeDocument/2006/relationships/hyperlink" Target="https://lrflideres.com.br/wp-content/plugins/download-attachments/includes/download.php?id=5001" TargetMode="External" Id="rId8" /><Relationship Type="http://schemas.openxmlformats.org/officeDocument/2006/relationships/hyperlink" Target="https://administradorajudicialgs.com.br/wp-content/uploads/2023/08/edital-quadro-geral-de-credores.pdf" TargetMode="External" Id="rId9" /><Relationship Type="http://schemas.openxmlformats.org/officeDocument/2006/relationships/hyperlink" Target="https://assistjud.com.br/wp-content/uploads/elementor/forms/65098c80a5824.pdf" TargetMode="External" Id="rId10" /><Relationship Type="http://schemas.openxmlformats.org/officeDocument/2006/relationships/hyperlink" Target="https://lrflideres.com.br/wp-content/uploads/2022/08/4.-EDITAL-2a-LISTA-DE-CREDORES.pdf" TargetMode="External" Id="rId11" /><Relationship Type="http://schemas.openxmlformats.org/officeDocument/2006/relationships/hyperlink" Target="http://bernardobicalho.com.br/login/app/documents/Rela%C3%A7%C3%A3o%20de%20Credores/6.%20RVC-%20Nutricium%20-%20simplificada.pdf" TargetMode="External" Id="rId12" /><Relationship Type="http://schemas.openxmlformats.org/officeDocument/2006/relationships/hyperlink" Target="https://lrflideres.com.br/wp-content/uploads/2022/08/4.-EDITAL-2a-LISTA-DE-CREDORES.pdf" TargetMode="External" Id="rId13" /><Relationship Type="http://schemas.openxmlformats.org/officeDocument/2006/relationships/hyperlink" Target="https://lrflideres.com.br/wp-content/uploads/2022/08/4.-EDITAL-2a-LISTA-DE-CREDORES.pdf" TargetMode="External" Id="rId14" /><Relationship Type="http://schemas.openxmlformats.org/officeDocument/2006/relationships/hyperlink" Target="https://diligence.adm.br/wp-content/uploads/2025/06/Edital-1a-Lista-de-Credores.pdf" TargetMode="External" Id="rId15" /><Relationship Type="http://schemas.openxmlformats.org/officeDocument/2006/relationships/hyperlink" Target="https://lrflideres.com.br/wp-content/plugins/download-attachments/includes/download.php?id=6879" TargetMode="External" Id="rId16" /><Relationship Type="http://schemas.openxmlformats.org/officeDocument/2006/relationships/hyperlink" Target="https://lrflideres.com.br/wp-content/uploads/2022/08/4.-EDITAL-2a-LISTA-DE-CREDORES.pdf" TargetMode="External" Id="rId17" /></Relationships>
</file>

<file path=xl/worksheets/_rels/sheet5.xml.rels><Relationships xmlns="http://schemas.openxmlformats.org/package/2006/relationships"><Relationship Type="http://schemas.openxmlformats.org/officeDocument/2006/relationships/hyperlink" Target="https://lrflideres.com.br/wp-content/plugins/download-attachments/includes/download.php?id=3469" TargetMode="External" Id="rId1" /><Relationship Type="http://schemas.openxmlformats.org/officeDocument/2006/relationships/hyperlink" Target="https://lrflideres.com.br/wp-content/plugins/download-attachments/includes/download.php?id=3469" TargetMode="External" Id="rId2" /><Relationship Type="http://schemas.openxmlformats.org/officeDocument/2006/relationships/hyperlink" Target="https://lrflideres.com.br/wp-content/plugins/download-attachments/includes/download.php?id=3469" TargetMode="External" Id="rId3" /><Relationship Type="http://schemas.openxmlformats.org/officeDocument/2006/relationships/hyperlink" Target="https://lrflideres.com.br/wp-content/plugins/download-attachments/includes/download.php?id=3469" TargetMode="External" Id="rId4" /><Relationship Type="http://schemas.openxmlformats.org/officeDocument/2006/relationships/hyperlink" Target="https://lrflideres.com.br/wp-content/plugins/download-attachments/includes/download.php?id=3469" TargetMode="External" Id="rId5" /><Relationship Type="http://schemas.openxmlformats.org/officeDocument/2006/relationships/hyperlink" Target="https://lrflideres.com.br/wp-content/plugins/download-attachments/includes/download.php?id=3469" TargetMode="External" Id="rId6" /><Relationship Type="http://schemas.openxmlformats.org/officeDocument/2006/relationships/hyperlink" Target="https://lrflideres.com.br/wp-content/plugins/download-attachments/includes/download.php?id=3469" TargetMode="External" Id="rId7" /><Relationship Type="http://schemas.openxmlformats.org/officeDocument/2006/relationships/hyperlink" Target="https://lrflideres.com.br/wp-content/plugins/download-attachments/includes/download.php?id=3469" TargetMode="External" Id="rId8" /><Relationship Type="http://schemas.openxmlformats.org/officeDocument/2006/relationships/hyperlink" Target="https://lrflideres.com.br/wp-content/plugins/download-attachments/includes/download.php?id=3469" TargetMode="External" Id="rId9" /><Relationship Type="http://schemas.openxmlformats.org/officeDocument/2006/relationships/hyperlink" Target="https://lrflideres.com.br/wp-content/plugins/download-attachments/includes/download.php?id=3469" TargetMode="External" Id="rId10" /><Relationship Type="http://schemas.openxmlformats.org/officeDocument/2006/relationships/hyperlink" Target="https://lrflideres.com.br/wp-content/plugins/download-attachments/includes/download.php?id=3469" TargetMode="External" Id="rId11" /><Relationship Type="http://schemas.openxmlformats.org/officeDocument/2006/relationships/hyperlink" Target="https://lrflideres.com.br/wp-content/plugins/download-attachments/includes/download.php?id=3469" TargetMode="External" Id="rId12" /><Relationship Type="http://schemas.openxmlformats.org/officeDocument/2006/relationships/hyperlink" Target="https://lrflideres.com.br/wp-content/plugins/download-attachments/includes/download.php?id=3469" TargetMode="External" Id="rId13" /><Relationship Type="http://schemas.openxmlformats.org/officeDocument/2006/relationships/hyperlink" Target="https://lrflideres.com.br/wp-content/plugins/download-attachments/includes/download.php?id=3469" TargetMode="External" Id="rId14" /><Relationship Type="http://schemas.openxmlformats.org/officeDocument/2006/relationships/hyperlink" Target="https://lrflideres.com.br/wp-content/plugins/download-attachments/includes/download.php?id=3469" TargetMode="External" Id="rId15" /><Relationship Type="http://schemas.openxmlformats.org/officeDocument/2006/relationships/hyperlink" Target="https://lrflideres.com.br/wp-content/plugins/download-attachments/includes/download.php?id=3469" TargetMode="External" Id="rId16" /><Relationship Type="http://schemas.openxmlformats.org/officeDocument/2006/relationships/hyperlink" Target="https://lrflideres.com.br/wp-content/plugins/download-attachments/includes/download.php?id=3469" TargetMode="External" Id="rId17" /><Relationship Type="http://schemas.openxmlformats.org/officeDocument/2006/relationships/hyperlink" Target="https://lrflideres.com.br/wp-content/plugins/download-attachments/includes/download.php?id=3469" TargetMode="External" Id="rId18" /><Relationship Type="http://schemas.openxmlformats.org/officeDocument/2006/relationships/hyperlink" Target="https://lrflideres.com.br/wp-content/plugins/download-attachments/includes/download.php?id=3469" TargetMode="External" Id="rId19" /><Relationship Type="http://schemas.openxmlformats.org/officeDocument/2006/relationships/hyperlink" Target="https://lrflideres.com.br/wp-content/plugins/download-attachments/includes/download.php?id=3469" TargetMode="External" Id="rId20" /><Relationship Type="http://schemas.openxmlformats.org/officeDocument/2006/relationships/hyperlink" Target="https://3fmodas.madgav.com.br/wp-content/uploads/2025/05/Quadro-Geral-de-Credores.pdf" TargetMode="External" Id="rId21" /><Relationship Type="http://schemas.openxmlformats.org/officeDocument/2006/relationships/hyperlink" Target="https://3fmodas.madgav.com.br/wp-content/uploads/2025/05/Quadro-Geral-de-Credores.pdf" TargetMode="External" Id="rId22" /><Relationship Type="http://schemas.openxmlformats.org/officeDocument/2006/relationships/hyperlink" Target="https://3fmodas.madgav.com.br/wp-content/uploads/2025/05/Quadro-Geral-de-Credores.pdf" TargetMode="External" Id="rId23" /><Relationship Type="http://schemas.openxmlformats.org/officeDocument/2006/relationships/hyperlink" Target="https://3fmodas.madgav.com.br/wp-content/uploads/2025/05/Quadro-Geral-de-Credores.pdf" TargetMode="External" Id="rId24" /><Relationship Type="http://schemas.openxmlformats.org/officeDocument/2006/relationships/hyperlink" Target="https://3fmodas.madgav.com.br/wp-content/uploads/2025/05/Quadro-Geral-de-Credores.pdf" TargetMode="External" Id="rId25" /><Relationship Type="http://schemas.openxmlformats.org/officeDocument/2006/relationships/hyperlink" Target="https://3fmodas.madgav.com.br/wp-content/uploads/2025/05/Quadro-Geral-de-Credores.pdf" TargetMode="External" Id="rId26" /><Relationship Type="http://schemas.openxmlformats.org/officeDocument/2006/relationships/hyperlink" Target="https://inova-aj.com.br/wp-content/uploads/2021/08/Reciclyn-Quadro-Geral-de-Credores.xlsx.pdf" TargetMode="External" Id="rId27" /><Relationship Type="http://schemas.openxmlformats.org/officeDocument/2006/relationships/hyperlink" Target="https://inova-aj.com.br/wp-content/uploads/2021/08/Reciclyn-Quadro-Geral-de-Credores.xlsx.pdf" TargetMode="External" Id="rId28" /><Relationship Type="http://schemas.openxmlformats.org/officeDocument/2006/relationships/hyperlink" Target="https://inova-aj.com.br/wp-content/uploads/2021/08/Reciclyn-Quadro-Geral-de-Credores.xlsx.pdf" TargetMode="External" Id="rId29" /><Relationship Type="http://schemas.openxmlformats.org/officeDocument/2006/relationships/hyperlink" Target="https://inova-aj.com.br/wp-content/uploads/2021/08/Reciclyn-Quadro-Geral-de-Credores.xlsx.pdf" TargetMode="External" Id="rId30" /><Relationship Type="http://schemas.openxmlformats.org/officeDocument/2006/relationships/hyperlink" Target="https://inova-aj.com.br/wp-content/uploads/2021/08/Reciclyn-Quadro-Geral-de-Credores.xlsx.pdf" TargetMode="External" Id="rId31" /><Relationship Type="http://schemas.openxmlformats.org/officeDocument/2006/relationships/hyperlink" Target="https://inova-aj.com.br/wp-content/uploads/2021/08/Reciclyn-Quadro-Geral-de-Credores.xlsx.pdf" TargetMode="External" Id="rId32" /><Relationship Type="http://schemas.openxmlformats.org/officeDocument/2006/relationships/hyperlink" Target="https://inova-aj.com.br/wp-content/uploads/2021/08/Reciclyn-Quadro-Geral-de-Credores.xlsx.pdf" TargetMode="External" Id="rId33" /><Relationship Type="http://schemas.openxmlformats.org/officeDocument/2006/relationships/hyperlink" Target="https://inova-aj.com.br/wp-content/uploads/2021/08/Reciclyn-Quadro-Geral-de-Credores.xlsx.pdf" TargetMode="External" Id="rId34" /><Relationship Type="http://schemas.openxmlformats.org/officeDocument/2006/relationships/hyperlink" Target="https://inova-aj.com.br/wp-content/uploads/2021/08/Reciclyn-Quadro-Geral-de-Credores.xlsx.pdf" TargetMode="External" Id="rId35" /><Relationship Type="http://schemas.openxmlformats.org/officeDocument/2006/relationships/hyperlink" Target="https://inova-aj.com.br/wp-content/uploads/2021/08/Reciclyn-Quadro-Geral-de-Credores.xlsx.pdf" TargetMode="External" Id="rId36" /><Relationship Type="http://schemas.openxmlformats.org/officeDocument/2006/relationships/hyperlink" Target="https://inova-aj.com.br/wp-content/uploads/2021/08/Reciclyn-Quadro-Geral-de-Credores.xlsx.pdf" TargetMode="External" Id="rId37" /><Relationship Type="http://schemas.openxmlformats.org/officeDocument/2006/relationships/hyperlink" Target="https://inova-aj.com.br/wp-content/uploads/2021/08/Reciclyn-Quadro-Geral-de-Credores.xlsx.pdf" TargetMode="External" Id="rId38" /><Relationship Type="http://schemas.openxmlformats.org/officeDocument/2006/relationships/hyperlink" Target="https://lrflideres.com.br/wp-content/uploads/2021/09/LISTA-DE-CREDORES-FALENCIA.pdf" TargetMode="External" Id="rId39" /><Relationship Type="http://schemas.openxmlformats.org/officeDocument/2006/relationships/hyperlink" Target="https://lrflideres.com.br/wp-content/uploads/2021/09/LISTA-DE-CREDORES-FALENCIA.pdf" TargetMode="External" Id="rId40" /><Relationship Type="http://schemas.openxmlformats.org/officeDocument/2006/relationships/hyperlink" Target="https://lrflideres.com.br/wp-content/uploads/2021/09/LISTA-DE-CREDORES-FALENCIA.pdf" TargetMode="External" Id="rId41" /><Relationship Type="http://schemas.openxmlformats.org/officeDocument/2006/relationships/hyperlink" Target="https://lrflideres.com.br/wp-content/uploads/2021/09/LISTA-DE-CREDORES-FALENCIA.pdf" TargetMode="External" Id="rId42" /><Relationship Type="http://schemas.openxmlformats.org/officeDocument/2006/relationships/hyperlink" Target="https://lrflideres.com.br/wp-content/uploads/2021/09/LISTA-DE-CREDORES-FALENCIA.pdf" TargetMode="External" Id="rId43" /><Relationship Type="http://schemas.openxmlformats.org/officeDocument/2006/relationships/hyperlink" Target="https://lrflideres.com.br/wp-content/uploads/2021/09/LISTA-DE-CREDORES-FALENCIA.pdf" TargetMode="External" Id="rId44" /><Relationship Type="http://schemas.openxmlformats.org/officeDocument/2006/relationships/hyperlink" Target="https://lrflideres.com.br/wp-content/uploads/2021/09/LISTA-DE-CREDORES-FALENCIA.pdf" TargetMode="External" Id="rId45" /></Relationships>
</file>

<file path=xl/worksheets/_rels/sheet6.xml.rels><Relationships xmlns="http://schemas.openxmlformats.org/package/2006/relationships"><Relationship Type="http://schemas.openxmlformats.org/officeDocument/2006/relationships/hyperlink" Target="https://credibilita.com.br/wp-content/uploads/2023/08/0046Sentencarecup.judicial.pdf" TargetMode="External" Id="rId1" /><Relationship Type="http://schemas.openxmlformats.org/officeDocument/2006/relationships/hyperlink" Target="https://lrflideres.com.br/wp-content/uploads/2021/12/10.-EDITAL-PUBLICACAO-2a-RELACAO-DE-CREDORES-MASSA-FALIDA-.pdf" TargetMode="External" Id="rId2" /><Relationship Type="http://schemas.openxmlformats.org/officeDocument/2006/relationships/hyperlink" Target="https://recuperacaojudicial.servi-san.com.br/assets/Documentos/Processuais/PROC-10.pdf" TargetMode="External" Id="rId3" /><Relationship Type="http://schemas.openxmlformats.org/officeDocument/2006/relationships/hyperlink" Target="https://brasiltrustee.com.br/wp-content/uploads/falencias/gran/Gran-Industria-Certidao-de-publicacao-do-edital-de-encerramento-da-falencia.pdf" TargetMode="External" Id="rId4" /><Relationship Type="http://schemas.openxmlformats.org/officeDocument/2006/relationships/hyperlink" Target="https://gatekeeperaj.com.br/wp-content/uploads/2025/03/BULLGUER-EDITAL-DE-CONVOCACAO-DE-CREDORES-PARA-APRESENTACAO-DE-DADOSBANCARIOS-DIRETAMENTE-AS-RECUPERANDAS.pdf" TargetMode="External" Id="rId5" /><Relationship Type="http://schemas.openxmlformats.org/officeDocument/2006/relationships/hyperlink" Target="https://diligence.adm.br/wp-content/plugins/download-attachments/includes/download.php?id=4294" TargetMode="External" Id="rId6" /><Relationship Type="http://schemas.openxmlformats.org/officeDocument/2006/relationships/hyperlink" Target="http://bernardobicalho.com.br/login/app/documents/Rela%C3%A7%C3%A3o%20de%20Credores/6.%20RVC-%20Nutricium%20-%20simplificada.pdf" TargetMode="External" Id="rId7" /><Relationship Type="http://schemas.openxmlformats.org/officeDocument/2006/relationships/hyperlink" Target="https://lrflideres.com.br/wp-content/plugins/download-attachments/includes/download.php?id=5828" TargetMode="External" Id="rId8" /><Relationship Type="http://schemas.openxmlformats.org/officeDocument/2006/relationships/hyperlink" Target="https://lrflideres.com.br/wp-content/plugins/download-attachments/includes/download.php?id=6879" TargetMode="External" Id="rId9" /><Relationship Type="http://schemas.openxmlformats.org/officeDocument/2006/relationships/hyperlink" Target="https://lrflideres.com.br/wp-content/uploads/2022/08/4.-EDITAL-2a-LISTA-DE-CREDORES.pdf" TargetMode="External" Id="rId10" /><Relationship Type="http://schemas.openxmlformats.org/officeDocument/2006/relationships/hyperlink" Target="https://lrflideres.com.br/wp-content/uploads/2023/01/4.-EDITAL-2a-LISTA-DE-CREDORES-1.pdf" TargetMode="External" Id="rId11" /><Relationship Type="http://schemas.openxmlformats.org/officeDocument/2006/relationships/hyperlink" Target="https://lrflideres.com.br/wp-content/uploads/2023/12/3.1-PROTOCOLO-DA-2a-LISTA-DE-CREDORES.pdf" TargetMode="External" Id="rId12" /><Relationship Type="http://schemas.openxmlformats.org/officeDocument/2006/relationships/hyperlink" Target="https://diligence.adm.br/wp-content/uploads/2025/06/Edital-1a-Lista-de-Credores.pdf" TargetMode="External" Id="rId13" /><Relationship Type="http://schemas.openxmlformats.org/officeDocument/2006/relationships/hyperlink" Target="https://inova-aj.com.br/wp-content/uploads/2021/08/Reciclyn-Quadro-Geral-de-Credores.xlsx.pdf" TargetMode="External" Id="rId14" /><Relationship Type="http://schemas.openxmlformats.org/officeDocument/2006/relationships/hyperlink" Target="https://lrflideres.com.br/wp-content/plugins/download-attachments/includes/download.php?id=4999" TargetMode="External" Id="rId15" /><Relationship Type="http://schemas.openxmlformats.org/officeDocument/2006/relationships/hyperlink" Target="https://lrflideres.com.br/wp-content/plugins/download-attachments/includes/download.php?id=5000" TargetMode="External" Id="rId16" /><Relationship Type="http://schemas.openxmlformats.org/officeDocument/2006/relationships/hyperlink" Target="https://lrflideres.com.br/wp-content/plugins/download-attachments/includes/download.php?id=5001" TargetMode="External" Id="rId17" /><Relationship Type="http://schemas.openxmlformats.org/officeDocument/2006/relationships/hyperlink" Target="https://ajbrajalveiga.com.br/processos/download/grupo-galo/4%20-%20Edital.pdf" TargetMode="External" Id="rId18" /><Relationship Type="http://schemas.openxmlformats.org/officeDocument/2006/relationships/hyperlink" Target="https://assistjud.com.br/wp-content/uploads/elementor/forms/65098c80a5824.pdf" TargetMode="External" Id="rId19" /><Relationship Type="http://schemas.openxmlformats.org/officeDocument/2006/relationships/hyperlink" Target="https://bbsadvogados.com.br/wp-content/uploads/2024/11/Delicatesse-Relacao-de-credores-da-recuperanda-Delicatesse-e-Mr.-Struderia.pdf" TargetMode="External" Id="rId20" /><Relationship Type="http://schemas.openxmlformats.org/officeDocument/2006/relationships/hyperlink" Target="https://lrflideres.com.br/wp-content/plugins/download-attachments/includes/download.php?id=6471" TargetMode="External" Id="rId21" /><Relationship Type="http://schemas.openxmlformats.org/officeDocument/2006/relationships/hyperlink" Target="https://lrflideres.com.br/wp-content/uploads/2021/09/2.1-PUBLICAC%CC%A7A%CC%83O-DO-DEFERIMENTO-5.pdf" TargetMode="External" Id="rId22" /><Relationship Type="http://schemas.openxmlformats.org/officeDocument/2006/relationships/hyperlink" Target="https://lrflideres.com.br/wp-content/uploads/2022/03/3.-EDITAL-1a-LISTA-DE-CREDORES.pdf" TargetMode="External" Id="rId23" /><Relationship Type="http://schemas.openxmlformats.org/officeDocument/2006/relationships/hyperlink" Target="https://lrflideres.com.br/wp-content/uploads/2025/08/2.-DEFERIMENTO-1.pdf" TargetMode="External" Id="rId24" /><Relationship Type="http://schemas.openxmlformats.org/officeDocument/2006/relationships/hyperlink" Target="https://3fmodas.madgav.com.br/wp-content/uploads/2025/05/Quadro-Geral-de-Credores.pdf" TargetMode="External" Id="rId25" /><Relationship Type="http://schemas.openxmlformats.org/officeDocument/2006/relationships/hyperlink" Target="https://administradorajudicialgs.com.br/wp-content/uploads/2023/08/edital-quadro-geral-de-credores.pdf" TargetMode="External" Id="rId26" /><Relationship Type="http://schemas.openxmlformats.org/officeDocument/2006/relationships/hyperlink" Target="https://diligence.adm.br/wp-content/uploads/2024/05/Apresentacao-do-edital-QGC.pdf" TargetMode="External" Id="rId27" /><Relationship Type="http://schemas.openxmlformats.org/officeDocument/2006/relationships/hyperlink" Target="https://lrflideres.com.br/wp-content/plugins/download-attachments/includes/download.php?id=3469" TargetMode="External" Id="rId28" /><Relationship Type="http://schemas.openxmlformats.org/officeDocument/2006/relationships/hyperlink" Target="http://bernardobicalho.com.br/login/app/documents/Editais/Edital%20do%20Art.%2099%20%C2%A7%201%20da%20Lei%2011.101-05%20-%20Locplan.pdf" TargetMode="External" Id="rId29" /><Relationship Type="http://schemas.openxmlformats.org/officeDocument/2006/relationships/hyperlink" Target="https://diario.tjrr.jus.br/dpj/dpj-20091105.pdf" TargetMode="External" Id="rId30" /><Relationship Type="http://schemas.openxmlformats.org/officeDocument/2006/relationships/hyperlink" Target="https://diario.tjrr.jus.br/dpj/dpj-20091216.pdf" TargetMode="External" Id="rId31" /><Relationship Type="http://schemas.openxmlformats.org/officeDocument/2006/relationships/hyperlink" Target="https://lrflideres.com.br/wp-content/uploads/2021/09/LISTA-DE-CREDORES-FALENCIA.pdf" TargetMode="External" Id="rId32" /><Relationship Type="http://schemas.openxmlformats.org/officeDocument/2006/relationships/hyperlink" Target="https://lrflideres.com.br/wp-content/uploads/2026/03/6.-PLANO-DE-RECUPERACAO-JUDICIAL.pdf" TargetMode="External" Id="rId33" /><Relationship Type="http://schemas.openxmlformats.org/officeDocument/2006/relationships/hyperlink" Target="http://recuperacaojudicial.squarespace.com/s/LISTA-DE-CREDORES-CONSOLIDADA-ATE-04102024.pdf" TargetMode="External" Id="rId34" /><Relationship Type="http://schemas.openxmlformats.org/officeDocument/2006/relationships/hyperlink" Target="https://cdn.dol.com.br/img/attachmentinline/940000/6publicacao-2-edital-art-7-parag-2-da-lei-11101-20009467060.pdf?xid=3272528" TargetMode="External" Id="rId35" /><Relationship Type="http://schemas.openxmlformats.org/officeDocument/2006/relationships/hyperlink" Target="https://csh.adv.br/wp-content/uploads/2025/03/Edital-Art.-52-1.pdf" TargetMode="External" Id="rId36" /><Relationship Type="http://schemas.openxmlformats.org/officeDocument/2006/relationships/hyperlink" Target="https://bugarimecoelho.com.br/ws/media-library/5637e4df77a44cee9a27c6fa2c0a9d96/15.2--edital-01o-aditivo-qgc.pdf" TargetMode="External" Id="rId37" /><Relationship Type="http://schemas.openxmlformats.org/officeDocument/2006/relationships/hyperlink" Target="https://realbrasil.com.br/wp-content/uploads/2024/10/2.QUADRO-DE-CREDORES-DO-AJ.pdf" TargetMode="External" Id="rId38" /><Relationship Type="http://schemas.openxmlformats.org/officeDocument/2006/relationships/hyperlink" Target="https://lrflideres.com.br/wp-content/plugins/download-attachments/includes/download.php?id=3468" TargetMode="External" Id="rId39" /><Relationship Type="http://schemas.openxmlformats.org/officeDocument/2006/relationships/hyperlink" Target="https://arquivos.integrawebsites.com.br/66886/9170dba63d72405b67b006af1763ed17.pdf" TargetMode="External" Id="rId40" /></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ANTEPARO — CALL SHEET</t>
        </is>
      </c>
    </row>
    <row r="2">
      <c r="A2" s="2" t="inlineStr">
        <is>
          <t>Run 20260903T230309Z-e5fb2e · generated 2026-09-03 · 54 leads ≥ R$200k · 17 pooling leads (R$100–200k) · 40 source documents · 32 cases</t>
        </is>
      </c>
    </row>
    <row r="3">
      <c r="A3" s="2" t="inlineStr"/>
    </row>
    <row r="4">
      <c r="A4" s="1" t="inlineStr">
        <is>
          <t>WHAT EACH ROW IS</t>
        </is>
      </c>
    </row>
    <row r="5">
      <c r="A5" s="2" t="inlineStr">
        <is>
          <t>One company × one recovery case. The company holds class III (trade) credit against the debtor, admitted in the court's own creditor list. All establishments of the company (same 8-digit CNPJ root) are summed.</t>
        </is>
      </c>
    </row>
    <row r="6">
      <c r="A6" s="2" t="inlineStr"/>
    </row>
    <row r="7">
      <c r="A7" s="1" t="inlineStr">
        <is>
          <t>THE NUMBER</t>
        </is>
      </c>
    </row>
    <row r="8">
      <c r="A8" s="2" t="inlineStr">
        <is>
          <t>'Class III face' is the admitted value AS PRINTED in the court document — what the company is OWED, updated only to the filing date (art. 9 II). It is NOT what will be paid.</t>
        </is>
      </c>
    </row>
    <row r="9">
      <c r="A9" s="2" t="inlineStr">
        <is>
          <t>'OUR QUOTE' is a model: face → assumed plan terms → discounted at the investor IRR → fund price → our share. Edit the Assumptions tab. It is not court data.</t>
        </is>
      </c>
    </row>
    <row r="10">
      <c r="A10" s="2" t="inlineStr"/>
    </row>
    <row r="11">
      <c r="A11" s="1" t="inlineStr">
        <is>
          <t>PROOF OF CLAIM (green columns)</t>
        </is>
      </c>
    </row>
    <row r="12">
      <c r="A12" s="2" t="inlineStr">
        <is>
          <t>Click 'PROOF: source document', go to the page/row listed, and read the value as printed. If a seller asks 'how did you get this?', that link is the answer.</t>
        </is>
      </c>
    </row>
    <row r="13">
      <c r="A13" s="2" t="inlineStr">
        <is>
          <t>'Reconciled' = OK means the document's extracted class totals matched its own printed totals within 0.5%. OK_NO_TOTALS means the document prints no totals — the number was read from its own row but could not be cross-checked; quote with that caveat.</t>
        </is>
      </c>
    </row>
    <row r="14">
      <c r="A14" s="2" t="inlineStr"/>
    </row>
    <row r="15">
      <c r="A15" s="1" t="inlineStr">
        <is>
          <t>DECISION-MAKER</t>
        </is>
      </c>
    </row>
    <row r="16">
      <c r="A16" s="2" t="inlineStr">
        <is>
          <t>From the Receita Federal partner register (sócio-administrador / administrador / diretor / presidente). Phone and email are the company's registry contact. Confidence LOW = registry only; nothing here was guessed or looked up from memory.</t>
        </is>
      </c>
    </row>
    <row r="17">
      <c r="A17" s="2" t="inlineStr"/>
    </row>
    <row r="18">
      <c r="A18" s="1" t="inlineStr">
        <is>
          <t>CRM COLUMNS (yellow)</t>
        </is>
      </c>
    </row>
    <row r="19">
      <c r="A19" s="2" t="inlineStr">
        <is>
          <t>Status (dropdown) · Owner · Attempts · Last touch · Next action · Next date · Notes. Sort/filter freely; the proof and quote columns travel with the row.</t>
        </is>
      </c>
    </row>
    <row r="20">
      <c r="A20" s="2" t="inlineStr"/>
    </row>
    <row r="21">
      <c r="A21" s="1" t="inlineStr">
        <is>
          <t>EXCLUDED FROM THIS SHEET</t>
        </is>
      </c>
    </row>
    <row r="22">
      <c r="A22" s="2" t="inlineStr">
        <is>
          <t>Individuals (CPF), banks (CNAE 64–66), public entities, inactive companies, foreign-currency claims, extraconcursal sections, quarantined documents. They remain in the CSV tables with flags.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0" customWidth="1" min="1" max="1"/>
    <col width="70" customWidth="1" min="6" max="6"/>
  </cols>
  <sheetData>
    <row r="1">
      <c r="A1" s="3" t="inlineStr">
        <is>
          <t>PRICING ASSUMPTIONS — edit the yellow cells; every quote on the call sheet recalculates</t>
        </is>
      </c>
    </row>
    <row r="3">
      <c r="A3" t="inlineStr">
        <is>
          <t>Target investor IRR (annual)</t>
        </is>
      </c>
      <c r="B3" s="4" t="n">
        <v>0.25</v>
      </c>
      <c r="F3" t="inlineStr">
        <is>
          <t>Fund price = face × recovery% ÷ (1+IRR)^(years to payment). A fund needing 25% IRR on a plan paying 30% over years 3–10 pays ~8 cents, not 25 — check the 7 buyers' real numbers against this.</t>
        </is>
      </c>
    </row>
    <row r="4">
      <c r="A4" t="inlineStr">
        <is>
          <t>Buy price as share of fund price (we pay 60% → 0.60)</t>
        </is>
      </c>
      <c r="B4" s="4" t="n">
        <v>0.6</v>
      </c>
      <c r="F4" t="inlineStr">
        <is>
          <t>Our quote = fund price × this share. The doc rule is 60% of mandate price; expected 55–70% once Gate 6 data exists.</t>
        </is>
      </c>
    </row>
    <row r="6">
      <c r="A6" s="5" t="inlineStr">
        <is>
          <t>Plan status</t>
        </is>
      </c>
      <c r="B6" s="5" t="inlineStr">
        <is>
          <t>Class III recovery % of face</t>
        </is>
      </c>
      <c r="C6" s="5" t="inlineStr">
        <is>
          <t>Grace (years)</t>
        </is>
      </c>
      <c r="D6" s="5" t="inlineStr">
        <is>
          <t>Term (years)</t>
        </is>
      </c>
      <c r="E6" s="5" t="inlineStr">
        <is>
          <t>Note</t>
        </is>
      </c>
    </row>
    <row r="7">
      <c r="A7" t="inlineStr">
        <is>
          <t>CONFIRMED</t>
        </is>
      </c>
      <c r="B7" s="4" t="n">
        <v>0.4</v>
      </c>
      <c r="C7" s="6" t="n">
        <v>2</v>
      </c>
      <c r="D7" s="6" t="n">
        <v>8</v>
      </c>
      <c r="E7" t="inlineStr">
        <is>
          <t>A plan/homologation document exists for the case. ASSUMED terms until plan parsing lands — replace with the plan's own class III terms.</t>
        </is>
      </c>
    </row>
    <row r="8">
      <c r="A8" t="inlineStr">
        <is>
          <t>ESTIMATED</t>
        </is>
      </c>
      <c r="B8" s="4" t="n">
        <v>0.3</v>
      </c>
      <c r="C8" s="6" t="n">
        <v>2</v>
      </c>
      <c r="D8" s="6" t="n">
        <v>8</v>
      </c>
      <c r="E8" t="inlineStr">
        <is>
          <t>No plan document found; case is live in DataJud. ASSUMED typical Brazilian class III terms.</t>
        </is>
      </c>
    </row>
    <row r="9">
      <c r="A9" t="inlineStr">
        <is>
          <t>UNKNOWN</t>
        </is>
      </c>
      <c r="B9" s="4" t="n">
        <v>0.25</v>
      </c>
      <c r="C9" s="6" t="n">
        <v>3</v>
      </c>
      <c r="D9" s="6" t="n">
        <v>8</v>
      </c>
      <c r="E9" t="inlineStr">
        <is>
          <t>Case not matched to DataJud. ASSUMED, conservative.</t>
        </is>
      </c>
    </row>
    <row r="10">
      <c r="A10" t="inlineStr">
        <is>
          <t>CONVERTED_TO_BANKRUPTCY</t>
        </is>
      </c>
      <c r="B10" s="4" t="n">
        <v>0.05</v>
      </c>
      <c r="C10" s="6" t="n">
        <v>4</v>
      </c>
      <c r="D10" s="6" t="n">
        <v>4</v>
      </c>
      <c r="E10" t="inlineStr">
        <is>
          <t>Falência decreed. Class III ranks behind labour and secured; assume near-zero.</t>
        </is>
      </c>
    </row>
    <row r="13">
      <c r="A13" s="7" t="inlineStr">
        <is>
          <t>Everything in this tab is an ASSUMPTION, not court data. The face value on the call sheet IS court data — it links to the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5"/>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2" customWidth="1" min="3" max="3"/>
    <col width="9" customWidth="1" min="4" max="4"/>
    <col width="12" customWidth="1" min="5" max="5"/>
    <col width="22" customWidth="1" min="6" max="6"/>
    <col width="12" customWidth="1" min="7" max="7"/>
    <col width="40" customWidth="1" min="8" max="8"/>
    <col width="42" customWidth="1" min="9" max="9"/>
    <col width="42" customWidth="1" min="10" max="10"/>
    <col width="11" customWidth="1" min="11" max="11"/>
    <col width="22" customWidth="1" min="12" max="12"/>
    <col width="18" customWidth="1" min="13" max="13"/>
    <col width="7" customWidth="1" min="14" max="14"/>
    <col width="14" customWidth="1" min="15" max="15"/>
    <col width="12" customWidth="1" min="16" max="16"/>
    <col width="12" customWidth="1" min="17" max="17"/>
    <col width="9" customWidth="1" min="18" max="18"/>
    <col width="10" customWidth="1" min="19" max="19"/>
    <col width="10" customWidth="1" min="20" max="20"/>
    <col width="18" customWidth="1" min="21" max="21"/>
    <col width="10" customWidth="1" min="22" max="22"/>
    <col width="18" customWidth="1" min="23" max="23"/>
    <col width="10" customWidth="1" min="24" max="24"/>
    <col width="40" customWidth="1" min="25" max="25"/>
    <col width="26" customWidth="1" min="26" max="26"/>
    <col width="8" customWidth="1" min="27" max="27"/>
    <col width="26" customWidth="1" min="28" max="28"/>
    <col width="34" customWidth="1" min="29" max="29"/>
    <col width="20" customWidth="1" min="30" max="30"/>
    <col width="16" customWidth="1" min="31" max="31"/>
    <col width="16" customWidth="1" min="32" max="32"/>
    <col width="30" customWidth="1" min="33" max="33"/>
    <col width="5" customWidth="1" min="34" max="34"/>
    <col width="20" customWidth="1" min="35" max="35"/>
    <col width="40" customWidth="1" min="36" max="36"/>
    <col width="12" customWidth="1" min="37" max="37"/>
    <col width="10" customWidth="1" min="38" max="38"/>
    <col width="60" customWidth="1" min="39" max="39"/>
    <col width="22" customWidth="1" min="40" max="40"/>
    <col width="34" customWidth="1" min="41" max="41"/>
    <col width="12" customWidth="1" min="42" max="42"/>
    <col width="12" customWidth="1" min="43" max="43"/>
    <col width="14" customWidth="1" min="44" max="44"/>
    <col width="40" customWidth="1" min="45" max="45"/>
    <col width="14" customWidth="1" min="46" max="46"/>
  </cols>
  <sheetData>
    <row r="1" ht="32" customHeight="1">
      <c r="A1" s="8" t="inlineStr">
        <is>
          <t>Rank</t>
        </is>
      </c>
      <c r="B1" s="8" t="inlineStr">
        <is>
          <t>Status</t>
        </is>
      </c>
      <c r="C1" s="8" t="inlineStr">
        <is>
          <t>Owner</t>
        </is>
      </c>
      <c r="D1" s="8" t="inlineStr">
        <is>
          <t>Attempts</t>
        </is>
      </c>
      <c r="E1" s="8" t="inlineStr">
        <is>
          <t>Last touch</t>
        </is>
      </c>
      <c r="F1" s="8" t="inlineStr">
        <is>
          <t>Next action</t>
        </is>
      </c>
      <c r="G1" s="8" t="inlineStr">
        <is>
          <t>Next date</t>
        </is>
      </c>
      <c r="H1" s="8" t="inlineStr">
        <is>
          <t>Notes</t>
        </is>
      </c>
      <c r="I1" s="8" t="inlineStr">
        <is>
          <t>Company (RFB)</t>
        </is>
      </c>
      <c r="J1" s="8" t="inlineStr">
        <is>
          <t>Name as printed</t>
        </is>
      </c>
      <c r="K1" s="8" t="inlineStr">
        <is>
          <t>CNPJ root</t>
        </is>
      </c>
      <c r="L1" s="8" t="inlineStr">
        <is>
          <t>Establishment CNPJs</t>
        </is>
      </c>
      <c r="M1" s="8" t="inlineStr">
        <is>
          <t>Class III face (R$)</t>
        </is>
      </c>
      <c r="N1" s="8" t="inlineStr">
        <is>
          <t>Claims</t>
        </is>
      </c>
      <c r="O1" s="8" t="inlineStr">
        <is>
          <t>Plan status</t>
        </is>
      </c>
      <c r="P1" s="8" t="inlineStr">
        <is>
          <t>Stage</t>
        </is>
      </c>
      <c r="Q1" s="8" t="inlineStr">
        <is>
          <t>Case filed</t>
        </is>
      </c>
      <c r="R1" s="8" t="inlineStr">
        <is>
          <t>Years since filing</t>
        </is>
      </c>
      <c r="S1" s="8" t="inlineStr">
        <is>
          <t>Est. recovery %</t>
        </is>
      </c>
      <c r="T1" s="8" t="inlineStr">
        <is>
          <t>Years to payment (est.)</t>
        </is>
      </c>
      <c r="U1" s="8" t="inlineStr">
        <is>
          <t>Fund price @ IRR (R$)</t>
        </is>
      </c>
      <c r="V1" s="8" t="inlineStr">
        <is>
          <t>Fund price (cents)</t>
        </is>
      </c>
      <c r="W1" s="8" t="inlineStr">
        <is>
          <t>OUR QUOTE (R$)</t>
        </is>
      </c>
      <c r="X1" s="8" t="inlineStr">
        <is>
          <t>Quote (cents)</t>
        </is>
      </c>
      <c r="Y1" s="8" t="inlineStr">
        <is>
          <t>Debtor</t>
        </is>
      </c>
      <c r="Z1" s="8" t="inlineStr">
        <is>
          <t>Case number</t>
        </is>
      </c>
      <c r="AA1" s="8" t="inlineStr">
        <is>
          <t>Court</t>
        </is>
      </c>
      <c r="AB1" s="8" t="inlineStr">
        <is>
          <t>Administrator (site)</t>
        </is>
      </c>
      <c r="AC1" s="8" t="inlineStr">
        <is>
          <t>Decision-maker</t>
        </is>
      </c>
      <c r="AD1" s="8" t="inlineStr">
        <is>
          <t>Role</t>
        </is>
      </c>
      <c r="AE1" s="8" t="inlineStr">
        <is>
          <t>Phone</t>
        </is>
      </c>
      <c r="AF1" s="8" t="inlineStr">
        <is>
          <t>Phone 2</t>
        </is>
      </c>
      <c r="AG1" s="8" t="inlineStr">
        <is>
          <t>Email</t>
        </is>
      </c>
      <c r="AH1" s="8" t="inlineStr">
        <is>
          <t>UF</t>
        </is>
      </c>
      <c r="AI1" s="8" t="inlineStr">
        <is>
          <t>City</t>
        </is>
      </c>
      <c r="AJ1" s="8" t="inlineStr">
        <is>
          <t>CNAE</t>
        </is>
      </c>
      <c r="AK1" s="8" t="inlineStr">
        <is>
          <t>Porte</t>
        </is>
      </c>
      <c r="AL1" s="8" t="inlineStr">
        <is>
          <t>Situação</t>
        </is>
      </c>
      <c r="AM1" s="8" t="inlineStr">
        <is>
          <t>PROOF: source document</t>
        </is>
      </c>
      <c r="AN1" s="8" t="inlineStr">
        <is>
          <t>Page / row</t>
        </is>
      </c>
      <c r="AO1" s="8" t="inlineStr">
        <is>
          <t>Value as printed</t>
        </is>
      </c>
      <c r="AP1" s="8" t="inlineStr">
        <is>
          <t>Which list</t>
        </is>
      </c>
      <c r="AQ1" s="8" t="inlineStr">
        <is>
          <t>Published</t>
        </is>
      </c>
      <c r="AR1" s="8" t="inlineStr">
        <is>
          <t>Reconciled</t>
        </is>
      </c>
      <c r="AS1" s="8" t="inlineStr">
        <is>
          <t>Data flags</t>
        </is>
      </c>
      <c r="AT1" s="8" t="inlineStr">
        <is>
          <t>Doc id</t>
        </is>
      </c>
    </row>
    <row r="2">
      <c r="A2" s="9" t="n">
        <v>1</v>
      </c>
      <c r="B2" s="9" t="inlineStr">
        <is>
          <t>NEW</t>
        </is>
      </c>
      <c r="C2" s="9" t="inlineStr"/>
      <c r="D2" s="9" t="n">
        <v>0</v>
      </c>
      <c r="E2" s="9" t="inlineStr"/>
      <c r="F2" s="9" t="inlineStr"/>
      <c r="G2" s="9" t="inlineStr"/>
      <c r="H2" s="9" t="inlineStr"/>
      <c r="I2" t="inlineStr">
        <is>
          <t>TAG INDUSTRIA E LAMINACAO LTDA</t>
        </is>
      </c>
      <c r="J2" t="inlineStr">
        <is>
          <t>TAG INDUSTRIA E LAMINACAO LTDA</t>
        </is>
      </c>
      <c r="K2" t="inlineStr">
        <is>
          <t>33233778</t>
        </is>
      </c>
      <c r="L2" t="inlineStr">
        <is>
          <t>33233778000108</t>
        </is>
      </c>
      <c r="M2" s="10" t="n">
        <v>64713515.06</v>
      </c>
      <c r="N2" t="n">
        <v>2</v>
      </c>
      <c r="O2" s="11" t="inlineStr">
        <is>
          <t>UNKNOWN</t>
        </is>
      </c>
      <c r="P2" s="11" t="inlineStr"/>
      <c r="Q2" s="12" t="inlineStr"/>
      <c r="R2" s="11">
        <f>IF(Q2="","",ROUND((TODAY()-Q2)/365.25,1))</f>
        <v/>
      </c>
      <c r="S2" s="13">
        <f>VLOOKUP(O2,Assumptions!$A$7:$E$10,2,FALSE)</f>
        <v/>
      </c>
      <c r="T2" s="14">
        <f>MAX(0.5,VLOOKUP(O2,Assumptions!$A$7:$E$10,3,FALSE)+VLOOKUP(O2,Assumptions!$A$7:$E$10,4,FALSE)/2-IF(R2="",0,R2))</f>
        <v/>
      </c>
      <c r="U2" s="15">
        <f>M2*S2/(1+Assumptions!$B$3)^T2</f>
        <v/>
      </c>
      <c r="V2" s="11">
        <f>IF(M2=0,"",ROUND(U2/M2*100,1))</f>
        <v/>
      </c>
      <c r="W2" s="16">
        <f>U2*Assumptions!$B$4</f>
        <v/>
      </c>
      <c r="X2" s="11">
        <f>IF(M2=0,"",ROUND(W2/M2*100,1))</f>
        <v/>
      </c>
      <c r="Y2" t="inlineStr">
        <is>
          <t>Conduscabos Brasil Indústria Comércio de</t>
        </is>
      </c>
      <c r="Z2" t="inlineStr">
        <is>
          <t>8005129-09.2023.8.05.0039</t>
        </is>
      </c>
      <c r="AA2" t="inlineStr"/>
      <c r="AB2" t="inlineStr">
        <is>
          <t>assistjud.com.br</t>
        </is>
      </c>
      <c r="AC2" t="inlineStr">
        <is>
          <t>TIAGO RODRIGO DETTILIO</t>
        </is>
      </c>
      <c r="AD2" t="inlineStr">
        <is>
          <t>Administrador</t>
        </is>
      </c>
      <c r="AE2" t="inlineStr">
        <is>
          <t>(11) 4463-4833</t>
        </is>
      </c>
      <c r="AF2" t="inlineStr"/>
      <c r="AG2" t="inlineStr"/>
      <c r="AH2" t="inlineStr">
        <is>
          <t>SP</t>
        </is>
      </c>
      <c r="AI2" t="inlineStr">
        <is>
          <t>SAO PAULO</t>
        </is>
      </c>
      <c r="AJ2" t="inlineStr">
        <is>
          <t>Outras atividades profissionais, científicas e técnicas não especificadas anteriormente</t>
        </is>
      </c>
      <c r="AK2" t="inlineStr">
        <is>
          <t>DEMAIS</t>
        </is>
      </c>
      <c r="AL2" t="inlineStr">
        <is>
          <t>ATIVA</t>
        </is>
      </c>
      <c r="AM2" s="17" t="inlineStr">
        <is>
          <t>https://assistjud.com.br/wp-content/uploads/elementor/forms/65098c80a5824.pdf</t>
        </is>
      </c>
      <c r="AN2" s="18" t="inlineStr">
        <is>
          <t>p10 r4; p19 r8</t>
        </is>
      </c>
      <c r="AO2" s="18" t="inlineStr">
        <is>
          <t>p10: R$ 32.731.819,08; p19: R$ 31.981.695,98</t>
        </is>
      </c>
      <c r="AP2" s="18" t="inlineStr">
        <is>
          <t>AJ_LIST</t>
        </is>
      </c>
      <c r="AQ2" s="18" t="inlineStr">
        <is>
          <t>2023-09-18</t>
        </is>
      </c>
      <c r="AR2" s="18" t="inlineStr">
        <is>
          <t>OK_NO_TOTALS</t>
        </is>
      </c>
      <c r="AS2" s="18" t="inlineStr">
        <is>
          <t>ROWS:p10r4,p19r8 UNRECONCILED_SOURCE</t>
        </is>
      </c>
      <c r="AT2" s="18" t="inlineStr">
        <is>
          <t>a0ae32a59c29</t>
        </is>
      </c>
    </row>
    <row r="3">
      <c r="A3" s="9" t="n">
        <v>2</v>
      </c>
      <c r="B3" s="9" t="inlineStr">
        <is>
          <t>NEW</t>
        </is>
      </c>
      <c r="C3" s="9" t="inlineStr"/>
      <c r="D3" s="9" t="n">
        <v>0</v>
      </c>
      <c r="E3" s="9" t="inlineStr"/>
      <c r="F3" s="9" t="inlineStr"/>
      <c r="G3" s="9" t="inlineStr"/>
      <c r="H3" s="9" t="inlineStr"/>
      <c r="I3" t="inlineStr"/>
      <c r="J3" t="inlineStr">
        <is>
          <t>FUNDO DE INVESTIMENTO EM DIREITOS CREDITÓRIOS NÃO PADRONIZADOS MULTISSETORIA L BS NP</t>
        </is>
      </c>
      <c r="K3" t="inlineStr">
        <is>
          <t>12428086</t>
        </is>
      </c>
      <c r="L3" t="inlineStr">
        <is>
          <t>12428086000137</t>
        </is>
      </c>
      <c r="M3" s="10" t="n">
        <v>14857604.68</v>
      </c>
      <c r="N3" t="n">
        <v>3</v>
      </c>
      <c r="O3" s="11" t="inlineStr">
        <is>
          <t>UNKNOWN</t>
        </is>
      </c>
      <c r="P3" s="11" t="inlineStr"/>
      <c r="Q3" s="12" t="inlineStr"/>
      <c r="R3" s="11">
        <f>IF(Q3="","",ROUND((TODAY()-Q3)/365.25,1))</f>
        <v/>
      </c>
      <c r="S3" s="13">
        <f>VLOOKUP(O3,Assumptions!$A$7:$E$10,2,FALSE)</f>
        <v/>
      </c>
      <c r="T3" s="14">
        <f>MAX(0.5,VLOOKUP(O3,Assumptions!$A$7:$E$10,3,FALSE)+VLOOKUP(O3,Assumptions!$A$7:$E$10,4,FALSE)/2-IF(R3="",0,R3))</f>
        <v/>
      </c>
      <c r="U3" s="15">
        <f>M3*S3/(1+Assumptions!$B$3)^T3</f>
        <v/>
      </c>
      <c r="V3" s="11">
        <f>IF(M3=0,"",ROUND(U3/M3*100,1))</f>
        <v/>
      </c>
      <c r="W3" s="16">
        <f>U3*Assumptions!$B$4</f>
        <v/>
      </c>
      <c r="X3" s="11">
        <f>IF(M3=0,"",ROUND(W3/M3*100,1))</f>
        <v/>
      </c>
      <c r="Y3" t="inlineStr">
        <is>
          <t>Conduscabos Brasil Indústria Comércio de</t>
        </is>
      </c>
      <c r="Z3" t="inlineStr">
        <is>
          <t>8005129-09.2023.8.05.0039</t>
        </is>
      </c>
      <c r="AA3" t="inlineStr"/>
      <c r="AB3" t="inlineStr">
        <is>
          <t>assistjud.com.br</t>
        </is>
      </c>
      <c r="AC3" t="inlineStr"/>
      <c r="AD3" t="inlineStr"/>
      <c r="AE3" t="inlineStr"/>
      <c r="AF3" t="inlineStr"/>
      <c r="AG3" t="inlineStr"/>
      <c r="AH3" t="inlineStr"/>
      <c r="AI3" t="inlineStr"/>
      <c r="AJ3" t="inlineStr"/>
      <c r="AK3" t="inlineStr"/>
      <c r="AL3" t="inlineStr"/>
      <c r="AM3" s="17" t="inlineStr">
        <is>
          <t>https://assistjud.com.br/wp-content/uploads/elementor/forms/65098c80a5824.pdf</t>
        </is>
      </c>
      <c r="AN3" s="18" t="inlineStr">
        <is>
          <t>p7 r8; p10 r1; p18 r2</t>
        </is>
      </c>
      <c r="AO3" s="18" t="inlineStr">
        <is>
          <t>p7: R$ 10.954.112,61; p10: R$ 1.455.516,44; p18: R$ 2.447.975,63</t>
        </is>
      </c>
      <c r="AP3" s="18" t="inlineStr">
        <is>
          <t>AJ_LIST</t>
        </is>
      </c>
      <c r="AQ3" s="18" t="inlineStr">
        <is>
          <t>2023-09-18</t>
        </is>
      </c>
      <c r="AR3" s="18" t="inlineStr">
        <is>
          <t>OK_NO_TOTALS</t>
        </is>
      </c>
      <c r="AS3" s="18" t="inlineStr">
        <is>
          <t>ROWS:p7r8,p10r1,p18r2 UNRECONCILED_SOURCE</t>
        </is>
      </c>
      <c r="AT3" s="18" t="inlineStr">
        <is>
          <t>a0ae32a59c29</t>
        </is>
      </c>
    </row>
    <row r="4">
      <c r="A4" s="9" t="n">
        <v>3</v>
      </c>
      <c r="B4" s="9" t="inlineStr">
        <is>
          <t>NEW</t>
        </is>
      </c>
      <c r="C4" s="9" t="inlineStr"/>
      <c r="D4" s="9" t="n">
        <v>0</v>
      </c>
      <c r="E4" s="9" t="inlineStr"/>
      <c r="F4" s="9" t="inlineStr"/>
      <c r="G4" s="9" t="inlineStr"/>
      <c r="H4" s="9" t="inlineStr"/>
      <c r="I4" t="inlineStr">
        <is>
          <t>FRESENIUS MEDICAL CARE LTDA</t>
        </is>
      </c>
      <c r="J4" t="inlineStr">
        <is>
          <t>FRESENIUS MEDICAL CARE LTDA</t>
        </is>
      </c>
      <c r="K4" t="inlineStr">
        <is>
          <t>01440590</t>
        </is>
      </c>
      <c r="L4" t="inlineStr">
        <is>
          <t>01440590000136</t>
        </is>
      </c>
      <c r="M4" s="10" t="n">
        <v>14567733.99</v>
      </c>
      <c r="N4" t="n">
        <v>1</v>
      </c>
      <c r="O4" s="11" t="inlineStr">
        <is>
          <t>UNKNOWN</t>
        </is>
      </c>
      <c r="P4" s="11" t="inlineStr"/>
      <c r="Q4" s="12" t="inlineStr"/>
      <c r="R4" s="11">
        <f>IF(Q4="","",ROUND((TODAY()-Q4)/365.25,1))</f>
        <v/>
      </c>
      <c r="S4" s="13">
        <f>VLOOKUP(O4,Assumptions!$A$7:$E$10,2,FALSE)</f>
        <v/>
      </c>
      <c r="T4" s="14">
        <f>MAX(0.5,VLOOKUP(O4,Assumptions!$A$7:$E$10,3,FALSE)+VLOOKUP(O4,Assumptions!$A$7:$E$10,4,FALSE)/2-IF(R4="",0,R4))</f>
        <v/>
      </c>
      <c r="U4" s="15">
        <f>M4*S4/(1+Assumptions!$B$3)^T4</f>
        <v/>
      </c>
      <c r="V4" s="11">
        <f>IF(M4=0,"",ROUND(U4/M4*100,1))</f>
        <v/>
      </c>
      <c r="W4" s="16">
        <f>U4*Assumptions!$B$4</f>
        <v/>
      </c>
      <c r="X4" s="11">
        <f>IF(M4=0,"",ROUND(W4/M4*100,1))</f>
        <v/>
      </c>
      <c r="Y4" t="inlineStr"/>
      <c r="Z4" t="inlineStr">
        <is>
          <t>(not found in document)</t>
        </is>
      </c>
      <c r="AA4" t="inlineStr"/>
      <c r="AB4" t="inlineStr">
        <is>
          <t>bernardobicalho.com.br</t>
        </is>
      </c>
      <c r="AC4" t="inlineStr">
        <is>
          <t>ANA LUCIA ZENKNER PERCIA</t>
        </is>
      </c>
      <c r="AD4" t="inlineStr">
        <is>
          <t>Administrador</t>
        </is>
      </c>
      <c r="AE4" t="inlineStr">
        <is>
          <t>(19) 3847-9700</t>
        </is>
      </c>
      <c r="AF4" t="inlineStr">
        <is>
          <t>(19) 3847-9700</t>
        </is>
      </c>
      <c r="AG4" t="inlineStr"/>
      <c r="AH4" t="inlineStr">
        <is>
          <t>SP</t>
        </is>
      </c>
      <c r="AI4" t="inlineStr">
        <is>
          <t>JAGUARIUNA</t>
        </is>
      </c>
      <c r="AJ4" t="inlineStr">
        <is>
          <t>Fabricação de medicamentos alopáticos para uso humano</t>
        </is>
      </c>
      <c r="AK4" t="inlineStr">
        <is>
          <t>DEMAIS</t>
        </is>
      </c>
      <c r="AL4" t="inlineStr">
        <is>
          <t>ATIVA</t>
        </is>
      </c>
      <c r="AM4" s="17" t="inlineStr">
        <is>
          <t>http://bernardobicalho.com.br/login/app/documents/Rela%C3%A7%C3%A3o%20de%20Credores/6.%20RVC-%20Nutricium%20-%20simplificada.pdf</t>
        </is>
      </c>
      <c r="AN4" s="18" t="inlineStr">
        <is>
          <t>p3 r16</t>
        </is>
      </c>
      <c r="AO4" s="18" t="inlineStr">
        <is>
          <t>p3: R$ 14.567.733,99</t>
        </is>
      </c>
      <c r="AP4" s="18" t="inlineStr">
        <is>
          <t>AJ_LIST</t>
        </is>
      </c>
      <c r="AQ4" s="18" t="inlineStr"/>
      <c r="AR4" s="18" t="inlineStr">
        <is>
          <t>OK</t>
        </is>
      </c>
      <c r="AS4" s="18" t="inlineStr">
        <is>
          <t>CASE_NUMBER_MISSING ROWS:p3r16</t>
        </is>
      </c>
      <c r="AT4" s="18" t="inlineStr">
        <is>
          <t>6a92d74da333</t>
        </is>
      </c>
    </row>
    <row r="5">
      <c r="A5" s="9" t="n">
        <v>4</v>
      </c>
      <c r="B5" s="9" t="inlineStr">
        <is>
          <t>NEW</t>
        </is>
      </c>
      <c r="C5" s="9" t="inlineStr"/>
      <c r="D5" s="9" t="n">
        <v>0</v>
      </c>
      <c r="E5" s="9" t="inlineStr"/>
      <c r="F5" s="9" t="inlineStr"/>
      <c r="G5" s="9" t="inlineStr"/>
      <c r="H5" s="9" t="inlineStr"/>
      <c r="I5" t="inlineStr">
        <is>
          <t>VINICOLA CAMPESTRE LTDA</t>
        </is>
      </c>
      <c r="J5" t="inlineStr">
        <is>
          <t>VINICOLA CAMPESTRE LTDA</t>
        </is>
      </c>
      <c r="K5" t="inlineStr">
        <is>
          <t>98521909</t>
        </is>
      </c>
      <c r="L5" t="inlineStr">
        <is>
          <t>98521909000190, 98521909000270</t>
        </is>
      </c>
      <c r="M5" s="10" t="n">
        <v>13980345.5</v>
      </c>
      <c r="N5" t="n">
        <v>2</v>
      </c>
      <c r="O5" s="11" t="inlineStr">
        <is>
          <t>UNKNOWN</t>
        </is>
      </c>
      <c r="P5" s="11" t="inlineStr"/>
      <c r="Q5" s="12" t="inlineStr"/>
      <c r="R5" s="11">
        <f>IF(Q5="","",ROUND((TODAY()-Q5)/365.25,1))</f>
        <v/>
      </c>
      <c r="S5" s="13">
        <f>VLOOKUP(O5,Assumptions!$A$7:$E$10,2,FALSE)</f>
        <v/>
      </c>
      <c r="T5" s="14">
        <f>MAX(0.5,VLOOKUP(O5,Assumptions!$A$7:$E$10,3,FALSE)+VLOOKUP(O5,Assumptions!$A$7:$E$10,4,FALSE)/2-IF(R5="",0,R5))</f>
        <v/>
      </c>
      <c r="U5" s="15">
        <f>M5*S5/(1+Assumptions!$B$3)^T5</f>
        <v/>
      </c>
      <c r="V5" s="11">
        <f>IF(M5=0,"",ROUND(U5/M5*100,1))</f>
        <v/>
      </c>
      <c r="W5" s="16">
        <f>U5*Assumptions!$B$4</f>
        <v/>
      </c>
      <c r="X5" s="11">
        <f>IF(M5=0,"",ROUND(W5/M5*100,1))</f>
        <v/>
      </c>
      <c r="Y5" t="inlineStr">
        <is>
          <t>ARRUDA &amp; MELO COMERCIO E DISTRIBUICAO DE ALIMENTOS E BEBIDAS LTDA</t>
        </is>
      </c>
      <c r="Z5" t="inlineStr">
        <is>
          <t>0008526-45.2025.8.17.2001</t>
        </is>
      </c>
      <c r="AA5" t="inlineStr"/>
      <c r="AB5" t="inlineStr">
        <is>
          <t>diligence.adm.br</t>
        </is>
      </c>
      <c r="AC5" t="inlineStr">
        <is>
          <t>CESAR AUGUSTO ZANOTTO</t>
        </is>
      </c>
      <c r="AD5" t="inlineStr">
        <is>
          <t>Sócio-Administrador</t>
        </is>
      </c>
      <c r="AE5" t="inlineStr">
        <is>
          <t>(54) 3511-6050</t>
        </is>
      </c>
      <c r="AF5" t="inlineStr">
        <is>
          <t>(54) 3511-6052</t>
        </is>
      </c>
      <c r="AG5" t="inlineStr"/>
      <c r="AH5" t="inlineStr">
        <is>
          <t>RS</t>
        </is>
      </c>
      <c r="AI5" t="inlineStr">
        <is>
          <t>CAMPESTRE DA SERRA</t>
        </is>
      </c>
      <c r="AJ5" t="inlineStr">
        <is>
          <t>Fabricação de vinho</t>
        </is>
      </c>
      <c r="AK5" t="inlineStr">
        <is>
          <t>DEMAIS</t>
        </is>
      </c>
      <c r="AL5" t="inlineStr">
        <is>
          <t>ATIVA</t>
        </is>
      </c>
      <c r="AM5" s="17" t="inlineStr">
        <is>
          <t>https://diligence.adm.br/wp-content/uploads/2025/06/Edital-1a-Lista-de-Credores.pdf</t>
        </is>
      </c>
      <c r="AN5" s="18" t="inlineStr">
        <is>
          <t>p5 r60; p5 r61</t>
        </is>
      </c>
      <c r="AO5" s="18" t="inlineStr">
        <is>
          <t>p5: R$ 4.421.862,65; p5: R$ 9.558.482,85</t>
        </is>
      </c>
      <c r="AP5" s="18" t="inlineStr">
        <is>
          <t>DEBTOR_LIST</t>
        </is>
      </c>
      <c r="AQ5" s="18" t="inlineStr">
        <is>
          <t>2025-06-10</t>
        </is>
      </c>
      <c r="AR5" s="18" t="inlineStr">
        <is>
          <t>OK</t>
        </is>
      </c>
      <c r="AS5" s="18" t="inlineStr">
        <is>
          <t>ROWS:p5r60,p5r61</t>
        </is>
      </c>
      <c r="AT5" s="18" t="inlineStr">
        <is>
          <t>1658892fa167</t>
        </is>
      </c>
    </row>
    <row r="6">
      <c r="A6" s="9" t="n">
        <v>5</v>
      </c>
      <c r="B6" s="9" t="inlineStr">
        <is>
          <t>NEW</t>
        </is>
      </c>
      <c r="C6" s="9" t="inlineStr"/>
      <c r="D6" s="9" t="n">
        <v>0</v>
      </c>
      <c r="E6" s="9" t="inlineStr"/>
      <c r="F6" s="9" t="inlineStr"/>
      <c r="G6" s="9" t="inlineStr"/>
      <c r="H6" s="9" t="inlineStr"/>
      <c r="I6" t="inlineStr">
        <is>
          <t>ALBAUGH AGRO BRASIL LTDA.</t>
        </is>
      </c>
      <c r="J6" t="inlineStr">
        <is>
          <t>ALBAUGH AGRO BRASIL LTDA</t>
        </is>
      </c>
      <c r="K6" t="inlineStr">
        <is>
          <t>01789121</t>
        </is>
      </c>
      <c r="L6" t="inlineStr">
        <is>
          <t>01789121000470, 01789121000984, 01789121001107</t>
        </is>
      </c>
      <c r="M6" s="10" t="n">
        <v>11525550.26</v>
      </c>
      <c r="N6" t="n">
        <v>1</v>
      </c>
      <c r="O6" s="11" t="inlineStr">
        <is>
          <t>UNKNOWN</t>
        </is>
      </c>
      <c r="P6" s="11" t="inlineStr"/>
      <c r="Q6" s="12" t="inlineStr"/>
      <c r="R6" s="11">
        <f>IF(Q6="","",ROUND((TODAY()-Q6)/365.25,1))</f>
        <v/>
      </c>
      <c r="S6" s="13">
        <f>VLOOKUP(O6,Assumptions!$A$7:$E$10,2,FALSE)</f>
        <v/>
      </c>
      <c r="T6" s="14">
        <f>MAX(0.5,VLOOKUP(O6,Assumptions!$A$7:$E$10,3,FALSE)+VLOOKUP(O6,Assumptions!$A$7:$E$10,4,FALSE)/2-IF(R6="",0,R6))</f>
        <v/>
      </c>
      <c r="U6" s="15">
        <f>M6*S6/(1+Assumptions!$B$3)^T6</f>
        <v/>
      </c>
      <c r="V6" s="11">
        <f>IF(M6=0,"",ROUND(U6/M6*100,1))</f>
        <v/>
      </c>
      <c r="W6" s="16">
        <f>U6*Assumptions!$B$4</f>
        <v/>
      </c>
      <c r="X6" s="11">
        <f>IF(M6=0,"",ROUND(W6/M6*100,1))</f>
        <v/>
      </c>
      <c r="Y6" t="inlineStr">
        <is>
          <t>SOJAL COMERCIAL AGRICOLA</t>
        </is>
      </c>
      <c r="Z6" t="inlineStr">
        <is>
          <t>0804401-51.2025.8.14.0039</t>
        </is>
      </c>
      <c r="AA6" t="inlineStr"/>
      <c r="AB6" t="inlineStr">
        <is>
          <t>lrflideres.com.br</t>
        </is>
      </c>
      <c r="AC6" t="inlineStr">
        <is>
          <t>CESAR EMILIANO ROJAS RUIZ</t>
        </is>
      </c>
      <c r="AD6" t="inlineStr">
        <is>
          <t>Administrador</t>
        </is>
      </c>
      <c r="AE6" t="inlineStr">
        <is>
          <t>(11) 3076-4243</t>
        </is>
      </c>
      <c r="AF6" t="inlineStr"/>
      <c r="AG6" t="inlineStr"/>
      <c r="AH6" t="inlineStr">
        <is>
          <t>SP</t>
        </is>
      </c>
      <c r="AI6" t="inlineStr">
        <is>
          <t>SAO PAULO</t>
        </is>
      </c>
      <c r="AJ6" t="inlineStr">
        <is>
          <t>Fabricação de defensivos agrícolas</t>
        </is>
      </c>
      <c r="AK6" t="inlineStr">
        <is>
          <t>DEMAIS</t>
        </is>
      </c>
      <c r="AL6" t="inlineStr">
        <is>
          <t>ATIVA</t>
        </is>
      </c>
      <c r="AM6" s="17" t="inlineStr">
        <is>
          <t>https://lrflideres.com.br/wp-content/plugins/download-attachments/includes/download.php?id=6879</t>
        </is>
      </c>
      <c r="AN6" s="18" t="inlineStr">
        <is>
          <t>p1 r4</t>
        </is>
      </c>
      <c r="AO6" s="18" t="inlineStr">
        <is>
          <t>p1: R$ 11.525.550,26</t>
        </is>
      </c>
      <c r="AP6" s="18" t="inlineStr">
        <is>
          <t>AJ_LIST</t>
        </is>
      </c>
      <c r="AQ6" s="18" t="inlineStr">
        <is>
          <t>2026-01-15</t>
        </is>
      </c>
      <c r="AR6" s="18" t="inlineStr">
        <is>
          <t>OK</t>
        </is>
      </c>
      <c r="AS6" s="18" t="inlineStr">
        <is>
          <t>ROWS:p1r4</t>
        </is>
      </c>
      <c r="AT6" s="18" t="inlineStr">
        <is>
          <t>c56751547323</t>
        </is>
      </c>
    </row>
    <row r="7">
      <c r="A7" s="9" t="n">
        <v>6</v>
      </c>
      <c r="B7" s="9" t="inlineStr">
        <is>
          <t>NEW</t>
        </is>
      </c>
      <c r="C7" s="9" t="inlineStr"/>
      <c r="D7" s="9" t="n">
        <v>0</v>
      </c>
      <c r="E7" s="9" t="inlineStr"/>
      <c r="F7" s="9" t="inlineStr"/>
      <c r="G7" s="9" t="inlineStr"/>
      <c r="H7" s="9" t="inlineStr"/>
      <c r="I7" t="inlineStr">
        <is>
          <t>ADDIANTE S.A</t>
        </is>
      </c>
      <c r="J7" t="inlineStr">
        <is>
          <t>ADDIANTE S.A</t>
        </is>
      </c>
      <c r="K7" t="inlineStr">
        <is>
          <t>48430290</t>
        </is>
      </c>
      <c r="L7" t="inlineStr">
        <is>
          <t>48430290000130</t>
        </is>
      </c>
      <c r="M7" s="10" t="n">
        <v>7135516.97</v>
      </c>
      <c r="N7" t="n">
        <v>1</v>
      </c>
      <c r="O7" s="11" t="inlineStr">
        <is>
          <t>UNKNOWN</t>
        </is>
      </c>
      <c r="P7" s="11" t="inlineStr"/>
      <c r="Q7" s="12" t="inlineStr"/>
      <c r="R7" s="11">
        <f>IF(Q7="","",ROUND((TODAY()-Q7)/365.25,1))</f>
        <v/>
      </c>
      <c r="S7" s="13">
        <f>VLOOKUP(O7,Assumptions!$A$7:$E$10,2,FALSE)</f>
        <v/>
      </c>
      <c r="T7" s="14">
        <f>MAX(0.5,VLOOKUP(O7,Assumptions!$A$7:$E$10,3,FALSE)+VLOOKUP(O7,Assumptions!$A$7:$E$10,4,FALSE)/2-IF(R7="",0,R7))</f>
        <v/>
      </c>
      <c r="U7" s="15">
        <f>M7*S7/(1+Assumptions!$B$3)^T7</f>
        <v/>
      </c>
      <c r="V7" s="11">
        <f>IF(M7=0,"",ROUND(U7/M7*100,1))</f>
        <v/>
      </c>
      <c r="W7" s="16">
        <f>U7*Assumptions!$B$4</f>
        <v/>
      </c>
      <c r="X7" s="11">
        <f>IF(M7=0,"",ROUND(W7/M7*100,1))</f>
        <v/>
      </c>
      <c r="Y7" t="inlineStr">
        <is>
          <t>SOJAL COMERCIAL AGRICOLA</t>
        </is>
      </c>
      <c r="Z7" t="inlineStr">
        <is>
          <t>0804401-51.2025.8.14.0039</t>
        </is>
      </c>
      <c r="AA7" t="inlineStr"/>
      <c r="AB7" t="inlineStr">
        <is>
          <t>lrflideres.com.br</t>
        </is>
      </c>
      <c r="AC7" t="inlineStr">
        <is>
          <t>FABIO ROBERTO LEITE</t>
        </is>
      </c>
      <c r="AD7" t="inlineStr">
        <is>
          <t>Presidente</t>
        </is>
      </c>
      <c r="AE7" t="inlineStr">
        <is>
          <t>(41) 9571-0152</t>
        </is>
      </c>
      <c r="AF7" t="inlineStr"/>
      <c r="AG7" t="inlineStr"/>
      <c r="AH7" t="inlineStr">
        <is>
          <t>PR</t>
        </is>
      </c>
      <c r="AI7" t="inlineStr">
        <is>
          <t>CURITIBA</t>
        </is>
      </c>
      <c r="AJ7" t="inlineStr">
        <is>
          <t>Locação de outros meios de transporte não especificados anteriormente, sem condutor</t>
        </is>
      </c>
      <c r="AK7" t="inlineStr">
        <is>
          <t>DEMAIS</t>
        </is>
      </c>
      <c r="AL7" t="inlineStr">
        <is>
          <t>ATIVA</t>
        </is>
      </c>
      <c r="AM7" s="17" t="inlineStr">
        <is>
          <t>https://lrflideres.com.br/wp-content/plugins/download-attachments/includes/download.php?id=6879</t>
        </is>
      </c>
      <c r="AN7" s="18" t="inlineStr">
        <is>
          <t>p1 r2</t>
        </is>
      </c>
      <c r="AO7" s="18" t="inlineStr">
        <is>
          <t>p1: R$ 7.135.516,97</t>
        </is>
      </c>
      <c r="AP7" s="18" t="inlineStr">
        <is>
          <t>AJ_LIST</t>
        </is>
      </c>
      <c r="AQ7" s="18" t="inlineStr">
        <is>
          <t>2026-01-15</t>
        </is>
      </c>
      <c r="AR7" s="18" t="inlineStr">
        <is>
          <t>OK</t>
        </is>
      </c>
      <c r="AS7" s="18" t="inlineStr">
        <is>
          <t>ROWS:p1r2</t>
        </is>
      </c>
      <c r="AT7" s="18" t="inlineStr">
        <is>
          <t>c56751547323</t>
        </is>
      </c>
    </row>
    <row r="8">
      <c r="A8" s="9" t="n">
        <v>7</v>
      </c>
      <c r="B8" s="9" t="inlineStr">
        <is>
          <t>NEW</t>
        </is>
      </c>
      <c r="C8" s="9" t="inlineStr"/>
      <c r="D8" s="9" t="n">
        <v>0</v>
      </c>
      <c r="E8" s="9" t="inlineStr"/>
      <c r="F8" s="9" t="inlineStr"/>
      <c r="G8" s="9" t="inlineStr"/>
      <c r="H8" s="9" t="inlineStr"/>
      <c r="I8" t="inlineStr">
        <is>
          <t>SOLUS DO BRASIL LTDA</t>
        </is>
      </c>
      <c r="J8" t="inlineStr">
        <is>
          <t>SOLUS INDUSTRIA QUIMICA LTDA</t>
        </is>
      </c>
      <c r="K8" t="inlineStr">
        <is>
          <t>21203489</t>
        </is>
      </c>
      <c r="L8" t="inlineStr">
        <is>
          <t>21203489000764, 21203489000926</t>
        </is>
      </c>
      <c r="M8" s="10" t="n">
        <v>7058181.5</v>
      </c>
      <c r="N8" t="n">
        <v>1</v>
      </c>
      <c r="O8" s="11" t="inlineStr">
        <is>
          <t>UNKNOWN</t>
        </is>
      </c>
      <c r="P8" s="11" t="inlineStr"/>
      <c r="Q8" s="12" t="inlineStr"/>
      <c r="R8" s="11">
        <f>IF(Q8="","",ROUND((TODAY()-Q8)/365.25,1))</f>
        <v/>
      </c>
      <c r="S8" s="13">
        <f>VLOOKUP(O8,Assumptions!$A$7:$E$10,2,FALSE)</f>
        <v/>
      </c>
      <c r="T8" s="14">
        <f>MAX(0.5,VLOOKUP(O8,Assumptions!$A$7:$E$10,3,FALSE)+VLOOKUP(O8,Assumptions!$A$7:$E$10,4,FALSE)/2-IF(R8="",0,R8))</f>
        <v/>
      </c>
      <c r="U8" s="15">
        <f>M8*S8/(1+Assumptions!$B$3)^T8</f>
        <v/>
      </c>
      <c r="V8" s="11">
        <f>IF(M8=0,"",ROUND(U8/M8*100,1))</f>
        <v/>
      </c>
      <c r="W8" s="16">
        <f>U8*Assumptions!$B$4</f>
        <v/>
      </c>
      <c r="X8" s="11">
        <f>IF(M8=0,"",ROUND(W8/M8*100,1))</f>
        <v/>
      </c>
      <c r="Y8" t="inlineStr">
        <is>
          <t>SOJAL COMERCIAL AGRICOLA</t>
        </is>
      </c>
      <c r="Z8" t="inlineStr">
        <is>
          <t>0804401-51.2025.8.14.0039</t>
        </is>
      </c>
      <c r="AA8" t="inlineStr"/>
      <c r="AB8" t="inlineStr">
        <is>
          <t>lrflideres.com.br</t>
        </is>
      </c>
      <c r="AC8" t="inlineStr">
        <is>
          <t>ANDERSON JOSE FAUSTINO</t>
        </is>
      </c>
      <c r="AD8" t="inlineStr">
        <is>
          <t>Administrador</t>
        </is>
      </c>
      <c r="AE8" t="inlineStr">
        <is>
          <t>(43) 3162-2715</t>
        </is>
      </c>
      <c r="AF8" t="inlineStr"/>
      <c r="AG8" t="inlineStr"/>
      <c r="AH8" t="inlineStr">
        <is>
          <t>PR</t>
        </is>
      </c>
      <c r="AI8" t="inlineStr">
        <is>
          <t>APUCARANA</t>
        </is>
      </c>
      <c r="AJ8" t="inlineStr">
        <is>
          <t>Fabricação de defensivos agrícolas</t>
        </is>
      </c>
      <c r="AK8" t="inlineStr">
        <is>
          <t>DEMAIS</t>
        </is>
      </c>
      <c r="AL8" t="inlineStr">
        <is>
          <t>ATIVA</t>
        </is>
      </c>
      <c r="AM8" s="17" t="inlineStr">
        <is>
          <t>https://lrflideres.com.br/wp-content/plugins/download-attachments/includes/download.php?id=6879</t>
        </is>
      </c>
      <c r="AN8" s="18" t="inlineStr">
        <is>
          <t>p2 r10</t>
        </is>
      </c>
      <c r="AO8" s="18" t="inlineStr">
        <is>
          <t>p2: R$ 7.058.181,50</t>
        </is>
      </c>
      <c r="AP8" s="18" t="inlineStr">
        <is>
          <t>AJ_LIST</t>
        </is>
      </c>
      <c r="AQ8" s="18" t="inlineStr">
        <is>
          <t>2026-01-15</t>
        </is>
      </c>
      <c r="AR8" s="18" t="inlineStr">
        <is>
          <t>OK</t>
        </is>
      </c>
      <c r="AS8" s="18" t="inlineStr">
        <is>
          <t>ROWS:p2r10</t>
        </is>
      </c>
      <c r="AT8" s="18" t="inlineStr">
        <is>
          <t>c56751547323</t>
        </is>
      </c>
    </row>
    <row r="9">
      <c r="A9" s="9" t="n">
        <v>8</v>
      </c>
      <c r="B9" s="9" t="inlineStr">
        <is>
          <t>NEW</t>
        </is>
      </c>
      <c r="C9" s="9" t="inlineStr"/>
      <c r="D9" s="9" t="n">
        <v>0</v>
      </c>
      <c r="E9" s="9" t="inlineStr"/>
      <c r="F9" s="9" t="inlineStr"/>
      <c r="G9" s="9" t="inlineStr"/>
      <c r="H9" s="9" t="inlineStr"/>
      <c r="I9" t="inlineStr">
        <is>
          <t>NORTESUL COMERCIAL AGRICOLA LTDA EM RECUPERACAO JUDICIAL</t>
        </is>
      </c>
      <c r="J9" t="inlineStr">
        <is>
          <t>NORTESUL COMERCIAL AGRICOLA LTDA</t>
        </is>
      </c>
      <c r="K9" t="inlineStr">
        <is>
          <t>15626673</t>
        </is>
      </c>
      <c r="L9" t="inlineStr">
        <is>
          <t>15626673000129, 15626673000390, 15626673000552</t>
        </is>
      </c>
      <c r="M9" s="10" t="n">
        <v>6258845.34</v>
      </c>
      <c r="N9" t="n">
        <v>1</v>
      </c>
      <c r="O9" s="11" t="inlineStr">
        <is>
          <t>UNKNOWN</t>
        </is>
      </c>
      <c r="P9" s="11" t="inlineStr"/>
      <c r="Q9" s="12" t="inlineStr"/>
      <c r="R9" s="11">
        <f>IF(Q9="","",ROUND((TODAY()-Q9)/365.25,1))</f>
        <v/>
      </c>
      <c r="S9" s="13">
        <f>VLOOKUP(O9,Assumptions!$A$7:$E$10,2,FALSE)</f>
        <v/>
      </c>
      <c r="T9" s="14">
        <f>MAX(0.5,VLOOKUP(O9,Assumptions!$A$7:$E$10,3,FALSE)+VLOOKUP(O9,Assumptions!$A$7:$E$10,4,FALSE)/2-IF(R9="",0,R9))</f>
        <v/>
      </c>
      <c r="U9" s="15">
        <f>M9*S9/(1+Assumptions!$B$3)^T9</f>
        <v/>
      </c>
      <c r="V9" s="11">
        <f>IF(M9=0,"",ROUND(U9/M9*100,1))</f>
        <v/>
      </c>
      <c r="W9" s="16">
        <f>U9*Assumptions!$B$4</f>
        <v/>
      </c>
      <c r="X9" s="11">
        <f>IF(M9=0,"",ROUND(W9/M9*100,1))</f>
        <v/>
      </c>
      <c r="Y9" t="inlineStr">
        <is>
          <t>SOJAL COMERCIAL AGRICOLA</t>
        </is>
      </c>
      <c r="Z9" t="inlineStr">
        <is>
          <t>0804401-51.2025.8.14.0039</t>
        </is>
      </c>
      <c r="AA9" t="inlineStr"/>
      <c r="AB9" t="inlineStr">
        <is>
          <t>lrflideres.com.br</t>
        </is>
      </c>
      <c r="AC9" t="inlineStr">
        <is>
          <t>JULIANO MENDES DOS SANTOS</t>
        </is>
      </c>
      <c r="AD9" t="inlineStr">
        <is>
          <t>Sócio-Administrador</t>
        </is>
      </c>
      <c r="AE9" t="inlineStr">
        <is>
          <t>(63) 3602-4239</t>
        </is>
      </c>
      <c r="AF9" t="inlineStr"/>
      <c r="AG9" t="inlineStr"/>
      <c r="AH9" t="inlineStr">
        <is>
          <t>TO</t>
        </is>
      </c>
      <c r="AI9" t="inlineStr">
        <is>
          <t>PALMAS</t>
        </is>
      </c>
      <c r="AJ9" t="inlineStr">
        <is>
          <t>Comércio atacadista de matérias-primas agrícolas não especificadas anteriormente</t>
        </is>
      </c>
      <c r="AK9" t="inlineStr">
        <is>
          <t>DEMAIS</t>
        </is>
      </c>
      <c r="AL9" t="inlineStr">
        <is>
          <t>ATIVA</t>
        </is>
      </c>
      <c r="AM9" s="17" t="inlineStr">
        <is>
          <t>https://lrflideres.com.br/wp-content/plugins/download-attachments/includes/download.php?id=6879</t>
        </is>
      </c>
      <c r="AN9" s="18" t="inlineStr">
        <is>
          <t>p2 r5</t>
        </is>
      </c>
      <c r="AO9" s="18" t="inlineStr">
        <is>
          <t>p2: R$ 6.258.845,34</t>
        </is>
      </c>
      <c r="AP9" s="18" t="inlineStr">
        <is>
          <t>AJ_LIST</t>
        </is>
      </c>
      <c r="AQ9" s="18" t="inlineStr">
        <is>
          <t>2026-01-15</t>
        </is>
      </c>
      <c r="AR9" s="18" t="inlineStr">
        <is>
          <t>OK</t>
        </is>
      </c>
      <c r="AS9" s="18" t="inlineStr">
        <is>
          <t>ROWS:p2r5</t>
        </is>
      </c>
      <c r="AT9" s="18" t="inlineStr">
        <is>
          <t>c56751547323</t>
        </is>
      </c>
    </row>
    <row r="10">
      <c r="A10" s="9" t="n">
        <v>9</v>
      </c>
      <c r="B10" s="9" t="inlineStr">
        <is>
          <t>NEW</t>
        </is>
      </c>
      <c r="C10" s="9" t="inlineStr"/>
      <c r="D10" s="9" t="n">
        <v>0</v>
      </c>
      <c r="E10" s="9" t="inlineStr"/>
      <c r="F10" s="9" t="inlineStr"/>
      <c r="G10" s="9" t="inlineStr"/>
      <c r="H10" s="9" t="inlineStr"/>
      <c r="I10" t="inlineStr"/>
      <c r="J10" t="inlineStr">
        <is>
          <t>FARM TECH IBBA I FIDC</t>
        </is>
      </c>
      <c r="K10" t="inlineStr">
        <is>
          <t>47151680</t>
        </is>
      </c>
      <c r="L10" t="inlineStr">
        <is>
          <t>31652424000164, 47151680000108</t>
        </is>
      </c>
      <c r="M10" s="10" t="n">
        <v>5767665.6</v>
      </c>
      <c r="N10" t="n">
        <v>1</v>
      </c>
      <c r="O10" s="11" t="inlineStr">
        <is>
          <t>UNKNOWN</t>
        </is>
      </c>
      <c r="P10" s="11" t="inlineStr"/>
      <c r="Q10" s="12" t="inlineStr"/>
      <c r="R10" s="11">
        <f>IF(Q10="","",ROUND((TODAY()-Q10)/365.25,1))</f>
        <v/>
      </c>
      <c r="S10" s="13">
        <f>VLOOKUP(O10,Assumptions!$A$7:$E$10,2,FALSE)</f>
        <v/>
      </c>
      <c r="T10" s="14">
        <f>MAX(0.5,VLOOKUP(O10,Assumptions!$A$7:$E$10,3,FALSE)+VLOOKUP(O10,Assumptions!$A$7:$E$10,4,FALSE)/2-IF(R10="",0,R10))</f>
        <v/>
      </c>
      <c r="U10" s="15">
        <f>M10*S10/(1+Assumptions!$B$3)^T10</f>
        <v/>
      </c>
      <c r="V10" s="11">
        <f>IF(M10=0,"",ROUND(U10/M10*100,1))</f>
        <v/>
      </c>
      <c r="W10" s="16">
        <f>U10*Assumptions!$B$4</f>
        <v/>
      </c>
      <c r="X10" s="11">
        <f>IF(M10=0,"",ROUND(W10/M10*100,1))</f>
        <v/>
      </c>
      <c r="Y10" t="inlineStr">
        <is>
          <t>SOJAL COMERCIAL AGRICOLA</t>
        </is>
      </c>
      <c r="Z10" t="inlineStr">
        <is>
          <t>0804401-51.2025.8.14.0039</t>
        </is>
      </c>
      <c r="AA10" t="inlineStr"/>
      <c r="AB10" t="inlineStr">
        <is>
          <t>lrflideres.com.br</t>
        </is>
      </c>
      <c r="AC10" t="inlineStr"/>
      <c r="AD10" t="inlineStr"/>
      <c r="AE10" t="inlineStr"/>
      <c r="AF10" t="inlineStr"/>
      <c r="AG10" t="inlineStr"/>
      <c r="AH10" t="inlineStr"/>
      <c r="AI10" t="inlineStr"/>
      <c r="AJ10" t="inlineStr"/>
      <c r="AK10" t="inlineStr"/>
      <c r="AL10" t="inlineStr"/>
      <c r="AM10" s="17" t="inlineStr">
        <is>
          <t>https://lrflideres.com.br/wp-content/plugins/download-attachments/includes/download.php?id=6879</t>
        </is>
      </c>
      <c r="AN10" s="18" t="inlineStr">
        <is>
          <t>p1 r13</t>
        </is>
      </c>
      <c r="AO10" s="18" t="inlineStr">
        <is>
          <t>p1: R$ 5.767.665,60</t>
        </is>
      </c>
      <c r="AP10" s="18" t="inlineStr">
        <is>
          <t>AJ_LIST</t>
        </is>
      </c>
      <c r="AQ10" s="18" t="inlineStr">
        <is>
          <t>2026-01-15</t>
        </is>
      </c>
      <c r="AR10" s="18" t="inlineStr">
        <is>
          <t>OK</t>
        </is>
      </c>
      <c r="AS10" s="18" t="inlineStr">
        <is>
          <t>MULTI_ROOT ROWS:p1r13</t>
        </is>
      </c>
      <c r="AT10" s="18" t="inlineStr">
        <is>
          <t>c56751547323</t>
        </is>
      </c>
    </row>
    <row r="11">
      <c r="A11" s="9" t="n">
        <v>10</v>
      </c>
      <c r="B11" s="9" t="inlineStr">
        <is>
          <t>NEW</t>
        </is>
      </c>
      <c r="C11" s="9" t="inlineStr"/>
      <c r="D11" s="9" t="n">
        <v>0</v>
      </c>
      <c r="E11" s="9" t="inlineStr"/>
      <c r="F11" s="9" t="inlineStr"/>
      <c r="G11" s="9" t="inlineStr"/>
      <c r="H11" s="9" t="inlineStr"/>
      <c r="I11" t="inlineStr">
        <is>
          <t>JF PASQUA CONDUTORES ELETRICOS LTDA</t>
        </is>
      </c>
      <c r="J11" t="inlineStr">
        <is>
          <t>JF PASQUA CONDUTORES ELETRICOS LTDA</t>
        </is>
      </c>
      <c r="K11" t="inlineStr">
        <is>
          <t>03981899</t>
        </is>
      </c>
      <c r="L11" t="inlineStr">
        <is>
          <t>03981899000169</t>
        </is>
      </c>
      <c r="M11" s="10" t="n">
        <v>4940520.91</v>
      </c>
      <c r="N11" t="n">
        <v>2</v>
      </c>
      <c r="O11" s="11" t="inlineStr">
        <is>
          <t>UNKNOWN</t>
        </is>
      </c>
      <c r="P11" s="11" t="inlineStr"/>
      <c r="Q11" s="12" t="inlineStr"/>
      <c r="R11" s="11">
        <f>IF(Q11="","",ROUND((TODAY()-Q11)/365.25,1))</f>
        <v/>
      </c>
      <c r="S11" s="13">
        <f>VLOOKUP(O11,Assumptions!$A$7:$E$10,2,FALSE)</f>
        <v/>
      </c>
      <c r="T11" s="14">
        <f>MAX(0.5,VLOOKUP(O11,Assumptions!$A$7:$E$10,3,FALSE)+VLOOKUP(O11,Assumptions!$A$7:$E$10,4,FALSE)/2-IF(R11="",0,R11))</f>
        <v/>
      </c>
      <c r="U11" s="15">
        <f>M11*S11/(1+Assumptions!$B$3)^T11</f>
        <v/>
      </c>
      <c r="V11" s="11">
        <f>IF(M11=0,"",ROUND(U11/M11*100,1))</f>
        <v/>
      </c>
      <c r="W11" s="16">
        <f>U11*Assumptions!$B$4</f>
        <v/>
      </c>
      <c r="X11" s="11">
        <f>IF(M11=0,"",ROUND(W11/M11*100,1))</f>
        <v/>
      </c>
      <c r="Y11" t="inlineStr">
        <is>
          <t>Conduscabos Brasil Indústria Comércio de</t>
        </is>
      </c>
      <c r="Z11" t="inlineStr">
        <is>
          <t>8005129-09.2023.8.05.0039</t>
        </is>
      </c>
      <c r="AA11" t="inlineStr"/>
      <c r="AB11" t="inlineStr">
        <is>
          <t>assistjud.com.br</t>
        </is>
      </c>
      <c r="AC11" t="inlineStr">
        <is>
          <t>REGINA MARIA PASQUA SANTOS</t>
        </is>
      </c>
      <c r="AD11" t="inlineStr">
        <is>
          <t>Administrador</t>
        </is>
      </c>
      <c r="AE11" t="inlineStr">
        <is>
          <t>(35) 3559-6789</t>
        </is>
      </c>
      <c r="AF11" t="inlineStr"/>
      <c r="AG11" t="inlineStr"/>
      <c r="AH11" t="inlineStr">
        <is>
          <t>MG</t>
        </is>
      </c>
      <c r="AI11" t="inlineStr">
        <is>
          <t>GUAXUPE</t>
        </is>
      </c>
      <c r="AJ11" t="inlineStr">
        <is>
          <t>Metalurgia do cobre</t>
        </is>
      </c>
      <c r="AK11" t="inlineStr">
        <is>
          <t>DEMAIS</t>
        </is>
      </c>
      <c r="AL11" t="inlineStr">
        <is>
          <t>ATIVA</t>
        </is>
      </c>
      <c r="AM11" s="17" t="inlineStr">
        <is>
          <t>https://assistjud.com.br/wp-content/uploads/elementor/forms/65098c80a5824.pdf</t>
        </is>
      </c>
      <c r="AN11" s="18" t="inlineStr">
        <is>
          <t>p8 r4; p18 r6</t>
        </is>
      </c>
      <c r="AO11" s="18" t="inlineStr">
        <is>
          <t>p8: R$ 2.217.364,91; p18: R$ 2.723.156,00</t>
        </is>
      </c>
      <c r="AP11" s="18" t="inlineStr">
        <is>
          <t>AJ_LIST</t>
        </is>
      </c>
      <c r="AQ11" s="18" t="inlineStr">
        <is>
          <t>2023-09-18</t>
        </is>
      </c>
      <c r="AR11" s="18" t="inlineStr">
        <is>
          <t>OK_NO_TOTALS</t>
        </is>
      </c>
      <c r="AS11" s="18" t="inlineStr">
        <is>
          <t>ROWS:p8r4,p18r6 UNRECONCILED_SOURCE</t>
        </is>
      </c>
      <c r="AT11" s="18" t="inlineStr">
        <is>
          <t>a0ae32a59c29</t>
        </is>
      </c>
    </row>
    <row r="12">
      <c r="A12" s="9" t="n">
        <v>11</v>
      </c>
      <c r="B12" s="9" t="inlineStr">
        <is>
          <t>NEW</t>
        </is>
      </c>
      <c r="C12" s="9" t="inlineStr"/>
      <c r="D12" s="9" t="n">
        <v>0</v>
      </c>
      <c r="E12" s="9" t="inlineStr"/>
      <c r="F12" s="9" t="inlineStr"/>
      <c r="G12" s="9" t="inlineStr"/>
      <c r="H12" s="9" t="inlineStr"/>
      <c r="I12" t="inlineStr">
        <is>
          <t>COMPANHIA DE AGUA E ESGOTOS DA PARAIBA CAGEPA</t>
        </is>
      </c>
      <c r="J12" t="inlineStr">
        <is>
          <t>COMPANHIA DE ÁGUA E ESGOTOS DA PARAIBA CAGEPA</t>
        </is>
      </c>
      <c r="K12" t="inlineStr">
        <is>
          <t>09123654</t>
        </is>
      </c>
      <c r="L12" t="inlineStr">
        <is>
          <t>09123654000187</t>
        </is>
      </c>
      <c r="M12" s="10" t="n">
        <v>3641949.67</v>
      </c>
      <c r="N12" t="n">
        <v>1</v>
      </c>
      <c r="O12" s="11" t="inlineStr">
        <is>
          <t>UNKNOWN</t>
        </is>
      </c>
      <c r="P12" s="11" t="inlineStr"/>
      <c r="Q12" s="12" t="inlineStr"/>
      <c r="R12" s="11">
        <f>IF(Q12="","",ROUND((TODAY()-Q12)/365.25,1))</f>
        <v/>
      </c>
      <c r="S12" s="13">
        <f>VLOOKUP(O12,Assumptions!$A$7:$E$10,2,FALSE)</f>
        <v/>
      </c>
      <c r="T12" s="14">
        <f>MAX(0.5,VLOOKUP(O12,Assumptions!$A$7:$E$10,3,FALSE)+VLOOKUP(O12,Assumptions!$A$7:$E$10,4,FALSE)/2-IF(R12="",0,R12))</f>
        <v/>
      </c>
      <c r="U12" s="15">
        <f>M12*S12/(1+Assumptions!$B$3)^T12</f>
        <v/>
      </c>
      <c r="V12" s="11">
        <f>IF(M12=0,"",ROUND(U12/M12*100,1))</f>
        <v/>
      </c>
      <c r="W12" s="16">
        <f>U12*Assumptions!$B$4</f>
        <v/>
      </c>
      <c r="X12" s="11">
        <f>IF(M12=0,"",ROUND(W12/M12*100,1))</f>
        <v/>
      </c>
      <c r="Y12" t="inlineStr">
        <is>
          <t>DR. ALLAN DE QUEIROZ RAMOS – OAB/PB 20.574</t>
        </is>
      </c>
      <c r="Z12" t="inlineStr">
        <is>
          <t>0829315-43.2023.8.15.0001</t>
        </is>
      </c>
      <c r="AA12" t="inlineStr"/>
      <c r="AB12" t="inlineStr">
        <is>
          <t>lrflideres.com.br</t>
        </is>
      </c>
      <c r="AC12" t="inlineStr">
        <is>
          <t>MARCUS VINICIUS FERNANDES NEVES</t>
        </is>
      </c>
      <c r="AD12" t="inlineStr">
        <is>
          <t>Presidente</t>
        </is>
      </c>
      <c r="AE12" t="inlineStr">
        <is>
          <t>(83) 3218-1200</t>
        </is>
      </c>
      <c r="AF12" t="inlineStr">
        <is>
          <t>(83) 3218-1225</t>
        </is>
      </c>
      <c r="AG12" t="inlineStr"/>
      <c r="AH12" t="inlineStr">
        <is>
          <t>PB</t>
        </is>
      </c>
      <c r="AI12" t="inlineStr">
        <is>
          <t>JOAO PESSOA</t>
        </is>
      </c>
      <c r="AJ12" t="inlineStr">
        <is>
          <t>Captação, tratamento e distribuição de água</t>
        </is>
      </c>
      <c r="AK12" t="inlineStr">
        <is>
          <t>DEMAIS</t>
        </is>
      </c>
      <c r="AL12" t="inlineStr">
        <is>
          <t>ATIVA</t>
        </is>
      </c>
      <c r="AM12" s="17" t="inlineStr">
        <is>
          <t>https://lrflideres.com.br/wp-content/plugins/download-attachments/includes/download.php?id=5828</t>
        </is>
      </c>
      <c r="AN12" s="18" t="inlineStr">
        <is>
          <t>p3 r16</t>
        </is>
      </c>
      <c r="AO12" s="18" t="inlineStr">
        <is>
          <t>p3: R$ 3.641.949,67</t>
        </is>
      </c>
      <c r="AP12" s="18" t="inlineStr">
        <is>
          <t>AJ_LIST</t>
        </is>
      </c>
      <c r="AQ12" s="18" t="inlineStr">
        <is>
          <t>2024-04-18</t>
        </is>
      </c>
      <c r="AR12" s="18" t="inlineStr">
        <is>
          <t>OK</t>
        </is>
      </c>
      <c r="AS12" s="18" t="inlineStr">
        <is>
          <t>ROWS:p3r16</t>
        </is>
      </c>
      <c r="AT12" s="18" t="inlineStr">
        <is>
          <t>47e92e4db6f8</t>
        </is>
      </c>
    </row>
    <row r="13">
      <c r="A13" s="9" t="n">
        <v>12</v>
      </c>
      <c r="B13" s="9" t="inlineStr">
        <is>
          <t>NEW</t>
        </is>
      </c>
      <c r="C13" s="9" t="inlineStr"/>
      <c r="D13" s="9" t="n">
        <v>0</v>
      </c>
      <c r="E13" s="9" t="inlineStr"/>
      <c r="F13" s="9" t="inlineStr"/>
      <c r="G13" s="9" t="inlineStr"/>
      <c r="H13" s="9" t="inlineStr"/>
      <c r="I13" t="inlineStr">
        <is>
          <t>VEGETAL AGRONEGOCIOS LTDA</t>
        </is>
      </c>
      <c r="J13" t="inlineStr">
        <is>
          <t>VEGETAL AGRONEGOCIOS LTDA</t>
        </is>
      </c>
      <c r="K13" t="inlineStr">
        <is>
          <t>05429994</t>
        </is>
      </c>
      <c r="L13" t="inlineStr">
        <is>
          <t>05429994001313</t>
        </is>
      </c>
      <c r="M13" s="10" t="n">
        <v>3014807.2</v>
      </c>
      <c r="N13" t="n">
        <v>1</v>
      </c>
      <c r="O13" s="11" t="inlineStr">
        <is>
          <t>UNKNOWN</t>
        </is>
      </c>
      <c r="P13" s="11" t="inlineStr"/>
      <c r="Q13" s="12" t="inlineStr"/>
      <c r="R13" s="11">
        <f>IF(Q13="","",ROUND((TODAY()-Q13)/365.25,1))</f>
        <v/>
      </c>
      <c r="S13" s="13">
        <f>VLOOKUP(O13,Assumptions!$A$7:$E$10,2,FALSE)</f>
        <v/>
      </c>
      <c r="T13" s="14">
        <f>MAX(0.5,VLOOKUP(O13,Assumptions!$A$7:$E$10,3,FALSE)+VLOOKUP(O13,Assumptions!$A$7:$E$10,4,FALSE)/2-IF(R13="",0,R13))</f>
        <v/>
      </c>
      <c r="U13" s="15">
        <f>M13*S13/(1+Assumptions!$B$3)^T13</f>
        <v/>
      </c>
      <c r="V13" s="11">
        <f>IF(M13=0,"",ROUND(U13/M13*100,1))</f>
        <v/>
      </c>
      <c r="W13" s="16">
        <f>U13*Assumptions!$B$4</f>
        <v/>
      </c>
      <c r="X13" s="11">
        <f>IF(M13=0,"",ROUND(W13/M13*100,1))</f>
        <v/>
      </c>
      <c r="Y13" t="inlineStr">
        <is>
          <t>SOJAL COMERCIAL AGRICOLA</t>
        </is>
      </c>
      <c r="Z13" t="inlineStr">
        <is>
          <t>0804401-51.2025.8.14.0039</t>
        </is>
      </c>
      <c r="AA13" t="inlineStr"/>
      <c r="AB13" t="inlineStr">
        <is>
          <t>lrflideres.com.br</t>
        </is>
      </c>
      <c r="AC13" t="inlineStr">
        <is>
          <t>ALDAIR REMUSSI</t>
        </is>
      </c>
      <c r="AD13" t="inlineStr">
        <is>
          <t>Sócio-Administrador</t>
        </is>
      </c>
      <c r="AE13" t="inlineStr">
        <is>
          <t>(61) 3234-8485</t>
        </is>
      </c>
      <c r="AF13" t="inlineStr"/>
      <c r="AG13" t="inlineStr"/>
      <c r="AH13" t="inlineStr">
        <is>
          <t>DF</t>
        </is>
      </c>
      <c r="AI13" t="inlineStr">
        <is>
          <t>BRASILIA</t>
        </is>
      </c>
      <c r="AJ13" t="inlineStr">
        <is>
          <t>Comércio atacadista de defensivos agrícolas, adubos, fertilizantes e corretivos do solo</t>
        </is>
      </c>
      <c r="AK13" t="inlineStr">
        <is>
          <t>DEMAIS</t>
        </is>
      </c>
      <c r="AL13" t="inlineStr">
        <is>
          <t>ATIVA</t>
        </is>
      </c>
      <c r="AM13" s="17" t="inlineStr">
        <is>
          <t>https://lrflideres.com.br/wp-content/plugins/download-attachments/includes/download.php?id=6879</t>
        </is>
      </c>
      <c r="AN13" s="18" t="inlineStr">
        <is>
          <t>p2 r13</t>
        </is>
      </c>
      <c r="AO13" s="18" t="inlineStr">
        <is>
          <t>p2: R$ 3.014.807,20</t>
        </is>
      </c>
      <c r="AP13" s="18" t="inlineStr">
        <is>
          <t>AJ_LIST</t>
        </is>
      </c>
      <c r="AQ13" s="18" t="inlineStr">
        <is>
          <t>2026-01-15</t>
        </is>
      </c>
      <c r="AR13" s="18" t="inlineStr">
        <is>
          <t>OK</t>
        </is>
      </c>
      <c r="AS13" s="18" t="inlineStr">
        <is>
          <t>ROWS:p2r13</t>
        </is>
      </c>
      <c r="AT13" s="18" t="inlineStr">
        <is>
          <t>c56751547323</t>
        </is>
      </c>
    </row>
    <row r="14">
      <c r="A14" s="9" t="n">
        <v>13</v>
      </c>
      <c r="B14" s="9" t="inlineStr">
        <is>
          <t>NEW</t>
        </is>
      </c>
      <c r="C14" s="9" t="inlineStr"/>
      <c r="D14" s="9" t="n">
        <v>0</v>
      </c>
      <c r="E14" s="9" t="inlineStr"/>
      <c r="F14" s="9" t="inlineStr"/>
      <c r="G14" s="9" t="inlineStr"/>
      <c r="H14" s="9" t="inlineStr"/>
      <c r="I14" t="inlineStr">
        <is>
          <t>CROMO INDUSTRIA QUIMICA S.A.</t>
        </is>
      </c>
      <c r="J14" t="inlineStr">
        <is>
          <t>CROMO INDUSTRIA QUIMICA S.A</t>
        </is>
      </c>
      <c r="K14" t="inlineStr">
        <is>
          <t>31281962</t>
        </is>
      </c>
      <c r="L14" t="inlineStr">
        <is>
          <t>31281962000190, 31281962000270</t>
        </is>
      </c>
      <c r="M14" s="10" t="n">
        <v>2406485.64</v>
      </c>
      <c r="N14" t="n">
        <v>1</v>
      </c>
      <c r="O14" s="11" t="inlineStr">
        <is>
          <t>UNKNOWN</t>
        </is>
      </c>
      <c r="P14" s="11" t="inlineStr"/>
      <c r="Q14" s="12" t="inlineStr"/>
      <c r="R14" s="11">
        <f>IF(Q14="","",ROUND((TODAY()-Q14)/365.25,1))</f>
        <v/>
      </c>
      <c r="S14" s="13">
        <f>VLOOKUP(O14,Assumptions!$A$7:$E$10,2,FALSE)</f>
        <v/>
      </c>
      <c r="T14" s="14">
        <f>MAX(0.5,VLOOKUP(O14,Assumptions!$A$7:$E$10,3,FALSE)+VLOOKUP(O14,Assumptions!$A$7:$E$10,4,FALSE)/2-IF(R14="",0,R14))</f>
        <v/>
      </c>
      <c r="U14" s="15">
        <f>M14*S14/(1+Assumptions!$B$3)^T14</f>
        <v/>
      </c>
      <c r="V14" s="11">
        <f>IF(M14=0,"",ROUND(U14/M14*100,1))</f>
        <v/>
      </c>
      <c r="W14" s="16">
        <f>U14*Assumptions!$B$4</f>
        <v/>
      </c>
      <c r="X14" s="11">
        <f>IF(M14=0,"",ROUND(W14/M14*100,1))</f>
        <v/>
      </c>
      <c r="Y14" t="inlineStr">
        <is>
          <t>SOJAL COMERCIAL AGRICOLA</t>
        </is>
      </c>
      <c r="Z14" t="inlineStr">
        <is>
          <t>0804401-51.2025.8.14.0039</t>
        </is>
      </c>
      <c r="AA14" t="inlineStr"/>
      <c r="AB14" t="inlineStr">
        <is>
          <t>lrflideres.com.br</t>
        </is>
      </c>
      <c r="AC14" t="inlineStr">
        <is>
          <t>JOSIR NEULS</t>
        </is>
      </c>
      <c r="AD14" t="inlineStr">
        <is>
          <t>Presidente</t>
        </is>
      </c>
      <c r="AE14" t="inlineStr">
        <is>
          <t>(11) 4130-8138</t>
        </is>
      </c>
      <c r="AF14" t="inlineStr"/>
      <c r="AG14" t="inlineStr"/>
      <c r="AH14" t="inlineStr">
        <is>
          <t>RS</t>
        </is>
      </c>
      <c r="AI14" t="inlineStr">
        <is>
          <t>ESTRELA</t>
        </is>
      </c>
      <c r="AJ14" t="inlineStr">
        <is>
          <t>Fabricação de outros produtos químicos não especificados anteriormente</t>
        </is>
      </c>
      <c r="AK14" t="inlineStr">
        <is>
          <t>DEMAIS</t>
        </is>
      </c>
      <c r="AL14" t="inlineStr">
        <is>
          <t>ATIVA</t>
        </is>
      </c>
      <c r="AM14" s="17" t="inlineStr">
        <is>
          <t>https://lrflideres.com.br/wp-content/plugins/download-attachments/includes/download.php?id=6879</t>
        </is>
      </c>
      <c r="AN14" s="18" t="inlineStr">
        <is>
          <t>p1 r11</t>
        </is>
      </c>
      <c r="AO14" s="18" t="inlineStr">
        <is>
          <t>p1: R$ 2.406.485,64</t>
        </is>
      </c>
      <c r="AP14" s="18" t="inlineStr">
        <is>
          <t>AJ_LIST</t>
        </is>
      </c>
      <c r="AQ14" s="18" t="inlineStr">
        <is>
          <t>2026-01-15</t>
        </is>
      </c>
      <c r="AR14" s="18" t="inlineStr">
        <is>
          <t>OK</t>
        </is>
      </c>
      <c r="AS14" s="18" t="inlineStr">
        <is>
          <t>ROWS:p1r11</t>
        </is>
      </c>
      <c r="AT14" s="18" t="inlineStr">
        <is>
          <t>c56751547323</t>
        </is>
      </c>
    </row>
    <row r="15">
      <c r="A15" s="9" t="n">
        <v>14</v>
      </c>
      <c r="B15" s="9" t="inlineStr">
        <is>
          <t>NEW</t>
        </is>
      </c>
      <c r="C15" s="9" t="inlineStr"/>
      <c r="D15" s="9" t="n">
        <v>0</v>
      </c>
      <c r="E15" s="9" t="inlineStr"/>
      <c r="F15" s="9" t="inlineStr"/>
      <c r="G15" s="9" t="inlineStr"/>
      <c r="H15" s="9" t="inlineStr"/>
      <c r="I15" t="inlineStr"/>
      <c r="J15" t="inlineStr">
        <is>
          <t>GAVEA FIDC</t>
        </is>
      </c>
      <c r="K15" t="inlineStr">
        <is>
          <t>12910431</t>
        </is>
      </c>
      <c r="L15" t="inlineStr">
        <is>
          <t>12910431000174</t>
        </is>
      </c>
      <c r="M15" s="10" t="n">
        <v>2327494.5</v>
      </c>
      <c r="N15" t="n">
        <v>3</v>
      </c>
      <c r="O15" s="11" t="inlineStr">
        <is>
          <t>UNKNOWN</t>
        </is>
      </c>
      <c r="P15" s="11" t="inlineStr"/>
      <c r="Q15" s="12" t="inlineStr"/>
      <c r="R15" s="11">
        <f>IF(Q15="","",ROUND((TODAY()-Q15)/365.25,1))</f>
        <v/>
      </c>
      <c r="S15" s="13">
        <f>VLOOKUP(O15,Assumptions!$A$7:$E$10,2,FALSE)</f>
        <v/>
      </c>
      <c r="T15" s="14">
        <f>MAX(0.5,VLOOKUP(O15,Assumptions!$A$7:$E$10,3,FALSE)+VLOOKUP(O15,Assumptions!$A$7:$E$10,4,FALSE)/2-IF(R15="",0,R15))</f>
        <v/>
      </c>
      <c r="U15" s="15">
        <f>M15*S15/(1+Assumptions!$B$3)^T15</f>
        <v/>
      </c>
      <c r="V15" s="11">
        <f>IF(M15=0,"",ROUND(U15/M15*100,1))</f>
        <v/>
      </c>
      <c r="W15" s="16">
        <f>U15*Assumptions!$B$4</f>
        <v/>
      </c>
      <c r="X15" s="11">
        <f>IF(M15=0,"",ROUND(W15/M15*100,1))</f>
        <v/>
      </c>
      <c r="Y15" t="inlineStr">
        <is>
          <t>Conduscabos Brasil Indústria Comércio de</t>
        </is>
      </c>
      <c r="Z15" t="inlineStr">
        <is>
          <t>8005129-09.2023.8.05.0039</t>
        </is>
      </c>
      <c r="AA15" t="inlineStr"/>
      <c r="AB15" t="inlineStr">
        <is>
          <t>assistjud.com.br</t>
        </is>
      </c>
      <c r="AC15" t="inlineStr"/>
      <c r="AD15" t="inlineStr"/>
      <c r="AE15" t="inlineStr"/>
      <c r="AF15" t="inlineStr"/>
      <c r="AG15" t="inlineStr"/>
      <c r="AH15" t="inlineStr"/>
      <c r="AI15" t="inlineStr"/>
      <c r="AJ15" t="inlineStr"/>
      <c r="AK15" t="inlineStr"/>
      <c r="AL15" t="inlineStr"/>
      <c r="AM15" s="17" t="inlineStr">
        <is>
          <t>https://assistjud.com.br/wp-content/uploads/elementor/forms/65098c80a5824.pdf</t>
        </is>
      </c>
      <c r="AN15" s="18" t="inlineStr">
        <is>
          <t>p7 r9; p8 r18; p9 r15</t>
        </is>
      </c>
      <c r="AO15" s="18" t="inlineStr">
        <is>
          <t>p7: R$ 775.620,94; p8: R$ 462.653,52; p9: R$ 1.089.220,04</t>
        </is>
      </c>
      <c r="AP15" s="18" t="inlineStr">
        <is>
          <t>AJ_LIST</t>
        </is>
      </c>
      <c r="AQ15" s="18" t="inlineStr">
        <is>
          <t>2023-09-18</t>
        </is>
      </c>
      <c r="AR15" s="18" t="inlineStr">
        <is>
          <t>OK_NO_TOTALS</t>
        </is>
      </c>
      <c r="AS15" s="18" t="inlineStr">
        <is>
          <t>ROWS:p7r9,p8r18,p9r15 UNRECONCILED_SOURCE</t>
        </is>
      </c>
      <c r="AT15" s="18" t="inlineStr">
        <is>
          <t>a0ae32a59c29</t>
        </is>
      </c>
    </row>
    <row r="16">
      <c r="A16" s="9" t="n">
        <v>15</v>
      </c>
      <c r="B16" s="9" t="inlineStr">
        <is>
          <t>NEW</t>
        </is>
      </c>
      <c r="C16" s="9" t="inlineStr"/>
      <c r="D16" s="9" t="n">
        <v>0</v>
      </c>
      <c r="E16" s="9" t="inlineStr"/>
      <c r="F16" s="9" t="inlineStr"/>
      <c r="G16" s="9" t="inlineStr"/>
      <c r="H16" s="9" t="inlineStr"/>
      <c r="I16" t="inlineStr"/>
      <c r="J16" t="inlineStr">
        <is>
          <t>BANCO INDUSTRIAL DO BRASIL S/A</t>
        </is>
      </c>
      <c r="K16" t="inlineStr">
        <is>
          <t>31895683</t>
        </is>
      </c>
      <c r="L16" t="inlineStr">
        <is>
          <t>31895683000116</t>
        </is>
      </c>
      <c r="M16" s="10" t="n">
        <v>2056998.2</v>
      </c>
      <c r="N16" t="n">
        <v>2</v>
      </c>
      <c r="O16" s="11" t="inlineStr">
        <is>
          <t>UNKNOWN</t>
        </is>
      </c>
      <c r="P16" s="11" t="inlineStr"/>
      <c r="Q16" s="12" t="inlineStr"/>
      <c r="R16" s="11">
        <f>IF(Q16="","",ROUND((TODAY()-Q16)/365.25,1))</f>
        <v/>
      </c>
      <c r="S16" s="13">
        <f>VLOOKUP(O16,Assumptions!$A$7:$E$10,2,FALSE)</f>
        <v/>
      </c>
      <c r="T16" s="14">
        <f>MAX(0.5,VLOOKUP(O16,Assumptions!$A$7:$E$10,3,FALSE)+VLOOKUP(O16,Assumptions!$A$7:$E$10,4,FALSE)/2-IF(R16="",0,R16))</f>
        <v/>
      </c>
      <c r="U16" s="15">
        <f>M16*S16/(1+Assumptions!$B$3)^T16</f>
        <v/>
      </c>
      <c r="V16" s="11">
        <f>IF(M16=0,"",ROUND(U16/M16*100,1))</f>
        <v/>
      </c>
      <c r="W16" s="16">
        <f>U16*Assumptions!$B$4</f>
        <v/>
      </c>
      <c r="X16" s="11">
        <f>IF(M16=0,"",ROUND(W16/M16*100,1))</f>
        <v/>
      </c>
      <c r="Y16" t="inlineStr">
        <is>
          <t>Conduscabos Brasil Indústria Comércio de</t>
        </is>
      </c>
      <c r="Z16" t="inlineStr">
        <is>
          <t>8005129-09.2023.8.05.0039</t>
        </is>
      </c>
      <c r="AA16" t="inlineStr"/>
      <c r="AB16" t="inlineStr">
        <is>
          <t>assistjud.com.br</t>
        </is>
      </c>
      <c r="AC16" t="inlineStr"/>
      <c r="AD16" t="inlineStr"/>
      <c r="AE16" t="inlineStr"/>
      <c r="AF16" t="inlineStr"/>
      <c r="AG16" t="inlineStr"/>
      <c r="AH16" t="inlineStr"/>
      <c r="AI16" t="inlineStr"/>
      <c r="AJ16" t="inlineStr"/>
      <c r="AK16" t="inlineStr"/>
      <c r="AL16" t="inlineStr"/>
      <c r="AM16" s="17" t="inlineStr">
        <is>
          <t>https://assistjud.com.br/wp-content/uploads/elementor/forms/65098c80a5824.pdf</t>
        </is>
      </c>
      <c r="AN16" s="18" t="inlineStr">
        <is>
          <t>p5 r11; p17 r5</t>
        </is>
      </c>
      <c r="AO16" s="18" t="inlineStr">
        <is>
          <t>p5: R$ 1.047.741,53; p17: R$ 1.009.256,67</t>
        </is>
      </c>
      <c r="AP16" s="18" t="inlineStr">
        <is>
          <t>AJ_LIST</t>
        </is>
      </c>
      <c r="AQ16" s="18" t="inlineStr">
        <is>
          <t>2023-09-18</t>
        </is>
      </c>
      <c r="AR16" s="18" t="inlineStr">
        <is>
          <t>OK_NO_TOTALS</t>
        </is>
      </c>
      <c r="AS16" s="18" t="inlineStr">
        <is>
          <t>ROWS:p5r11,p17r5 UNRECONCILED_SOURCE VALUE_COL:Valor_Do_Crédito_2º_Edital_De_Credores</t>
        </is>
      </c>
      <c r="AT16" s="18" t="inlineStr">
        <is>
          <t>a0ae32a59c29</t>
        </is>
      </c>
    </row>
    <row r="17">
      <c r="A17" s="9" t="n">
        <v>16</v>
      </c>
      <c r="B17" s="9" t="inlineStr">
        <is>
          <t>NEW</t>
        </is>
      </c>
      <c r="C17" s="9" t="inlineStr"/>
      <c r="D17" s="9" t="n">
        <v>0</v>
      </c>
      <c r="E17" s="9" t="inlineStr"/>
      <c r="F17" s="9" t="inlineStr"/>
      <c r="G17" s="9" t="inlineStr"/>
      <c r="H17" s="9" t="inlineStr"/>
      <c r="I17" t="inlineStr">
        <is>
          <t>SEMPRE AGTECH LTDA</t>
        </is>
      </c>
      <c r="J17" t="inlineStr">
        <is>
          <t>SEMPRE AGTECH LTDA</t>
        </is>
      </c>
      <c r="K17" t="inlineStr">
        <is>
          <t>09536120</t>
        </is>
      </c>
      <c r="L17" t="inlineStr">
        <is>
          <t>09536120000263</t>
        </is>
      </c>
      <c r="M17" s="10" t="n">
        <v>2037616.99</v>
      </c>
      <c r="N17" t="n">
        <v>1</v>
      </c>
      <c r="O17" s="11" t="inlineStr">
        <is>
          <t>UNKNOWN</t>
        </is>
      </c>
      <c r="P17" s="11" t="inlineStr"/>
      <c r="Q17" s="12" t="inlineStr"/>
      <c r="R17" s="11">
        <f>IF(Q17="","",ROUND((TODAY()-Q17)/365.25,1))</f>
        <v/>
      </c>
      <c r="S17" s="13">
        <f>VLOOKUP(O17,Assumptions!$A$7:$E$10,2,FALSE)</f>
        <v/>
      </c>
      <c r="T17" s="14">
        <f>MAX(0.5,VLOOKUP(O17,Assumptions!$A$7:$E$10,3,FALSE)+VLOOKUP(O17,Assumptions!$A$7:$E$10,4,FALSE)/2-IF(R17="",0,R17))</f>
        <v/>
      </c>
      <c r="U17" s="15">
        <f>M17*S17/(1+Assumptions!$B$3)^T17</f>
        <v/>
      </c>
      <c r="V17" s="11">
        <f>IF(M17=0,"",ROUND(U17/M17*100,1))</f>
        <v/>
      </c>
      <c r="W17" s="16">
        <f>U17*Assumptions!$B$4</f>
        <v/>
      </c>
      <c r="X17" s="11">
        <f>IF(M17=0,"",ROUND(W17/M17*100,1))</f>
        <v/>
      </c>
      <c r="Y17" t="inlineStr">
        <is>
          <t>SOJAL COMERCIAL AGRICOLA</t>
        </is>
      </c>
      <c r="Z17" t="inlineStr">
        <is>
          <t>0804401-51.2025.8.14.0039</t>
        </is>
      </c>
      <c r="AA17" t="inlineStr"/>
      <c r="AB17" t="inlineStr">
        <is>
          <t>lrflideres.com.br</t>
        </is>
      </c>
      <c r="AC17" t="inlineStr">
        <is>
          <t>FERNANDO JOAO PREZZOTTO</t>
        </is>
      </c>
      <c r="AD17" t="inlineStr">
        <is>
          <t>Sócio-Administrador</t>
        </is>
      </c>
      <c r="AE17" t="inlineStr">
        <is>
          <t>(49) 3441-8200</t>
        </is>
      </c>
      <c r="AF17" t="inlineStr"/>
      <c r="AG17" t="inlineStr"/>
      <c r="AH17" t="inlineStr">
        <is>
          <t>SC</t>
        </is>
      </c>
      <c r="AI17" t="inlineStr">
        <is>
          <t>CHAPECO</t>
        </is>
      </c>
      <c r="AJ17" t="inlineStr">
        <is>
          <t>Produção de sementes certificadas, exceto de forrageiras para pasto</t>
        </is>
      </c>
      <c r="AK17" t="inlineStr">
        <is>
          <t>DEMAIS</t>
        </is>
      </c>
      <c r="AL17" t="inlineStr">
        <is>
          <t>ATIVA</t>
        </is>
      </c>
      <c r="AM17" s="17" t="inlineStr">
        <is>
          <t>https://lrflideres.com.br/wp-content/plugins/download-attachments/includes/download.php?id=6879</t>
        </is>
      </c>
      <c r="AN17" s="18" t="inlineStr">
        <is>
          <t>p2 r7</t>
        </is>
      </c>
      <c r="AO17" s="18" t="inlineStr">
        <is>
          <t>p2: R$ 2.037.616,99</t>
        </is>
      </c>
      <c r="AP17" s="18" t="inlineStr">
        <is>
          <t>AJ_LIST</t>
        </is>
      </c>
      <c r="AQ17" s="18" t="inlineStr">
        <is>
          <t>2026-01-15</t>
        </is>
      </c>
      <c r="AR17" s="18" t="inlineStr">
        <is>
          <t>OK</t>
        </is>
      </c>
      <c r="AS17" s="18" t="inlineStr">
        <is>
          <t>ROWS:p2r7</t>
        </is>
      </c>
      <c r="AT17" s="18" t="inlineStr">
        <is>
          <t>c56751547323</t>
        </is>
      </c>
    </row>
    <row r="18">
      <c r="A18" s="9" t="n">
        <v>17</v>
      </c>
      <c r="B18" s="9" t="inlineStr">
        <is>
          <t>NEW</t>
        </is>
      </c>
      <c r="C18" s="9" t="inlineStr"/>
      <c r="D18" s="9" t="n">
        <v>0</v>
      </c>
      <c r="E18" s="9" t="inlineStr"/>
      <c r="F18" s="9" t="inlineStr"/>
      <c r="G18" s="9" t="inlineStr"/>
      <c r="H18" s="9" t="inlineStr"/>
      <c r="I18" t="inlineStr">
        <is>
          <t>FERTILIZANTES TOCANTINS S.A</t>
        </is>
      </c>
      <c r="J18" t="inlineStr">
        <is>
          <t>FERTILIZANTES TOCANTINS S.A</t>
        </is>
      </c>
      <c r="K18" t="inlineStr">
        <is>
          <t>05571228</t>
        </is>
      </c>
      <c r="L18" t="inlineStr">
        <is>
          <t>05571228000155</t>
        </is>
      </c>
      <c r="M18" s="10" t="n">
        <v>2016948.56</v>
      </c>
      <c r="N18" t="n">
        <v>1</v>
      </c>
      <c r="O18" s="11" t="inlineStr">
        <is>
          <t>UNKNOWN</t>
        </is>
      </c>
      <c r="P18" s="11" t="inlineStr"/>
      <c r="Q18" s="12" t="inlineStr"/>
      <c r="R18" s="11">
        <f>IF(Q18="","",ROUND((TODAY()-Q18)/365.25,1))</f>
        <v/>
      </c>
      <c r="S18" s="13">
        <f>VLOOKUP(O18,Assumptions!$A$7:$E$10,2,FALSE)</f>
        <v/>
      </c>
      <c r="T18" s="14">
        <f>MAX(0.5,VLOOKUP(O18,Assumptions!$A$7:$E$10,3,FALSE)+VLOOKUP(O18,Assumptions!$A$7:$E$10,4,FALSE)/2-IF(R18="",0,R18))</f>
        <v/>
      </c>
      <c r="U18" s="15">
        <f>M18*S18/(1+Assumptions!$B$3)^T18</f>
        <v/>
      </c>
      <c r="V18" s="11">
        <f>IF(M18=0,"",ROUND(U18/M18*100,1))</f>
        <v/>
      </c>
      <c r="W18" s="16">
        <f>U18*Assumptions!$B$4</f>
        <v/>
      </c>
      <c r="X18" s="11">
        <f>IF(M18=0,"",ROUND(W18/M18*100,1))</f>
        <v/>
      </c>
      <c r="Y18" t="inlineStr">
        <is>
          <t>SOJAL COMERCIAL AGRICOLA</t>
        </is>
      </c>
      <c r="Z18" t="inlineStr">
        <is>
          <t>0804401-51.2025.8.14.0039</t>
        </is>
      </c>
      <c r="AA18" t="inlineStr"/>
      <c r="AB18" t="inlineStr">
        <is>
          <t>lrflideres.com.br</t>
        </is>
      </c>
      <c r="AC18" t="inlineStr">
        <is>
          <t>DMITRY CHERNYKH</t>
        </is>
      </c>
      <c r="AD18" t="inlineStr">
        <is>
          <t>Presidente</t>
        </is>
      </c>
      <c r="AE18" t="inlineStr">
        <is>
          <t>(62) 3414-6300</t>
        </is>
      </c>
      <c r="AF18" t="inlineStr"/>
      <c r="AG18" t="inlineStr"/>
      <c r="AH18" t="inlineStr">
        <is>
          <t>TO</t>
        </is>
      </c>
      <c r="AI18" t="inlineStr">
        <is>
          <t>PORTO NACIONAL</t>
        </is>
      </c>
      <c r="AJ18" t="inlineStr">
        <is>
          <t>Fabricação de adubos e fertilizantes, exceto organo-minerais</t>
        </is>
      </c>
      <c r="AK18" t="inlineStr">
        <is>
          <t>DEMAIS</t>
        </is>
      </c>
      <c r="AL18" t="inlineStr">
        <is>
          <t>ATIVA</t>
        </is>
      </c>
      <c r="AM18" s="17" t="inlineStr">
        <is>
          <t>https://lrflideres.com.br/wp-content/plugins/download-attachments/includes/download.php?id=6879</t>
        </is>
      </c>
      <c r="AN18" s="18" t="inlineStr">
        <is>
          <t>p2 r1</t>
        </is>
      </c>
      <c r="AO18" s="18" t="inlineStr">
        <is>
          <t>p2: R$ 2.016.948,56</t>
        </is>
      </c>
      <c r="AP18" s="18" t="inlineStr">
        <is>
          <t>AJ_LIST</t>
        </is>
      </c>
      <c r="AQ18" s="18" t="inlineStr">
        <is>
          <t>2026-01-15</t>
        </is>
      </c>
      <c r="AR18" s="18" t="inlineStr">
        <is>
          <t>OK</t>
        </is>
      </c>
      <c r="AS18" s="18" t="inlineStr">
        <is>
          <t>ROWS:p2r1</t>
        </is>
      </c>
      <c r="AT18" s="18" t="inlineStr">
        <is>
          <t>c56751547323</t>
        </is>
      </c>
    </row>
    <row r="19">
      <c r="A19" s="9" t="n">
        <v>18</v>
      </c>
      <c r="B19" s="9" t="inlineStr">
        <is>
          <t>NEW</t>
        </is>
      </c>
      <c r="C19" s="9" t="inlineStr"/>
      <c r="D19" s="9" t="n">
        <v>0</v>
      </c>
      <c r="E19" s="9" t="inlineStr"/>
      <c r="F19" s="9" t="inlineStr"/>
      <c r="G19" s="9" t="inlineStr"/>
      <c r="H19" s="9" t="inlineStr"/>
      <c r="I19" t="inlineStr">
        <is>
          <t>REICHENBACH EQUIPAMENTOS INDUSTRIA E COMERCIO LTDA</t>
        </is>
      </c>
      <c r="J19" t="inlineStr">
        <is>
          <t>REICHENBACH EQUIP IND.COM. LTDA</t>
        </is>
      </c>
      <c r="K19" t="inlineStr">
        <is>
          <t>71799001</t>
        </is>
      </c>
      <c r="L19" t="inlineStr">
        <is>
          <t>71799001000196</t>
        </is>
      </c>
      <c r="M19" s="10" t="n">
        <v>2002544.34</v>
      </c>
      <c r="N19" t="n">
        <v>1</v>
      </c>
      <c r="O19" s="11" t="inlineStr">
        <is>
          <t>UNKNOWN</t>
        </is>
      </c>
      <c r="P19" s="11" t="inlineStr"/>
      <c r="Q19" s="12" t="inlineStr"/>
      <c r="R19" s="11">
        <f>IF(Q19="","",ROUND((TODAY()-Q19)/365.25,1))</f>
        <v/>
      </c>
      <c r="S19" s="13">
        <f>VLOOKUP(O19,Assumptions!$A$7:$E$10,2,FALSE)</f>
        <v/>
      </c>
      <c r="T19" s="14">
        <f>MAX(0.5,VLOOKUP(O19,Assumptions!$A$7:$E$10,3,FALSE)+VLOOKUP(O19,Assumptions!$A$7:$E$10,4,FALSE)/2-IF(R19="",0,R19))</f>
        <v/>
      </c>
      <c r="U19" s="15">
        <f>M19*S19/(1+Assumptions!$B$3)^T19</f>
        <v/>
      </c>
      <c r="V19" s="11">
        <f>IF(M19=0,"",ROUND(U19/M19*100,1))</f>
        <v/>
      </c>
      <c r="W19" s="16">
        <f>U19*Assumptions!$B$4</f>
        <v/>
      </c>
      <c r="X19" s="11">
        <f>IF(M19=0,"",ROUND(W19/M19*100,1))</f>
        <v/>
      </c>
      <c r="Y19" t="inlineStr">
        <is>
          <t>Conduscabos Brasil Indústria Comércio de</t>
        </is>
      </c>
      <c r="Z19" t="inlineStr">
        <is>
          <t>8005129-09.2023.8.05.0039</t>
        </is>
      </c>
      <c r="AA19" t="inlineStr"/>
      <c r="AB19" t="inlineStr">
        <is>
          <t>assistjud.com.br</t>
        </is>
      </c>
      <c r="AC19" t="inlineStr">
        <is>
          <t>ALLAN WERNER REICHENBACH</t>
        </is>
      </c>
      <c r="AD19" t="inlineStr">
        <is>
          <t>Sócio-Administrador</t>
        </is>
      </c>
      <c r="AE19" t="inlineStr">
        <is>
          <t>(11) 4181-5054</t>
        </is>
      </c>
      <c r="AF19" t="inlineStr"/>
      <c r="AG19" t="inlineStr"/>
      <c r="AH19" t="inlineStr">
        <is>
          <t>SP</t>
        </is>
      </c>
      <c r="AI19" t="inlineStr">
        <is>
          <t>CARAPICUIBA</t>
        </is>
      </c>
      <c r="AJ19" t="inlineStr">
        <is>
          <t>Fabricação de outras máquinas e equipamentos de uso geral não especificados anteriormente, peças e acessórios</t>
        </is>
      </c>
      <c r="AK19" t="inlineStr">
        <is>
          <t>DEMAIS</t>
        </is>
      </c>
      <c r="AL19" t="inlineStr">
        <is>
          <t>ATIVA</t>
        </is>
      </c>
      <c r="AM19" s="17" t="inlineStr">
        <is>
          <t>https://assistjud.com.br/wp-content/uploads/elementor/forms/65098c80a5824.pdf</t>
        </is>
      </c>
      <c r="AN19" s="18" t="inlineStr">
        <is>
          <t>p19 r6</t>
        </is>
      </c>
      <c r="AO19" s="18" t="inlineStr">
        <is>
          <t>p19: R$ 2.002.544,34</t>
        </is>
      </c>
      <c r="AP19" s="18" t="inlineStr">
        <is>
          <t>AJ_LIST</t>
        </is>
      </c>
      <c r="AQ19" s="18" t="inlineStr">
        <is>
          <t>2023-09-18</t>
        </is>
      </c>
      <c r="AR19" s="18" t="inlineStr">
        <is>
          <t>OK_NO_TOTALS</t>
        </is>
      </c>
      <c r="AS19" s="18" t="inlineStr">
        <is>
          <t>ROWS:p19r6 UNRECONCILED_SOURCE</t>
        </is>
      </c>
      <c r="AT19" s="18" t="inlineStr">
        <is>
          <t>a0ae32a59c29</t>
        </is>
      </c>
    </row>
    <row r="20">
      <c r="A20" s="9" t="n">
        <v>19</v>
      </c>
      <c r="B20" s="9" t="inlineStr">
        <is>
          <t>NEW</t>
        </is>
      </c>
      <c r="C20" s="9" t="inlineStr"/>
      <c r="D20" s="9" t="n">
        <v>0</v>
      </c>
      <c r="E20" s="9" t="inlineStr"/>
      <c r="F20" s="9" t="inlineStr"/>
      <c r="G20" s="9" t="inlineStr"/>
      <c r="H20" s="9" t="inlineStr"/>
      <c r="I20" t="inlineStr"/>
      <c r="J20" t="inlineStr">
        <is>
          <t>URA AGRO FUNDO DE INVESTIMENTO EM DIREIT</t>
        </is>
      </c>
      <c r="K20" t="inlineStr">
        <is>
          <t>25382606</t>
        </is>
      </c>
      <c r="L20" t="inlineStr">
        <is>
          <t>25382606000160</t>
        </is>
      </c>
      <c r="M20" s="10" t="n">
        <v>1849550.98</v>
      </c>
      <c r="N20" t="n">
        <v>1</v>
      </c>
      <c r="O20" s="11" t="inlineStr">
        <is>
          <t>UNKNOWN</t>
        </is>
      </c>
      <c r="P20" s="11" t="inlineStr"/>
      <c r="Q20" s="12" t="inlineStr"/>
      <c r="R20" s="11">
        <f>IF(Q20="","",ROUND((TODAY()-Q20)/365.25,1))</f>
        <v/>
      </c>
      <c r="S20" s="13">
        <f>VLOOKUP(O20,Assumptions!$A$7:$E$10,2,FALSE)</f>
        <v/>
      </c>
      <c r="T20" s="14">
        <f>MAX(0.5,VLOOKUP(O20,Assumptions!$A$7:$E$10,3,FALSE)+VLOOKUP(O20,Assumptions!$A$7:$E$10,4,FALSE)/2-IF(R20="",0,R20))</f>
        <v/>
      </c>
      <c r="U20" s="15">
        <f>M20*S20/(1+Assumptions!$B$3)^T20</f>
        <v/>
      </c>
      <c r="V20" s="11">
        <f>IF(M20=0,"",ROUND(U20/M20*100,1))</f>
        <v/>
      </c>
      <c r="W20" s="16">
        <f>U20*Assumptions!$B$4</f>
        <v/>
      </c>
      <c r="X20" s="11">
        <f>IF(M20=0,"",ROUND(W20/M20*100,1))</f>
        <v/>
      </c>
      <c r="Y20" t="inlineStr">
        <is>
          <t>SOJAL COMERCIAL AGRICOLA</t>
        </is>
      </c>
      <c r="Z20" t="inlineStr">
        <is>
          <t>0804401-51.2025.8.14.0039</t>
        </is>
      </c>
      <c r="AA20" t="inlineStr"/>
      <c r="AB20" t="inlineStr">
        <is>
          <t>lrflideres.com.br</t>
        </is>
      </c>
      <c r="AC20" t="inlineStr"/>
      <c r="AD20" t="inlineStr"/>
      <c r="AE20" t="inlineStr"/>
      <c r="AF20" t="inlineStr"/>
      <c r="AG20" t="inlineStr"/>
      <c r="AH20" t="inlineStr"/>
      <c r="AI20" t="inlineStr"/>
      <c r="AJ20" t="inlineStr"/>
      <c r="AK20" t="inlineStr"/>
      <c r="AL20" t="inlineStr"/>
      <c r="AM20" s="17" t="inlineStr">
        <is>
          <t>https://lrflideres.com.br/wp-content/plugins/download-attachments/includes/download.php?id=6879</t>
        </is>
      </c>
      <c r="AN20" s="18" t="inlineStr">
        <is>
          <t>p2 r12</t>
        </is>
      </c>
      <c r="AO20" s="18" t="inlineStr">
        <is>
          <t>p2: R$ 1.849.550,98</t>
        </is>
      </c>
      <c r="AP20" s="18" t="inlineStr">
        <is>
          <t>AJ_LIST</t>
        </is>
      </c>
      <c r="AQ20" s="18" t="inlineStr">
        <is>
          <t>2026-01-15</t>
        </is>
      </c>
      <c r="AR20" s="18" t="inlineStr">
        <is>
          <t>OK</t>
        </is>
      </c>
      <c r="AS20" s="18" t="inlineStr">
        <is>
          <t>ROWS:p2r12</t>
        </is>
      </c>
      <c r="AT20" s="18" t="inlineStr">
        <is>
          <t>c56751547323</t>
        </is>
      </c>
    </row>
    <row r="21">
      <c r="A21" s="9" t="n">
        <v>20</v>
      </c>
      <c r="B21" s="9" t="inlineStr">
        <is>
          <t>NEW</t>
        </is>
      </c>
      <c r="C21" s="9" t="inlineStr"/>
      <c r="D21" s="9" t="n">
        <v>0</v>
      </c>
      <c r="E21" s="9" t="inlineStr"/>
      <c r="F21" s="9" t="inlineStr"/>
      <c r="G21" s="9" t="inlineStr"/>
      <c r="H21" s="9" t="inlineStr"/>
      <c r="I21" t="inlineStr"/>
      <c r="J21" t="inlineStr">
        <is>
          <t>RED FIDC</t>
        </is>
      </c>
      <c r="K21" t="inlineStr">
        <is>
          <t>08632394</t>
        </is>
      </c>
      <c r="L21" t="inlineStr">
        <is>
          <t>08632394000102</t>
        </is>
      </c>
      <c r="M21" s="10" t="n">
        <v>1841469.99</v>
      </c>
      <c r="N21" t="n">
        <v>2</v>
      </c>
      <c r="O21" s="11" t="inlineStr">
        <is>
          <t>UNKNOWN</t>
        </is>
      </c>
      <c r="P21" s="11" t="inlineStr"/>
      <c r="Q21" s="12" t="inlineStr"/>
      <c r="R21" s="11">
        <f>IF(Q21="","",ROUND((TODAY()-Q21)/365.25,1))</f>
        <v/>
      </c>
      <c r="S21" s="13">
        <f>VLOOKUP(O21,Assumptions!$A$7:$E$10,2,FALSE)</f>
        <v/>
      </c>
      <c r="T21" s="14">
        <f>MAX(0.5,VLOOKUP(O21,Assumptions!$A$7:$E$10,3,FALSE)+VLOOKUP(O21,Assumptions!$A$7:$E$10,4,FALSE)/2-IF(R21="",0,R21))</f>
        <v/>
      </c>
      <c r="U21" s="15">
        <f>M21*S21/(1+Assumptions!$B$3)^T21</f>
        <v/>
      </c>
      <c r="V21" s="11">
        <f>IF(M21=0,"",ROUND(U21/M21*100,1))</f>
        <v/>
      </c>
      <c r="W21" s="16">
        <f>U21*Assumptions!$B$4</f>
        <v/>
      </c>
      <c r="X21" s="11">
        <f>IF(M21=0,"",ROUND(W21/M21*100,1))</f>
        <v/>
      </c>
      <c r="Y21" t="inlineStr">
        <is>
          <t>Conduscabos Brasil Indústria Comércio de</t>
        </is>
      </c>
      <c r="Z21" t="inlineStr">
        <is>
          <t>8005129-09.2023.8.05.0039</t>
        </is>
      </c>
      <c r="AA21" t="inlineStr"/>
      <c r="AB21" t="inlineStr">
        <is>
          <t>assistjud.com.br</t>
        </is>
      </c>
      <c r="AC21" t="inlineStr"/>
      <c r="AD21" t="inlineStr"/>
      <c r="AE21" t="inlineStr"/>
      <c r="AF21" t="inlineStr"/>
      <c r="AG21" t="inlineStr"/>
      <c r="AH21" t="inlineStr"/>
      <c r="AI21" t="inlineStr"/>
      <c r="AJ21" t="inlineStr"/>
      <c r="AK21" t="inlineStr"/>
      <c r="AL21" t="inlineStr"/>
      <c r="AM21" s="17" t="inlineStr">
        <is>
          <t>https://assistjud.com.br/wp-content/uploads/elementor/forms/65098c80a5824.pdf</t>
        </is>
      </c>
      <c r="AN21" s="18" t="inlineStr">
        <is>
          <t>p9 r10; p19 r5</t>
        </is>
      </c>
      <c r="AO21" s="18" t="inlineStr">
        <is>
          <t>p9: R$ 1.565.337,07; p19: R$ 276.132,92</t>
        </is>
      </c>
      <c r="AP21" s="18" t="inlineStr">
        <is>
          <t>AJ_LIST</t>
        </is>
      </c>
      <c r="AQ21" s="18" t="inlineStr">
        <is>
          <t>2023-09-18</t>
        </is>
      </c>
      <c r="AR21" s="18" t="inlineStr">
        <is>
          <t>OK_NO_TOTALS</t>
        </is>
      </c>
      <c r="AS21" s="18" t="inlineStr">
        <is>
          <t>ROWS:p9r10,p19r5 UNRECONCILED_SOURCE</t>
        </is>
      </c>
      <c r="AT21" s="18" t="inlineStr">
        <is>
          <t>a0ae32a59c29</t>
        </is>
      </c>
    </row>
    <row r="22">
      <c r="A22" s="9" t="n">
        <v>21</v>
      </c>
      <c r="B22" s="9" t="inlineStr">
        <is>
          <t>NEW</t>
        </is>
      </c>
      <c r="C22" s="9" t="inlineStr"/>
      <c r="D22" s="9" t="n">
        <v>0</v>
      </c>
      <c r="E22" s="9" t="inlineStr"/>
      <c r="F22" s="9" t="inlineStr"/>
      <c r="G22" s="9" t="inlineStr"/>
      <c r="H22" s="9" t="inlineStr"/>
      <c r="I22" t="inlineStr">
        <is>
          <t>DACARTO INDUSTRIA E COMERCIO DE PLASTICOS LTDA</t>
        </is>
      </c>
      <c r="J22" t="inlineStr">
        <is>
          <t>DACARTO BENVIC LTDA</t>
        </is>
      </c>
      <c r="K22" t="inlineStr">
        <is>
          <t>62143847</t>
        </is>
      </c>
      <c r="L22" t="inlineStr">
        <is>
          <t>62143847000182, 62143847000263</t>
        </is>
      </c>
      <c r="M22" s="10" t="n">
        <v>1624039.19</v>
      </c>
      <c r="N22" t="n">
        <v>2</v>
      </c>
      <c r="O22" s="11" t="inlineStr">
        <is>
          <t>UNKNOWN</t>
        </is>
      </c>
      <c r="P22" s="11" t="inlineStr"/>
      <c r="Q22" s="12" t="inlineStr"/>
      <c r="R22" s="11">
        <f>IF(Q22="","",ROUND((TODAY()-Q22)/365.25,1))</f>
        <v/>
      </c>
      <c r="S22" s="13">
        <f>VLOOKUP(O22,Assumptions!$A$7:$E$10,2,FALSE)</f>
        <v/>
      </c>
      <c r="T22" s="14">
        <f>MAX(0.5,VLOOKUP(O22,Assumptions!$A$7:$E$10,3,FALSE)+VLOOKUP(O22,Assumptions!$A$7:$E$10,4,FALSE)/2-IF(R22="",0,R22))</f>
        <v/>
      </c>
      <c r="U22" s="15">
        <f>M22*S22/(1+Assumptions!$B$3)^T22</f>
        <v/>
      </c>
      <c r="V22" s="11">
        <f>IF(M22=0,"",ROUND(U22/M22*100,1))</f>
        <v/>
      </c>
      <c r="W22" s="16">
        <f>U22*Assumptions!$B$4</f>
        <v/>
      </c>
      <c r="X22" s="11">
        <f>IF(M22=0,"",ROUND(W22/M22*100,1))</f>
        <v/>
      </c>
      <c r="Y22" t="inlineStr">
        <is>
          <t>Conduscabos Brasil Indústria Comércio de</t>
        </is>
      </c>
      <c r="Z22" t="inlineStr">
        <is>
          <t>8005129-09.2023.8.05.0039</t>
        </is>
      </c>
      <c r="AA22" t="inlineStr"/>
      <c r="AB22" t="inlineStr">
        <is>
          <t>assistjud.com.br</t>
        </is>
      </c>
      <c r="AC22" t="inlineStr">
        <is>
          <t>AMILTON DAL POZ DE ALMEIDA</t>
        </is>
      </c>
      <c r="AD22" t="inlineStr">
        <is>
          <t>Administrador</t>
        </is>
      </c>
      <c r="AE22" t="inlineStr">
        <is>
          <t>(11) 3658-9459</t>
        </is>
      </c>
      <c r="AF22" t="inlineStr"/>
      <c r="AG22" t="inlineStr"/>
      <c r="AH22" t="inlineStr">
        <is>
          <t>SP</t>
        </is>
      </c>
      <c r="AI22" t="inlineStr">
        <is>
          <t>OSASCO</t>
        </is>
      </c>
      <c r="AJ22" t="inlineStr">
        <is>
          <t>Fabricação de artefatos de material plástico para outros usos não especificados anteriormente</t>
        </is>
      </c>
      <c r="AK22" t="inlineStr">
        <is>
          <t>DEMAIS</t>
        </is>
      </c>
      <c r="AL22" t="inlineStr">
        <is>
          <t>ATIVA</t>
        </is>
      </c>
      <c r="AM22" s="17" t="inlineStr">
        <is>
          <t>https://assistjud.com.br/wp-content/uploads/elementor/forms/65098c80a5824.pdf</t>
        </is>
      </c>
      <c r="AN22" s="18" t="inlineStr">
        <is>
          <t>p6 r12; p6 r13</t>
        </is>
      </c>
      <c r="AO22" s="18" t="inlineStr">
        <is>
          <t>p6: R$ 534.318,75; p6: R$ 1.089.720,44</t>
        </is>
      </c>
      <c r="AP22" s="18" t="inlineStr">
        <is>
          <t>AJ_LIST</t>
        </is>
      </c>
      <c r="AQ22" s="18" t="inlineStr">
        <is>
          <t>2023-09-18</t>
        </is>
      </c>
      <c r="AR22" s="18" t="inlineStr">
        <is>
          <t>OK_NO_TOTALS</t>
        </is>
      </c>
      <c r="AS22" s="18" t="inlineStr">
        <is>
          <t>ROWS:p6r12,p6r13 UNRECONCILED_SOURCE</t>
        </is>
      </c>
      <c r="AT22" s="18" t="inlineStr">
        <is>
          <t>a0ae32a59c29</t>
        </is>
      </c>
    </row>
    <row r="23">
      <c r="A23" s="9" t="n">
        <v>22</v>
      </c>
      <c r="B23" s="9" t="inlineStr">
        <is>
          <t>NEW</t>
        </is>
      </c>
      <c r="C23" s="9" t="inlineStr"/>
      <c r="D23" s="9" t="n">
        <v>0</v>
      </c>
      <c r="E23" s="9" t="inlineStr"/>
      <c r="F23" s="9" t="inlineStr"/>
      <c r="G23" s="9" t="inlineStr"/>
      <c r="H23" s="9" t="inlineStr"/>
      <c r="I23" t="inlineStr">
        <is>
          <t>KARINA PLASTICOS LTDA</t>
        </is>
      </c>
      <c r="J23" t="inlineStr">
        <is>
          <t>KARINA IND E COM DE PLASTICOS LTDA</t>
        </is>
      </c>
      <c r="K23" t="inlineStr">
        <is>
          <t>51254159</t>
        </is>
      </c>
      <c r="L23" t="inlineStr">
        <is>
          <t>51254159000173</t>
        </is>
      </c>
      <c r="M23" s="10" t="n">
        <v>1557723.71</v>
      </c>
      <c r="N23" t="n">
        <v>1</v>
      </c>
      <c r="O23" s="11" t="inlineStr">
        <is>
          <t>UNKNOWN</t>
        </is>
      </c>
      <c r="P23" s="11" t="inlineStr"/>
      <c r="Q23" s="12" t="inlineStr"/>
      <c r="R23" s="11">
        <f>IF(Q23="","",ROUND((TODAY()-Q23)/365.25,1))</f>
        <v/>
      </c>
      <c r="S23" s="13">
        <f>VLOOKUP(O23,Assumptions!$A$7:$E$10,2,FALSE)</f>
        <v/>
      </c>
      <c r="T23" s="14">
        <f>MAX(0.5,VLOOKUP(O23,Assumptions!$A$7:$E$10,3,FALSE)+VLOOKUP(O23,Assumptions!$A$7:$E$10,4,FALSE)/2-IF(R23="",0,R23))</f>
        <v/>
      </c>
      <c r="U23" s="15">
        <f>M23*S23/(1+Assumptions!$B$3)^T23</f>
        <v/>
      </c>
      <c r="V23" s="11">
        <f>IF(M23=0,"",ROUND(U23/M23*100,1))</f>
        <v/>
      </c>
      <c r="W23" s="16">
        <f>U23*Assumptions!$B$4</f>
        <v/>
      </c>
      <c r="X23" s="11">
        <f>IF(M23=0,"",ROUND(W23/M23*100,1))</f>
        <v/>
      </c>
      <c r="Y23" t="inlineStr">
        <is>
          <t>Conduscabos Brasil Indústria Comércio de</t>
        </is>
      </c>
      <c r="Z23" t="inlineStr">
        <is>
          <t>8005129-09.2023.8.05.0039</t>
        </is>
      </c>
      <c r="AA23" t="inlineStr"/>
      <c r="AB23" t="inlineStr">
        <is>
          <t>assistjud.com.br</t>
        </is>
      </c>
      <c r="AC23" t="inlineStr">
        <is>
          <t>DIANA GUEREKMEZIAN ATRA</t>
        </is>
      </c>
      <c r="AD23" t="inlineStr">
        <is>
          <t>Sócio-Administrador</t>
        </is>
      </c>
      <c r="AE23" t="inlineStr">
        <is>
          <t>(11) 2440-8477</t>
        </is>
      </c>
      <c r="AF23" t="inlineStr">
        <is>
          <t>(11) 2463-2920</t>
        </is>
      </c>
      <c r="AG23" t="inlineStr"/>
      <c r="AH23" t="inlineStr">
        <is>
          <t>SP</t>
        </is>
      </c>
      <c r="AI23" t="inlineStr">
        <is>
          <t>GUARULHOS</t>
        </is>
      </c>
      <c r="AJ23" t="inlineStr">
        <is>
          <t>Fabricação de resinas termoplásticas</t>
        </is>
      </c>
      <c r="AK23" t="inlineStr">
        <is>
          <t>DEMAIS</t>
        </is>
      </c>
      <c r="AL23" t="inlineStr">
        <is>
          <t>ATIVA</t>
        </is>
      </c>
      <c r="AM23" s="17" t="inlineStr">
        <is>
          <t>https://assistjud.com.br/wp-content/uploads/elementor/forms/65098c80a5824.pdf</t>
        </is>
      </c>
      <c r="AN23" s="18" t="inlineStr">
        <is>
          <t>p8 r5</t>
        </is>
      </c>
      <c r="AO23" s="18" t="inlineStr">
        <is>
          <t>p8: R$ 1.557.723,71</t>
        </is>
      </c>
      <c r="AP23" s="18" t="inlineStr">
        <is>
          <t>AJ_LIST</t>
        </is>
      </c>
      <c r="AQ23" s="18" t="inlineStr">
        <is>
          <t>2023-09-18</t>
        </is>
      </c>
      <c r="AR23" s="18" t="inlineStr">
        <is>
          <t>OK_NO_TOTALS</t>
        </is>
      </c>
      <c r="AS23" s="18" t="inlineStr">
        <is>
          <t>ROWS:p8r5 UNRECONCILED_SOURCE</t>
        </is>
      </c>
      <c r="AT23" s="18" t="inlineStr">
        <is>
          <t>a0ae32a59c29</t>
        </is>
      </c>
    </row>
    <row r="24">
      <c r="A24" s="9" t="n">
        <v>23</v>
      </c>
      <c r="B24" s="9" t="inlineStr">
        <is>
          <t>NEW</t>
        </is>
      </c>
      <c r="C24" s="9" t="inlineStr"/>
      <c r="D24" s="9" t="n">
        <v>0</v>
      </c>
      <c r="E24" s="9" t="inlineStr"/>
      <c r="F24" s="9" t="inlineStr"/>
      <c r="G24" s="9" t="inlineStr"/>
      <c r="H24" s="9" t="inlineStr"/>
      <c r="I24" t="inlineStr">
        <is>
          <t>CASA BUGRE GOIAS COMERCIO E REPRESENTACAO LTDA</t>
        </is>
      </c>
      <c r="J24" t="inlineStr">
        <is>
          <t>CASA BUGRE GOIAS COMERCIO E REPRESENTACA</t>
        </is>
      </c>
      <c r="K24" t="inlineStr">
        <is>
          <t>20366728</t>
        </is>
      </c>
      <c r="L24" t="inlineStr">
        <is>
          <t>20366728000149</t>
        </is>
      </c>
      <c r="M24" s="10" t="n">
        <v>1367817.98</v>
      </c>
      <c r="N24" t="n">
        <v>1</v>
      </c>
      <c r="O24" s="11" t="inlineStr">
        <is>
          <t>UNKNOWN</t>
        </is>
      </c>
      <c r="P24" s="11" t="inlineStr"/>
      <c r="Q24" s="12" t="inlineStr"/>
      <c r="R24" s="11">
        <f>IF(Q24="","",ROUND((TODAY()-Q24)/365.25,1))</f>
        <v/>
      </c>
      <c r="S24" s="13">
        <f>VLOOKUP(O24,Assumptions!$A$7:$E$10,2,FALSE)</f>
        <v/>
      </c>
      <c r="T24" s="14">
        <f>MAX(0.5,VLOOKUP(O24,Assumptions!$A$7:$E$10,3,FALSE)+VLOOKUP(O24,Assumptions!$A$7:$E$10,4,FALSE)/2-IF(R24="",0,R24))</f>
        <v/>
      </c>
      <c r="U24" s="15">
        <f>M24*S24/(1+Assumptions!$B$3)^T24</f>
        <v/>
      </c>
      <c r="V24" s="11">
        <f>IF(M24=0,"",ROUND(U24/M24*100,1))</f>
        <v/>
      </c>
      <c r="W24" s="16">
        <f>U24*Assumptions!$B$4</f>
        <v/>
      </c>
      <c r="X24" s="11">
        <f>IF(M24=0,"",ROUND(W24/M24*100,1))</f>
        <v/>
      </c>
      <c r="Y24" t="inlineStr">
        <is>
          <t>SOJAL COMERCIAL AGRICOLA</t>
        </is>
      </c>
      <c r="Z24" t="inlineStr">
        <is>
          <t>0804401-51.2025.8.14.0039</t>
        </is>
      </c>
      <c r="AA24" t="inlineStr"/>
      <c r="AB24" t="inlineStr">
        <is>
          <t>lrflideres.com.br</t>
        </is>
      </c>
      <c r="AC24" t="inlineStr">
        <is>
          <t>FLAVIO DE MEDEIROS MAIA</t>
        </is>
      </c>
      <c r="AD24" t="inlineStr">
        <is>
          <t>Sócio-Administrador</t>
        </is>
      </c>
      <c r="AE24" t="inlineStr">
        <is>
          <t>(61) 3770-0199</t>
        </is>
      </c>
      <c r="AF24" t="inlineStr"/>
      <c r="AG24" t="inlineStr"/>
      <c r="AH24" t="inlineStr">
        <is>
          <t>GO</t>
        </is>
      </c>
      <c r="AI24" t="inlineStr">
        <is>
          <t>ANAPOLIS</t>
        </is>
      </c>
      <c r="AJ24" t="inlineStr">
        <is>
          <t>Comércio atacadista de sementes, flores, plantas e gramas</t>
        </is>
      </c>
      <c r="AK24" t="inlineStr">
        <is>
          <t>DEMAIS</t>
        </is>
      </c>
      <c r="AL24" t="inlineStr">
        <is>
          <t>ATIVA</t>
        </is>
      </c>
      <c r="AM24" s="17" t="inlineStr">
        <is>
          <t>https://lrflideres.com.br/wp-content/plugins/download-attachments/includes/download.php?id=6879</t>
        </is>
      </c>
      <c r="AN24" s="18" t="inlineStr">
        <is>
          <t>p1 r9</t>
        </is>
      </c>
      <c r="AO24" s="18" t="inlineStr">
        <is>
          <t>p1: R$ 1.367.817,98</t>
        </is>
      </c>
      <c r="AP24" s="18" t="inlineStr">
        <is>
          <t>AJ_LIST</t>
        </is>
      </c>
      <c r="AQ24" s="18" t="inlineStr">
        <is>
          <t>2026-01-15</t>
        </is>
      </c>
      <c r="AR24" s="18" t="inlineStr">
        <is>
          <t>OK</t>
        </is>
      </c>
      <c r="AS24" s="18" t="inlineStr">
        <is>
          <t>ROWS:p1r9</t>
        </is>
      </c>
      <c r="AT24" s="18" t="inlineStr">
        <is>
          <t>c56751547323</t>
        </is>
      </c>
    </row>
    <row r="25">
      <c r="A25" s="9" t="n">
        <v>24</v>
      </c>
      <c r="B25" s="9" t="inlineStr">
        <is>
          <t>NEW</t>
        </is>
      </c>
      <c r="C25" s="9" t="inlineStr"/>
      <c r="D25" s="9" t="n">
        <v>0</v>
      </c>
      <c r="E25" s="9" t="inlineStr"/>
      <c r="F25" s="9" t="inlineStr"/>
      <c r="G25" s="9" t="inlineStr"/>
      <c r="H25" s="9" t="inlineStr"/>
      <c r="I25" t="inlineStr">
        <is>
          <t>IBRAME INDUSTRIA BRASILEIRA DE METAIS S/A</t>
        </is>
      </c>
      <c r="J25" t="inlineStr">
        <is>
          <t>IBRAME INDUST RIA BRASILEIRA DE METAIS S</t>
        </is>
      </c>
      <c r="K25" t="inlineStr">
        <is>
          <t>60846599</t>
        </is>
      </c>
      <c r="L25" t="inlineStr">
        <is>
          <t>60846599000534</t>
        </is>
      </c>
      <c r="M25" s="10" t="n">
        <v>1359881.3</v>
      </c>
      <c r="N25" t="n">
        <v>2</v>
      </c>
      <c r="O25" s="11" t="inlineStr">
        <is>
          <t>UNKNOWN</t>
        </is>
      </c>
      <c r="P25" s="11" t="inlineStr"/>
      <c r="Q25" s="12" t="inlineStr"/>
      <c r="R25" s="11">
        <f>IF(Q25="","",ROUND((TODAY()-Q25)/365.25,1))</f>
        <v/>
      </c>
      <c r="S25" s="13">
        <f>VLOOKUP(O25,Assumptions!$A$7:$E$10,2,FALSE)</f>
        <v/>
      </c>
      <c r="T25" s="14">
        <f>MAX(0.5,VLOOKUP(O25,Assumptions!$A$7:$E$10,3,FALSE)+VLOOKUP(O25,Assumptions!$A$7:$E$10,4,FALSE)/2-IF(R25="",0,R25))</f>
        <v/>
      </c>
      <c r="U25" s="15">
        <f>M25*S25/(1+Assumptions!$B$3)^T25</f>
        <v/>
      </c>
      <c r="V25" s="11">
        <f>IF(M25=0,"",ROUND(U25/M25*100,1))</f>
        <v/>
      </c>
      <c r="W25" s="16">
        <f>U25*Assumptions!$B$4</f>
        <v/>
      </c>
      <c r="X25" s="11">
        <f>IF(M25=0,"",ROUND(W25/M25*100,1))</f>
        <v/>
      </c>
      <c r="Y25" t="inlineStr">
        <is>
          <t>Conduscabos Brasil Indústria Comércio de</t>
        </is>
      </c>
      <c r="Z25" t="inlineStr">
        <is>
          <t>8005129-09.2023.8.05.0039</t>
        </is>
      </c>
      <c r="AA25" t="inlineStr"/>
      <c r="AB25" t="inlineStr">
        <is>
          <t>assistjud.com.br</t>
        </is>
      </c>
      <c r="AC25" t="inlineStr">
        <is>
          <t>LUIZ OSVALDO PASTORE</t>
        </is>
      </c>
      <c r="AD25" t="inlineStr">
        <is>
          <t>Presidente</t>
        </is>
      </c>
      <c r="AE25" t="inlineStr">
        <is>
          <t>(47) 2101-0049</t>
        </is>
      </c>
      <c r="AF25" t="inlineStr"/>
      <c r="AG25" t="inlineStr"/>
      <c r="AH25" t="inlineStr">
        <is>
          <t>ES</t>
        </is>
      </c>
      <c r="AI25" t="inlineStr">
        <is>
          <t>VITORIA</t>
        </is>
      </c>
      <c r="AJ25" t="inlineStr">
        <is>
          <t>Comércio atacadista de mercadorias em geral, sem predominância de alimentos ou de insumos agropecuários</t>
        </is>
      </c>
      <c r="AK25" t="inlineStr">
        <is>
          <t>DEMAIS</t>
        </is>
      </c>
      <c r="AL25" t="inlineStr">
        <is>
          <t>ATIVA</t>
        </is>
      </c>
      <c r="AM25" s="17" t="inlineStr">
        <is>
          <t>https://assistjud.com.br/wp-content/uploads/elementor/forms/65098c80a5824.pdf</t>
        </is>
      </c>
      <c r="AN25" s="18" t="inlineStr">
        <is>
          <t>p7 r11; p18 r3</t>
        </is>
      </c>
      <c r="AO25" s="18" t="inlineStr">
        <is>
          <t>p7: R$ 815.928,78; p18: R$ 543.952,52</t>
        </is>
      </c>
      <c r="AP25" s="18" t="inlineStr">
        <is>
          <t>AJ_LIST</t>
        </is>
      </c>
      <c r="AQ25" s="18" t="inlineStr">
        <is>
          <t>2023-09-18</t>
        </is>
      </c>
      <c r="AR25" s="18" t="inlineStr">
        <is>
          <t>OK_NO_TOTALS</t>
        </is>
      </c>
      <c r="AS25" s="18" t="inlineStr">
        <is>
          <t>ROWS:p7r11,p18r3 UNRECONCILED_SOURCE</t>
        </is>
      </c>
      <c r="AT25" s="18" t="inlineStr">
        <is>
          <t>a0ae32a59c29</t>
        </is>
      </c>
    </row>
    <row r="26">
      <c r="A26" s="9" t="n">
        <v>25</v>
      </c>
      <c r="B26" s="9" t="inlineStr">
        <is>
          <t>NEW</t>
        </is>
      </c>
      <c r="C26" s="9" t="inlineStr"/>
      <c r="D26" s="9" t="n">
        <v>0</v>
      </c>
      <c r="E26" s="9" t="inlineStr"/>
      <c r="F26" s="9" t="inlineStr"/>
      <c r="G26" s="9" t="inlineStr"/>
      <c r="H26" s="9" t="inlineStr"/>
      <c r="I26" t="inlineStr"/>
      <c r="J26" t="inlineStr">
        <is>
          <t>CREDMEI SECURITIZADORA II SPE S.A</t>
        </is>
      </c>
      <c r="K26" t="inlineStr">
        <is>
          <t>50202890</t>
        </is>
      </c>
      <c r="L26" t="inlineStr">
        <is>
          <t>50202890000192</t>
        </is>
      </c>
      <c r="M26" s="10" t="n">
        <v>1135255.25</v>
      </c>
      <c r="N26" t="n">
        <v>1</v>
      </c>
      <c r="O26" s="11" t="inlineStr">
        <is>
          <t>UNKNOWN</t>
        </is>
      </c>
      <c r="P26" s="11" t="inlineStr"/>
      <c r="Q26" s="12" t="inlineStr"/>
      <c r="R26" s="11">
        <f>IF(Q26="","",ROUND((TODAY()-Q26)/365.25,1))</f>
        <v/>
      </c>
      <c r="S26" s="13">
        <f>VLOOKUP(O26,Assumptions!$A$7:$E$10,2,FALSE)</f>
        <v/>
      </c>
      <c r="T26" s="14">
        <f>MAX(0.5,VLOOKUP(O26,Assumptions!$A$7:$E$10,3,FALSE)+VLOOKUP(O26,Assumptions!$A$7:$E$10,4,FALSE)/2-IF(R26="",0,R26))</f>
        <v/>
      </c>
      <c r="U26" s="15">
        <f>M26*S26/(1+Assumptions!$B$3)^T26</f>
        <v/>
      </c>
      <c r="V26" s="11">
        <f>IF(M26=0,"",ROUND(U26/M26*100,1))</f>
        <v/>
      </c>
      <c r="W26" s="16">
        <f>U26*Assumptions!$B$4</f>
        <v/>
      </c>
      <c r="X26" s="11">
        <f>IF(M26=0,"",ROUND(W26/M26*100,1))</f>
        <v/>
      </c>
      <c r="Y26" t="inlineStr">
        <is>
          <t>ARRUDA &amp; MELO COMERCIO E DISTRIBUICAO DE ALIMENTOS E BEBIDAS LTDA</t>
        </is>
      </c>
      <c r="Z26" t="inlineStr">
        <is>
          <t>0008526-45.2025.8.17.2001</t>
        </is>
      </c>
      <c r="AA26" t="inlineStr"/>
      <c r="AB26" t="inlineStr">
        <is>
          <t>diligence.adm.br</t>
        </is>
      </c>
      <c r="AC26" t="inlineStr"/>
      <c r="AD26" t="inlineStr"/>
      <c r="AE26" t="inlineStr"/>
      <c r="AF26" t="inlineStr"/>
      <c r="AG26" t="inlineStr"/>
      <c r="AH26" t="inlineStr"/>
      <c r="AI26" t="inlineStr"/>
      <c r="AJ26" t="inlineStr"/>
      <c r="AK26" t="inlineStr"/>
      <c r="AL26" t="inlineStr"/>
      <c r="AM26" s="17" t="inlineStr">
        <is>
          <t>https://diligence.adm.br/wp-content/uploads/2025/06/Edital-1a-Lista-de-Credores.pdf</t>
        </is>
      </c>
      <c r="AN26" s="18" t="inlineStr">
        <is>
          <t>p5 r54</t>
        </is>
      </c>
      <c r="AO26" s="18" t="inlineStr">
        <is>
          <t>p5: R$ 1.135.255,25</t>
        </is>
      </c>
      <c r="AP26" s="18" t="inlineStr">
        <is>
          <t>DEBTOR_LIST</t>
        </is>
      </c>
      <c r="AQ26" s="18" t="inlineStr">
        <is>
          <t>2025-06-10</t>
        </is>
      </c>
      <c r="AR26" s="18" t="inlineStr">
        <is>
          <t>OK</t>
        </is>
      </c>
      <c r="AS26" s="18" t="inlineStr">
        <is>
          <t>ROWS:p5r54</t>
        </is>
      </c>
      <c r="AT26" s="18" t="inlineStr">
        <is>
          <t>1658892fa167</t>
        </is>
      </c>
    </row>
    <row r="27">
      <c r="A27" s="9" t="n">
        <v>26</v>
      </c>
      <c r="B27" s="9" t="inlineStr">
        <is>
          <t>NEW</t>
        </is>
      </c>
      <c r="C27" s="9" t="inlineStr"/>
      <c r="D27" s="9" t="n">
        <v>0</v>
      </c>
      <c r="E27" s="9" t="inlineStr"/>
      <c r="F27" s="9" t="inlineStr"/>
      <c r="G27" s="9" t="inlineStr"/>
      <c r="H27" s="9" t="inlineStr"/>
      <c r="I27" t="inlineStr">
        <is>
          <t>ARRUDA &amp; MELO COMERCIO E DISTRIBUICAO DE ALIMENTOS E BEBIDAS LTDA - EM RECUPERACAO JUDICIAL</t>
        </is>
      </c>
      <c r="J27" t="inlineStr">
        <is>
          <t>ARRUDA &amp; MELO COMERCIO E DISTRIBUICAO DE ALIMENTOS E BEBIDAS LTDA</t>
        </is>
      </c>
      <c r="K27" t="inlineStr">
        <is>
          <t>21877243</t>
        </is>
      </c>
      <c r="L27" t="inlineStr">
        <is>
          <t>21877243000182</t>
        </is>
      </c>
      <c r="M27" s="10" t="n">
        <v>1068252.89</v>
      </c>
      <c r="N27" t="n">
        <v>1</v>
      </c>
      <c r="O27" s="11" t="inlineStr">
        <is>
          <t>UNKNOWN</t>
        </is>
      </c>
      <c r="P27" s="11" t="inlineStr"/>
      <c r="Q27" s="12" t="inlineStr"/>
      <c r="R27" s="11">
        <f>IF(Q27="","",ROUND((TODAY()-Q27)/365.25,1))</f>
        <v/>
      </c>
      <c r="S27" s="13">
        <f>VLOOKUP(O27,Assumptions!$A$7:$E$10,2,FALSE)</f>
        <v/>
      </c>
      <c r="T27" s="14">
        <f>MAX(0.5,VLOOKUP(O27,Assumptions!$A$7:$E$10,3,FALSE)+VLOOKUP(O27,Assumptions!$A$7:$E$10,4,FALSE)/2-IF(R27="",0,R27))</f>
        <v/>
      </c>
      <c r="U27" s="15">
        <f>M27*S27/(1+Assumptions!$B$3)^T27</f>
        <v/>
      </c>
      <c r="V27" s="11">
        <f>IF(M27=0,"",ROUND(U27/M27*100,1))</f>
        <v/>
      </c>
      <c r="W27" s="16">
        <f>U27*Assumptions!$B$4</f>
        <v/>
      </c>
      <c r="X27" s="11">
        <f>IF(M27=0,"",ROUND(W27/M27*100,1))</f>
        <v/>
      </c>
      <c r="Y27" t="inlineStr">
        <is>
          <t>ARRUDA &amp; MELO COMERCIO E DISTRIBUICAO DE ALIMENTOS E BEBIDAS LTDA</t>
        </is>
      </c>
      <c r="Z27" t="inlineStr">
        <is>
          <t>0008526-45.2025.8.17.2001</t>
        </is>
      </c>
      <c r="AA27" t="inlineStr"/>
      <c r="AB27" t="inlineStr">
        <is>
          <t>diligence.adm.br</t>
        </is>
      </c>
      <c r="AC27" t="inlineStr">
        <is>
          <t>MAURO CESAR DE MELO ARRUDA</t>
        </is>
      </c>
      <c r="AD27" t="inlineStr">
        <is>
          <t>Sócio-Administrador</t>
        </is>
      </c>
      <c r="AE27" t="inlineStr">
        <is>
          <t>(81) 3314-2120</t>
        </is>
      </c>
      <c r="AF27" t="inlineStr"/>
      <c r="AG27" t="inlineStr"/>
      <c r="AH27" t="inlineStr">
        <is>
          <t>PE</t>
        </is>
      </c>
      <c r="AI27" t="inlineStr">
        <is>
          <t>RECIFE</t>
        </is>
      </c>
      <c r="AJ27" t="inlineStr">
        <is>
          <t>Comércio atacadista de produtos alimentícios em geral</t>
        </is>
      </c>
      <c r="AK27" t="inlineStr">
        <is>
          <t>DEMAIS</t>
        </is>
      </c>
      <c r="AL27" t="inlineStr">
        <is>
          <t>ATIVA</t>
        </is>
      </c>
      <c r="AM27" s="17" t="inlineStr">
        <is>
          <t>https://diligence.adm.br/wp-content/uploads/2025/06/Edital-1a-Lista-de-Credores.pdf</t>
        </is>
      </c>
      <c r="AN27" s="18" t="inlineStr">
        <is>
          <t>p5 r48</t>
        </is>
      </c>
      <c r="AO27" s="18" t="inlineStr">
        <is>
          <t>p5: R$ 1.068.252,89</t>
        </is>
      </c>
      <c r="AP27" s="18" t="inlineStr">
        <is>
          <t>DEBTOR_LIST</t>
        </is>
      </c>
      <c r="AQ27" s="18" t="inlineStr">
        <is>
          <t>2025-06-10</t>
        </is>
      </c>
      <c r="AR27" s="18" t="inlineStr">
        <is>
          <t>OK</t>
        </is>
      </c>
      <c r="AS27" s="18" t="inlineStr">
        <is>
          <t>ROWS:p5r48</t>
        </is>
      </c>
      <c r="AT27" s="18" t="inlineStr">
        <is>
          <t>1658892fa167</t>
        </is>
      </c>
    </row>
    <row r="28">
      <c r="A28" s="9" t="n">
        <v>27</v>
      </c>
      <c r="B28" s="9" t="inlineStr">
        <is>
          <t>NEW</t>
        </is>
      </c>
      <c r="C28" s="9" t="inlineStr"/>
      <c r="D28" s="9" t="n">
        <v>0</v>
      </c>
      <c r="E28" s="9" t="inlineStr"/>
      <c r="F28" s="9" t="inlineStr"/>
      <c r="G28" s="9" t="inlineStr"/>
      <c r="H28" s="9" t="inlineStr"/>
      <c r="I28" t="inlineStr">
        <is>
          <t>MINERAX - MINERACAO XAMBIOA LTDA</t>
        </is>
      </c>
      <c r="J28" t="inlineStr">
        <is>
          <t>MINERACAO XAMBIOA LTDA</t>
        </is>
      </c>
      <c r="K28" t="inlineStr">
        <is>
          <t>08886407</t>
        </is>
      </c>
      <c r="L28" t="inlineStr">
        <is>
          <t>08886407000170</t>
        </is>
      </c>
      <c r="M28" s="10" t="n">
        <v>962991.9</v>
      </c>
      <c r="N28" t="n">
        <v>1</v>
      </c>
      <c r="O28" s="11" t="inlineStr">
        <is>
          <t>UNKNOWN</t>
        </is>
      </c>
      <c r="P28" s="11" t="inlineStr"/>
      <c r="Q28" s="12" t="inlineStr"/>
      <c r="R28" s="11">
        <f>IF(Q28="","",ROUND((TODAY()-Q28)/365.25,1))</f>
        <v/>
      </c>
      <c r="S28" s="13">
        <f>VLOOKUP(O28,Assumptions!$A$7:$E$10,2,FALSE)</f>
        <v/>
      </c>
      <c r="T28" s="14">
        <f>MAX(0.5,VLOOKUP(O28,Assumptions!$A$7:$E$10,3,FALSE)+VLOOKUP(O28,Assumptions!$A$7:$E$10,4,FALSE)/2-IF(R28="",0,R28))</f>
        <v/>
      </c>
      <c r="U28" s="15">
        <f>M28*S28/(1+Assumptions!$B$3)^T28</f>
        <v/>
      </c>
      <c r="V28" s="11">
        <f>IF(M28=0,"",ROUND(U28/M28*100,1))</f>
        <v/>
      </c>
      <c r="W28" s="16">
        <f>U28*Assumptions!$B$4</f>
        <v/>
      </c>
      <c r="X28" s="11">
        <f>IF(M28=0,"",ROUND(W28/M28*100,1))</f>
        <v/>
      </c>
      <c r="Y28" t="inlineStr">
        <is>
          <t>SOJAL COMERCIAL AGRICOLA</t>
        </is>
      </c>
      <c r="Z28" t="inlineStr">
        <is>
          <t>0804401-51.2025.8.14.0039</t>
        </is>
      </c>
      <c r="AA28" t="inlineStr"/>
      <c r="AB28" t="inlineStr">
        <is>
          <t>lrflideres.com.br</t>
        </is>
      </c>
      <c r="AC28" t="inlineStr">
        <is>
          <t>FRANCISCO MIGUEL HENDGES</t>
        </is>
      </c>
      <c r="AD28" t="inlineStr">
        <is>
          <t>Administrador</t>
        </is>
      </c>
      <c r="AE28" t="inlineStr">
        <is>
          <t>(63) 3415-8500</t>
        </is>
      </c>
      <c r="AF28" t="inlineStr"/>
      <c r="AG28" t="inlineStr"/>
      <c r="AH28" t="inlineStr">
        <is>
          <t>TO</t>
        </is>
      </c>
      <c r="AI28" t="inlineStr">
        <is>
          <t>XAMBIOA</t>
        </is>
      </c>
      <c r="AJ28" t="inlineStr">
        <is>
          <t>Extração de calcário e dolomita e beneficiamento associado</t>
        </is>
      </c>
      <c r="AK28" t="inlineStr">
        <is>
          <t>DEMAIS</t>
        </is>
      </c>
      <c r="AL28" t="inlineStr">
        <is>
          <t>ATIVA</t>
        </is>
      </c>
      <c r="AM28" s="17" t="inlineStr">
        <is>
          <t>https://lrflideres.com.br/wp-content/plugins/download-attachments/includes/download.php?id=6879</t>
        </is>
      </c>
      <c r="AN28" s="18" t="inlineStr">
        <is>
          <t>p2 r4</t>
        </is>
      </c>
      <c r="AO28" s="18" t="inlineStr">
        <is>
          <t>p2: R$ 962.991,90</t>
        </is>
      </c>
      <c r="AP28" s="18" t="inlineStr">
        <is>
          <t>AJ_LIST</t>
        </is>
      </c>
      <c r="AQ28" s="18" t="inlineStr">
        <is>
          <t>2026-01-15</t>
        </is>
      </c>
      <c r="AR28" s="18" t="inlineStr">
        <is>
          <t>OK</t>
        </is>
      </c>
      <c r="AS28" s="18" t="inlineStr">
        <is>
          <t>ROWS:p2r4</t>
        </is>
      </c>
      <c r="AT28" s="18" t="inlineStr">
        <is>
          <t>c56751547323</t>
        </is>
      </c>
    </row>
    <row r="29">
      <c r="A29" s="9" t="n">
        <v>28</v>
      </c>
      <c r="B29" s="9" t="inlineStr">
        <is>
          <t>NEW</t>
        </is>
      </c>
      <c r="C29" s="9" t="inlineStr"/>
      <c r="D29" s="9" t="n">
        <v>0</v>
      </c>
      <c r="E29" s="9" t="inlineStr"/>
      <c r="F29" s="9" t="inlineStr"/>
      <c r="G29" s="9" t="inlineStr"/>
      <c r="H29" s="9" t="inlineStr"/>
      <c r="I29" t="inlineStr"/>
      <c r="J29" t="inlineStr">
        <is>
          <t>DANIELE MÚLTIPLO FUNDO DE INVESTIMENTO EM DIREITOS CREDITÓRIOS – NÃO PADRONIZADOS</t>
        </is>
      </c>
      <c r="K29" t="inlineStr">
        <is>
          <t>09414255</t>
        </is>
      </c>
      <c r="L29" t="inlineStr">
        <is>
          <t>09414255000175</t>
        </is>
      </c>
      <c r="M29" s="10" t="n">
        <v>926408.5</v>
      </c>
      <c r="N29" t="n">
        <v>1</v>
      </c>
      <c r="O29" s="11" t="inlineStr">
        <is>
          <t>UNKNOWN</t>
        </is>
      </c>
      <c r="P29" s="11" t="inlineStr"/>
      <c r="Q29" s="12" t="inlineStr"/>
      <c r="R29" s="11">
        <f>IF(Q29="","",ROUND((TODAY()-Q29)/365.25,1))</f>
        <v/>
      </c>
      <c r="S29" s="13">
        <f>VLOOKUP(O29,Assumptions!$A$7:$E$10,2,FALSE)</f>
        <v/>
      </c>
      <c r="T29" s="14">
        <f>MAX(0.5,VLOOKUP(O29,Assumptions!$A$7:$E$10,3,FALSE)+VLOOKUP(O29,Assumptions!$A$7:$E$10,4,FALSE)/2-IF(R29="",0,R29))</f>
        <v/>
      </c>
      <c r="U29" s="15">
        <f>M29*S29/(1+Assumptions!$B$3)^T29</f>
        <v/>
      </c>
      <c r="V29" s="11">
        <f>IF(M29=0,"",ROUND(U29/M29*100,1))</f>
        <v/>
      </c>
      <c r="W29" s="16">
        <f>U29*Assumptions!$B$4</f>
        <v/>
      </c>
      <c r="X29" s="11">
        <f>IF(M29=0,"",ROUND(W29/M29*100,1))</f>
        <v/>
      </c>
      <c r="Y29" t="inlineStr">
        <is>
          <t>Conduscabos Brasil Indústria Comércio de</t>
        </is>
      </c>
      <c r="Z29" t="inlineStr">
        <is>
          <t>8005129-09.2023.8.05.0039</t>
        </is>
      </c>
      <c r="AA29" t="inlineStr"/>
      <c r="AB29" t="inlineStr">
        <is>
          <t>assistjud.com.br</t>
        </is>
      </c>
      <c r="AC29" t="inlineStr"/>
      <c r="AD29" t="inlineStr"/>
      <c r="AE29" t="inlineStr"/>
      <c r="AF29" t="inlineStr"/>
      <c r="AG29" t="inlineStr"/>
      <c r="AH29" t="inlineStr"/>
      <c r="AI29" t="inlineStr"/>
      <c r="AJ29" t="inlineStr"/>
      <c r="AK29" t="inlineStr"/>
      <c r="AL29" t="inlineStr"/>
      <c r="AM29" s="17" t="inlineStr">
        <is>
          <t>https://assistjud.com.br/wp-content/uploads/elementor/forms/65098c80a5824.pdf</t>
        </is>
      </c>
      <c r="AN29" s="18" t="inlineStr">
        <is>
          <t>p7 r1</t>
        </is>
      </c>
      <c r="AO29" s="18" t="inlineStr">
        <is>
          <t>p7: R$ 926.408,50</t>
        </is>
      </c>
      <c r="AP29" s="18" t="inlineStr">
        <is>
          <t>AJ_LIST</t>
        </is>
      </c>
      <c r="AQ29" s="18" t="inlineStr">
        <is>
          <t>2023-09-18</t>
        </is>
      </c>
      <c r="AR29" s="18" t="inlineStr">
        <is>
          <t>OK_NO_TOTALS</t>
        </is>
      </c>
      <c r="AS29" s="18" t="inlineStr">
        <is>
          <t>ROWS:p7r1 UNRECONCILED_SOURCE</t>
        </is>
      </c>
      <c r="AT29" s="18" t="inlineStr">
        <is>
          <t>a0ae32a59c29</t>
        </is>
      </c>
    </row>
    <row r="30">
      <c r="A30" s="9" t="n">
        <v>29</v>
      </c>
      <c r="B30" s="9" t="inlineStr">
        <is>
          <t>NEW</t>
        </is>
      </c>
      <c r="C30" s="9" t="inlineStr"/>
      <c r="D30" s="9" t="n">
        <v>0</v>
      </c>
      <c r="E30" s="9" t="inlineStr"/>
      <c r="F30" s="9" t="inlineStr"/>
      <c r="G30" s="9" t="inlineStr"/>
      <c r="H30" s="9" t="inlineStr"/>
      <c r="I30" t="inlineStr">
        <is>
          <t>RG COPPER INDUSTRIA E COMERCIO DE CONDUTORES ELETRICOS LTDA</t>
        </is>
      </c>
      <c r="J30" t="inlineStr">
        <is>
          <t>RG COPPER INDUSTRIA E COMERCIO DE CONDUT</t>
        </is>
      </c>
      <c r="K30" t="inlineStr">
        <is>
          <t>21044682</t>
        </is>
      </c>
      <c r="L30" t="inlineStr">
        <is>
          <t>21044682000104</t>
        </is>
      </c>
      <c r="M30" s="10" t="n">
        <v>864147.01</v>
      </c>
      <c r="N30" t="n">
        <v>1</v>
      </c>
      <c r="O30" s="11" t="inlineStr">
        <is>
          <t>UNKNOWN</t>
        </is>
      </c>
      <c r="P30" s="11" t="inlineStr"/>
      <c r="Q30" s="12" t="inlineStr"/>
      <c r="R30" s="11">
        <f>IF(Q30="","",ROUND((TODAY()-Q30)/365.25,1))</f>
        <v/>
      </c>
      <c r="S30" s="13">
        <f>VLOOKUP(O30,Assumptions!$A$7:$E$10,2,FALSE)</f>
        <v/>
      </c>
      <c r="T30" s="14">
        <f>MAX(0.5,VLOOKUP(O30,Assumptions!$A$7:$E$10,3,FALSE)+VLOOKUP(O30,Assumptions!$A$7:$E$10,4,FALSE)/2-IF(R30="",0,R30))</f>
        <v/>
      </c>
      <c r="U30" s="15">
        <f>M30*S30/(1+Assumptions!$B$3)^T30</f>
        <v/>
      </c>
      <c r="V30" s="11">
        <f>IF(M30=0,"",ROUND(U30/M30*100,1))</f>
        <v/>
      </c>
      <c r="W30" s="16">
        <f>U30*Assumptions!$B$4</f>
        <v/>
      </c>
      <c r="X30" s="11">
        <f>IF(M30=0,"",ROUND(W30/M30*100,1))</f>
        <v/>
      </c>
      <c r="Y30" t="inlineStr">
        <is>
          <t>Conduscabos Brasil Indústria Comércio de</t>
        </is>
      </c>
      <c r="Z30" t="inlineStr">
        <is>
          <t>8005129-09.2023.8.05.0039</t>
        </is>
      </c>
      <c r="AA30" t="inlineStr"/>
      <c r="AB30" t="inlineStr">
        <is>
          <t>assistjud.com.br</t>
        </is>
      </c>
      <c r="AC30" t="inlineStr">
        <is>
          <t>GERSON GOMES DA SILVA</t>
        </is>
      </c>
      <c r="AD30" t="inlineStr">
        <is>
          <t>Sócio-Administrador</t>
        </is>
      </c>
      <c r="AE30" t="inlineStr">
        <is>
          <t>(11) 2507-5535</t>
        </is>
      </c>
      <c r="AF30" t="inlineStr"/>
      <c r="AG30" t="inlineStr"/>
      <c r="AH30" t="inlineStr">
        <is>
          <t>SP</t>
        </is>
      </c>
      <c r="AI30" t="inlineStr">
        <is>
          <t>JARDINOPOLIS</t>
        </is>
      </c>
      <c r="AJ30" t="inlineStr">
        <is>
          <t>Fabricação de fios, cabos e condutores elétricos isolados</t>
        </is>
      </c>
      <c r="AK30" t="inlineStr">
        <is>
          <t>DEMAIS</t>
        </is>
      </c>
      <c r="AL30" t="inlineStr">
        <is>
          <t>ATIVA</t>
        </is>
      </c>
      <c r="AM30" s="17" t="inlineStr">
        <is>
          <t>https://assistjud.com.br/wp-content/uploads/elementor/forms/65098c80a5824.pdf</t>
        </is>
      </c>
      <c r="AN30" s="18" t="inlineStr">
        <is>
          <t>p9 r14</t>
        </is>
      </c>
      <c r="AO30" s="18" t="inlineStr">
        <is>
          <t>p9: R$ 864.147,01</t>
        </is>
      </c>
      <c r="AP30" s="18" t="inlineStr">
        <is>
          <t>AJ_LIST</t>
        </is>
      </c>
      <c r="AQ30" s="18" t="inlineStr">
        <is>
          <t>2023-09-18</t>
        </is>
      </c>
      <c r="AR30" s="18" t="inlineStr">
        <is>
          <t>OK_NO_TOTALS</t>
        </is>
      </c>
      <c r="AS30" s="18" t="inlineStr">
        <is>
          <t>ROWS:p9r14 UNRECONCILED_SOURCE</t>
        </is>
      </c>
      <c r="AT30" s="18" t="inlineStr">
        <is>
          <t>a0ae32a59c29</t>
        </is>
      </c>
    </row>
    <row r="31">
      <c r="A31" s="9" t="n">
        <v>30</v>
      </c>
      <c r="B31" s="9" t="inlineStr">
        <is>
          <t>NEW</t>
        </is>
      </c>
      <c r="C31" s="9" t="inlineStr"/>
      <c r="D31" s="9" t="n">
        <v>0</v>
      </c>
      <c r="E31" s="9" t="inlineStr"/>
      <c r="F31" s="9" t="inlineStr"/>
      <c r="G31" s="9" t="inlineStr"/>
      <c r="H31" s="9" t="inlineStr"/>
      <c r="I31" t="inlineStr"/>
      <c r="J31" t="inlineStr">
        <is>
          <t>ASIA FIDC</t>
        </is>
      </c>
      <c r="K31" t="inlineStr">
        <is>
          <t>09172117</t>
        </is>
      </c>
      <c r="L31" t="inlineStr">
        <is>
          <t>09172117000127</t>
        </is>
      </c>
      <c r="M31" s="10" t="n">
        <v>758759.36</v>
      </c>
      <c r="N31" t="n">
        <v>1</v>
      </c>
      <c r="O31" s="11" t="inlineStr">
        <is>
          <t>UNKNOWN</t>
        </is>
      </c>
      <c r="P31" s="11" t="inlineStr"/>
      <c r="Q31" s="12" t="inlineStr"/>
      <c r="R31" s="11">
        <f>IF(Q31="","",ROUND((TODAY()-Q31)/365.25,1))</f>
        <v/>
      </c>
      <c r="S31" s="13">
        <f>VLOOKUP(O31,Assumptions!$A$7:$E$10,2,FALSE)</f>
        <v/>
      </c>
      <c r="T31" s="14">
        <f>MAX(0.5,VLOOKUP(O31,Assumptions!$A$7:$E$10,3,FALSE)+VLOOKUP(O31,Assumptions!$A$7:$E$10,4,FALSE)/2-IF(R31="",0,R31))</f>
        <v/>
      </c>
      <c r="U31" s="15">
        <f>M31*S31/(1+Assumptions!$B$3)^T31</f>
        <v/>
      </c>
      <c r="V31" s="11">
        <f>IF(M31=0,"",ROUND(U31/M31*100,1))</f>
        <v/>
      </c>
      <c r="W31" s="16">
        <f>U31*Assumptions!$B$4</f>
        <v/>
      </c>
      <c r="X31" s="11">
        <f>IF(M31=0,"",ROUND(W31/M31*100,1))</f>
        <v/>
      </c>
      <c r="Y31" t="inlineStr">
        <is>
          <t>Conduscabos Brasil Indústria Comércio de</t>
        </is>
      </c>
      <c r="Z31" t="inlineStr">
        <is>
          <t>8005129-09.2023.8.05.0039</t>
        </is>
      </c>
      <c r="AA31" t="inlineStr"/>
      <c r="AB31" t="inlineStr">
        <is>
          <t>assistjud.com.br</t>
        </is>
      </c>
      <c r="AC31" t="inlineStr"/>
      <c r="AD31" t="inlineStr"/>
      <c r="AE31" t="inlineStr"/>
      <c r="AF31" t="inlineStr"/>
      <c r="AG31" t="inlineStr"/>
      <c r="AH31" t="inlineStr"/>
      <c r="AI31" t="inlineStr"/>
      <c r="AJ31" t="inlineStr"/>
      <c r="AK31" t="inlineStr"/>
      <c r="AL31" t="inlineStr"/>
      <c r="AM31" s="17" t="inlineStr">
        <is>
          <t>https://assistjud.com.br/wp-content/uploads/elementor/forms/65098c80a5824.pdf</t>
        </is>
      </c>
      <c r="AN31" s="18" t="inlineStr">
        <is>
          <t>p5 r5</t>
        </is>
      </c>
      <c r="AO31" s="18" t="inlineStr">
        <is>
          <t>p5: R$ 758.759,36</t>
        </is>
      </c>
      <c r="AP31" s="18" t="inlineStr">
        <is>
          <t>AJ_LIST</t>
        </is>
      </c>
      <c r="AQ31" s="18" t="inlineStr">
        <is>
          <t>2023-09-18</t>
        </is>
      </c>
      <c r="AR31" s="18" t="inlineStr">
        <is>
          <t>OK_NO_TOTALS</t>
        </is>
      </c>
      <c r="AS31" s="18" t="inlineStr">
        <is>
          <t>ROWS:p5r5 UNRECONCILED_SOURCE VALUE_COL:Valor_Do_Crédito_2º_Edital_De_Credores</t>
        </is>
      </c>
      <c r="AT31" s="18" t="inlineStr">
        <is>
          <t>a0ae32a59c29</t>
        </is>
      </c>
    </row>
    <row r="32">
      <c r="A32" s="9" t="n">
        <v>31</v>
      </c>
      <c r="B32" s="9" t="inlineStr">
        <is>
          <t>NEW</t>
        </is>
      </c>
      <c r="C32" s="9" t="inlineStr"/>
      <c r="D32" s="9" t="n">
        <v>0</v>
      </c>
      <c r="E32" s="9" t="inlineStr"/>
      <c r="F32" s="9" t="inlineStr"/>
      <c r="G32" s="9" t="inlineStr"/>
      <c r="H32" s="9" t="inlineStr"/>
      <c r="I32" t="inlineStr">
        <is>
          <t>MAGNUM DISTRIBUIDORA DE PNEUS S/A</t>
        </is>
      </c>
      <c r="J32" t="inlineStr">
        <is>
          <t>MAGNUM DISTRIBUIDORA DE PNEUS S/A</t>
        </is>
      </c>
      <c r="K32" t="inlineStr">
        <is>
          <t>19403406</t>
        </is>
      </c>
      <c r="L32" t="inlineStr">
        <is>
          <t>19403406001549</t>
        </is>
      </c>
      <c r="M32" s="10" t="n">
        <v>644893.08</v>
      </c>
      <c r="N32" t="n">
        <v>1</v>
      </c>
      <c r="O32" s="11" t="inlineStr">
        <is>
          <t>UNKNOWN</t>
        </is>
      </c>
      <c r="P32" s="11" t="inlineStr"/>
      <c r="Q32" s="12" t="inlineStr"/>
      <c r="R32" s="11">
        <f>IF(Q32="","",ROUND((TODAY()-Q32)/365.25,1))</f>
        <v/>
      </c>
      <c r="S32" s="13">
        <f>VLOOKUP(O32,Assumptions!$A$7:$E$10,2,FALSE)</f>
        <v/>
      </c>
      <c r="T32" s="14">
        <f>MAX(0.5,VLOOKUP(O32,Assumptions!$A$7:$E$10,3,FALSE)+VLOOKUP(O32,Assumptions!$A$7:$E$10,4,FALSE)/2-IF(R32="",0,R32))</f>
        <v/>
      </c>
      <c r="U32" s="15">
        <f>M32*S32/(1+Assumptions!$B$3)^T32</f>
        <v/>
      </c>
      <c r="V32" s="11">
        <f>IF(M32=0,"",ROUND(U32/M32*100,1))</f>
        <v/>
      </c>
      <c r="W32" s="16">
        <f>U32*Assumptions!$B$4</f>
        <v/>
      </c>
      <c r="X32" s="11">
        <f>IF(M32=0,"",ROUND(W32/M32*100,1))</f>
        <v/>
      </c>
      <c r="Y32" t="inlineStr">
        <is>
          <t>DR. ALYSSON CORREIA MACIEL – OAB/PB 11.841, DRA. CAROL DE ALMEIDA LIMA</t>
        </is>
      </c>
      <c r="Z32" t="inlineStr">
        <is>
          <t>0804204-35.2022.8.15.0731</t>
        </is>
      </c>
      <c r="AA32" t="inlineStr"/>
      <c r="AB32" t="inlineStr">
        <is>
          <t>lrflideres.com.br</t>
        </is>
      </c>
      <c r="AC32" t="inlineStr">
        <is>
          <t>ANTONIO CARLOS CAVALCANTI DE ARAUJO FILHO</t>
        </is>
      </c>
      <c r="AD32" t="inlineStr">
        <is>
          <t>Presidente</t>
        </is>
      </c>
      <c r="AE32" t="inlineStr">
        <is>
          <t>(81) 3797-6245</t>
        </is>
      </c>
      <c r="AF32" t="inlineStr">
        <is>
          <t>(81) 3797-6246</t>
        </is>
      </c>
      <c r="AG32" t="inlineStr"/>
      <c r="AH32" t="inlineStr">
        <is>
          <t>PE</t>
        </is>
      </c>
      <c r="AI32" t="inlineStr">
        <is>
          <t>JABOATAO DOS GUARARAPES</t>
        </is>
      </c>
      <c r="AJ32" t="inlineStr">
        <is>
          <t>Comércio por atacado de pneumáticos e câmaras-de-ar</t>
        </is>
      </c>
      <c r="AK32" t="inlineStr">
        <is>
          <t>DEMAIS</t>
        </is>
      </c>
      <c r="AL32" t="inlineStr">
        <is>
          <t>ATIVA</t>
        </is>
      </c>
      <c r="AM32" s="17" t="inlineStr">
        <is>
          <t>https://lrflideres.com.br/wp-content/uploads/2022/08/4.-EDITAL-2a-LISTA-DE-CREDORES.pdf</t>
        </is>
      </c>
      <c r="AN32" s="18" t="inlineStr">
        <is>
          <t>p1 r21</t>
        </is>
      </c>
      <c r="AO32" s="18" t="inlineStr">
        <is>
          <t>p1: R$ 644.893,08</t>
        </is>
      </c>
      <c r="AP32" s="18" t="inlineStr">
        <is>
          <t>AJ_LIST</t>
        </is>
      </c>
      <c r="AQ32" s="18" t="inlineStr">
        <is>
          <t>2023-12-04</t>
        </is>
      </c>
      <c r="AR32" s="18" t="inlineStr">
        <is>
          <t>OK</t>
        </is>
      </c>
      <c r="AS32" s="18" t="inlineStr">
        <is>
          <t>ROWS:p1r21</t>
        </is>
      </c>
      <c r="AT32" s="18" t="inlineStr">
        <is>
          <t>1355f93a13cd</t>
        </is>
      </c>
    </row>
    <row r="33">
      <c r="A33" s="9" t="n">
        <v>32</v>
      </c>
      <c r="B33" s="9" t="inlineStr">
        <is>
          <t>NEW</t>
        </is>
      </c>
      <c r="C33" s="9" t="inlineStr"/>
      <c r="D33" s="9" t="n">
        <v>0</v>
      </c>
      <c r="E33" s="9" t="inlineStr"/>
      <c r="F33" s="9" t="inlineStr"/>
      <c r="G33" s="9" t="inlineStr"/>
      <c r="H33" s="9" t="inlineStr"/>
      <c r="I33" t="inlineStr">
        <is>
          <t>SOTIN SOLUCOES TECNICAS, INDUSTRIA E COMERCIO LTDA</t>
        </is>
      </c>
      <c r="J33" t="inlineStr">
        <is>
          <t>SOTIN SOLUÇÕES TECNICAS IND E COMERCIO LTDA</t>
        </is>
      </c>
      <c r="K33" t="inlineStr">
        <is>
          <t>38733545</t>
        </is>
      </c>
      <c r="L33" t="inlineStr">
        <is>
          <t>38733545000180</t>
        </is>
      </c>
      <c r="M33" s="10" t="n">
        <v>611207.1</v>
      </c>
      <c r="N33" t="n">
        <v>1</v>
      </c>
      <c r="O33" s="11" t="inlineStr">
        <is>
          <t>UNKNOWN</t>
        </is>
      </c>
      <c r="P33" s="11" t="inlineStr"/>
      <c r="Q33" s="12" t="inlineStr"/>
      <c r="R33" s="11">
        <f>IF(Q33="","",ROUND((TODAY()-Q33)/365.25,1))</f>
        <v/>
      </c>
      <c r="S33" s="13">
        <f>VLOOKUP(O33,Assumptions!$A$7:$E$10,2,FALSE)</f>
        <v/>
      </c>
      <c r="T33" s="14">
        <f>MAX(0.5,VLOOKUP(O33,Assumptions!$A$7:$E$10,3,FALSE)+VLOOKUP(O33,Assumptions!$A$7:$E$10,4,FALSE)/2-IF(R33="",0,R33))</f>
        <v/>
      </c>
      <c r="U33" s="15">
        <f>M33*S33/(1+Assumptions!$B$3)^T33</f>
        <v/>
      </c>
      <c r="V33" s="11">
        <f>IF(M33=0,"",ROUND(U33/M33*100,1))</f>
        <v/>
      </c>
      <c r="W33" s="16">
        <f>U33*Assumptions!$B$4</f>
        <v/>
      </c>
      <c r="X33" s="11">
        <f>IF(M33=0,"",ROUND(W33/M33*100,1))</f>
        <v/>
      </c>
      <c r="Y33" t="inlineStr">
        <is>
          <t>DR. ALYSSON CORREIA MACIEL – OAB/PB 11.841, DRA. CAROL DE ALMEIDA LIMA</t>
        </is>
      </c>
      <c r="Z33" t="inlineStr">
        <is>
          <t>0804204-35.2022.8.15.0731</t>
        </is>
      </c>
      <c r="AA33" t="inlineStr"/>
      <c r="AB33" t="inlineStr">
        <is>
          <t>lrflideres.com.br</t>
        </is>
      </c>
      <c r="AC33" t="inlineStr">
        <is>
          <t>SPENCER WILLIAM STELLA JUNIOR</t>
        </is>
      </c>
      <c r="AD33" t="inlineStr">
        <is>
          <t>Sócio-Administrador</t>
        </is>
      </c>
      <c r="AE33" t="inlineStr">
        <is>
          <t>(11) 4496-8888</t>
        </is>
      </c>
      <c r="AF33" t="inlineStr"/>
      <c r="AG33" t="inlineStr"/>
      <c r="AH33" t="inlineStr">
        <is>
          <t>SP</t>
        </is>
      </c>
      <c r="AI33" t="inlineStr">
        <is>
          <t>JUNDIAI</t>
        </is>
      </c>
      <c r="AJ33" t="inlineStr">
        <is>
          <t>Fabricação de outros produtos de metal não especificados anteriormente</t>
        </is>
      </c>
      <c r="AK33" t="inlineStr">
        <is>
          <t>DEMAIS</t>
        </is>
      </c>
      <c r="AL33" t="inlineStr">
        <is>
          <t>ATIVA</t>
        </is>
      </c>
      <c r="AM33" s="17" t="inlineStr">
        <is>
          <t>https://lrflideres.com.br/wp-content/uploads/2022/08/4.-EDITAL-2a-LISTA-DE-CREDORES.pdf</t>
        </is>
      </c>
      <c r="AN33" s="18" t="inlineStr">
        <is>
          <t>p2 r9</t>
        </is>
      </c>
      <c r="AO33" s="18" t="inlineStr">
        <is>
          <t>p2: R$ 611.207,10</t>
        </is>
      </c>
      <c r="AP33" s="18" t="inlineStr">
        <is>
          <t>AJ_LIST</t>
        </is>
      </c>
      <c r="AQ33" s="18" t="inlineStr">
        <is>
          <t>2023-12-04</t>
        </is>
      </c>
      <c r="AR33" s="18" t="inlineStr">
        <is>
          <t>OK</t>
        </is>
      </c>
      <c r="AS33" s="18" t="inlineStr">
        <is>
          <t>ROWS:p2r9</t>
        </is>
      </c>
      <c r="AT33" s="18" t="inlineStr">
        <is>
          <t>1355f93a13cd</t>
        </is>
      </c>
    </row>
    <row r="34">
      <c r="A34" s="9" t="n">
        <v>33</v>
      </c>
      <c r="B34" s="9" t="inlineStr">
        <is>
          <t>NEW</t>
        </is>
      </c>
      <c r="C34" s="9" t="inlineStr"/>
      <c r="D34" s="9" t="n">
        <v>0</v>
      </c>
      <c r="E34" s="9" t="inlineStr"/>
      <c r="F34" s="9" t="inlineStr"/>
      <c r="G34" s="9" t="inlineStr"/>
      <c r="H34" s="9" t="inlineStr"/>
      <c r="I34" t="inlineStr">
        <is>
          <t>COBREMACK INDUSTRIA DE CONDUTORES ELETRICOS LIMITADA EM RECUPERACAO JUDICIAL EM RECUPERACAO JUDICIAL</t>
        </is>
      </c>
      <c r="J34" t="inlineStr">
        <is>
          <t>COBREMACK INDUSTRIA DE CONDUTORES ELETRI</t>
        </is>
      </c>
      <c r="K34" t="inlineStr">
        <is>
          <t>11065453</t>
        </is>
      </c>
      <c r="L34" t="inlineStr">
        <is>
          <t>11065453000201</t>
        </is>
      </c>
      <c r="M34" s="10" t="n">
        <v>611009.25</v>
      </c>
      <c r="N34" t="n">
        <v>2</v>
      </c>
      <c r="O34" s="11" t="inlineStr">
        <is>
          <t>UNKNOWN</t>
        </is>
      </c>
      <c r="P34" s="11" t="inlineStr"/>
      <c r="Q34" s="12" t="inlineStr"/>
      <c r="R34" s="11">
        <f>IF(Q34="","",ROUND((TODAY()-Q34)/365.25,1))</f>
        <v/>
      </c>
      <c r="S34" s="13">
        <f>VLOOKUP(O34,Assumptions!$A$7:$E$10,2,FALSE)</f>
        <v/>
      </c>
      <c r="T34" s="14">
        <f>MAX(0.5,VLOOKUP(O34,Assumptions!$A$7:$E$10,3,FALSE)+VLOOKUP(O34,Assumptions!$A$7:$E$10,4,FALSE)/2-IF(R34="",0,R34))</f>
        <v/>
      </c>
      <c r="U34" s="15">
        <f>M34*S34/(1+Assumptions!$B$3)^T34</f>
        <v/>
      </c>
      <c r="V34" s="11">
        <f>IF(M34=0,"",ROUND(U34/M34*100,1))</f>
        <v/>
      </c>
      <c r="W34" s="16">
        <f>U34*Assumptions!$B$4</f>
        <v/>
      </c>
      <c r="X34" s="11">
        <f>IF(M34=0,"",ROUND(W34/M34*100,1))</f>
        <v/>
      </c>
      <c r="Y34" t="inlineStr">
        <is>
          <t>Conduscabos Brasil Indústria Comércio de</t>
        </is>
      </c>
      <c r="Z34" t="inlineStr">
        <is>
          <t>8005129-09.2023.8.05.0039</t>
        </is>
      </c>
      <c r="AA34" t="inlineStr"/>
      <c r="AB34" t="inlineStr">
        <is>
          <t>assistjud.com.br</t>
        </is>
      </c>
      <c r="AC34" t="inlineStr">
        <is>
          <t>JOSE CARLOS MENDES MATUIAMA</t>
        </is>
      </c>
      <c r="AD34" t="inlineStr">
        <is>
          <t>Sócio-Administrador</t>
        </is>
      </c>
      <c r="AE34" t="inlineStr">
        <is>
          <t>(11) 4156-5531</t>
        </is>
      </c>
      <c r="AF34" t="inlineStr"/>
      <c r="AG34" t="inlineStr"/>
      <c r="AH34" t="inlineStr">
        <is>
          <t>BA</t>
        </is>
      </c>
      <c r="AI34" t="inlineStr">
        <is>
          <t>LAURO DE FREITAS</t>
        </is>
      </c>
      <c r="AJ34" t="inlineStr">
        <is>
          <t>Fabricação de fios, cabos e condutores elétricos isolados</t>
        </is>
      </c>
      <c r="AK34" t="inlineStr">
        <is>
          <t>DEMAIS</t>
        </is>
      </c>
      <c r="AL34" t="inlineStr">
        <is>
          <t>ATIVA</t>
        </is>
      </c>
      <c r="AM34" s="17" t="inlineStr">
        <is>
          <t>https://assistjud.com.br/wp-content/uploads/elementor/forms/65098c80a5824.pdf</t>
        </is>
      </c>
      <c r="AN34" s="18" t="inlineStr">
        <is>
          <t>p6 r8; p17 r10</t>
        </is>
      </c>
      <c r="AO34" s="18" t="inlineStr">
        <is>
          <t>p6: R$ 420.273,65; p17: R$ 190.735,60</t>
        </is>
      </c>
      <c r="AP34" s="18" t="inlineStr">
        <is>
          <t>AJ_LIST</t>
        </is>
      </c>
      <c r="AQ34" s="18" t="inlineStr">
        <is>
          <t>2023-09-18</t>
        </is>
      </c>
      <c r="AR34" s="18" t="inlineStr">
        <is>
          <t>OK_NO_TOTALS</t>
        </is>
      </c>
      <c r="AS34" s="18" t="inlineStr">
        <is>
          <t>ROWS:p6r8,p17r10 UNRECONCILED_SOURCE VALUE_COL:Valor_Do_Crédito_2º_Edital_De_Credores</t>
        </is>
      </c>
      <c r="AT34" s="18" t="inlineStr">
        <is>
          <t>a0ae32a59c29</t>
        </is>
      </c>
    </row>
    <row r="35">
      <c r="A35" s="9" t="n">
        <v>34</v>
      </c>
      <c r="B35" s="9" t="inlineStr">
        <is>
          <t>NEW</t>
        </is>
      </c>
      <c r="C35" s="9" t="inlineStr"/>
      <c r="D35" s="9" t="n">
        <v>0</v>
      </c>
      <c r="E35" s="9" t="inlineStr"/>
      <c r="F35" s="9" t="inlineStr"/>
      <c r="G35" s="9" t="inlineStr"/>
      <c r="H35" s="9" t="inlineStr"/>
      <c r="I35" t="inlineStr">
        <is>
          <t>BIOBASE INDUSTRIA E COMERCIO LTDA</t>
        </is>
      </c>
      <c r="J35" t="inlineStr">
        <is>
          <t>BIOBASE INDUSTRIA E COMERCIO LTDA</t>
        </is>
      </c>
      <c r="K35" t="inlineStr">
        <is>
          <t>05216859</t>
        </is>
      </c>
      <c r="L35" t="inlineStr">
        <is>
          <t>05216859000156</t>
        </is>
      </c>
      <c r="M35" s="10" t="n">
        <v>569654.02</v>
      </c>
      <c r="N35" t="n">
        <v>1</v>
      </c>
      <c r="O35" s="11" t="inlineStr">
        <is>
          <t>UNKNOWN</t>
        </is>
      </c>
      <c r="P35" s="11" t="inlineStr"/>
      <c r="Q35" s="12" t="inlineStr"/>
      <c r="R35" s="11">
        <f>IF(Q35="","",ROUND((TODAY()-Q35)/365.25,1))</f>
        <v/>
      </c>
      <c r="S35" s="13">
        <f>VLOOKUP(O35,Assumptions!$A$7:$E$10,2,FALSE)</f>
        <v/>
      </c>
      <c r="T35" s="14">
        <f>MAX(0.5,VLOOKUP(O35,Assumptions!$A$7:$E$10,3,FALSE)+VLOOKUP(O35,Assumptions!$A$7:$E$10,4,FALSE)/2-IF(R35="",0,R35))</f>
        <v/>
      </c>
      <c r="U35" s="15">
        <f>M35*S35/(1+Assumptions!$B$3)^T35</f>
        <v/>
      </c>
      <c r="V35" s="11">
        <f>IF(M35=0,"",ROUND(U35/M35*100,1))</f>
        <v/>
      </c>
      <c r="W35" s="16">
        <f>U35*Assumptions!$B$4</f>
        <v/>
      </c>
      <c r="X35" s="11">
        <f>IF(M35=0,"",ROUND(W35/M35*100,1))</f>
        <v/>
      </c>
      <c r="Y35" t="inlineStr"/>
      <c r="Z35" t="inlineStr">
        <is>
          <t>(not found in document)</t>
        </is>
      </c>
      <c r="AA35" t="inlineStr"/>
      <c r="AB35" t="inlineStr">
        <is>
          <t>bernardobicalho.com.br</t>
        </is>
      </c>
      <c r="AC35" t="inlineStr">
        <is>
          <t>RICHARD REIS FARIAS</t>
        </is>
      </c>
      <c r="AD35" t="inlineStr">
        <is>
          <t>Sócio-Administrador</t>
        </is>
      </c>
      <c r="AE35" t="inlineStr">
        <is>
          <t>(35) 3427-7000</t>
        </is>
      </c>
      <c r="AF35" t="inlineStr">
        <is>
          <t>(35) 3427-7012</t>
        </is>
      </c>
      <c r="AG35" t="inlineStr"/>
      <c r="AH35" t="inlineStr">
        <is>
          <t>MG</t>
        </is>
      </c>
      <c r="AI35" t="inlineStr">
        <is>
          <t>POUSO ALEGRE</t>
        </is>
      </c>
      <c r="AJ35" t="inlineStr">
        <is>
          <t>Fabricação de materiais para medicina e odontologia</t>
        </is>
      </c>
      <c r="AK35" t="inlineStr">
        <is>
          <t>DEMAIS</t>
        </is>
      </c>
      <c r="AL35" t="inlineStr">
        <is>
          <t>ATIVA</t>
        </is>
      </c>
      <c r="AM35" s="17" t="inlineStr">
        <is>
          <t>http://bernardobicalho.com.br/login/app/documents/Rela%C3%A7%C3%A3o%20de%20Credores/6.%20RVC-%20Nutricium%20-%20simplificada.pdf</t>
        </is>
      </c>
      <c r="AN35" s="18" t="inlineStr">
        <is>
          <t>p3 r7</t>
        </is>
      </c>
      <c r="AO35" s="18" t="inlineStr">
        <is>
          <t>p3: R$ 569.654,02</t>
        </is>
      </c>
      <c r="AP35" s="18" t="inlineStr">
        <is>
          <t>AJ_LIST</t>
        </is>
      </c>
      <c r="AQ35" s="18" t="inlineStr"/>
      <c r="AR35" s="18" t="inlineStr">
        <is>
          <t>OK</t>
        </is>
      </c>
      <c r="AS35" s="18" t="inlineStr">
        <is>
          <t>CASE_NUMBER_MISSING ROWS:p3r7</t>
        </is>
      </c>
      <c r="AT35" s="18" t="inlineStr">
        <is>
          <t>6a92d74da333</t>
        </is>
      </c>
    </row>
    <row r="36">
      <c r="A36" s="9" t="n">
        <v>35</v>
      </c>
      <c r="B36" s="9" t="inlineStr">
        <is>
          <t>NEW</t>
        </is>
      </c>
      <c r="C36" s="9" t="inlineStr"/>
      <c r="D36" s="9" t="n">
        <v>0</v>
      </c>
      <c r="E36" s="9" t="inlineStr"/>
      <c r="F36" s="9" t="inlineStr"/>
      <c r="G36" s="9" t="inlineStr"/>
      <c r="H36" s="9" t="inlineStr"/>
      <c r="I36" t="inlineStr"/>
      <c r="J36" t="inlineStr">
        <is>
          <t>CREDIT PARTNERS FUNDO DE INVESTIMENTO EM DIREITOS CREDITÓRIOS NÃO PADRONIZADOS</t>
        </is>
      </c>
      <c r="K36" t="inlineStr">
        <is>
          <t>32274874</t>
        </is>
      </c>
      <c r="L36" t="inlineStr">
        <is>
          <t>32274874000123</t>
        </is>
      </c>
      <c r="M36" s="10" t="n">
        <v>547127.35</v>
      </c>
      <c r="N36" t="n">
        <v>2</v>
      </c>
      <c r="O36" s="11" t="inlineStr">
        <is>
          <t>UNKNOWN</t>
        </is>
      </c>
      <c r="P36" s="11" t="inlineStr"/>
      <c r="Q36" s="12" t="inlineStr"/>
      <c r="R36" s="11">
        <f>IF(Q36="","",ROUND((TODAY()-Q36)/365.25,1))</f>
        <v/>
      </c>
      <c r="S36" s="13">
        <f>VLOOKUP(O36,Assumptions!$A$7:$E$10,2,FALSE)</f>
        <v/>
      </c>
      <c r="T36" s="14">
        <f>MAX(0.5,VLOOKUP(O36,Assumptions!$A$7:$E$10,3,FALSE)+VLOOKUP(O36,Assumptions!$A$7:$E$10,4,FALSE)/2-IF(R36="",0,R36))</f>
        <v/>
      </c>
      <c r="U36" s="15">
        <f>M36*S36/(1+Assumptions!$B$3)^T36</f>
        <v/>
      </c>
      <c r="V36" s="11">
        <f>IF(M36=0,"",ROUND(U36/M36*100,1))</f>
        <v/>
      </c>
      <c r="W36" s="16">
        <f>U36*Assumptions!$B$4</f>
        <v/>
      </c>
      <c r="X36" s="11">
        <f>IF(M36=0,"",ROUND(W36/M36*100,1))</f>
        <v/>
      </c>
      <c r="Y36" t="inlineStr">
        <is>
          <t>Conduscabos Brasil Indústria Comércio de</t>
        </is>
      </c>
      <c r="Z36" t="inlineStr">
        <is>
          <t>8005129-09.2023.8.05.0039</t>
        </is>
      </c>
      <c r="AA36" t="inlineStr"/>
      <c r="AB36" t="inlineStr">
        <is>
          <t>assistjud.com.br</t>
        </is>
      </c>
      <c r="AC36" t="inlineStr"/>
      <c r="AD36" t="inlineStr"/>
      <c r="AE36" t="inlineStr"/>
      <c r="AF36" t="inlineStr"/>
      <c r="AG36" t="inlineStr"/>
      <c r="AH36" t="inlineStr"/>
      <c r="AI36" t="inlineStr"/>
      <c r="AJ36" t="inlineStr"/>
      <c r="AK36" t="inlineStr"/>
      <c r="AL36" t="inlineStr"/>
      <c r="AM36" s="17" t="inlineStr">
        <is>
          <t>https://assistjud.com.br/wp-content/uploads/elementor/forms/65098c80a5824.pdf</t>
        </is>
      </c>
      <c r="AN36" s="18" t="inlineStr">
        <is>
          <t>p6 r11; p17 r11</t>
        </is>
      </c>
      <c r="AO36" s="18" t="inlineStr">
        <is>
          <t>p6: R$ 333.437,35; p17: R$ 213.690,00</t>
        </is>
      </c>
      <c r="AP36" s="18" t="inlineStr">
        <is>
          <t>AJ_LIST</t>
        </is>
      </c>
      <c r="AQ36" s="18" t="inlineStr">
        <is>
          <t>2023-09-18</t>
        </is>
      </c>
      <c r="AR36" s="18" t="inlineStr">
        <is>
          <t>OK_NO_TOTALS</t>
        </is>
      </c>
      <c r="AS36" s="18" t="inlineStr">
        <is>
          <t>ROWS:p6r11,p17r11 UNRECONCILED_SOURCE VALUE_COL:Valor_Do_Crédito_2º_Edital_De_Credores</t>
        </is>
      </c>
      <c r="AT36" s="18" t="inlineStr">
        <is>
          <t>a0ae32a59c29</t>
        </is>
      </c>
    </row>
    <row r="37">
      <c r="A37" s="9" t="n">
        <v>36</v>
      </c>
      <c r="B37" s="9" t="inlineStr">
        <is>
          <t>NEW</t>
        </is>
      </c>
      <c r="C37" s="9" t="inlineStr"/>
      <c r="D37" s="9" t="n">
        <v>0</v>
      </c>
      <c r="E37" s="9" t="inlineStr"/>
      <c r="F37" s="9" t="inlineStr"/>
      <c r="G37" s="9" t="inlineStr"/>
      <c r="H37" s="9" t="inlineStr"/>
      <c r="I37" t="inlineStr">
        <is>
          <t>CALMAP INDUSTRIA DE CALCARIO LTDA</t>
        </is>
      </c>
      <c r="J37" t="inlineStr">
        <is>
          <t>CALMAP INDUSTRIA DE CALCARIO LTDA</t>
        </is>
      </c>
      <c r="K37" t="inlineStr">
        <is>
          <t>10962529</t>
        </is>
      </c>
      <c r="L37" t="inlineStr">
        <is>
          <t>10962529000140</t>
        </is>
      </c>
      <c r="M37" s="10" t="n">
        <v>526042.9300000001</v>
      </c>
      <c r="N37" t="n">
        <v>1</v>
      </c>
      <c r="O37" s="11" t="inlineStr">
        <is>
          <t>UNKNOWN</t>
        </is>
      </c>
      <c r="P37" s="11" t="inlineStr"/>
      <c r="Q37" s="12" t="inlineStr"/>
      <c r="R37" s="11">
        <f>IF(Q37="","",ROUND((TODAY()-Q37)/365.25,1))</f>
        <v/>
      </c>
      <c r="S37" s="13">
        <f>VLOOKUP(O37,Assumptions!$A$7:$E$10,2,FALSE)</f>
        <v/>
      </c>
      <c r="T37" s="14">
        <f>MAX(0.5,VLOOKUP(O37,Assumptions!$A$7:$E$10,3,FALSE)+VLOOKUP(O37,Assumptions!$A$7:$E$10,4,FALSE)/2-IF(R37="",0,R37))</f>
        <v/>
      </c>
      <c r="U37" s="15">
        <f>M37*S37/(1+Assumptions!$B$3)^T37</f>
        <v/>
      </c>
      <c r="V37" s="11">
        <f>IF(M37=0,"",ROUND(U37/M37*100,1))</f>
        <v/>
      </c>
      <c r="W37" s="16">
        <f>U37*Assumptions!$B$4</f>
        <v/>
      </c>
      <c r="X37" s="11">
        <f>IF(M37=0,"",ROUND(W37/M37*100,1))</f>
        <v/>
      </c>
      <c r="Y37" t="inlineStr">
        <is>
          <t>SOJAL COMERCIAL AGRICOLA</t>
        </is>
      </c>
      <c r="Z37" t="inlineStr">
        <is>
          <t>0804401-51.2025.8.14.0039</t>
        </is>
      </c>
      <c r="AA37" t="inlineStr"/>
      <c r="AB37" t="inlineStr">
        <is>
          <t>lrflideres.com.br</t>
        </is>
      </c>
      <c r="AC37" t="inlineStr">
        <is>
          <t>ANTONIO HOLANDA DE OLIVEIRA NETO</t>
        </is>
      </c>
      <c r="AD37" t="inlineStr">
        <is>
          <t>Sócio-Administrador</t>
        </is>
      </c>
      <c r="AE37" t="inlineStr">
        <is>
          <t>(85) 3082-0505</t>
        </is>
      </c>
      <c r="AF37" t="inlineStr"/>
      <c r="AG37" t="inlineStr"/>
      <c r="AH37" t="inlineStr">
        <is>
          <t>PA</t>
        </is>
      </c>
      <c r="AI37" t="inlineStr">
        <is>
          <t>SAO GERALDO DO ARAGUAIA</t>
        </is>
      </c>
      <c r="AJ37" t="inlineStr">
        <is>
          <t>Extração de minerais para fabricação de adubos, fertilizantes e outros produtos químicos</t>
        </is>
      </c>
      <c r="AK37" t="inlineStr">
        <is>
          <t>DEMAIS</t>
        </is>
      </c>
      <c r="AL37" t="inlineStr">
        <is>
          <t>ATIVA</t>
        </is>
      </c>
      <c r="AM37" s="17" t="inlineStr">
        <is>
          <t>https://lrflideres.com.br/wp-content/plugins/download-attachments/includes/download.php?id=6879</t>
        </is>
      </c>
      <c r="AN37" s="18" t="inlineStr">
        <is>
          <t>p1 r8</t>
        </is>
      </c>
      <c r="AO37" s="18" t="inlineStr">
        <is>
          <t>p1: R$ 526.042,93</t>
        </is>
      </c>
      <c r="AP37" s="18" t="inlineStr">
        <is>
          <t>AJ_LIST</t>
        </is>
      </c>
      <c r="AQ37" s="18" t="inlineStr">
        <is>
          <t>2026-01-15</t>
        </is>
      </c>
      <c r="AR37" s="18" t="inlineStr">
        <is>
          <t>OK</t>
        </is>
      </c>
      <c r="AS37" s="18" t="inlineStr">
        <is>
          <t>ROWS:p1r8</t>
        </is>
      </c>
      <c r="AT37" s="18" t="inlineStr">
        <is>
          <t>c56751547323</t>
        </is>
      </c>
    </row>
    <row r="38">
      <c r="A38" s="9" t="n">
        <v>37</v>
      </c>
      <c r="B38" s="9" t="inlineStr">
        <is>
          <t>NEW</t>
        </is>
      </c>
      <c r="C38" s="9" t="inlineStr"/>
      <c r="D38" s="9" t="n">
        <v>0</v>
      </c>
      <c r="E38" s="9" t="inlineStr"/>
      <c r="F38" s="9" t="inlineStr"/>
      <c r="G38" s="9" t="inlineStr"/>
      <c r="H38" s="9" t="inlineStr"/>
      <c r="I38" t="inlineStr">
        <is>
          <t>COBB-VANTRESS BRASIL LTDA</t>
        </is>
      </c>
      <c r="J38" t="inlineStr">
        <is>
          <t>COBB - VANTRESS BRASIL LTDA</t>
        </is>
      </c>
      <c r="K38" t="inlineStr">
        <is>
          <t>00466591</t>
        </is>
      </c>
      <c r="L38" t="inlineStr">
        <is>
          <t>00466591000197</t>
        </is>
      </c>
      <c r="M38" s="10" t="n">
        <v>497078.85</v>
      </c>
      <c r="N38" t="n">
        <v>1</v>
      </c>
      <c r="O38" s="11" t="inlineStr">
        <is>
          <t>UNKNOWN</t>
        </is>
      </c>
      <c r="P38" s="11" t="inlineStr"/>
      <c r="Q38" s="12" t="inlineStr"/>
      <c r="R38" s="11">
        <f>IF(Q38="","",ROUND((TODAY()-Q38)/365.25,1))</f>
        <v/>
      </c>
      <c r="S38" s="13">
        <f>VLOOKUP(O38,Assumptions!$A$7:$E$10,2,FALSE)</f>
        <v/>
      </c>
      <c r="T38" s="14">
        <f>MAX(0.5,VLOOKUP(O38,Assumptions!$A$7:$E$10,3,FALSE)+VLOOKUP(O38,Assumptions!$A$7:$E$10,4,FALSE)/2-IF(R38="",0,R38))</f>
        <v/>
      </c>
      <c r="U38" s="15">
        <f>M38*S38/(1+Assumptions!$B$3)^T38</f>
        <v/>
      </c>
      <c r="V38" s="11">
        <f>IF(M38=0,"",ROUND(U38/M38*100,1))</f>
        <v/>
      </c>
      <c r="W38" s="16">
        <f>U38*Assumptions!$B$4</f>
        <v/>
      </c>
      <c r="X38" s="11">
        <f>IF(M38=0,"",ROUND(W38/M38*100,1))</f>
        <v/>
      </c>
      <c r="Y38" t="inlineStr">
        <is>
          <t>AGROPECUÁRIA SERROTE REDONDO</t>
        </is>
      </c>
      <c r="Z38" t="inlineStr">
        <is>
          <t>0000206-69.2013.8.17.1340</t>
        </is>
      </c>
      <c r="AA38" t="inlineStr"/>
      <c r="AB38" t="inlineStr">
        <is>
          <t>lrflideres.com.br</t>
        </is>
      </c>
      <c r="AC38" t="inlineStr">
        <is>
          <t>RODRIGO FERREIRA SIQUEIRA DE MELLO</t>
        </is>
      </c>
      <c r="AD38" t="inlineStr">
        <is>
          <t>Administrador</t>
        </is>
      </c>
      <c r="AE38" t="inlineStr"/>
      <c r="AF38" t="inlineStr"/>
      <c r="AG38" t="inlineStr"/>
      <c r="AH38" t="inlineStr">
        <is>
          <t>SP</t>
        </is>
      </c>
      <c r="AI38" t="inlineStr">
        <is>
          <t>GUAPIACU</t>
        </is>
      </c>
      <c r="AJ38" t="inlineStr">
        <is>
          <t>Produção de pintos de um dia</t>
        </is>
      </c>
      <c r="AK38" t="inlineStr">
        <is>
          <t>DEMAIS</t>
        </is>
      </c>
      <c r="AL38" t="inlineStr">
        <is>
          <t>ATIVA</t>
        </is>
      </c>
      <c r="AM38" s="17" t="inlineStr">
        <is>
          <t>https://lrflideres.com.br/wp-content/plugins/download-attachments/includes/download.php?id=5001</t>
        </is>
      </c>
      <c r="AN38" s="18" t="inlineStr">
        <is>
          <t>p1 r23</t>
        </is>
      </c>
      <c r="AO38" s="18" t="inlineStr">
        <is>
          <t>p1: R$ 497.078,85</t>
        </is>
      </c>
      <c r="AP38" s="18" t="inlineStr">
        <is>
          <t>UNKNOWN</t>
        </is>
      </c>
      <c r="AQ38" s="18" t="inlineStr"/>
      <c r="AR38" s="18" t="inlineStr">
        <is>
          <t>OK</t>
        </is>
      </c>
      <c r="AS38" s="18" t="inlineStr">
        <is>
          <t>ALT_VALUE:497.078,85 ROWS:p1r23 VALUE_COL:Valor_Atualizado</t>
        </is>
      </c>
      <c r="AT38" s="18" t="inlineStr">
        <is>
          <t>7c0ce2830d0d</t>
        </is>
      </c>
    </row>
    <row r="39">
      <c r="A39" s="9" t="n">
        <v>38</v>
      </c>
      <c r="B39" s="9" t="inlineStr">
        <is>
          <t>NEW</t>
        </is>
      </c>
      <c r="C39" s="9" t="inlineStr"/>
      <c r="D39" s="9" t="n">
        <v>0</v>
      </c>
      <c r="E39" s="9" t="inlineStr"/>
      <c r="F39" s="9" t="inlineStr"/>
      <c r="G39" s="9" t="inlineStr"/>
      <c r="H39" s="9" t="inlineStr"/>
      <c r="I39" t="inlineStr">
        <is>
          <t>CROPFERT INDUSTRIA DE FERTILIZANTES E AGROQUIMICOS LTDA</t>
        </is>
      </c>
      <c r="J39" t="inlineStr">
        <is>
          <t>CROPFERT INDUSTRIA DE FERTILIZANTES E AG</t>
        </is>
      </c>
      <c r="K39" t="inlineStr">
        <is>
          <t>18373437</t>
        </is>
      </c>
      <c r="L39" t="inlineStr">
        <is>
          <t>18373437000136</t>
        </is>
      </c>
      <c r="M39" s="10" t="n">
        <v>467392</v>
      </c>
      <c r="N39" t="n">
        <v>1</v>
      </c>
      <c r="O39" s="11" t="inlineStr">
        <is>
          <t>UNKNOWN</t>
        </is>
      </c>
      <c r="P39" s="11" t="inlineStr"/>
      <c r="Q39" s="12" t="inlineStr"/>
      <c r="R39" s="11">
        <f>IF(Q39="","",ROUND((TODAY()-Q39)/365.25,1))</f>
        <v/>
      </c>
      <c r="S39" s="13">
        <f>VLOOKUP(O39,Assumptions!$A$7:$E$10,2,FALSE)</f>
        <v/>
      </c>
      <c r="T39" s="14">
        <f>MAX(0.5,VLOOKUP(O39,Assumptions!$A$7:$E$10,3,FALSE)+VLOOKUP(O39,Assumptions!$A$7:$E$10,4,FALSE)/2-IF(R39="",0,R39))</f>
        <v/>
      </c>
      <c r="U39" s="15">
        <f>M39*S39/(1+Assumptions!$B$3)^T39</f>
        <v/>
      </c>
      <c r="V39" s="11">
        <f>IF(M39=0,"",ROUND(U39/M39*100,1))</f>
        <v/>
      </c>
      <c r="W39" s="16">
        <f>U39*Assumptions!$B$4</f>
        <v/>
      </c>
      <c r="X39" s="11">
        <f>IF(M39=0,"",ROUND(W39/M39*100,1))</f>
        <v/>
      </c>
      <c r="Y39" t="inlineStr">
        <is>
          <t>SOJAL COMERCIAL AGRICOLA</t>
        </is>
      </c>
      <c r="Z39" t="inlineStr">
        <is>
          <t>0804401-51.2025.8.14.0039</t>
        </is>
      </c>
      <c r="AA39" t="inlineStr"/>
      <c r="AB39" t="inlineStr">
        <is>
          <t>lrflideres.com.br</t>
        </is>
      </c>
      <c r="AC39" t="inlineStr">
        <is>
          <t>ANDERSON JOSE FAUSTINO</t>
        </is>
      </c>
      <c r="AD39" t="inlineStr">
        <is>
          <t>Administrador</t>
        </is>
      </c>
      <c r="AE39" t="inlineStr">
        <is>
          <t>(43) 3162-2700</t>
        </is>
      </c>
      <c r="AF39" t="inlineStr"/>
      <c r="AG39" t="inlineStr"/>
      <c r="AH39" t="inlineStr">
        <is>
          <t>PR</t>
        </is>
      </c>
      <c r="AI39" t="inlineStr">
        <is>
          <t>JANDAIA DO SUL</t>
        </is>
      </c>
      <c r="AJ39" t="inlineStr">
        <is>
          <t>Fabricação de defensivos agrícolas</t>
        </is>
      </c>
      <c r="AK39" t="inlineStr">
        <is>
          <t>DEMAIS</t>
        </is>
      </c>
      <c r="AL39" t="inlineStr">
        <is>
          <t>ATIVA</t>
        </is>
      </c>
      <c r="AM39" s="17" t="inlineStr">
        <is>
          <t>https://lrflideres.com.br/wp-content/plugins/download-attachments/includes/download.php?id=6879</t>
        </is>
      </c>
      <c r="AN39" s="18" t="inlineStr">
        <is>
          <t>p1 r12</t>
        </is>
      </c>
      <c r="AO39" s="18" t="inlineStr">
        <is>
          <t>p1: R$ 467.392,00</t>
        </is>
      </c>
      <c r="AP39" s="18" t="inlineStr">
        <is>
          <t>AJ_LIST</t>
        </is>
      </c>
      <c r="AQ39" s="18" t="inlineStr">
        <is>
          <t>2026-01-15</t>
        </is>
      </c>
      <c r="AR39" s="18" t="inlineStr">
        <is>
          <t>OK</t>
        </is>
      </c>
      <c r="AS39" s="18" t="inlineStr">
        <is>
          <t>ROWS:p1r12</t>
        </is>
      </c>
      <c r="AT39" s="18" t="inlineStr">
        <is>
          <t>c56751547323</t>
        </is>
      </c>
    </row>
    <row r="40">
      <c r="A40" s="9" t="n">
        <v>39</v>
      </c>
      <c r="B40" s="9" t="inlineStr">
        <is>
          <t>NEW</t>
        </is>
      </c>
      <c r="C40" s="9" t="inlineStr"/>
      <c r="D40" s="9" t="n">
        <v>0</v>
      </c>
      <c r="E40" s="9" t="inlineStr"/>
      <c r="F40" s="9" t="inlineStr"/>
      <c r="G40" s="9" t="inlineStr"/>
      <c r="H40" s="9" t="inlineStr"/>
      <c r="I40" t="inlineStr">
        <is>
          <t>COMARY INDUSTRIA DE BEBIDAS LTDA</t>
        </is>
      </c>
      <c r="J40" t="inlineStr">
        <is>
          <t>COMARY INDUSTRIA DE BEBIDAS LTDA</t>
        </is>
      </c>
      <c r="K40" t="inlineStr">
        <is>
          <t>29588019</t>
        </is>
      </c>
      <c r="L40" t="inlineStr">
        <is>
          <t>29588019001316</t>
        </is>
      </c>
      <c r="M40" s="10" t="n">
        <v>407241.98</v>
      </c>
      <c r="N40" t="n">
        <v>1</v>
      </c>
      <c r="O40" s="11" t="inlineStr">
        <is>
          <t>UNKNOWN</t>
        </is>
      </c>
      <c r="P40" s="11" t="inlineStr"/>
      <c r="Q40" s="12" t="inlineStr"/>
      <c r="R40" s="11">
        <f>IF(Q40="","",ROUND((TODAY()-Q40)/365.25,1))</f>
        <v/>
      </c>
      <c r="S40" s="13">
        <f>VLOOKUP(O40,Assumptions!$A$7:$E$10,2,FALSE)</f>
        <v/>
      </c>
      <c r="T40" s="14">
        <f>MAX(0.5,VLOOKUP(O40,Assumptions!$A$7:$E$10,3,FALSE)+VLOOKUP(O40,Assumptions!$A$7:$E$10,4,FALSE)/2-IF(R40="",0,R40))</f>
        <v/>
      </c>
      <c r="U40" s="15">
        <f>M40*S40/(1+Assumptions!$B$3)^T40</f>
        <v/>
      </c>
      <c r="V40" s="11">
        <f>IF(M40=0,"",ROUND(U40/M40*100,1))</f>
        <v/>
      </c>
      <c r="W40" s="16">
        <f>U40*Assumptions!$B$4</f>
        <v/>
      </c>
      <c r="X40" s="11">
        <f>IF(M40=0,"",ROUND(W40/M40*100,1))</f>
        <v/>
      </c>
      <c r="Y40" t="inlineStr">
        <is>
          <t>ARRUDA &amp; MELO COMERCIO E DISTRIBUICAO DE ALIMENTOS E BEBIDAS LTDA</t>
        </is>
      </c>
      <c r="Z40" t="inlineStr">
        <is>
          <t>0008526-45.2025.8.17.2001</t>
        </is>
      </c>
      <c r="AA40" t="inlineStr"/>
      <c r="AB40" t="inlineStr">
        <is>
          <t>diligence.adm.br</t>
        </is>
      </c>
      <c r="AC40" t="inlineStr">
        <is>
          <t>MOZART RIBEIRO RODRIGUES</t>
        </is>
      </c>
      <c r="AD40" t="inlineStr">
        <is>
          <t>Sócio-Administrador</t>
        </is>
      </c>
      <c r="AE40" t="inlineStr">
        <is>
          <t>(21) 2152-4014</t>
        </is>
      </c>
      <c r="AF40" t="inlineStr">
        <is>
          <t>(21) 2152-4000</t>
        </is>
      </c>
      <c r="AG40" t="inlineStr"/>
      <c r="AH40" t="inlineStr">
        <is>
          <t>RJ</t>
        </is>
      </c>
      <c r="AI40" t="inlineStr">
        <is>
          <t>TERESOPOLIS</t>
        </is>
      </c>
      <c r="AJ40" t="inlineStr">
        <is>
          <t>Fabricação de vinho</t>
        </is>
      </c>
      <c r="AK40" t="inlineStr">
        <is>
          <t>DEMAIS</t>
        </is>
      </c>
      <c r="AL40" t="inlineStr">
        <is>
          <t>ATIVA</t>
        </is>
      </c>
      <c r="AM40" s="17" t="inlineStr">
        <is>
          <t>https://diligence.adm.br/wp-content/uploads/2025/06/Edital-1a-Lista-de-Credores.pdf</t>
        </is>
      </c>
      <c r="AN40" s="18" t="inlineStr">
        <is>
          <t>p5 r69</t>
        </is>
      </c>
      <c r="AO40" s="18" t="inlineStr">
        <is>
          <t>p5: R$ 407.241,98</t>
        </is>
      </c>
      <c r="AP40" s="18" t="inlineStr">
        <is>
          <t>DEBTOR_LIST</t>
        </is>
      </c>
      <c r="AQ40" s="18" t="inlineStr">
        <is>
          <t>2025-06-10</t>
        </is>
      </c>
      <c r="AR40" s="18" t="inlineStr">
        <is>
          <t>OK</t>
        </is>
      </c>
      <c r="AS40" s="18" t="inlineStr">
        <is>
          <t>ROWS:p5r69</t>
        </is>
      </c>
      <c r="AT40" s="18" t="inlineStr">
        <is>
          <t>1658892fa167</t>
        </is>
      </c>
    </row>
    <row r="41">
      <c r="A41" s="9" t="n">
        <v>40</v>
      </c>
      <c r="B41" s="9" t="inlineStr">
        <is>
          <t>NEW</t>
        </is>
      </c>
      <c r="C41" s="9" t="inlineStr"/>
      <c r="D41" s="9" t="n">
        <v>0</v>
      </c>
      <c r="E41" s="9" t="inlineStr"/>
      <c r="F41" s="9" t="inlineStr"/>
      <c r="G41" s="9" t="inlineStr"/>
      <c r="H41" s="9" t="inlineStr"/>
      <c r="I41" t="inlineStr">
        <is>
          <t>EPE - PRODUTOS AGROPECUARIOS LTDA</t>
        </is>
      </c>
      <c r="J41" t="inlineStr">
        <is>
          <t>EPE - PRODUTOS AGROPECUARIOS LTDA</t>
        </is>
      </c>
      <c r="K41" t="inlineStr">
        <is>
          <t>05860157</t>
        </is>
      </c>
      <c r="L41" t="inlineStr">
        <is>
          <t>05860157000100</t>
        </is>
      </c>
      <c r="M41" s="10" t="n">
        <v>399413.94</v>
      </c>
      <c r="N41" t="n">
        <v>1</v>
      </c>
      <c r="O41" s="11" t="inlineStr">
        <is>
          <t>UNKNOWN</t>
        </is>
      </c>
      <c r="P41" s="11" t="inlineStr"/>
      <c r="Q41" s="12" t="inlineStr"/>
      <c r="R41" s="11">
        <f>IF(Q41="","",ROUND((TODAY()-Q41)/365.25,1))</f>
        <v/>
      </c>
      <c r="S41" s="13">
        <f>VLOOKUP(O41,Assumptions!$A$7:$E$10,2,FALSE)</f>
        <v/>
      </c>
      <c r="T41" s="14">
        <f>MAX(0.5,VLOOKUP(O41,Assumptions!$A$7:$E$10,3,FALSE)+VLOOKUP(O41,Assumptions!$A$7:$E$10,4,FALSE)/2-IF(R41="",0,R41))</f>
        <v/>
      </c>
      <c r="U41" s="15">
        <f>M41*S41/(1+Assumptions!$B$3)^T41</f>
        <v/>
      </c>
      <c r="V41" s="11">
        <f>IF(M41=0,"",ROUND(U41/M41*100,1))</f>
        <v/>
      </c>
      <c r="W41" s="16">
        <f>U41*Assumptions!$B$4</f>
        <v/>
      </c>
      <c r="X41" s="11">
        <f>IF(M41=0,"",ROUND(W41/M41*100,1))</f>
        <v/>
      </c>
      <c r="Y41" t="inlineStr">
        <is>
          <t>AGROPECUÁRIA SERROTE REDONDO</t>
        </is>
      </c>
      <c r="Z41" t="inlineStr">
        <is>
          <t>0000206-69.2013.8.17.1340</t>
        </is>
      </c>
      <c r="AA41" t="inlineStr"/>
      <c r="AB41" t="inlineStr">
        <is>
          <t>lrflideres.com.br</t>
        </is>
      </c>
      <c r="AC41" t="inlineStr">
        <is>
          <t>EDIVAL VERAS DE BARROS CAMPELO FILHO</t>
        </is>
      </c>
      <c r="AD41" t="inlineStr">
        <is>
          <t>Sócio-Administrador</t>
        </is>
      </c>
      <c r="AE41" t="inlineStr">
        <is>
          <t>(81) 3465-3775</t>
        </is>
      </c>
      <c r="AF41" t="inlineStr">
        <is>
          <t>(81) 8865-3037</t>
        </is>
      </c>
      <c r="AG41" t="inlineStr"/>
      <c r="AH41" t="inlineStr">
        <is>
          <t>PE</t>
        </is>
      </c>
      <c r="AI41" t="inlineStr">
        <is>
          <t>GARANHUNS</t>
        </is>
      </c>
      <c r="AJ41" t="inlineStr">
        <is>
          <t>Comércio atacadista de mercadorias em geral, com predominância de insumos agropecuários</t>
        </is>
      </c>
      <c r="AK41" t="inlineStr">
        <is>
          <t>DEMAIS</t>
        </is>
      </c>
      <c r="AL41" t="inlineStr">
        <is>
          <t>ATIVA</t>
        </is>
      </c>
      <c r="AM41" s="17" t="inlineStr">
        <is>
          <t>https://lrflideres.com.br/wp-content/plugins/download-attachments/includes/download.php?id=5001</t>
        </is>
      </c>
      <c r="AN41" s="18" t="inlineStr">
        <is>
          <t>p2 r4</t>
        </is>
      </c>
      <c r="AO41" s="18" t="inlineStr">
        <is>
          <t>p2: R$ 399.413,94</t>
        </is>
      </c>
      <c r="AP41" s="18" t="inlineStr">
        <is>
          <t>UNKNOWN</t>
        </is>
      </c>
      <c r="AQ41" s="18" t="inlineStr"/>
      <c r="AR41" s="18" t="inlineStr">
        <is>
          <t>OK</t>
        </is>
      </c>
      <c r="AS41" s="18" t="inlineStr">
        <is>
          <t>ALT_VALUE:399.413,94 ROWS:p2r4</t>
        </is>
      </c>
      <c r="AT41" s="18" t="inlineStr">
        <is>
          <t>7c0ce2830d0d</t>
        </is>
      </c>
    </row>
    <row r="42">
      <c r="A42" s="9" t="n">
        <v>41</v>
      </c>
      <c r="B42" s="9" t="inlineStr">
        <is>
          <t>NEW</t>
        </is>
      </c>
      <c r="C42" s="9" t="inlineStr"/>
      <c r="D42" s="9" t="n">
        <v>0</v>
      </c>
      <c r="E42" s="9" t="inlineStr"/>
      <c r="F42" s="9" t="inlineStr"/>
      <c r="G42" s="9" t="inlineStr"/>
      <c r="H42" s="9" t="inlineStr"/>
      <c r="I42" t="inlineStr">
        <is>
          <t>L D NUNES</t>
        </is>
      </c>
      <c r="J42" t="inlineStr">
        <is>
          <t>L. D. NUNES LTDA</t>
        </is>
      </c>
      <c r="K42" t="inlineStr">
        <is>
          <t>02291660</t>
        </is>
      </c>
      <c r="L42" t="inlineStr">
        <is>
          <t>02291660000102</t>
        </is>
      </c>
      <c r="M42" s="10" t="n">
        <v>390081</v>
      </c>
      <c r="N42" t="n">
        <v>1</v>
      </c>
      <c r="O42" s="11" t="inlineStr">
        <is>
          <t>UNKNOWN</t>
        </is>
      </c>
      <c r="P42" s="11" t="inlineStr"/>
      <c r="Q42" s="12" t="inlineStr"/>
      <c r="R42" s="11">
        <f>IF(Q42="","",ROUND((TODAY()-Q42)/365.25,1))</f>
        <v/>
      </c>
      <c r="S42" s="13">
        <f>VLOOKUP(O42,Assumptions!$A$7:$E$10,2,FALSE)</f>
        <v/>
      </c>
      <c r="T42" s="14">
        <f>MAX(0.5,VLOOKUP(O42,Assumptions!$A$7:$E$10,3,FALSE)+VLOOKUP(O42,Assumptions!$A$7:$E$10,4,FALSE)/2-IF(R42="",0,R42))</f>
        <v/>
      </c>
      <c r="U42" s="15">
        <f>M42*S42/(1+Assumptions!$B$3)^T42</f>
        <v/>
      </c>
      <c r="V42" s="11">
        <f>IF(M42=0,"",ROUND(U42/M42*100,1))</f>
        <v/>
      </c>
      <c r="W42" s="16">
        <f>U42*Assumptions!$B$4</f>
        <v/>
      </c>
      <c r="X42" s="11">
        <f>IF(M42=0,"",ROUND(W42/M42*100,1))</f>
        <v/>
      </c>
      <c r="Y42" t="inlineStr">
        <is>
          <t>AGROPECUÁRIA SERROTE REDONDO</t>
        </is>
      </c>
      <c r="Z42" t="inlineStr">
        <is>
          <t>0000206-69.2013.8.17.1340</t>
        </is>
      </c>
      <c r="AA42" t="inlineStr"/>
      <c r="AB42" t="inlineStr">
        <is>
          <t>lrflideres.com.br</t>
        </is>
      </c>
      <c r="AC42" t="inlineStr"/>
      <c r="AD42" t="inlineStr"/>
      <c r="AE42" t="inlineStr"/>
      <c r="AF42" t="inlineStr"/>
      <c r="AG42" t="inlineStr"/>
      <c r="AH42" t="inlineStr">
        <is>
          <t>RN</t>
        </is>
      </c>
      <c r="AI42" t="inlineStr">
        <is>
          <t>MACAIBA</t>
        </is>
      </c>
      <c r="AJ42" t="inlineStr">
        <is>
          <t>Preparação de subprodutos do abate</t>
        </is>
      </c>
      <c r="AK42" t="inlineStr">
        <is>
          <t>EMPRESA DE PEQUENO PORTE</t>
        </is>
      </c>
      <c r="AL42" t="inlineStr">
        <is>
          <t>ATIVA</t>
        </is>
      </c>
      <c r="AM42" s="17" t="inlineStr">
        <is>
          <t>https://lrflideres.com.br/wp-content/plugins/download-attachments/includes/download.php?id=5001</t>
        </is>
      </c>
      <c r="AN42" s="18" t="inlineStr">
        <is>
          <t>p2 r36</t>
        </is>
      </c>
      <c r="AO42" s="18" t="inlineStr">
        <is>
          <t>p2: R$ 390.081,00</t>
        </is>
      </c>
      <c r="AP42" s="18" t="inlineStr">
        <is>
          <t>UNKNOWN</t>
        </is>
      </c>
      <c r="AQ42" s="18" t="inlineStr"/>
      <c r="AR42" s="18" t="inlineStr">
        <is>
          <t>OK</t>
        </is>
      </c>
      <c r="AS42" s="18" t="inlineStr">
        <is>
          <t>ALT_VALUE:390.081,00 ROWS:p2r36</t>
        </is>
      </c>
      <c r="AT42" s="18" t="inlineStr">
        <is>
          <t>7c0ce2830d0d</t>
        </is>
      </c>
    </row>
    <row r="43">
      <c r="A43" s="9" t="n">
        <v>42</v>
      </c>
      <c r="B43" s="9" t="inlineStr">
        <is>
          <t>NEW</t>
        </is>
      </c>
      <c r="C43" s="9" t="inlineStr"/>
      <c r="D43" s="9" t="n">
        <v>0</v>
      </c>
      <c r="E43" s="9" t="inlineStr"/>
      <c r="F43" s="9" t="inlineStr"/>
      <c r="G43" s="9" t="inlineStr"/>
      <c r="H43" s="9" t="inlineStr"/>
      <c r="I43" t="inlineStr"/>
      <c r="J43" t="inlineStr">
        <is>
          <t>POLUX SECURITIZADORA DE RECEBÍVEIS COMERCIAIS S.A.</t>
        </is>
      </c>
      <c r="K43" t="inlineStr">
        <is>
          <t>36238945</t>
        </is>
      </c>
      <c r="L43" t="inlineStr">
        <is>
          <t>36238945000193</t>
        </is>
      </c>
      <c r="M43" s="10" t="n">
        <v>361043.83</v>
      </c>
      <c r="N43" t="n">
        <v>1</v>
      </c>
      <c r="O43" s="11" t="inlineStr">
        <is>
          <t>UNKNOWN</t>
        </is>
      </c>
      <c r="P43" s="11" t="inlineStr"/>
      <c r="Q43" s="12" t="inlineStr"/>
      <c r="R43" s="11">
        <f>IF(Q43="","",ROUND((TODAY()-Q43)/365.25,1))</f>
        <v/>
      </c>
      <c r="S43" s="13">
        <f>VLOOKUP(O43,Assumptions!$A$7:$E$10,2,FALSE)</f>
        <v/>
      </c>
      <c r="T43" s="14">
        <f>MAX(0.5,VLOOKUP(O43,Assumptions!$A$7:$E$10,3,FALSE)+VLOOKUP(O43,Assumptions!$A$7:$E$10,4,FALSE)/2-IF(R43="",0,R43))</f>
        <v/>
      </c>
      <c r="U43" s="15">
        <f>M43*S43/(1+Assumptions!$B$3)^T43</f>
        <v/>
      </c>
      <c r="V43" s="11">
        <f>IF(M43=0,"",ROUND(U43/M43*100,1))</f>
        <v/>
      </c>
      <c r="W43" s="16">
        <f>U43*Assumptions!$B$4</f>
        <v/>
      </c>
      <c r="X43" s="11">
        <f>IF(M43=0,"",ROUND(W43/M43*100,1))</f>
        <v/>
      </c>
      <c r="Y43" t="inlineStr">
        <is>
          <t>Conduscabos Brasil Indústria Comércio de</t>
        </is>
      </c>
      <c r="Z43" t="inlineStr">
        <is>
          <t>8005129-09.2023.8.05.0039</t>
        </is>
      </c>
      <c r="AA43" t="inlineStr"/>
      <c r="AB43" t="inlineStr">
        <is>
          <t>assistjud.com.br</t>
        </is>
      </c>
      <c r="AC43" t="inlineStr"/>
      <c r="AD43" t="inlineStr"/>
      <c r="AE43" t="inlineStr"/>
      <c r="AF43" t="inlineStr"/>
      <c r="AG43" t="inlineStr"/>
      <c r="AH43" t="inlineStr"/>
      <c r="AI43" t="inlineStr"/>
      <c r="AJ43" t="inlineStr"/>
      <c r="AK43" t="inlineStr"/>
      <c r="AL43" t="inlineStr"/>
      <c r="AM43" s="17" t="inlineStr">
        <is>
          <t>https://assistjud.com.br/wp-content/uploads/elementor/forms/65098c80a5824.pdf</t>
        </is>
      </c>
      <c r="AN43" s="18" t="inlineStr">
        <is>
          <t>p9 r5</t>
        </is>
      </c>
      <c r="AO43" s="18" t="inlineStr">
        <is>
          <t>p9: R$ 361.043,83</t>
        </is>
      </c>
      <c r="AP43" s="18" t="inlineStr">
        <is>
          <t>AJ_LIST</t>
        </is>
      </c>
      <c r="AQ43" s="18" t="inlineStr">
        <is>
          <t>2023-09-18</t>
        </is>
      </c>
      <c r="AR43" s="18" t="inlineStr">
        <is>
          <t>OK_NO_TOTALS</t>
        </is>
      </c>
      <c r="AS43" s="18" t="inlineStr">
        <is>
          <t>ROWS:p9r5 UNRECONCILED_SOURCE</t>
        </is>
      </c>
      <c r="AT43" s="18" t="inlineStr">
        <is>
          <t>a0ae32a59c29</t>
        </is>
      </c>
    </row>
    <row r="44">
      <c r="A44" s="9" t="n">
        <v>43</v>
      </c>
      <c r="B44" s="9" t="inlineStr">
        <is>
          <t>NEW</t>
        </is>
      </c>
      <c r="C44" s="9" t="inlineStr"/>
      <c r="D44" s="9" t="n">
        <v>0</v>
      </c>
      <c r="E44" s="9" t="inlineStr"/>
      <c r="F44" s="9" t="inlineStr"/>
      <c r="G44" s="9" t="inlineStr"/>
      <c r="H44" s="9" t="inlineStr"/>
      <c r="I44" t="inlineStr">
        <is>
          <t>POLYEXCEL INDUSTRIA E COMERCIO DE COMPOSTOS POLIMERICOS LTDA</t>
        </is>
      </c>
      <c r="J44" t="inlineStr">
        <is>
          <t>POLYEXCEL IND E COM CP POLIMERICOS LTDA</t>
        </is>
      </c>
      <c r="K44" t="inlineStr">
        <is>
          <t>14492564</t>
        </is>
      </c>
      <c r="L44" t="inlineStr">
        <is>
          <t>14492564000101</t>
        </is>
      </c>
      <c r="M44" s="10" t="n">
        <v>341250</v>
      </c>
      <c r="N44" t="n">
        <v>1</v>
      </c>
      <c r="O44" s="11" t="inlineStr">
        <is>
          <t>UNKNOWN</t>
        </is>
      </c>
      <c r="P44" s="11" t="inlineStr"/>
      <c r="Q44" s="12" t="inlineStr"/>
      <c r="R44" s="11">
        <f>IF(Q44="","",ROUND((TODAY()-Q44)/365.25,1))</f>
        <v/>
      </c>
      <c r="S44" s="13">
        <f>VLOOKUP(O44,Assumptions!$A$7:$E$10,2,FALSE)</f>
        <v/>
      </c>
      <c r="T44" s="14">
        <f>MAX(0.5,VLOOKUP(O44,Assumptions!$A$7:$E$10,3,FALSE)+VLOOKUP(O44,Assumptions!$A$7:$E$10,4,FALSE)/2-IF(R44="",0,R44))</f>
        <v/>
      </c>
      <c r="U44" s="15">
        <f>M44*S44/(1+Assumptions!$B$3)^T44</f>
        <v/>
      </c>
      <c r="V44" s="11">
        <f>IF(M44=0,"",ROUND(U44/M44*100,1))</f>
        <v/>
      </c>
      <c r="W44" s="16">
        <f>U44*Assumptions!$B$4</f>
        <v/>
      </c>
      <c r="X44" s="11">
        <f>IF(M44=0,"",ROUND(W44/M44*100,1))</f>
        <v/>
      </c>
      <c r="Y44" t="inlineStr">
        <is>
          <t>Conduscabos Brasil Indústria Comércio de</t>
        </is>
      </c>
      <c r="Z44" t="inlineStr">
        <is>
          <t>8005129-09.2023.8.05.0039</t>
        </is>
      </c>
      <c r="AA44" t="inlineStr"/>
      <c r="AB44" t="inlineStr">
        <is>
          <t>assistjud.com.br</t>
        </is>
      </c>
      <c r="AC44" t="inlineStr">
        <is>
          <t>RODRIGO NACHLE BOREGGIO</t>
        </is>
      </c>
      <c r="AD44" t="inlineStr">
        <is>
          <t>Sócio-Administrador</t>
        </is>
      </c>
      <c r="AE44" t="inlineStr">
        <is>
          <t>(11) 4161-6775</t>
        </is>
      </c>
      <c r="AF44" t="inlineStr"/>
      <c r="AG44" t="inlineStr"/>
      <c r="AH44" t="inlineStr">
        <is>
          <t>SP</t>
        </is>
      </c>
      <c r="AI44" t="inlineStr">
        <is>
          <t>BARUERI</t>
        </is>
      </c>
      <c r="AJ44" t="inlineStr">
        <is>
          <t>Fabricação de artefatos de material plástico para usos industriais</t>
        </is>
      </c>
      <c r="AK44" t="inlineStr">
        <is>
          <t>DEMAIS</t>
        </is>
      </c>
      <c r="AL44" t="inlineStr">
        <is>
          <t>ATIVA</t>
        </is>
      </c>
      <c r="AM44" s="17" t="inlineStr">
        <is>
          <t>https://assistjud.com.br/wp-content/uploads/elementor/forms/65098c80a5824.pdf</t>
        </is>
      </c>
      <c r="AN44" s="18" t="inlineStr">
        <is>
          <t>p9 r6</t>
        </is>
      </c>
      <c r="AO44" s="18" t="inlineStr">
        <is>
          <t>p9: R$ 341.250,00</t>
        </is>
      </c>
      <c r="AP44" s="18" t="inlineStr">
        <is>
          <t>AJ_LIST</t>
        </is>
      </c>
      <c r="AQ44" s="18" t="inlineStr">
        <is>
          <t>2023-09-18</t>
        </is>
      </c>
      <c r="AR44" s="18" t="inlineStr">
        <is>
          <t>OK_NO_TOTALS</t>
        </is>
      </c>
      <c r="AS44" s="18" t="inlineStr">
        <is>
          <t>ROWS:p9r6 UNRECONCILED_SOURCE</t>
        </is>
      </c>
      <c r="AT44" s="18" t="inlineStr">
        <is>
          <t>a0ae32a59c29</t>
        </is>
      </c>
    </row>
    <row r="45">
      <c r="A45" s="9" t="n">
        <v>44</v>
      </c>
      <c r="B45" s="9" t="inlineStr">
        <is>
          <t>NEW</t>
        </is>
      </c>
      <c r="C45" s="9" t="inlineStr"/>
      <c r="D45" s="9" t="n">
        <v>0</v>
      </c>
      <c r="E45" s="9" t="inlineStr"/>
      <c r="F45" s="9" t="inlineStr"/>
      <c r="G45" s="9" t="inlineStr"/>
      <c r="H45" s="9" t="inlineStr"/>
      <c r="I45" t="inlineStr">
        <is>
          <t>IRON COMEX LTDA</t>
        </is>
      </c>
      <c r="J45" t="inlineStr">
        <is>
          <t>IRON COMEX LTDA - Este documento foi gerado pelo usuário 031.***.***-17 em 10/06/2025 18:21:34</t>
        </is>
      </c>
      <c r="K45" t="inlineStr">
        <is>
          <t>43464332</t>
        </is>
      </c>
      <c r="L45" t="inlineStr">
        <is>
          <t>43464332000130, 43464332000210</t>
        </is>
      </c>
      <c r="M45" s="10" t="n">
        <v>334279.01</v>
      </c>
      <c r="N45" t="n">
        <v>2</v>
      </c>
      <c r="O45" s="11" t="inlineStr">
        <is>
          <t>UNKNOWN</t>
        </is>
      </c>
      <c r="P45" s="11" t="inlineStr"/>
      <c r="Q45" s="12" t="inlineStr"/>
      <c r="R45" s="11">
        <f>IF(Q45="","",ROUND((TODAY()-Q45)/365.25,1))</f>
        <v/>
      </c>
      <c r="S45" s="13">
        <f>VLOOKUP(O45,Assumptions!$A$7:$E$10,2,FALSE)</f>
        <v/>
      </c>
      <c r="T45" s="14">
        <f>MAX(0.5,VLOOKUP(O45,Assumptions!$A$7:$E$10,3,FALSE)+VLOOKUP(O45,Assumptions!$A$7:$E$10,4,FALSE)/2-IF(R45="",0,R45))</f>
        <v/>
      </c>
      <c r="U45" s="15">
        <f>M45*S45/(1+Assumptions!$B$3)^T45</f>
        <v/>
      </c>
      <c r="V45" s="11">
        <f>IF(M45=0,"",ROUND(U45/M45*100,1))</f>
        <v/>
      </c>
      <c r="W45" s="16">
        <f>U45*Assumptions!$B$4</f>
        <v/>
      </c>
      <c r="X45" s="11">
        <f>IF(M45=0,"",ROUND(W45/M45*100,1))</f>
        <v/>
      </c>
      <c r="Y45" t="inlineStr">
        <is>
          <t>ARRUDA &amp; MELO COMERCIO E DISTRIBUICAO DE ALIMENTOS E BEBIDAS LTDA</t>
        </is>
      </c>
      <c r="Z45" t="inlineStr">
        <is>
          <t>0008526-45.2025.8.17.2001</t>
        </is>
      </c>
      <c r="AA45" t="inlineStr"/>
      <c r="AB45" t="inlineStr">
        <is>
          <t>diligence.adm.br</t>
        </is>
      </c>
      <c r="AC45" t="inlineStr">
        <is>
          <t>SARI MARIANA COSTA GASPAR CORTE REAL</t>
        </is>
      </c>
      <c r="AD45" t="inlineStr">
        <is>
          <t>Sócio-Administrador</t>
        </is>
      </c>
      <c r="AE45" t="inlineStr">
        <is>
          <t>(81) 9707-8484</t>
        </is>
      </c>
      <c r="AF45" t="inlineStr"/>
      <c r="AG45" t="inlineStr"/>
      <c r="AH45" t="inlineStr">
        <is>
          <t>PE</t>
        </is>
      </c>
      <c r="AI45" t="inlineStr">
        <is>
          <t>RECIFE</t>
        </is>
      </c>
      <c r="AJ45" t="inlineStr">
        <is>
          <t>Comércio atacadista de mercadorias em geral, sem predominância de alimentos ou de insumos agropecuários</t>
        </is>
      </c>
      <c r="AK45" t="inlineStr">
        <is>
          <t>DEMAIS</t>
        </is>
      </c>
      <c r="AL45" t="inlineStr">
        <is>
          <t>ATIVA</t>
        </is>
      </c>
      <c r="AM45" s="17" t="inlineStr">
        <is>
          <t>https://diligence.adm.br/wp-content/uploads/2025/06/Edital-1a-Lista-de-Credores.pdf</t>
        </is>
      </c>
      <c r="AN45" s="18" t="inlineStr">
        <is>
          <t>p5 r78; p5 r79</t>
        </is>
      </c>
      <c r="AO45" s="18" t="inlineStr">
        <is>
          <t>p5: R$ 184.223,97; p5: R$ 150.055,04</t>
        </is>
      </c>
      <c r="AP45" s="18" t="inlineStr">
        <is>
          <t>DEBTOR_LIST</t>
        </is>
      </c>
      <c r="AQ45" s="18" t="inlineStr">
        <is>
          <t>2025-06-10</t>
        </is>
      </c>
      <c r="AR45" s="18" t="inlineStr">
        <is>
          <t>OK</t>
        </is>
      </c>
      <c r="AS45" s="18" t="inlineStr">
        <is>
          <t>LONG_CHUNK ROWS:p5r78,p5r79</t>
        </is>
      </c>
      <c r="AT45" s="18" t="inlineStr">
        <is>
          <t>1658892fa167</t>
        </is>
      </c>
    </row>
    <row r="46">
      <c r="A46" s="9" t="n">
        <v>45</v>
      </c>
      <c r="B46" s="9" t="inlineStr">
        <is>
          <t>NEW</t>
        </is>
      </c>
      <c r="C46" s="9" t="inlineStr"/>
      <c r="D46" s="9" t="n">
        <v>0</v>
      </c>
      <c r="E46" s="9" t="inlineStr"/>
      <c r="F46" s="9" t="inlineStr"/>
      <c r="G46" s="9" t="inlineStr"/>
      <c r="H46" s="9" t="inlineStr"/>
      <c r="I46" t="inlineStr"/>
      <c r="J46" t="inlineStr">
        <is>
          <t>COOPERATIVA DE CRÉDITO RURAL DO ALTO PAJEU LTDA.</t>
        </is>
      </c>
      <c r="K46" t="inlineStr">
        <is>
          <t>03732359</t>
        </is>
      </c>
      <c r="L46" t="inlineStr">
        <is>
          <t>03732359000141</t>
        </is>
      </c>
      <c r="M46" s="10" t="n">
        <v>334273.09</v>
      </c>
      <c r="N46" t="n">
        <v>1</v>
      </c>
      <c r="O46" s="11" t="inlineStr">
        <is>
          <t>UNKNOWN</t>
        </is>
      </c>
      <c r="P46" s="11" t="inlineStr"/>
      <c r="Q46" s="12" t="inlineStr"/>
      <c r="R46" s="11">
        <f>IF(Q46="","",ROUND((TODAY()-Q46)/365.25,1))</f>
        <v/>
      </c>
      <c r="S46" s="13">
        <f>VLOOKUP(O46,Assumptions!$A$7:$E$10,2,FALSE)</f>
        <v/>
      </c>
      <c r="T46" s="14">
        <f>MAX(0.5,VLOOKUP(O46,Assumptions!$A$7:$E$10,3,FALSE)+VLOOKUP(O46,Assumptions!$A$7:$E$10,4,FALSE)/2-IF(R46="",0,R46))</f>
        <v/>
      </c>
      <c r="U46" s="15">
        <f>M46*S46/(1+Assumptions!$B$3)^T46</f>
        <v/>
      </c>
      <c r="V46" s="11">
        <f>IF(M46=0,"",ROUND(U46/M46*100,1))</f>
        <v/>
      </c>
      <c r="W46" s="16">
        <f>U46*Assumptions!$B$4</f>
        <v/>
      </c>
      <c r="X46" s="11">
        <f>IF(M46=0,"",ROUND(W46/M46*100,1))</f>
        <v/>
      </c>
      <c r="Y46" t="inlineStr">
        <is>
          <t>AGROPECUÁRIA SERROTE REDONDO</t>
        </is>
      </c>
      <c r="Z46" t="inlineStr">
        <is>
          <t>0000206-69.2013.8.17.1340</t>
        </is>
      </c>
      <c r="AA46" t="inlineStr"/>
      <c r="AB46" t="inlineStr">
        <is>
          <t>lrflideres.com.br</t>
        </is>
      </c>
      <c r="AC46" t="inlineStr"/>
      <c r="AD46" t="inlineStr"/>
      <c r="AE46" t="inlineStr"/>
      <c r="AF46" t="inlineStr"/>
      <c r="AG46" t="inlineStr"/>
      <c r="AH46" t="inlineStr"/>
      <c r="AI46" t="inlineStr"/>
      <c r="AJ46" t="inlineStr"/>
      <c r="AK46" t="inlineStr"/>
      <c r="AL46" t="inlineStr"/>
      <c r="AM46" s="17" t="inlineStr">
        <is>
          <t>https://lrflideres.com.br/wp-content/plugins/download-attachments/includes/download.php?id=5001</t>
        </is>
      </c>
      <c r="AN46" s="18" t="inlineStr">
        <is>
          <t>p1 r29</t>
        </is>
      </c>
      <c r="AO46" s="18" t="inlineStr">
        <is>
          <t>p1: R$ 334.273,09</t>
        </is>
      </c>
      <c r="AP46" s="18" t="inlineStr">
        <is>
          <t>UNKNOWN</t>
        </is>
      </c>
      <c r="AQ46" s="18" t="inlineStr"/>
      <c r="AR46" s="18" t="inlineStr">
        <is>
          <t>OK</t>
        </is>
      </c>
      <c r="AS46" s="18" t="inlineStr">
        <is>
          <t>ALT_VALUE:334.273,09 ROWS:p1r29 VALUE_COL:Valor_Atualizado</t>
        </is>
      </c>
      <c r="AT46" s="18" t="inlineStr">
        <is>
          <t>7c0ce2830d0d</t>
        </is>
      </c>
    </row>
    <row r="47">
      <c r="A47" s="9" t="n">
        <v>46</v>
      </c>
      <c r="B47" s="9" t="inlineStr">
        <is>
          <t>NEW</t>
        </is>
      </c>
      <c r="C47" s="9" t="inlineStr"/>
      <c r="D47" s="9" t="n">
        <v>0</v>
      </c>
      <c r="E47" s="9" t="inlineStr"/>
      <c r="F47" s="9" t="inlineStr"/>
      <c r="G47" s="9" t="inlineStr"/>
      <c r="H47" s="9" t="inlineStr"/>
      <c r="I47" t="inlineStr">
        <is>
          <t>FLUMINENSE FOOTBALL CLUB</t>
        </is>
      </c>
      <c r="J47" t="inlineStr">
        <is>
          <t>FLUMINENSE FOOTBA LL CLUB</t>
        </is>
      </c>
      <c r="K47" t="inlineStr">
        <is>
          <t>33647553</t>
        </is>
      </c>
      <c r="L47" t="inlineStr">
        <is>
          <t>33647553000190</t>
        </is>
      </c>
      <c r="M47" s="10" t="n">
        <v>309484.78</v>
      </c>
      <c r="N47" t="n">
        <v>1</v>
      </c>
      <c r="O47" s="11" t="inlineStr">
        <is>
          <t>UNKNOWN</t>
        </is>
      </c>
      <c r="P47" s="11" t="inlineStr"/>
      <c r="Q47" s="12" t="inlineStr"/>
      <c r="R47" s="11">
        <f>IF(Q47="","",ROUND((TODAY()-Q47)/365.25,1))</f>
        <v/>
      </c>
      <c r="S47" s="13">
        <f>VLOOKUP(O47,Assumptions!$A$7:$E$10,2,FALSE)</f>
        <v/>
      </c>
      <c r="T47" s="14">
        <f>MAX(0.5,VLOOKUP(O47,Assumptions!$A$7:$E$10,3,FALSE)+VLOOKUP(O47,Assumptions!$A$7:$E$10,4,FALSE)/2-IF(R47="",0,R47))</f>
        <v/>
      </c>
      <c r="U47" s="15">
        <f>M47*S47/(1+Assumptions!$B$3)^T47</f>
        <v/>
      </c>
      <c r="V47" s="11">
        <f>IF(M47=0,"",ROUND(U47/M47*100,1))</f>
        <v/>
      </c>
      <c r="W47" s="16">
        <f>U47*Assumptions!$B$4</f>
        <v/>
      </c>
      <c r="X47" s="11">
        <f>IF(M47=0,"",ROUND(W47/M47*100,1))</f>
        <v/>
      </c>
      <c r="Y47" t="inlineStr"/>
      <c r="Z47" t="inlineStr">
        <is>
          <t>0820780-23.2026.8.14.0301</t>
        </is>
      </c>
      <c r="AA47" t="inlineStr"/>
      <c r="AB47" t="inlineStr">
        <is>
          <t>cdn.dol.com.br</t>
        </is>
      </c>
      <c r="AC47" t="inlineStr">
        <is>
          <t>MATTHEUS REIS E MONTENEGRO</t>
        </is>
      </c>
      <c r="AD47" t="inlineStr">
        <is>
          <t>Presidente</t>
        </is>
      </c>
      <c r="AE47" t="inlineStr"/>
      <c r="AF47" t="inlineStr"/>
      <c r="AG47" t="inlineStr"/>
      <c r="AH47" t="inlineStr">
        <is>
          <t>RJ</t>
        </is>
      </c>
      <c r="AI47" t="inlineStr">
        <is>
          <t>RIO DE JANEIRO</t>
        </is>
      </c>
      <c r="AJ47" t="inlineStr">
        <is>
          <t>Clubes sociais, esportivos e similares</t>
        </is>
      </c>
      <c r="AK47" t="inlineStr">
        <is>
          <t>DEMAIS</t>
        </is>
      </c>
      <c r="AL47" t="inlineStr">
        <is>
          <t>ATIVA</t>
        </is>
      </c>
      <c r="AM47" s="17" t="inlineStr">
        <is>
          <t>https://cdn.dol.com.br/img/attachmentinline/940000/6publicacao-2-edital-art-7-parag-2-da-lei-11101-20009467060.pdf?xid=3272528</t>
        </is>
      </c>
      <c r="AN47" s="18" t="inlineStr">
        <is>
          <t>p3 r19</t>
        </is>
      </c>
      <c r="AO47" s="18" t="inlineStr">
        <is>
          <t>p3: R$ 309.484,78</t>
        </is>
      </c>
      <c r="AP47" s="18" t="inlineStr">
        <is>
          <t>AJ_LIST</t>
        </is>
      </c>
      <c r="AQ47" s="18" t="inlineStr">
        <is>
          <t>2026-07-07</t>
        </is>
      </c>
      <c r="AR47" s="18" t="inlineStr">
        <is>
          <t>QUARANTINED</t>
        </is>
      </c>
      <c r="AS47" s="18" t="inlineStr">
        <is>
          <t>PARTIAL_DOC_CLASS_III_RECONCILED ROWS:p3r19</t>
        </is>
      </c>
      <c r="AT47" s="18" t="inlineStr">
        <is>
          <t>38d930ab1caa</t>
        </is>
      </c>
    </row>
    <row r="48">
      <c r="A48" s="9" t="n">
        <v>47</v>
      </c>
      <c r="B48" s="9" t="inlineStr">
        <is>
          <t>NEW</t>
        </is>
      </c>
      <c r="C48" s="9" t="inlineStr"/>
      <c r="D48" s="9" t="n">
        <v>0</v>
      </c>
      <c r="E48" s="9" t="inlineStr"/>
      <c r="F48" s="9" t="inlineStr"/>
      <c r="G48" s="9" t="inlineStr"/>
      <c r="H48" s="9" t="inlineStr"/>
      <c r="I48" t="inlineStr">
        <is>
          <t>PLASKEM EMBALAGENS LTDA</t>
        </is>
      </c>
      <c r="J48" t="inlineStr">
        <is>
          <t>PLASKEM EMBALAGENS LTDA</t>
        </is>
      </c>
      <c r="K48" t="inlineStr">
        <is>
          <t>05052443</t>
        </is>
      </c>
      <c r="L48" t="inlineStr">
        <is>
          <t>05052443000140</t>
        </is>
      </c>
      <c r="M48" s="10" t="n">
        <v>286961.94</v>
      </c>
      <c r="N48" t="n">
        <v>1</v>
      </c>
      <c r="O48" s="11" t="inlineStr">
        <is>
          <t>UNKNOWN</t>
        </is>
      </c>
      <c r="P48" s="11" t="inlineStr"/>
      <c r="Q48" s="12" t="inlineStr"/>
      <c r="R48" s="11">
        <f>IF(Q48="","",ROUND((TODAY()-Q48)/365.25,1))</f>
        <v/>
      </c>
      <c r="S48" s="13">
        <f>VLOOKUP(O48,Assumptions!$A$7:$E$10,2,FALSE)</f>
        <v/>
      </c>
      <c r="T48" s="14">
        <f>MAX(0.5,VLOOKUP(O48,Assumptions!$A$7:$E$10,3,FALSE)+VLOOKUP(O48,Assumptions!$A$7:$E$10,4,FALSE)/2-IF(R48="",0,R48))</f>
        <v/>
      </c>
      <c r="U48" s="15">
        <f>M48*S48/(1+Assumptions!$B$3)^T48</f>
        <v/>
      </c>
      <c r="V48" s="11">
        <f>IF(M48=0,"",ROUND(U48/M48*100,1))</f>
        <v/>
      </c>
      <c r="W48" s="16">
        <f>U48*Assumptions!$B$4</f>
        <v/>
      </c>
      <c r="X48" s="11">
        <f>IF(M48=0,"",ROUND(W48/M48*100,1))</f>
        <v/>
      </c>
      <c r="Y48" t="inlineStr">
        <is>
          <t>AGROPECUÁRIA SERROTE REDONDO</t>
        </is>
      </c>
      <c r="Z48" t="inlineStr">
        <is>
          <t>0000206-69.2013.8.17.1340</t>
        </is>
      </c>
      <c r="AA48" t="inlineStr"/>
      <c r="AB48" t="inlineStr">
        <is>
          <t>lrflideres.com.br</t>
        </is>
      </c>
      <c r="AC48" t="inlineStr">
        <is>
          <t>AUGUSTO FERNANDO NUNES OLIVEIRA</t>
        </is>
      </c>
      <c r="AD48" t="inlineStr">
        <is>
          <t>Sócio-Administrador</t>
        </is>
      </c>
      <c r="AE48" t="inlineStr">
        <is>
          <t>(71) 3186-0354</t>
        </is>
      </c>
      <c r="AF48" t="inlineStr"/>
      <c r="AG48" t="inlineStr"/>
      <c r="AH48" t="inlineStr">
        <is>
          <t>BA</t>
        </is>
      </c>
      <c r="AI48" t="inlineStr">
        <is>
          <t>LAURO DE FREITAS</t>
        </is>
      </c>
      <c r="AJ48" t="inlineStr">
        <is>
          <t>Fabricação de embalagens de material plástico</t>
        </is>
      </c>
      <c r="AK48" t="inlineStr">
        <is>
          <t>DEMAIS</t>
        </is>
      </c>
      <c r="AL48" t="inlineStr">
        <is>
          <t>ATIVA</t>
        </is>
      </c>
      <c r="AM48" s="17" t="inlineStr">
        <is>
          <t>https://lrflideres.com.br/wp-content/plugins/download-attachments/includes/download.php?id=5001</t>
        </is>
      </c>
      <c r="AN48" s="18" t="inlineStr">
        <is>
          <t>p3 r15</t>
        </is>
      </c>
      <c r="AO48" s="18" t="inlineStr">
        <is>
          <t>p3: R$ 286.961,94</t>
        </is>
      </c>
      <c r="AP48" s="18" t="inlineStr">
        <is>
          <t>UNKNOWN</t>
        </is>
      </c>
      <c r="AQ48" s="18" t="inlineStr"/>
      <c r="AR48" s="18" t="inlineStr">
        <is>
          <t>OK</t>
        </is>
      </c>
      <c r="AS48" s="18" t="inlineStr">
        <is>
          <t>ALT_VALUE:286.961,94 ROWS:p3r15</t>
        </is>
      </c>
      <c r="AT48" s="18" t="inlineStr">
        <is>
          <t>7c0ce2830d0d</t>
        </is>
      </c>
    </row>
    <row r="49">
      <c r="A49" s="9" t="n">
        <v>48</v>
      </c>
      <c r="B49" s="9" t="inlineStr">
        <is>
          <t>NEW</t>
        </is>
      </c>
      <c r="C49" s="9" t="inlineStr"/>
      <c r="D49" s="9" t="n">
        <v>0</v>
      </c>
      <c r="E49" s="9" t="inlineStr"/>
      <c r="F49" s="9" t="inlineStr"/>
      <c r="G49" s="9" t="inlineStr"/>
      <c r="H49" s="9" t="inlineStr"/>
      <c r="I49" t="inlineStr"/>
      <c r="J49" t="inlineStr">
        <is>
          <t>CAPITAL ANNEX FUNDO DE INVESTIMENTO EM DIREITOS CREDITORIOS MULTISSETORIAL</t>
        </is>
      </c>
      <c r="K49" t="inlineStr">
        <is>
          <t>12093804</t>
        </is>
      </c>
      <c r="L49" t="inlineStr">
        <is>
          <t>12093804000161</t>
        </is>
      </c>
      <c r="M49" s="10" t="n">
        <v>286765.7</v>
      </c>
      <c r="N49" t="n">
        <v>1</v>
      </c>
      <c r="O49" s="11" t="inlineStr">
        <is>
          <t>UNKNOWN</t>
        </is>
      </c>
      <c r="P49" s="11" t="inlineStr"/>
      <c r="Q49" s="12" t="inlineStr"/>
      <c r="R49" s="11">
        <f>IF(Q49="","",ROUND((TODAY()-Q49)/365.25,1))</f>
        <v/>
      </c>
      <c r="S49" s="13">
        <f>VLOOKUP(O49,Assumptions!$A$7:$E$10,2,FALSE)</f>
        <v/>
      </c>
      <c r="T49" s="14">
        <f>MAX(0.5,VLOOKUP(O49,Assumptions!$A$7:$E$10,3,FALSE)+VLOOKUP(O49,Assumptions!$A$7:$E$10,4,FALSE)/2-IF(R49="",0,R49))</f>
        <v/>
      </c>
      <c r="U49" s="15">
        <f>M49*S49/(1+Assumptions!$B$3)^T49</f>
        <v/>
      </c>
      <c r="V49" s="11">
        <f>IF(M49=0,"",ROUND(U49/M49*100,1))</f>
        <v/>
      </c>
      <c r="W49" s="16">
        <f>U49*Assumptions!$B$4</f>
        <v/>
      </c>
      <c r="X49" s="11">
        <f>IF(M49=0,"",ROUND(W49/M49*100,1))</f>
        <v/>
      </c>
      <c r="Y49" t="inlineStr">
        <is>
          <t>ARRUDA &amp; MELO COMERCIO E DISTRIBUICAO DE ALIMENTOS E BEBIDAS LTDA</t>
        </is>
      </c>
      <c r="Z49" t="inlineStr">
        <is>
          <t>0008526-45.2025.8.17.2001</t>
        </is>
      </c>
      <c r="AA49" t="inlineStr"/>
      <c r="AB49" t="inlineStr">
        <is>
          <t>diligence.adm.br</t>
        </is>
      </c>
      <c r="AC49" t="inlineStr"/>
      <c r="AD49" t="inlineStr"/>
      <c r="AE49" t="inlineStr"/>
      <c r="AF49" t="inlineStr"/>
      <c r="AG49" t="inlineStr"/>
      <c r="AH49" t="inlineStr"/>
      <c r="AI49" t="inlineStr"/>
      <c r="AJ49" t="inlineStr"/>
      <c r="AK49" t="inlineStr"/>
      <c r="AL49" t="inlineStr"/>
      <c r="AM49" s="17" t="inlineStr">
        <is>
          <t>https://diligence.adm.br/wp-content/uploads/2025/06/Edital-1a-Lista-de-Credores.pdf</t>
        </is>
      </c>
      <c r="AN49" s="18" t="inlineStr">
        <is>
          <t>p5 r68</t>
        </is>
      </c>
      <c r="AO49" s="18" t="inlineStr">
        <is>
          <t>p5: R$ 286.765,70</t>
        </is>
      </c>
      <c r="AP49" s="18" t="inlineStr">
        <is>
          <t>DEBTOR_LIST</t>
        </is>
      </c>
      <c r="AQ49" s="18" t="inlineStr">
        <is>
          <t>2025-06-10</t>
        </is>
      </c>
      <c r="AR49" s="18" t="inlineStr">
        <is>
          <t>OK</t>
        </is>
      </c>
      <c r="AS49" s="18" t="inlineStr">
        <is>
          <t>ROWS:p5r68</t>
        </is>
      </c>
      <c r="AT49" s="18" t="inlineStr">
        <is>
          <t>1658892fa167</t>
        </is>
      </c>
    </row>
    <row r="50">
      <c r="A50" s="9" t="n">
        <v>49</v>
      </c>
      <c r="B50" s="9" t="inlineStr">
        <is>
          <t>NEW</t>
        </is>
      </c>
      <c r="C50" s="9" t="inlineStr"/>
      <c r="D50" s="9" t="n">
        <v>0</v>
      </c>
      <c r="E50" s="9" t="inlineStr"/>
      <c r="F50" s="9" t="inlineStr"/>
      <c r="G50" s="9" t="inlineStr"/>
      <c r="H50" s="9" t="inlineStr"/>
      <c r="I50" t="inlineStr">
        <is>
          <t>BRANDT SOLUCOES EM AGRICULTURA LTDA</t>
        </is>
      </c>
      <c r="J50" t="inlineStr">
        <is>
          <t>BRANDT SOLUCOES EM AGRICULTURA LTDA</t>
        </is>
      </c>
      <c r="K50" t="inlineStr">
        <is>
          <t>11516792</t>
        </is>
      </c>
      <c r="L50" t="inlineStr">
        <is>
          <t>11516792000178</t>
        </is>
      </c>
      <c r="M50" s="10" t="n">
        <v>282047</v>
      </c>
      <c r="N50" t="n">
        <v>1</v>
      </c>
      <c r="O50" s="11" t="inlineStr">
        <is>
          <t>UNKNOWN</t>
        </is>
      </c>
      <c r="P50" s="11" t="inlineStr"/>
      <c r="Q50" s="12" t="inlineStr"/>
      <c r="R50" s="11">
        <f>IF(Q50="","",ROUND((TODAY()-Q50)/365.25,1))</f>
        <v/>
      </c>
      <c r="S50" s="13">
        <f>VLOOKUP(O50,Assumptions!$A$7:$E$10,2,FALSE)</f>
        <v/>
      </c>
      <c r="T50" s="14">
        <f>MAX(0.5,VLOOKUP(O50,Assumptions!$A$7:$E$10,3,FALSE)+VLOOKUP(O50,Assumptions!$A$7:$E$10,4,FALSE)/2-IF(R50="",0,R50))</f>
        <v/>
      </c>
      <c r="U50" s="15">
        <f>M50*S50/(1+Assumptions!$B$3)^T50</f>
        <v/>
      </c>
      <c r="V50" s="11">
        <f>IF(M50=0,"",ROUND(U50/M50*100,1))</f>
        <v/>
      </c>
      <c r="W50" s="16">
        <f>U50*Assumptions!$B$4</f>
        <v/>
      </c>
      <c r="X50" s="11">
        <f>IF(M50=0,"",ROUND(W50/M50*100,1))</f>
        <v/>
      </c>
      <c r="Y50" t="inlineStr">
        <is>
          <t>SOJAL COMERCIAL AGRICOLA</t>
        </is>
      </c>
      <c r="Z50" t="inlineStr">
        <is>
          <t>0804401-51.2025.8.14.0039</t>
        </is>
      </c>
      <c r="AA50" t="inlineStr"/>
      <c r="AB50" t="inlineStr">
        <is>
          <t>lrflideres.com.br</t>
        </is>
      </c>
      <c r="AC50" t="inlineStr">
        <is>
          <t>WLADIMIR MASCHIO CARDOZO CHAGA</t>
        </is>
      </c>
      <c r="AD50" t="inlineStr">
        <is>
          <t>Sócio-Administrador</t>
        </is>
      </c>
      <c r="AE50" t="inlineStr">
        <is>
          <t>(43) 3345-2323</t>
        </is>
      </c>
      <c r="AF50" t="inlineStr"/>
      <c r="AG50" t="inlineStr"/>
      <c r="AH50" t="inlineStr">
        <is>
          <t>PR</t>
        </is>
      </c>
      <c r="AI50" t="inlineStr">
        <is>
          <t>CAMBE</t>
        </is>
      </c>
      <c r="AJ50" t="inlineStr">
        <is>
          <t>Fabricação de adubos e fertilizantes, exceto organo-minerais</t>
        </is>
      </c>
      <c r="AK50" t="inlineStr">
        <is>
          <t>DEMAIS</t>
        </is>
      </c>
      <c r="AL50" t="inlineStr">
        <is>
          <t>ATIVA</t>
        </is>
      </c>
      <c r="AM50" s="17" t="inlineStr">
        <is>
          <t>https://lrflideres.com.br/wp-content/plugins/download-attachments/includes/download.php?id=6879</t>
        </is>
      </c>
      <c r="AN50" s="18" t="inlineStr">
        <is>
          <t>p1 r7</t>
        </is>
      </c>
      <c r="AO50" s="18" t="inlineStr">
        <is>
          <t>p1: R$ 282.047,00</t>
        </is>
      </c>
      <c r="AP50" s="18" t="inlineStr">
        <is>
          <t>AJ_LIST</t>
        </is>
      </c>
      <c r="AQ50" s="18" t="inlineStr">
        <is>
          <t>2026-01-15</t>
        </is>
      </c>
      <c r="AR50" s="18" t="inlineStr">
        <is>
          <t>OK</t>
        </is>
      </c>
      <c r="AS50" s="18" t="inlineStr">
        <is>
          <t>ROWS:p1r7</t>
        </is>
      </c>
      <c r="AT50" s="18" t="inlineStr">
        <is>
          <t>c56751547323</t>
        </is>
      </c>
    </row>
    <row r="51">
      <c r="A51" s="9" t="n">
        <v>50</v>
      </c>
      <c r="B51" s="9" t="inlineStr">
        <is>
          <t>NEW</t>
        </is>
      </c>
      <c r="C51" s="9" t="inlineStr"/>
      <c r="D51" s="9" t="n">
        <v>0</v>
      </c>
      <c r="E51" s="9" t="inlineStr"/>
      <c r="F51" s="9" t="inlineStr"/>
      <c r="G51" s="9" t="inlineStr"/>
      <c r="H51" s="9" t="inlineStr"/>
      <c r="I51" t="inlineStr">
        <is>
          <t>OPTIMUM CONSULTORIA EM GESTAO PUBLICA E EMPRESARIAL LTDA</t>
        </is>
      </c>
      <c r="J51" t="inlineStr">
        <is>
          <t>OPTIMUM CONSULTORIA EM GESTAO PUBLICA LTDA</t>
        </is>
      </c>
      <c r="K51" t="inlineStr">
        <is>
          <t>10925045</t>
        </is>
      </c>
      <c r="L51" t="inlineStr">
        <is>
          <t>10925045000120</t>
        </is>
      </c>
      <c r="M51" s="10" t="n">
        <v>267635.55</v>
      </c>
      <c r="N51" t="n">
        <v>1</v>
      </c>
      <c r="O51" s="11" t="inlineStr">
        <is>
          <t>UNKNOWN</t>
        </is>
      </c>
      <c r="P51" s="11" t="inlineStr"/>
      <c r="Q51" s="12" t="inlineStr"/>
      <c r="R51" s="11">
        <f>IF(Q51="","",ROUND((TODAY()-Q51)/365.25,1))</f>
        <v/>
      </c>
      <c r="S51" s="13">
        <f>VLOOKUP(O51,Assumptions!$A$7:$E$10,2,FALSE)</f>
        <v/>
      </c>
      <c r="T51" s="14">
        <f>MAX(0.5,VLOOKUP(O51,Assumptions!$A$7:$E$10,3,FALSE)+VLOOKUP(O51,Assumptions!$A$7:$E$10,4,FALSE)/2-IF(R51="",0,R51))</f>
        <v/>
      </c>
      <c r="U51" s="15">
        <f>M51*S51/(1+Assumptions!$B$3)^T51</f>
        <v/>
      </c>
      <c r="V51" s="11">
        <f>IF(M51=0,"",ROUND(U51/M51*100,1))</f>
        <v/>
      </c>
      <c r="W51" s="16">
        <f>U51*Assumptions!$B$4</f>
        <v/>
      </c>
      <c r="X51" s="11">
        <f>IF(M51=0,"",ROUND(W51/M51*100,1))</f>
        <v/>
      </c>
      <c r="Y51" t="inlineStr">
        <is>
          <t>DR. ALLAN DE QUEIROZ RAMOS – OAB/PB 20.574</t>
        </is>
      </c>
      <c r="Z51" t="inlineStr">
        <is>
          <t>0829315-43.2023.8.15.0001</t>
        </is>
      </c>
      <c r="AA51" t="inlineStr"/>
      <c r="AB51" t="inlineStr">
        <is>
          <t>lrflideres.com.br</t>
        </is>
      </c>
      <c r="AC51" t="inlineStr">
        <is>
          <t>EOLO DE SOUZA SALES</t>
        </is>
      </c>
      <c r="AD51" t="inlineStr">
        <is>
          <t>Sócio-Administrador</t>
        </is>
      </c>
      <c r="AE51" t="inlineStr">
        <is>
          <t>(83) 9975-0001</t>
        </is>
      </c>
      <c r="AF51" t="inlineStr"/>
      <c r="AG51" t="inlineStr"/>
      <c r="AH51" t="inlineStr">
        <is>
          <t>PB</t>
        </is>
      </c>
      <c r="AI51" t="inlineStr">
        <is>
          <t>CAMPINA GRANDE</t>
        </is>
      </c>
      <c r="AJ51" t="inlineStr">
        <is>
          <t>Atividades de consultoria em gestão empresarial, exceto consultoria técnica específica</t>
        </is>
      </c>
      <c r="AK51" t="inlineStr">
        <is>
          <t>MICRO EMPRESA</t>
        </is>
      </c>
      <c r="AL51" t="inlineStr">
        <is>
          <t>ATIVA</t>
        </is>
      </c>
      <c r="AM51" s="17" t="inlineStr">
        <is>
          <t>https://lrflideres.com.br/wp-content/plugins/download-attachments/includes/download.php?id=5828</t>
        </is>
      </c>
      <c r="AN51" s="18" t="inlineStr">
        <is>
          <t>p3 r19</t>
        </is>
      </c>
      <c r="AO51" s="18" t="inlineStr">
        <is>
          <t>p3: R$ 267.635,55</t>
        </is>
      </c>
      <c r="AP51" s="18" t="inlineStr">
        <is>
          <t>AJ_LIST</t>
        </is>
      </c>
      <c r="AQ51" s="18" t="inlineStr">
        <is>
          <t>2024-04-18</t>
        </is>
      </c>
      <c r="AR51" s="18" t="inlineStr">
        <is>
          <t>OK</t>
        </is>
      </c>
      <c r="AS51" s="18" t="inlineStr">
        <is>
          <t>ROWS:p3r19</t>
        </is>
      </c>
      <c r="AT51" s="18" t="inlineStr">
        <is>
          <t>47e92e4db6f8</t>
        </is>
      </c>
    </row>
    <row r="52">
      <c r="A52" s="9" t="n">
        <v>51</v>
      </c>
      <c r="B52" s="9" t="inlineStr">
        <is>
          <t>NEW</t>
        </is>
      </c>
      <c r="C52" s="9" t="inlineStr"/>
      <c r="D52" s="9" t="n">
        <v>0</v>
      </c>
      <c r="E52" s="9" t="inlineStr"/>
      <c r="F52" s="9" t="inlineStr"/>
      <c r="G52" s="9" t="inlineStr"/>
      <c r="H52" s="9" t="inlineStr"/>
      <c r="I52" t="inlineStr">
        <is>
          <t>GUARARAPES PAINEIS S/A</t>
        </is>
      </c>
      <c r="J52" t="inlineStr">
        <is>
          <t>GUARARAPES PAINES LTDA, CNPJ</t>
        </is>
      </c>
      <c r="K52" t="inlineStr">
        <is>
          <t>08810422</t>
        </is>
      </c>
      <c r="L52" t="inlineStr">
        <is>
          <t>08810422000134</t>
        </is>
      </c>
      <c r="M52" s="10" t="n">
        <v>238085.39</v>
      </c>
      <c r="N52" t="n">
        <v>1</v>
      </c>
      <c r="O52" s="11" t="inlineStr">
        <is>
          <t>UNKNOWN</t>
        </is>
      </c>
      <c r="P52" s="11" t="inlineStr"/>
      <c r="Q52" s="12" t="inlineStr"/>
      <c r="R52" s="11">
        <f>IF(Q52="","",ROUND((TODAY()-Q52)/365.25,1))</f>
        <v/>
      </c>
      <c r="S52" s="13">
        <f>VLOOKUP(O52,Assumptions!$A$7:$E$10,2,FALSE)</f>
        <v/>
      </c>
      <c r="T52" s="14">
        <f>MAX(0.5,VLOOKUP(O52,Assumptions!$A$7:$E$10,3,FALSE)+VLOOKUP(O52,Assumptions!$A$7:$E$10,4,FALSE)/2-IF(R52="",0,R52))</f>
        <v/>
      </c>
      <c r="U52" s="15">
        <f>M52*S52/(1+Assumptions!$B$3)^T52</f>
        <v/>
      </c>
      <c r="V52" s="11">
        <f>IF(M52=0,"",ROUND(U52/M52*100,1))</f>
        <v/>
      </c>
      <c r="W52" s="16">
        <f>U52*Assumptions!$B$4</f>
        <v/>
      </c>
      <c r="X52" s="11">
        <f>IF(M52=0,"",ROUND(W52/M52*100,1))</f>
        <v/>
      </c>
      <c r="Y52" t="inlineStr">
        <is>
          <t>DICARLO MOVEIS E ACESSORIOS PARA CASA E LOJAS LTDA</t>
        </is>
      </c>
      <c r="Z52" t="inlineStr">
        <is>
          <t>0301015-33.2016.8.24.0031</t>
        </is>
      </c>
      <c r="AA52" t="inlineStr"/>
      <c r="AB52" t="inlineStr">
        <is>
          <t>administradorajudicialgs.com.br</t>
        </is>
      </c>
      <c r="AC52" t="inlineStr">
        <is>
          <t>RICARDO PEDROSO</t>
        </is>
      </c>
      <c r="AD52" t="inlineStr">
        <is>
          <t>Presidente</t>
        </is>
      </c>
      <c r="AE52" t="inlineStr">
        <is>
          <t>(41) 3099-1414</t>
        </is>
      </c>
      <c r="AF52" t="inlineStr">
        <is>
          <t>(49) 3244-6813</t>
        </is>
      </c>
      <c r="AG52" t="inlineStr"/>
      <c r="AH52" t="inlineStr">
        <is>
          <t>SC</t>
        </is>
      </c>
      <c r="AI52" t="inlineStr">
        <is>
          <t>CACADOR</t>
        </is>
      </c>
      <c r="AJ52" t="inlineStr">
        <is>
          <t>Fabricação de madeira laminada e de chapas de madeira compensada, prensada e aglomerada</t>
        </is>
      </c>
      <c r="AK52" t="inlineStr">
        <is>
          <t>DEMAIS</t>
        </is>
      </c>
      <c r="AL52" t="inlineStr">
        <is>
          <t>ATIVA</t>
        </is>
      </c>
      <c r="AM52" s="17" t="inlineStr">
        <is>
          <t>https://administradorajudicialgs.com.br/wp-content/uploads/2023/08/edital-quadro-geral-de-credores.pdf</t>
        </is>
      </c>
      <c r="AN52" s="18" t="inlineStr">
        <is>
          <t>p2 r68</t>
        </is>
      </c>
      <c r="AO52" s="18" t="inlineStr">
        <is>
          <t>p2: R$ 238.085,39</t>
        </is>
      </c>
      <c r="AP52" s="18" t="inlineStr">
        <is>
          <t>QGC</t>
        </is>
      </c>
      <c r="AQ52" s="18" t="inlineStr">
        <is>
          <t>2024-07-05</t>
        </is>
      </c>
      <c r="AR52" s="18" t="inlineStr">
        <is>
          <t>OK_NO_TOTALS</t>
        </is>
      </c>
      <c r="AS52" s="18" t="inlineStr">
        <is>
          <t>ROWS:p2r68 UNRECONCILED_SOURCE</t>
        </is>
      </c>
      <c r="AT52" s="18" t="inlineStr">
        <is>
          <t>98f99945499b</t>
        </is>
      </c>
    </row>
    <row r="53">
      <c r="A53" s="9" t="n">
        <v>52</v>
      </c>
      <c r="B53" s="9" t="inlineStr">
        <is>
          <t>NEW</t>
        </is>
      </c>
      <c r="C53" s="9" t="inlineStr"/>
      <c r="D53" s="9" t="n">
        <v>0</v>
      </c>
      <c r="E53" s="9" t="inlineStr"/>
      <c r="F53" s="9" t="inlineStr"/>
      <c r="G53" s="9" t="inlineStr"/>
      <c r="H53" s="9" t="inlineStr"/>
      <c r="I53" t="inlineStr">
        <is>
          <t>DOREMUS ALIMENTOS LTDA</t>
        </is>
      </c>
      <c r="J53" t="inlineStr">
        <is>
          <t>DOREMUS ALIMENTOS LTDA</t>
        </is>
      </c>
      <c r="K53" t="inlineStr">
        <is>
          <t>54289830</t>
        </is>
      </c>
      <c r="L53" t="inlineStr">
        <is>
          <t>54289830000100</t>
        </is>
      </c>
      <c r="M53" s="10" t="n">
        <v>235792.34</v>
      </c>
      <c r="N53" t="n">
        <v>1</v>
      </c>
      <c r="O53" s="11" t="inlineStr">
        <is>
          <t>UNKNOWN</t>
        </is>
      </c>
      <c r="P53" s="11" t="inlineStr"/>
      <c r="Q53" s="12" t="inlineStr"/>
      <c r="R53" s="11">
        <f>IF(Q53="","",ROUND((TODAY()-Q53)/365.25,1))</f>
        <v/>
      </c>
      <c r="S53" s="13">
        <f>VLOOKUP(O53,Assumptions!$A$7:$E$10,2,FALSE)</f>
        <v/>
      </c>
      <c r="T53" s="14">
        <f>MAX(0.5,VLOOKUP(O53,Assumptions!$A$7:$E$10,3,FALSE)+VLOOKUP(O53,Assumptions!$A$7:$E$10,4,FALSE)/2-IF(R53="",0,R53))</f>
        <v/>
      </c>
      <c r="U53" s="15">
        <f>M53*S53/(1+Assumptions!$B$3)^T53</f>
        <v/>
      </c>
      <c r="V53" s="11">
        <f>IF(M53=0,"",ROUND(U53/M53*100,1))</f>
        <v/>
      </c>
      <c r="W53" s="16">
        <f>U53*Assumptions!$B$4</f>
        <v/>
      </c>
      <c r="X53" s="11">
        <f>IF(M53=0,"",ROUND(W53/M53*100,1))</f>
        <v/>
      </c>
      <c r="Y53" t="inlineStr"/>
      <c r="Z53" t="inlineStr">
        <is>
          <t>(not found in document)</t>
        </is>
      </c>
      <c r="AA53" t="inlineStr"/>
      <c r="AB53" t="inlineStr">
        <is>
          <t>bernardobicalho.com.br</t>
        </is>
      </c>
      <c r="AC53" t="inlineStr">
        <is>
          <t>JOSE AUGUSTO SCHITTKOWSKI</t>
        </is>
      </c>
      <c r="AD53" t="inlineStr">
        <is>
          <t>Administrador</t>
        </is>
      </c>
      <c r="AE53" t="inlineStr">
        <is>
          <t>(11) 2436-3333</t>
        </is>
      </c>
      <c r="AF53" t="inlineStr"/>
      <c r="AG53" t="inlineStr"/>
      <c r="AH53" t="inlineStr">
        <is>
          <t>SP</t>
        </is>
      </c>
      <c r="AI53" t="inlineStr">
        <is>
          <t>GUARULHOS</t>
        </is>
      </c>
      <c r="AJ53" t="inlineStr">
        <is>
          <t>Fabricação de outros produtos alimentícios não especificados anteriormente</t>
        </is>
      </c>
      <c r="AK53" t="inlineStr">
        <is>
          <t>DEMAIS</t>
        </is>
      </c>
      <c r="AL53" t="inlineStr">
        <is>
          <t>ATIVA</t>
        </is>
      </c>
      <c r="AM53" s="17" t="inlineStr">
        <is>
          <t>http://bernardobicalho.com.br/login/app/documents/Rela%C3%A7%C3%A3o%20de%20Credores/6.%20RVC-%20Nutricium%20-%20simplificada.pdf</t>
        </is>
      </c>
      <c r="AN53" s="18" t="inlineStr">
        <is>
          <t>p3 r14</t>
        </is>
      </c>
      <c r="AO53" s="18" t="inlineStr">
        <is>
          <t>p3: R$ 235.792,34</t>
        </is>
      </c>
      <c r="AP53" s="18" t="inlineStr">
        <is>
          <t>AJ_LIST</t>
        </is>
      </c>
      <c r="AQ53" s="18" t="inlineStr"/>
      <c r="AR53" s="18" t="inlineStr">
        <is>
          <t>OK</t>
        </is>
      </c>
      <c r="AS53" s="18" t="inlineStr">
        <is>
          <t>CASE_NUMBER_MISSING ROWS:p3r14</t>
        </is>
      </c>
      <c r="AT53" s="18" t="inlineStr">
        <is>
          <t>6a92d74da333</t>
        </is>
      </c>
    </row>
    <row r="54">
      <c r="A54" s="9" t="n">
        <v>53</v>
      </c>
      <c r="B54" s="9" t="inlineStr">
        <is>
          <t>NEW</t>
        </is>
      </c>
      <c r="C54" s="9" t="inlineStr"/>
      <c r="D54" s="9" t="n">
        <v>0</v>
      </c>
      <c r="E54" s="9" t="inlineStr"/>
      <c r="F54" s="9" t="inlineStr"/>
      <c r="G54" s="9" t="inlineStr"/>
      <c r="H54" s="9" t="inlineStr"/>
      <c r="I54" t="inlineStr">
        <is>
          <t>EDENTEC INDUSTRIA E COMERCIO LTDA</t>
        </is>
      </c>
      <c r="J54" t="inlineStr">
        <is>
          <t>EDENTEC INDUSTRIA E COMERCIO LTDA</t>
        </is>
      </c>
      <c r="K54" t="inlineStr">
        <is>
          <t>47799028</t>
        </is>
      </c>
      <c r="L54" t="inlineStr">
        <is>
          <t>47799028000102</t>
        </is>
      </c>
      <c r="M54" s="10" t="n">
        <v>219345.95</v>
      </c>
      <c r="N54" t="n">
        <v>1</v>
      </c>
      <c r="O54" s="11" t="inlineStr">
        <is>
          <t>UNKNOWN</t>
        </is>
      </c>
      <c r="P54" s="11" t="inlineStr"/>
      <c r="Q54" s="12" t="inlineStr"/>
      <c r="R54" s="11">
        <f>IF(Q54="","",ROUND((TODAY()-Q54)/365.25,1))</f>
        <v/>
      </c>
      <c r="S54" s="13">
        <f>VLOOKUP(O54,Assumptions!$A$7:$E$10,2,FALSE)</f>
        <v/>
      </c>
      <c r="T54" s="14">
        <f>MAX(0.5,VLOOKUP(O54,Assumptions!$A$7:$E$10,3,FALSE)+VLOOKUP(O54,Assumptions!$A$7:$E$10,4,FALSE)/2-IF(R54="",0,R54))</f>
        <v/>
      </c>
      <c r="U54" s="15">
        <f>M54*S54/(1+Assumptions!$B$3)^T54</f>
        <v/>
      </c>
      <c r="V54" s="11">
        <f>IF(M54=0,"",ROUND(U54/M54*100,1))</f>
        <v/>
      </c>
      <c r="W54" s="16">
        <f>U54*Assumptions!$B$4</f>
        <v/>
      </c>
      <c r="X54" s="11">
        <f>IF(M54=0,"",ROUND(W54/M54*100,1))</f>
        <v/>
      </c>
      <c r="Y54" t="inlineStr">
        <is>
          <t>Conduscabos Brasil Indústria Comércio de</t>
        </is>
      </c>
      <c r="Z54" t="inlineStr">
        <is>
          <t>8005129-09.2023.8.05.0039</t>
        </is>
      </c>
      <c r="AA54" t="inlineStr"/>
      <c r="AB54" t="inlineStr">
        <is>
          <t>assistjud.com.br</t>
        </is>
      </c>
      <c r="AC54" t="inlineStr">
        <is>
          <t>RUBENS RIZZARDO</t>
        </is>
      </c>
      <c r="AD54" t="inlineStr">
        <is>
          <t>Sócio-Administrador</t>
        </is>
      </c>
      <c r="AE54" t="inlineStr"/>
      <c r="AF54" t="inlineStr"/>
      <c r="AG54" t="inlineStr"/>
      <c r="AH54" t="inlineStr">
        <is>
          <t>SP</t>
        </is>
      </c>
      <c r="AI54" t="inlineStr">
        <is>
          <t>SOROCABA</t>
        </is>
      </c>
      <c r="AJ54" t="inlineStr">
        <is>
          <t>Fabricação de artefatos diversos de madeira, exceto móveis</t>
        </is>
      </c>
      <c r="AK54" t="inlineStr">
        <is>
          <t>DEMAIS</t>
        </is>
      </c>
      <c r="AL54" t="inlineStr">
        <is>
          <t>ATIVA</t>
        </is>
      </c>
      <c r="AM54" s="17" t="inlineStr">
        <is>
          <t>https://assistjud.com.br/wp-content/uploads/elementor/forms/65098c80a5824.pdf</t>
        </is>
      </c>
      <c r="AN54" s="18" t="inlineStr">
        <is>
          <t>p7 r3</t>
        </is>
      </c>
      <c r="AO54" s="18" t="inlineStr">
        <is>
          <t>p7: R$ 219.345,95</t>
        </is>
      </c>
      <c r="AP54" s="18" t="inlineStr">
        <is>
          <t>AJ_LIST</t>
        </is>
      </c>
      <c r="AQ54" s="18" t="inlineStr">
        <is>
          <t>2023-09-18</t>
        </is>
      </c>
      <c r="AR54" s="18" t="inlineStr">
        <is>
          <t>OK_NO_TOTALS</t>
        </is>
      </c>
      <c r="AS54" s="18" t="inlineStr">
        <is>
          <t>ROWS:p7r3 UNRECONCILED_SOURCE</t>
        </is>
      </c>
      <c r="AT54" s="18" t="inlineStr">
        <is>
          <t>a0ae32a59c29</t>
        </is>
      </c>
    </row>
    <row r="55">
      <c r="A55" s="9" t="n">
        <v>54</v>
      </c>
      <c r="B55" s="9" t="inlineStr">
        <is>
          <t>NEW</t>
        </is>
      </c>
      <c r="C55" s="9" t="inlineStr"/>
      <c r="D55" s="9" t="n">
        <v>0</v>
      </c>
      <c r="E55" s="9" t="inlineStr"/>
      <c r="F55" s="9" t="inlineStr"/>
      <c r="G55" s="9" t="inlineStr"/>
      <c r="H55" s="9" t="inlineStr"/>
      <c r="I55" t="inlineStr">
        <is>
          <t>NUTRANE NUTRICAO ANIMAL LTDA</t>
        </is>
      </c>
      <c r="J55" t="inlineStr">
        <is>
          <t>DURANCHO – NUTRIÇÃO ANIMAL</t>
        </is>
      </c>
      <c r="K55" t="inlineStr">
        <is>
          <t>04591114</t>
        </is>
      </c>
      <c r="L55" t="inlineStr">
        <is>
          <t>04591114000104</t>
        </is>
      </c>
      <c r="M55" s="10" t="n">
        <v>201080.88</v>
      </c>
      <c r="N55" t="n">
        <v>1</v>
      </c>
      <c r="O55" s="11" t="inlineStr">
        <is>
          <t>UNKNOWN</t>
        </is>
      </c>
      <c r="P55" s="11" t="inlineStr"/>
      <c r="Q55" s="12" t="inlineStr"/>
      <c r="R55" s="11">
        <f>IF(Q55="","",ROUND((TODAY()-Q55)/365.25,1))</f>
        <v/>
      </c>
      <c r="S55" s="13">
        <f>VLOOKUP(O55,Assumptions!$A$7:$E$10,2,FALSE)</f>
        <v/>
      </c>
      <c r="T55" s="14">
        <f>MAX(0.5,VLOOKUP(O55,Assumptions!$A$7:$E$10,3,FALSE)+VLOOKUP(O55,Assumptions!$A$7:$E$10,4,FALSE)/2-IF(R55="",0,R55))</f>
        <v/>
      </c>
      <c r="U55" s="15">
        <f>M55*S55/(1+Assumptions!$B$3)^T55</f>
        <v/>
      </c>
      <c r="V55" s="11">
        <f>IF(M55=0,"",ROUND(U55/M55*100,1))</f>
        <v/>
      </c>
      <c r="W55" s="16">
        <f>U55*Assumptions!$B$4</f>
        <v/>
      </c>
      <c r="X55" s="11">
        <f>IF(M55=0,"",ROUND(W55/M55*100,1))</f>
        <v/>
      </c>
      <c r="Y55" t="inlineStr">
        <is>
          <t>AGROPECUÁRIA SERROTE REDONDO</t>
        </is>
      </c>
      <c r="Z55" t="inlineStr">
        <is>
          <t>0000206-69.2013.8.17.1340</t>
        </is>
      </c>
      <c r="AA55" t="inlineStr"/>
      <c r="AB55" t="inlineStr">
        <is>
          <t>lrflideres.com.br</t>
        </is>
      </c>
      <c r="AC55" t="inlineStr">
        <is>
          <t>OTAVIO BEZERRA DO REGO BARROS</t>
        </is>
      </c>
      <c r="AD55" t="inlineStr">
        <is>
          <t>Sócio-Administrador</t>
        </is>
      </c>
      <c r="AE55" t="inlineStr">
        <is>
          <t>(87) 3835-3486</t>
        </is>
      </c>
      <c r="AF55" t="inlineStr"/>
      <c r="AG55" t="inlineStr"/>
      <c r="AH55" t="inlineStr">
        <is>
          <t>PE</t>
        </is>
      </c>
      <c r="AI55" t="inlineStr">
        <is>
          <t>PESQUEIRA</t>
        </is>
      </c>
      <c r="AJ55" t="inlineStr">
        <is>
          <t>Fabricação de alimentos para animais</t>
        </is>
      </c>
      <c r="AK55" t="inlineStr">
        <is>
          <t>DEMAIS</t>
        </is>
      </c>
      <c r="AL55" t="inlineStr">
        <is>
          <t>ATIVA</t>
        </is>
      </c>
      <c r="AM55" s="17" t="inlineStr">
        <is>
          <t>https://lrflideres.com.br/wp-content/plugins/download-attachments/includes/download.php?id=5001</t>
        </is>
      </c>
      <c r="AN55" s="18" t="inlineStr">
        <is>
          <t>p2 r1</t>
        </is>
      </c>
      <c r="AO55" s="18" t="inlineStr">
        <is>
          <t>p2: R$ 201.080,88</t>
        </is>
      </c>
      <c r="AP55" s="18" t="inlineStr">
        <is>
          <t>UNKNOWN</t>
        </is>
      </c>
      <c r="AQ55" s="18" t="inlineStr"/>
      <c r="AR55" s="18" t="inlineStr">
        <is>
          <t>OK</t>
        </is>
      </c>
      <c r="AS55" s="18" t="inlineStr">
        <is>
          <t>ALT_VALUE:49.140,00 ROWS:p2r1</t>
        </is>
      </c>
      <c r="AT55" s="18" t="inlineStr">
        <is>
          <t>7c0ce2830d0d</t>
        </is>
      </c>
    </row>
  </sheetData>
  <autoFilter ref="A1:AT55"/>
  <dataValidations count="1">
    <dataValidation sqref="B2 B3 B4 B5 B6 B7 B8 B9 B10 B11 B12 B13 B14 B15 B16 B17 B18 B19 B20 B21 B22 B23 B24 B25 B26 B27 B28 B29 B30 B31 B32 B33 B34 B35 B36 B37 B38 B39 B40 B41 B42 B43 B44 B45 B46 B47 B48 B49 B50 B51 B52 B53 B54 B55" showDropDown="0" showInputMessage="0" showErrorMessage="0" allowBlank="1" type="list">
      <formula1>"NEW,QUEUED,EMAILED,CALLED,VOICEMAIL,CONNECTED,INTERESTED,NOT INTERESTED,DEAD,DEAL"</formula1>
    </dataValidation>
  </dataValidations>
  <hyperlinks>
    <hyperlink xmlns:r="http://schemas.openxmlformats.org/officeDocument/2006/relationships" ref="AM2" r:id="rId1"/>
    <hyperlink xmlns:r="http://schemas.openxmlformats.org/officeDocument/2006/relationships" ref="AM3" r:id="rId2"/>
    <hyperlink xmlns:r="http://schemas.openxmlformats.org/officeDocument/2006/relationships" ref="AM4" r:id="rId3"/>
    <hyperlink xmlns:r="http://schemas.openxmlformats.org/officeDocument/2006/relationships" ref="AM5" r:id="rId4"/>
    <hyperlink xmlns:r="http://schemas.openxmlformats.org/officeDocument/2006/relationships" ref="AM6" r:id="rId5"/>
    <hyperlink xmlns:r="http://schemas.openxmlformats.org/officeDocument/2006/relationships" ref="AM7" r:id="rId6"/>
    <hyperlink xmlns:r="http://schemas.openxmlformats.org/officeDocument/2006/relationships" ref="AM8" r:id="rId7"/>
    <hyperlink xmlns:r="http://schemas.openxmlformats.org/officeDocument/2006/relationships" ref="AM9" r:id="rId8"/>
    <hyperlink xmlns:r="http://schemas.openxmlformats.org/officeDocument/2006/relationships" ref="AM10" r:id="rId9"/>
    <hyperlink xmlns:r="http://schemas.openxmlformats.org/officeDocument/2006/relationships" ref="AM11" r:id="rId10"/>
    <hyperlink xmlns:r="http://schemas.openxmlformats.org/officeDocument/2006/relationships" ref="AM12" r:id="rId11"/>
    <hyperlink xmlns:r="http://schemas.openxmlformats.org/officeDocument/2006/relationships" ref="AM13" r:id="rId12"/>
    <hyperlink xmlns:r="http://schemas.openxmlformats.org/officeDocument/2006/relationships" ref="AM14" r:id="rId13"/>
    <hyperlink xmlns:r="http://schemas.openxmlformats.org/officeDocument/2006/relationships" ref="AM15" r:id="rId14"/>
    <hyperlink xmlns:r="http://schemas.openxmlformats.org/officeDocument/2006/relationships" ref="AM16" r:id="rId15"/>
    <hyperlink xmlns:r="http://schemas.openxmlformats.org/officeDocument/2006/relationships" ref="AM17" r:id="rId16"/>
    <hyperlink xmlns:r="http://schemas.openxmlformats.org/officeDocument/2006/relationships" ref="AM18" r:id="rId17"/>
    <hyperlink xmlns:r="http://schemas.openxmlformats.org/officeDocument/2006/relationships" ref="AM19" r:id="rId18"/>
    <hyperlink xmlns:r="http://schemas.openxmlformats.org/officeDocument/2006/relationships" ref="AM20" r:id="rId19"/>
    <hyperlink xmlns:r="http://schemas.openxmlformats.org/officeDocument/2006/relationships" ref="AM21" r:id="rId20"/>
    <hyperlink xmlns:r="http://schemas.openxmlformats.org/officeDocument/2006/relationships" ref="AM22" r:id="rId21"/>
    <hyperlink xmlns:r="http://schemas.openxmlformats.org/officeDocument/2006/relationships" ref="AM23" r:id="rId22"/>
    <hyperlink xmlns:r="http://schemas.openxmlformats.org/officeDocument/2006/relationships" ref="AM24" r:id="rId23"/>
    <hyperlink xmlns:r="http://schemas.openxmlformats.org/officeDocument/2006/relationships" ref="AM25" r:id="rId24"/>
    <hyperlink xmlns:r="http://schemas.openxmlformats.org/officeDocument/2006/relationships" ref="AM26" r:id="rId25"/>
    <hyperlink xmlns:r="http://schemas.openxmlformats.org/officeDocument/2006/relationships" ref="AM27" r:id="rId26"/>
    <hyperlink xmlns:r="http://schemas.openxmlformats.org/officeDocument/2006/relationships" ref="AM28" r:id="rId27"/>
    <hyperlink xmlns:r="http://schemas.openxmlformats.org/officeDocument/2006/relationships" ref="AM29" r:id="rId28"/>
    <hyperlink xmlns:r="http://schemas.openxmlformats.org/officeDocument/2006/relationships" ref="AM30" r:id="rId29"/>
    <hyperlink xmlns:r="http://schemas.openxmlformats.org/officeDocument/2006/relationships" ref="AM31" r:id="rId30"/>
    <hyperlink xmlns:r="http://schemas.openxmlformats.org/officeDocument/2006/relationships" ref="AM32" r:id="rId31"/>
    <hyperlink xmlns:r="http://schemas.openxmlformats.org/officeDocument/2006/relationships" ref="AM33" r:id="rId32"/>
    <hyperlink xmlns:r="http://schemas.openxmlformats.org/officeDocument/2006/relationships" ref="AM34" r:id="rId33"/>
    <hyperlink xmlns:r="http://schemas.openxmlformats.org/officeDocument/2006/relationships" ref="AM35" r:id="rId34"/>
    <hyperlink xmlns:r="http://schemas.openxmlformats.org/officeDocument/2006/relationships" ref="AM36" r:id="rId35"/>
    <hyperlink xmlns:r="http://schemas.openxmlformats.org/officeDocument/2006/relationships" ref="AM37" r:id="rId36"/>
    <hyperlink xmlns:r="http://schemas.openxmlformats.org/officeDocument/2006/relationships" ref="AM38" r:id="rId37"/>
    <hyperlink xmlns:r="http://schemas.openxmlformats.org/officeDocument/2006/relationships" ref="AM39" r:id="rId38"/>
    <hyperlink xmlns:r="http://schemas.openxmlformats.org/officeDocument/2006/relationships" ref="AM40" r:id="rId39"/>
    <hyperlink xmlns:r="http://schemas.openxmlformats.org/officeDocument/2006/relationships" ref="AM41" r:id="rId40"/>
    <hyperlink xmlns:r="http://schemas.openxmlformats.org/officeDocument/2006/relationships" ref="AM42" r:id="rId41"/>
    <hyperlink xmlns:r="http://schemas.openxmlformats.org/officeDocument/2006/relationships" ref="AM43" r:id="rId42"/>
    <hyperlink xmlns:r="http://schemas.openxmlformats.org/officeDocument/2006/relationships" ref="AM44" r:id="rId43"/>
    <hyperlink xmlns:r="http://schemas.openxmlformats.org/officeDocument/2006/relationships" ref="AM45" r:id="rId44"/>
    <hyperlink xmlns:r="http://schemas.openxmlformats.org/officeDocument/2006/relationships" ref="AM46" r:id="rId45"/>
    <hyperlink xmlns:r="http://schemas.openxmlformats.org/officeDocument/2006/relationships" ref="AM47" r:id="rId46"/>
    <hyperlink xmlns:r="http://schemas.openxmlformats.org/officeDocument/2006/relationships" ref="AM48" r:id="rId47"/>
    <hyperlink xmlns:r="http://schemas.openxmlformats.org/officeDocument/2006/relationships" ref="AM49" r:id="rId48"/>
    <hyperlink xmlns:r="http://schemas.openxmlformats.org/officeDocument/2006/relationships" ref="AM50" r:id="rId49"/>
    <hyperlink xmlns:r="http://schemas.openxmlformats.org/officeDocument/2006/relationships" ref="AM51" r:id="rId50"/>
    <hyperlink xmlns:r="http://schemas.openxmlformats.org/officeDocument/2006/relationships" ref="AM52" r:id="rId51"/>
    <hyperlink xmlns:r="http://schemas.openxmlformats.org/officeDocument/2006/relationships" ref="AM53" r:id="rId52"/>
    <hyperlink xmlns:r="http://schemas.openxmlformats.org/officeDocument/2006/relationships" ref="AM54" r:id="rId53"/>
    <hyperlink xmlns:r="http://schemas.openxmlformats.org/officeDocument/2006/relationships" ref="AM55" r:id="rId5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18"/>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2" customWidth="1" min="3" max="3"/>
    <col width="9" customWidth="1" min="4" max="4"/>
    <col width="12" customWidth="1" min="5" max="5"/>
    <col width="22" customWidth="1" min="6" max="6"/>
    <col width="12" customWidth="1" min="7" max="7"/>
    <col width="40" customWidth="1" min="8" max="8"/>
    <col width="42" customWidth="1" min="9" max="9"/>
    <col width="42" customWidth="1" min="10" max="10"/>
    <col width="11" customWidth="1" min="11" max="11"/>
    <col width="22" customWidth="1" min="12" max="12"/>
    <col width="18" customWidth="1" min="13" max="13"/>
    <col width="7" customWidth="1" min="14" max="14"/>
    <col width="14" customWidth="1" min="15" max="15"/>
    <col width="12" customWidth="1" min="16" max="16"/>
    <col width="12" customWidth="1" min="17" max="17"/>
    <col width="9" customWidth="1" min="18" max="18"/>
    <col width="10" customWidth="1" min="19" max="19"/>
    <col width="10" customWidth="1" min="20" max="20"/>
    <col width="18" customWidth="1" min="21" max="21"/>
    <col width="10" customWidth="1" min="22" max="22"/>
    <col width="18" customWidth="1" min="23" max="23"/>
    <col width="10" customWidth="1" min="24" max="24"/>
    <col width="40" customWidth="1" min="25" max="25"/>
    <col width="26" customWidth="1" min="26" max="26"/>
    <col width="8" customWidth="1" min="27" max="27"/>
    <col width="26" customWidth="1" min="28" max="28"/>
    <col width="34" customWidth="1" min="29" max="29"/>
    <col width="20" customWidth="1" min="30" max="30"/>
    <col width="16" customWidth="1" min="31" max="31"/>
    <col width="16" customWidth="1" min="32" max="32"/>
    <col width="30" customWidth="1" min="33" max="33"/>
    <col width="5" customWidth="1" min="34" max="34"/>
    <col width="20" customWidth="1" min="35" max="35"/>
    <col width="40" customWidth="1" min="36" max="36"/>
    <col width="12" customWidth="1" min="37" max="37"/>
    <col width="10" customWidth="1" min="38" max="38"/>
    <col width="60" customWidth="1" min="39" max="39"/>
    <col width="22" customWidth="1" min="40" max="40"/>
    <col width="34" customWidth="1" min="41" max="41"/>
    <col width="12" customWidth="1" min="42" max="42"/>
    <col width="12" customWidth="1" min="43" max="43"/>
    <col width="14" customWidth="1" min="44" max="44"/>
    <col width="40" customWidth="1" min="45" max="45"/>
    <col width="14" customWidth="1" min="46" max="46"/>
  </cols>
  <sheetData>
    <row r="1" ht="32" customHeight="1">
      <c r="A1" s="8" t="inlineStr">
        <is>
          <t>Rank</t>
        </is>
      </c>
      <c r="B1" s="8" t="inlineStr">
        <is>
          <t>Status</t>
        </is>
      </c>
      <c r="C1" s="8" t="inlineStr">
        <is>
          <t>Owner</t>
        </is>
      </c>
      <c r="D1" s="8" t="inlineStr">
        <is>
          <t>Attempts</t>
        </is>
      </c>
      <c r="E1" s="8" t="inlineStr">
        <is>
          <t>Last touch</t>
        </is>
      </c>
      <c r="F1" s="8" t="inlineStr">
        <is>
          <t>Next action</t>
        </is>
      </c>
      <c r="G1" s="8" t="inlineStr">
        <is>
          <t>Next date</t>
        </is>
      </c>
      <c r="H1" s="8" t="inlineStr">
        <is>
          <t>Notes</t>
        </is>
      </c>
      <c r="I1" s="8" t="inlineStr">
        <is>
          <t>Company (RFB)</t>
        </is>
      </c>
      <c r="J1" s="8" t="inlineStr">
        <is>
          <t>Name as printed</t>
        </is>
      </c>
      <c r="K1" s="8" t="inlineStr">
        <is>
          <t>CNPJ root</t>
        </is>
      </c>
      <c r="L1" s="8" t="inlineStr">
        <is>
          <t>Establishment CNPJs</t>
        </is>
      </c>
      <c r="M1" s="8" t="inlineStr">
        <is>
          <t>Class III face (R$)</t>
        </is>
      </c>
      <c r="N1" s="8" t="inlineStr">
        <is>
          <t>Claims</t>
        </is>
      </c>
      <c r="O1" s="8" t="inlineStr">
        <is>
          <t>Plan status</t>
        </is>
      </c>
      <c r="P1" s="8" t="inlineStr">
        <is>
          <t>Stage</t>
        </is>
      </c>
      <c r="Q1" s="8" t="inlineStr">
        <is>
          <t>Case filed</t>
        </is>
      </c>
      <c r="R1" s="8" t="inlineStr">
        <is>
          <t>Years since filing</t>
        </is>
      </c>
      <c r="S1" s="8" t="inlineStr">
        <is>
          <t>Est. recovery %</t>
        </is>
      </c>
      <c r="T1" s="8" t="inlineStr">
        <is>
          <t>Years to payment (est.)</t>
        </is>
      </c>
      <c r="U1" s="8" t="inlineStr">
        <is>
          <t>Fund price @ IRR (R$)</t>
        </is>
      </c>
      <c r="V1" s="8" t="inlineStr">
        <is>
          <t>Fund price (cents)</t>
        </is>
      </c>
      <c r="W1" s="8" t="inlineStr">
        <is>
          <t>OUR QUOTE (R$)</t>
        </is>
      </c>
      <c r="X1" s="8" t="inlineStr">
        <is>
          <t>Quote (cents)</t>
        </is>
      </c>
      <c r="Y1" s="8" t="inlineStr">
        <is>
          <t>Debtor</t>
        </is>
      </c>
      <c r="Z1" s="8" t="inlineStr">
        <is>
          <t>Case number</t>
        </is>
      </c>
      <c r="AA1" s="8" t="inlineStr">
        <is>
          <t>Court</t>
        </is>
      </c>
      <c r="AB1" s="8" t="inlineStr">
        <is>
          <t>Administrator (site)</t>
        </is>
      </c>
      <c r="AC1" s="8" t="inlineStr">
        <is>
          <t>Decision-maker</t>
        </is>
      </c>
      <c r="AD1" s="8" t="inlineStr">
        <is>
          <t>Role</t>
        </is>
      </c>
      <c r="AE1" s="8" t="inlineStr">
        <is>
          <t>Phone</t>
        </is>
      </c>
      <c r="AF1" s="8" t="inlineStr">
        <is>
          <t>Phone 2</t>
        </is>
      </c>
      <c r="AG1" s="8" t="inlineStr">
        <is>
          <t>Email</t>
        </is>
      </c>
      <c r="AH1" s="8" t="inlineStr">
        <is>
          <t>UF</t>
        </is>
      </c>
      <c r="AI1" s="8" t="inlineStr">
        <is>
          <t>City</t>
        </is>
      </c>
      <c r="AJ1" s="8" t="inlineStr">
        <is>
          <t>CNAE</t>
        </is>
      </c>
      <c r="AK1" s="8" t="inlineStr">
        <is>
          <t>Porte</t>
        </is>
      </c>
      <c r="AL1" s="8" t="inlineStr">
        <is>
          <t>Situação</t>
        </is>
      </c>
      <c r="AM1" s="8" t="inlineStr">
        <is>
          <t>PROOF: source document</t>
        </is>
      </c>
      <c r="AN1" s="8" t="inlineStr">
        <is>
          <t>Page / row</t>
        </is>
      </c>
      <c r="AO1" s="8" t="inlineStr">
        <is>
          <t>Value as printed</t>
        </is>
      </c>
      <c r="AP1" s="8" t="inlineStr">
        <is>
          <t>Which list</t>
        </is>
      </c>
      <c r="AQ1" s="8" t="inlineStr">
        <is>
          <t>Published</t>
        </is>
      </c>
      <c r="AR1" s="8" t="inlineStr">
        <is>
          <t>Reconciled</t>
        </is>
      </c>
      <c r="AS1" s="8" t="inlineStr">
        <is>
          <t>Data flags</t>
        </is>
      </c>
      <c r="AT1" s="8" t="inlineStr">
        <is>
          <t>Doc id</t>
        </is>
      </c>
    </row>
    <row r="2">
      <c r="A2" s="9" t="n">
        <v>1</v>
      </c>
      <c r="B2" s="9" t="inlineStr">
        <is>
          <t>NEW</t>
        </is>
      </c>
      <c r="C2" s="9" t="inlineStr"/>
      <c r="D2" s="9" t="n">
        <v>0</v>
      </c>
      <c r="E2" s="9" t="inlineStr"/>
      <c r="F2" s="9" t="inlineStr"/>
      <c r="G2" s="9" t="inlineStr"/>
      <c r="H2" s="9" t="inlineStr"/>
      <c r="I2" t="inlineStr"/>
      <c r="J2" t="inlineStr">
        <is>
          <t>ALVAREZ &amp; MARSAL REESTRUTURACAO E ASSESS ORIA FINANCEIRA PARA SIT ESP LTDA</t>
        </is>
      </c>
      <c r="K2" t="inlineStr">
        <is>
          <t>32282989</t>
        </is>
      </c>
      <c r="L2" t="inlineStr">
        <is>
          <t>32282989000160</t>
        </is>
      </c>
      <c r="M2" s="10" t="n">
        <v>188233.36</v>
      </c>
      <c r="N2" t="n">
        <v>1</v>
      </c>
      <c r="O2" s="11" t="inlineStr">
        <is>
          <t>UNKNOWN</t>
        </is>
      </c>
      <c r="P2" s="11" t="inlineStr"/>
      <c r="Q2" s="12" t="inlineStr"/>
      <c r="R2" s="11">
        <f>IF(Q2="","",ROUND((TODAY()-Q2)/365.25,1))</f>
        <v/>
      </c>
      <c r="S2" s="13">
        <f>VLOOKUP(O2,Assumptions!$A$7:$E$10,2,FALSE)</f>
        <v/>
      </c>
      <c r="T2" s="14">
        <f>MAX(0.5,VLOOKUP(O2,Assumptions!$A$7:$E$10,3,FALSE)+VLOOKUP(O2,Assumptions!$A$7:$E$10,4,FALSE)/2-IF(R2="",0,R2))</f>
        <v/>
      </c>
      <c r="U2" s="15">
        <f>M2*S2/(1+Assumptions!$B$3)^T2</f>
        <v/>
      </c>
      <c r="V2" s="11">
        <f>IF(M2=0,"",ROUND(U2/M2*100,1))</f>
        <v/>
      </c>
      <c r="W2" s="16">
        <f>U2*Assumptions!$B$4</f>
        <v/>
      </c>
      <c r="X2" s="11">
        <f>IF(M2=0,"",ROUND(W2/M2*100,1))</f>
        <v/>
      </c>
      <c r="Y2" t="inlineStr"/>
      <c r="Z2" t="inlineStr">
        <is>
          <t>0820780-23.2026.8.14.0301</t>
        </is>
      </c>
      <c r="AA2" t="inlineStr"/>
      <c r="AB2" t="inlineStr">
        <is>
          <t>cdn.dol.com.br</t>
        </is>
      </c>
      <c r="AC2" t="inlineStr"/>
      <c r="AD2" t="inlineStr"/>
      <c r="AE2" t="inlineStr"/>
      <c r="AF2" t="inlineStr"/>
      <c r="AG2" t="inlineStr"/>
      <c r="AH2" t="inlineStr"/>
      <c r="AI2" t="inlineStr"/>
      <c r="AJ2" t="inlineStr"/>
      <c r="AK2" t="inlineStr"/>
      <c r="AL2" t="inlineStr"/>
      <c r="AM2" s="17" t="inlineStr">
        <is>
          <t>https://cdn.dol.com.br/img/attachmentinline/940000/6publicacao-2-edital-art-7-parag-2-da-lei-11101-20009467060.pdf?xid=3272528</t>
        </is>
      </c>
      <c r="AN2" s="18" t="inlineStr">
        <is>
          <t>p3 r13</t>
        </is>
      </c>
      <c r="AO2" s="18" t="inlineStr">
        <is>
          <t>p3: R$ 188.233,36</t>
        </is>
      </c>
      <c r="AP2" s="18" t="inlineStr">
        <is>
          <t>AJ_LIST</t>
        </is>
      </c>
      <c r="AQ2" s="18" t="inlineStr">
        <is>
          <t>2026-07-07</t>
        </is>
      </c>
      <c r="AR2" s="18" t="inlineStr">
        <is>
          <t>QUARANTINED</t>
        </is>
      </c>
      <c r="AS2" s="18" t="inlineStr">
        <is>
          <t>PARTIAL_DOC_CLASS_III_RECONCILED ROWS:p3r13</t>
        </is>
      </c>
      <c r="AT2" s="18" t="inlineStr">
        <is>
          <t>38d930ab1caa</t>
        </is>
      </c>
    </row>
    <row r="3">
      <c r="A3" s="9" t="n">
        <v>2</v>
      </c>
      <c r="B3" s="9" t="inlineStr">
        <is>
          <t>NEW</t>
        </is>
      </c>
      <c r="C3" s="9" t="inlineStr"/>
      <c r="D3" s="9" t="n">
        <v>0</v>
      </c>
      <c r="E3" s="9" t="inlineStr"/>
      <c r="F3" s="9" t="inlineStr"/>
      <c r="G3" s="9" t="inlineStr"/>
      <c r="H3" s="9" t="inlineStr"/>
      <c r="I3" t="inlineStr"/>
      <c r="J3" t="inlineStr">
        <is>
          <t>MULTIPLO FUNDO DE INVESTIMENTO EM DIREITOS CREDITÓRIOS NÃO PADRONIZADOS MULTISSETORIA L</t>
        </is>
      </c>
      <c r="K3" t="inlineStr">
        <is>
          <t>10842374</t>
        </is>
      </c>
      <c r="L3" t="inlineStr">
        <is>
          <t>10842374000108</t>
        </is>
      </c>
      <c r="M3" s="10" t="n">
        <v>160996.26</v>
      </c>
      <c r="N3" t="n">
        <v>1</v>
      </c>
      <c r="O3" s="11" t="inlineStr">
        <is>
          <t>UNKNOWN</t>
        </is>
      </c>
      <c r="P3" s="11" t="inlineStr"/>
      <c r="Q3" s="12" t="inlineStr"/>
      <c r="R3" s="11">
        <f>IF(Q3="","",ROUND((TODAY()-Q3)/365.25,1))</f>
        <v/>
      </c>
      <c r="S3" s="13">
        <f>VLOOKUP(O3,Assumptions!$A$7:$E$10,2,FALSE)</f>
        <v/>
      </c>
      <c r="T3" s="14">
        <f>MAX(0.5,VLOOKUP(O3,Assumptions!$A$7:$E$10,3,FALSE)+VLOOKUP(O3,Assumptions!$A$7:$E$10,4,FALSE)/2-IF(R3="",0,R3))</f>
        <v/>
      </c>
      <c r="U3" s="15">
        <f>M3*S3/(1+Assumptions!$B$3)^T3</f>
        <v/>
      </c>
      <c r="V3" s="11">
        <f>IF(M3=0,"",ROUND(U3/M3*100,1))</f>
        <v/>
      </c>
      <c r="W3" s="16">
        <f>U3*Assumptions!$B$4</f>
        <v/>
      </c>
      <c r="X3" s="11">
        <f>IF(M3=0,"",ROUND(W3/M3*100,1))</f>
        <v/>
      </c>
      <c r="Y3" t="inlineStr">
        <is>
          <t>Conduscabos Brasil Indústria Comércio de</t>
        </is>
      </c>
      <c r="Z3" t="inlineStr">
        <is>
          <t>8005129-09.2023.8.05.0039</t>
        </is>
      </c>
      <c r="AA3" t="inlineStr"/>
      <c r="AB3" t="inlineStr">
        <is>
          <t>assistjud.com.br</t>
        </is>
      </c>
      <c r="AC3" t="inlineStr"/>
      <c r="AD3" t="inlineStr"/>
      <c r="AE3" t="inlineStr"/>
      <c r="AF3" t="inlineStr"/>
      <c r="AG3" t="inlineStr"/>
      <c r="AH3" t="inlineStr"/>
      <c r="AI3" t="inlineStr"/>
      <c r="AJ3" t="inlineStr"/>
      <c r="AK3" t="inlineStr"/>
      <c r="AL3" t="inlineStr"/>
      <c r="AM3" s="17" t="inlineStr">
        <is>
          <t>https://assistjud.com.br/wp-content/uploads/elementor/forms/65098c80a5824.pdf</t>
        </is>
      </c>
      <c r="AN3" s="18" t="inlineStr">
        <is>
          <t>p19 r1</t>
        </is>
      </c>
      <c r="AO3" s="18" t="inlineStr">
        <is>
          <t>p19: R$ 160.996,26</t>
        </is>
      </c>
      <c r="AP3" s="18" t="inlineStr">
        <is>
          <t>AJ_LIST</t>
        </is>
      </c>
      <c r="AQ3" s="18" t="inlineStr">
        <is>
          <t>2023-09-18</t>
        </is>
      </c>
      <c r="AR3" s="18" t="inlineStr">
        <is>
          <t>OK_NO_TOTALS</t>
        </is>
      </c>
      <c r="AS3" s="18" t="inlineStr">
        <is>
          <t>ROWS:p19r1 UNRECONCILED_SOURCE</t>
        </is>
      </c>
      <c r="AT3" s="18" t="inlineStr">
        <is>
          <t>a0ae32a59c29</t>
        </is>
      </c>
    </row>
    <row r="4">
      <c r="A4" s="9" t="n">
        <v>3</v>
      </c>
      <c r="B4" s="9" t="inlineStr">
        <is>
          <t>NEW</t>
        </is>
      </c>
      <c r="C4" s="9" t="inlineStr"/>
      <c r="D4" s="9" t="n">
        <v>0</v>
      </c>
      <c r="E4" s="9" t="inlineStr"/>
      <c r="F4" s="9" t="inlineStr"/>
      <c r="G4" s="9" t="inlineStr"/>
      <c r="H4" s="9" t="inlineStr"/>
      <c r="I4" t="inlineStr">
        <is>
          <t>SIAGRI SISTEMAS DE GESTAO LTDA</t>
        </is>
      </c>
      <c r="J4" t="inlineStr">
        <is>
          <t>SIAGRI SISTEMAS DE GESTAO LTDA</t>
        </is>
      </c>
      <c r="K4" t="inlineStr">
        <is>
          <t>02435301</t>
        </is>
      </c>
      <c r="L4" t="inlineStr">
        <is>
          <t>02435301000416</t>
        </is>
      </c>
      <c r="M4" s="10" t="n">
        <v>155266.23</v>
      </c>
      <c r="N4" t="n">
        <v>1</v>
      </c>
      <c r="O4" s="11" t="inlineStr">
        <is>
          <t>UNKNOWN</t>
        </is>
      </c>
      <c r="P4" s="11" t="inlineStr"/>
      <c r="Q4" s="12" t="inlineStr"/>
      <c r="R4" s="11">
        <f>IF(Q4="","",ROUND((TODAY()-Q4)/365.25,1))</f>
        <v/>
      </c>
      <c r="S4" s="13">
        <f>VLOOKUP(O4,Assumptions!$A$7:$E$10,2,FALSE)</f>
        <v/>
      </c>
      <c r="T4" s="14">
        <f>MAX(0.5,VLOOKUP(O4,Assumptions!$A$7:$E$10,3,FALSE)+VLOOKUP(O4,Assumptions!$A$7:$E$10,4,FALSE)/2-IF(R4="",0,R4))</f>
        <v/>
      </c>
      <c r="U4" s="15">
        <f>M4*S4/(1+Assumptions!$B$3)^T4</f>
        <v/>
      </c>
      <c r="V4" s="11">
        <f>IF(M4=0,"",ROUND(U4/M4*100,1))</f>
        <v/>
      </c>
      <c r="W4" s="16">
        <f>U4*Assumptions!$B$4</f>
        <v/>
      </c>
      <c r="X4" s="11">
        <f>IF(M4=0,"",ROUND(W4/M4*100,1))</f>
        <v/>
      </c>
      <c r="Y4" t="inlineStr">
        <is>
          <t>SOJAL COMERCIAL AGRICOLA</t>
        </is>
      </c>
      <c r="Z4" t="inlineStr">
        <is>
          <t>0804401-51.2025.8.14.0039</t>
        </is>
      </c>
      <c r="AA4" t="inlineStr"/>
      <c r="AB4" t="inlineStr">
        <is>
          <t>lrflideres.com.br</t>
        </is>
      </c>
      <c r="AC4" t="inlineStr">
        <is>
          <t>CARLOS ANTONIO BARBOSA</t>
        </is>
      </c>
      <c r="AD4" t="inlineStr">
        <is>
          <t>Administrador</t>
        </is>
      </c>
      <c r="AE4" t="inlineStr">
        <is>
          <t>(64) 3620-1550</t>
        </is>
      </c>
      <c r="AF4" t="inlineStr">
        <is>
          <t>(64) 3620-1500</t>
        </is>
      </c>
      <c r="AG4" t="inlineStr"/>
      <c r="AH4" t="inlineStr">
        <is>
          <t>GO</t>
        </is>
      </c>
      <c r="AI4" t="inlineStr">
        <is>
          <t>RIO VERDE</t>
        </is>
      </c>
      <c r="AJ4" t="inlineStr">
        <is>
          <t>Desenvolvimento e licenciamento de programas de computador customizáveis</t>
        </is>
      </c>
      <c r="AK4" t="inlineStr">
        <is>
          <t>DEMAIS</t>
        </is>
      </c>
      <c r="AL4" t="inlineStr">
        <is>
          <t>ATIVA</t>
        </is>
      </c>
      <c r="AM4" s="17" t="inlineStr">
        <is>
          <t>https://lrflideres.com.br/wp-content/plugins/download-attachments/includes/download.php?id=6879</t>
        </is>
      </c>
      <c r="AN4" s="18" t="inlineStr">
        <is>
          <t>p2 r8</t>
        </is>
      </c>
      <c r="AO4" s="18" t="inlineStr">
        <is>
          <t>p2: R$ 155.266,23</t>
        </is>
      </c>
      <c r="AP4" s="18" t="inlineStr">
        <is>
          <t>AJ_LIST</t>
        </is>
      </c>
      <c r="AQ4" s="18" t="inlineStr">
        <is>
          <t>2026-01-15</t>
        </is>
      </c>
      <c r="AR4" s="18" t="inlineStr">
        <is>
          <t>OK</t>
        </is>
      </c>
      <c r="AS4" s="18" t="inlineStr">
        <is>
          <t>ROWS:p2r8</t>
        </is>
      </c>
      <c r="AT4" s="18" t="inlineStr">
        <is>
          <t>c56751547323</t>
        </is>
      </c>
    </row>
    <row r="5">
      <c r="A5" s="9" t="n">
        <v>4</v>
      </c>
      <c r="B5" s="9" t="inlineStr">
        <is>
          <t>NEW</t>
        </is>
      </c>
      <c r="C5" s="9" t="inlineStr"/>
      <c r="D5" s="9" t="n">
        <v>0</v>
      </c>
      <c r="E5" s="9" t="inlineStr"/>
      <c r="F5" s="9" t="inlineStr"/>
      <c r="G5" s="9" t="inlineStr"/>
      <c r="H5" s="9" t="inlineStr"/>
      <c r="I5" t="inlineStr">
        <is>
          <t>JUAREZ DE OLIVEIRA</t>
        </is>
      </c>
      <c r="J5" t="inlineStr">
        <is>
          <t>JUAREZ DE OLIVEIRA M E</t>
        </is>
      </c>
      <c r="K5" t="inlineStr">
        <is>
          <t>69915536</t>
        </is>
      </c>
      <c r="L5" t="inlineStr">
        <is>
          <t>69915536000133</t>
        </is>
      </c>
      <c r="M5" s="10" t="n">
        <v>151663.31</v>
      </c>
      <c r="N5" t="n">
        <v>1</v>
      </c>
      <c r="O5" s="11" t="inlineStr">
        <is>
          <t>UNKNOWN</t>
        </is>
      </c>
      <c r="P5" s="11" t="inlineStr"/>
      <c r="Q5" s="12" t="inlineStr"/>
      <c r="R5" s="11">
        <f>IF(Q5="","",ROUND((TODAY()-Q5)/365.25,1))</f>
        <v/>
      </c>
      <c r="S5" s="13">
        <f>VLOOKUP(O5,Assumptions!$A$7:$E$10,2,FALSE)</f>
        <v/>
      </c>
      <c r="T5" s="14">
        <f>MAX(0.5,VLOOKUP(O5,Assumptions!$A$7:$E$10,3,FALSE)+VLOOKUP(O5,Assumptions!$A$7:$E$10,4,FALSE)/2-IF(R5="",0,R5))</f>
        <v/>
      </c>
      <c r="U5" s="15">
        <f>M5*S5/(1+Assumptions!$B$3)^T5</f>
        <v/>
      </c>
      <c r="V5" s="11">
        <f>IF(M5=0,"",ROUND(U5/M5*100,1))</f>
        <v/>
      </c>
      <c r="W5" s="16">
        <f>U5*Assumptions!$B$4</f>
        <v/>
      </c>
      <c r="X5" s="11">
        <f>IF(M5=0,"",ROUND(W5/M5*100,1))</f>
        <v/>
      </c>
      <c r="Y5" t="inlineStr">
        <is>
          <t>AGROPECUÁRIA SERROTE REDONDO</t>
        </is>
      </c>
      <c r="Z5" t="inlineStr">
        <is>
          <t>0000206-69.2013.8.17.1340</t>
        </is>
      </c>
      <c r="AA5" t="inlineStr"/>
      <c r="AB5" t="inlineStr">
        <is>
          <t>lrflideres.com.br</t>
        </is>
      </c>
      <c r="AC5" t="inlineStr"/>
      <c r="AD5" t="inlineStr"/>
      <c r="AE5" t="inlineStr"/>
      <c r="AF5" t="inlineStr"/>
      <c r="AG5" t="inlineStr"/>
      <c r="AH5" t="inlineStr">
        <is>
          <t>PE</t>
        </is>
      </c>
      <c r="AI5" t="inlineStr">
        <is>
          <t>ARCOVERDE</t>
        </is>
      </c>
      <c r="AJ5" t="inlineStr">
        <is>
          <t>Comércio varejista de outros produtos não especificados anteriormente</t>
        </is>
      </c>
      <c r="AK5" t="inlineStr">
        <is>
          <t>MICRO EMPRESA</t>
        </is>
      </c>
      <c r="AL5" t="inlineStr">
        <is>
          <t>ATIVA</t>
        </is>
      </c>
      <c r="AM5" s="17" t="inlineStr">
        <is>
          <t>https://lrflideres.com.br/wp-content/plugins/download-attachments/includes/download.php?id=5001</t>
        </is>
      </c>
      <c r="AN5" s="18" t="inlineStr">
        <is>
          <t>p2 r32</t>
        </is>
      </c>
      <c r="AO5" s="18" t="inlineStr">
        <is>
          <t>p2: R$ 151.663,31</t>
        </is>
      </c>
      <c r="AP5" s="18" t="inlineStr">
        <is>
          <t>UNKNOWN</t>
        </is>
      </c>
      <c r="AQ5" s="18" t="inlineStr"/>
      <c r="AR5" s="18" t="inlineStr">
        <is>
          <t>OK</t>
        </is>
      </c>
      <c r="AS5" s="18" t="inlineStr">
        <is>
          <t>ALT_VALUE:67.051,58 ROWS:p2r32</t>
        </is>
      </c>
      <c r="AT5" s="18" t="inlineStr">
        <is>
          <t>7c0ce2830d0d</t>
        </is>
      </c>
    </row>
    <row r="6">
      <c r="A6" s="9" t="n">
        <v>5</v>
      </c>
      <c r="B6" s="9" t="inlineStr">
        <is>
          <t>NEW</t>
        </is>
      </c>
      <c r="C6" s="9" t="inlineStr"/>
      <c r="D6" s="9" t="n">
        <v>0</v>
      </c>
      <c r="E6" s="9" t="inlineStr"/>
      <c r="F6" s="9" t="inlineStr"/>
      <c r="G6" s="9" t="inlineStr"/>
      <c r="H6" s="9" t="inlineStr"/>
      <c r="I6" t="inlineStr">
        <is>
          <t>JC SOCCER TALENTS MARKETING ESPORTIVO LTDA</t>
        </is>
      </c>
      <c r="J6" t="inlineStr">
        <is>
          <t>JC SOCCER TALENTS</t>
        </is>
      </c>
      <c r="K6" t="inlineStr">
        <is>
          <t>12073848</t>
        </is>
      </c>
      <c r="L6" t="inlineStr">
        <is>
          <t>12073848000120</t>
        </is>
      </c>
      <c r="M6" s="10" t="n">
        <v>151585.39</v>
      </c>
      <c r="N6" t="n">
        <v>1</v>
      </c>
      <c r="O6" s="11" t="inlineStr">
        <is>
          <t>UNKNOWN</t>
        </is>
      </c>
      <c r="P6" s="11" t="inlineStr"/>
      <c r="Q6" s="12" t="inlineStr"/>
      <c r="R6" s="11">
        <f>IF(Q6="","",ROUND((TODAY()-Q6)/365.25,1))</f>
        <v/>
      </c>
      <c r="S6" s="13">
        <f>VLOOKUP(O6,Assumptions!$A$7:$E$10,2,FALSE)</f>
        <v/>
      </c>
      <c r="T6" s="14">
        <f>MAX(0.5,VLOOKUP(O6,Assumptions!$A$7:$E$10,3,FALSE)+VLOOKUP(O6,Assumptions!$A$7:$E$10,4,FALSE)/2-IF(R6="",0,R6))</f>
        <v/>
      </c>
      <c r="U6" s="15">
        <f>M6*S6/(1+Assumptions!$B$3)^T6</f>
        <v/>
      </c>
      <c r="V6" s="11">
        <f>IF(M6=0,"",ROUND(U6/M6*100,1))</f>
        <v/>
      </c>
      <c r="W6" s="16">
        <f>U6*Assumptions!$B$4</f>
        <v/>
      </c>
      <c r="X6" s="11">
        <f>IF(M6=0,"",ROUND(W6/M6*100,1))</f>
        <v/>
      </c>
      <c r="Y6" t="inlineStr"/>
      <c r="Z6" t="inlineStr">
        <is>
          <t>0820780-23.2026.8.14.0301</t>
        </is>
      </c>
      <c r="AA6" t="inlineStr"/>
      <c r="AB6" t="inlineStr">
        <is>
          <t>cdn.dol.com.br</t>
        </is>
      </c>
      <c r="AC6" t="inlineStr">
        <is>
          <t>ALEXANDRE BASTOS LOPES</t>
        </is>
      </c>
      <c r="AD6" t="inlineStr">
        <is>
          <t>Sócio-Administrador</t>
        </is>
      </c>
      <c r="AE6" t="inlineStr">
        <is>
          <t>(21) 3970-8940</t>
        </is>
      </c>
      <c r="AF6" t="inlineStr"/>
      <c r="AG6" t="inlineStr"/>
      <c r="AH6" t="inlineStr">
        <is>
          <t>RJ</t>
        </is>
      </c>
      <c r="AI6" t="inlineStr">
        <is>
          <t>RIO DE JANEIRO</t>
        </is>
      </c>
      <c r="AJ6" t="inlineStr">
        <is>
          <t>Agenciamento de profissionais para atividades esportivas, culturais e artísticas</t>
        </is>
      </c>
      <c r="AK6" t="inlineStr">
        <is>
          <t>DEMAIS</t>
        </is>
      </c>
      <c r="AL6" t="inlineStr">
        <is>
          <t>ATIVA</t>
        </is>
      </c>
      <c r="AM6" s="17" t="inlineStr">
        <is>
          <t>https://cdn.dol.com.br/img/attachmentinline/940000/6publicacao-2-edital-art-7-parag-2-da-lei-11101-20009467060.pdf?xid=3272528</t>
        </is>
      </c>
      <c r="AN6" s="18" t="inlineStr">
        <is>
          <t>p3 r22</t>
        </is>
      </c>
      <c r="AO6" s="18" t="inlineStr">
        <is>
          <t>p3: R$ 151.585,39</t>
        </is>
      </c>
      <c r="AP6" s="18" t="inlineStr">
        <is>
          <t>AJ_LIST</t>
        </is>
      </c>
      <c r="AQ6" s="18" t="inlineStr">
        <is>
          <t>2026-07-07</t>
        </is>
      </c>
      <c r="AR6" s="18" t="inlineStr">
        <is>
          <t>QUARANTINED</t>
        </is>
      </c>
      <c r="AS6" s="18" t="inlineStr">
        <is>
          <t>PARTIAL_DOC_CLASS_III_RECONCILED ROWS:p3r22</t>
        </is>
      </c>
      <c r="AT6" s="18" t="inlineStr">
        <is>
          <t>38d930ab1caa</t>
        </is>
      </c>
    </row>
    <row r="7">
      <c r="A7" s="9" t="n">
        <v>6</v>
      </c>
      <c r="B7" s="9" t="inlineStr">
        <is>
          <t>NEW</t>
        </is>
      </c>
      <c r="C7" s="9" t="inlineStr"/>
      <c r="D7" s="9" t="n">
        <v>0</v>
      </c>
      <c r="E7" s="9" t="inlineStr"/>
      <c r="F7" s="9" t="inlineStr"/>
      <c r="G7" s="9" t="inlineStr"/>
      <c r="H7" s="9" t="inlineStr"/>
      <c r="I7" t="inlineStr">
        <is>
          <t>SULPECAS COMERCIO E REPRESENTACOES LTDA</t>
        </is>
      </c>
      <c r="J7" t="inlineStr">
        <is>
          <t>SULPEÇAS COM E REPRES LTDA</t>
        </is>
      </c>
      <c r="K7" t="inlineStr">
        <is>
          <t>52068491</t>
        </is>
      </c>
      <c r="L7" t="inlineStr">
        <is>
          <t>52068491000106</t>
        </is>
      </c>
      <c r="M7" s="10" t="n">
        <v>135239.5</v>
      </c>
      <c r="N7" t="n">
        <v>1</v>
      </c>
      <c r="O7" s="11" t="inlineStr">
        <is>
          <t>UNKNOWN</t>
        </is>
      </c>
      <c r="P7" s="11" t="inlineStr"/>
      <c r="Q7" s="12" t="inlineStr"/>
      <c r="R7" s="11">
        <f>IF(Q7="","",ROUND((TODAY()-Q7)/365.25,1))</f>
        <v/>
      </c>
      <c r="S7" s="13">
        <f>VLOOKUP(O7,Assumptions!$A$7:$E$10,2,FALSE)</f>
        <v/>
      </c>
      <c r="T7" s="14">
        <f>MAX(0.5,VLOOKUP(O7,Assumptions!$A$7:$E$10,3,FALSE)+VLOOKUP(O7,Assumptions!$A$7:$E$10,4,FALSE)/2-IF(R7="",0,R7))</f>
        <v/>
      </c>
      <c r="U7" s="15">
        <f>M7*S7/(1+Assumptions!$B$3)^T7</f>
        <v/>
      </c>
      <c r="V7" s="11">
        <f>IF(M7=0,"",ROUND(U7/M7*100,1))</f>
        <v/>
      </c>
      <c r="W7" s="16">
        <f>U7*Assumptions!$B$4</f>
        <v/>
      </c>
      <c r="X7" s="11">
        <f>IF(M7=0,"",ROUND(W7/M7*100,1))</f>
        <v/>
      </c>
      <c r="Y7" t="inlineStr">
        <is>
          <t>DR. ALYSSON CORREIA MACIEL – OAB/PB 11.841, DRA. CAROL DE ALMEIDA LIMA</t>
        </is>
      </c>
      <c r="Z7" t="inlineStr">
        <is>
          <t>0804204-35.2022.8.15.0731</t>
        </is>
      </c>
      <c r="AA7" t="inlineStr"/>
      <c r="AB7" t="inlineStr">
        <is>
          <t>lrflideres.com.br</t>
        </is>
      </c>
      <c r="AC7" t="inlineStr">
        <is>
          <t>MARCELO DE SOUZA GUERINI</t>
        </is>
      </c>
      <c r="AD7" t="inlineStr">
        <is>
          <t>Sócio-Administrador</t>
        </is>
      </c>
      <c r="AE7" t="inlineStr">
        <is>
          <t>(11) 3829-9900</t>
        </is>
      </c>
      <c r="AF7" t="inlineStr"/>
      <c r="AG7" t="inlineStr"/>
      <c r="AH7" t="inlineStr">
        <is>
          <t>SP</t>
        </is>
      </c>
      <c r="AI7" t="inlineStr">
        <is>
          <t>SAO PAULO</t>
        </is>
      </c>
      <c r="AJ7" t="inlineStr">
        <is>
          <t>Comércio atacadista de máquinas, equipamentos para terraplenagem, mineração e construção; partes e peças</t>
        </is>
      </c>
      <c r="AK7" t="inlineStr">
        <is>
          <t>DEMAIS</t>
        </is>
      </c>
      <c r="AL7" t="inlineStr">
        <is>
          <t>ATIVA</t>
        </is>
      </c>
      <c r="AM7" s="17" t="inlineStr">
        <is>
          <t>https://lrflideres.com.br/wp-content/uploads/2022/08/4.-EDITAL-2a-LISTA-DE-CREDORES.pdf</t>
        </is>
      </c>
      <c r="AN7" s="18" t="inlineStr">
        <is>
          <t>p2 r10</t>
        </is>
      </c>
      <c r="AO7" s="18" t="inlineStr">
        <is>
          <t>p2: R$ 135.239,50</t>
        </is>
      </c>
      <c r="AP7" s="18" t="inlineStr">
        <is>
          <t>AJ_LIST</t>
        </is>
      </c>
      <c r="AQ7" s="18" t="inlineStr">
        <is>
          <t>2023-12-04</t>
        </is>
      </c>
      <c r="AR7" s="18" t="inlineStr">
        <is>
          <t>OK</t>
        </is>
      </c>
      <c r="AS7" s="18" t="inlineStr">
        <is>
          <t>ROWS:p2r10</t>
        </is>
      </c>
      <c r="AT7" s="18" t="inlineStr">
        <is>
          <t>1355f93a13cd</t>
        </is>
      </c>
    </row>
    <row r="8">
      <c r="A8" s="9" t="n">
        <v>7</v>
      </c>
      <c r="B8" s="9" t="inlineStr">
        <is>
          <t>NEW</t>
        </is>
      </c>
      <c r="C8" s="9" t="inlineStr"/>
      <c r="D8" s="9" t="n">
        <v>0</v>
      </c>
      <c r="E8" s="9" t="inlineStr"/>
      <c r="F8" s="9" t="inlineStr"/>
      <c r="G8" s="9" t="inlineStr"/>
      <c r="H8" s="9" t="inlineStr"/>
      <c r="I8" t="inlineStr">
        <is>
          <t>M CASSAB COMERCIO E INDUSTRIA LTDA</t>
        </is>
      </c>
      <c r="J8" t="inlineStr">
        <is>
          <t>M CASSAB COMERCIO E INDUSTRIA LTDA</t>
        </is>
      </c>
      <c r="K8" t="inlineStr">
        <is>
          <t>49698723</t>
        </is>
      </c>
      <c r="L8" t="inlineStr">
        <is>
          <t>49698723000103</t>
        </is>
      </c>
      <c r="M8" s="10" t="n">
        <v>131926.28</v>
      </c>
      <c r="N8" t="n">
        <v>1</v>
      </c>
      <c r="O8" s="11" t="inlineStr">
        <is>
          <t>UNKNOWN</t>
        </is>
      </c>
      <c r="P8" s="11" t="inlineStr"/>
      <c r="Q8" s="12" t="inlineStr"/>
      <c r="R8" s="11">
        <f>IF(Q8="","",ROUND((TODAY()-Q8)/365.25,1))</f>
        <v/>
      </c>
      <c r="S8" s="13">
        <f>VLOOKUP(O8,Assumptions!$A$7:$E$10,2,FALSE)</f>
        <v/>
      </c>
      <c r="T8" s="14">
        <f>MAX(0.5,VLOOKUP(O8,Assumptions!$A$7:$E$10,3,FALSE)+VLOOKUP(O8,Assumptions!$A$7:$E$10,4,FALSE)/2-IF(R8="",0,R8))</f>
        <v/>
      </c>
      <c r="U8" s="15">
        <f>M8*S8/(1+Assumptions!$B$3)^T8</f>
        <v/>
      </c>
      <c r="V8" s="11">
        <f>IF(M8=0,"",ROUND(U8/M8*100,1))</f>
        <v/>
      </c>
      <c r="W8" s="16">
        <f>U8*Assumptions!$B$4</f>
        <v/>
      </c>
      <c r="X8" s="11">
        <f>IF(M8=0,"",ROUND(W8/M8*100,1))</f>
        <v/>
      </c>
      <c r="Y8" t="inlineStr"/>
      <c r="Z8" t="inlineStr">
        <is>
          <t>(not found in document)</t>
        </is>
      </c>
      <c r="AA8" t="inlineStr"/>
      <c r="AB8" t="inlineStr">
        <is>
          <t>bernardobicalho.com.br</t>
        </is>
      </c>
      <c r="AC8" t="inlineStr">
        <is>
          <t>MARIO SERGIO CUTAIT</t>
        </is>
      </c>
      <c r="AD8" t="inlineStr">
        <is>
          <t>Administrador</t>
        </is>
      </c>
      <c r="AE8" t="inlineStr">
        <is>
          <t>(11) 2162-7700</t>
        </is>
      </c>
      <c r="AF8" t="inlineStr">
        <is>
          <t>(11) 2162-7751</t>
        </is>
      </c>
      <c r="AG8" t="inlineStr"/>
      <c r="AH8" t="inlineStr">
        <is>
          <t>SP</t>
        </is>
      </c>
      <c r="AI8" t="inlineStr">
        <is>
          <t>SAO PAULO</t>
        </is>
      </c>
      <c r="AJ8" t="inlineStr">
        <is>
          <t>Comércio atacadista especializado em outros produtos intermediários não especificados anteriormente</t>
        </is>
      </c>
      <c r="AK8" t="inlineStr">
        <is>
          <t>DEMAIS</t>
        </is>
      </c>
      <c r="AL8" t="inlineStr">
        <is>
          <t>ATIVA</t>
        </is>
      </c>
      <c r="AM8" s="17" t="inlineStr">
        <is>
          <t>http://bernardobicalho.com.br/login/app/documents/Rela%C3%A7%C3%A3o%20de%20Credores/6.%20RVC-%20Nutricium%20-%20simplificada.pdf</t>
        </is>
      </c>
      <c r="AN8" s="18" t="inlineStr">
        <is>
          <t>p3 r23</t>
        </is>
      </c>
      <c r="AO8" s="18" t="inlineStr">
        <is>
          <t>p3: R$ 131.926,28</t>
        </is>
      </c>
      <c r="AP8" s="18" t="inlineStr">
        <is>
          <t>AJ_LIST</t>
        </is>
      </c>
      <c r="AQ8" s="18" t="inlineStr"/>
      <c r="AR8" s="18" t="inlineStr">
        <is>
          <t>OK</t>
        </is>
      </c>
      <c r="AS8" s="18" t="inlineStr">
        <is>
          <t>CASE_NUMBER_MISSING ROWS:p3r23</t>
        </is>
      </c>
      <c r="AT8" s="18" t="inlineStr">
        <is>
          <t>6a92d74da333</t>
        </is>
      </c>
    </row>
    <row r="9">
      <c r="A9" s="9" t="n">
        <v>8</v>
      </c>
      <c r="B9" s="9" t="inlineStr">
        <is>
          <t>NEW</t>
        </is>
      </c>
      <c r="C9" s="9" t="inlineStr"/>
      <c r="D9" s="9" t="n">
        <v>0</v>
      </c>
      <c r="E9" s="9" t="inlineStr"/>
      <c r="F9" s="9" t="inlineStr"/>
      <c r="G9" s="9" t="inlineStr"/>
      <c r="H9" s="9" t="inlineStr"/>
      <c r="I9" t="inlineStr">
        <is>
          <t>COMPANHIA DE ALIMENTOS DO NORDESTE CIALNE</t>
        </is>
      </c>
      <c r="J9" t="inlineStr">
        <is>
          <t>COMPANHIA DE ALIMENTOSDO NORDESTE CIALNE</t>
        </is>
      </c>
      <c r="K9" t="inlineStr">
        <is>
          <t>07220874</t>
        </is>
      </c>
      <c r="L9" t="inlineStr">
        <is>
          <t>07220874000101</t>
        </is>
      </c>
      <c r="M9" s="10" t="n">
        <v>131836.89</v>
      </c>
      <c r="N9" t="n">
        <v>1</v>
      </c>
      <c r="O9" s="11" t="inlineStr">
        <is>
          <t>UNKNOWN</t>
        </is>
      </c>
      <c r="P9" s="11" t="inlineStr"/>
      <c r="Q9" s="12" t="inlineStr"/>
      <c r="R9" s="11">
        <f>IF(Q9="","",ROUND((TODAY()-Q9)/365.25,1))</f>
        <v/>
      </c>
      <c r="S9" s="13">
        <f>VLOOKUP(O9,Assumptions!$A$7:$E$10,2,FALSE)</f>
        <v/>
      </c>
      <c r="T9" s="14">
        <f>MAX(0.5,VLOOKUP(O9,Assumptions!$A$7:$E$10,3,FALSE)+VLOOKUP(O9,Assumptions!$A$7:$E$10,4,FALSE)/2-IF(R9="",0,R9))</f>
        <v/>
      </c>
      <c r="U9" s="15">
        <f>M9*S9/(1+Assumptions!$B$3)^T9</f>
        <v/>
      </c>
      <c r="V9" s="11">
        <f>IF(M9=0,"",ROUND(U9/M9*100,1))</f>
        <v/>
      </c>
      <c r="W9" s="16">
        <f>U9*Assumptions!$B$4</f>
        <v/>
      </c>
      <c r="X9" s="11">
        <f>IF(M9=0,"",ROUND(W9/M9*100,1))</f>
        <v/>
      </c>
      <c r="Y9" t="inlineStr">
        <is>
          <t>AGROPECUÁRIA SERROTE REDONDO</t>
        </is>
      </c>
      <c r="Z9" t="inlineStr">
        <is>
          <t>0000206-69.2013.8.17.1340</t>
        </is>
      </c>
      <c r="AA9" t="inlineStr"/>
      <c r="AB9" t="inlineStr">
        <is>
          <t>lrflideres.com.br</t>
        </is>
      </c>
      <c r="AC9" t="inlineStr">
        <is>
          <t>IVAN ANTONIO PERUZZO</t>
        </is>
      </c>
      <c r="AD9" t="inlineStr">
        <is>
          <t>Presidente</t>
        </is>
      </c>
      <c r="AE9" t="inlineStr">
        <is>
          <t>(85) 3477-2700</t>
        </is>
      </c>
      <c r="AF9" t="inlineStr"/>
      <c r="AG9" t="inlineStr"/>
      <c r="AH9" t="inlineStr">
        <is>
          <t>CE</t>
        </is>
      </c>
      <c r="AI9" t="inlineStr">
        <is>
          <t>FORTALEZA</t>
        </is>
      </c>
      <c r="AJ9" t="inlineStr">
        <is>
          <t>Produção de pintos de um dia</t>
        </is>
      </c>
      <c r="AK9" t="inlineStr">
        <is>
          <t>DEMAIS</t>
        </is>
      </c>
      <c r="AL9" t="inlineStr">
        <is>
          <t>ATIVA</t>
        </is>
      </c>
      <c r="AM9" s="17" t="inlineStr">
        <is>
          <t>https://lrflideres.com.br/wp-content/plugins/download-attachments/includes/download.php?id=5001</t>
        </is>
      </c>
      <c r="AN9" s="18" t="inlineStr">
        <is>
          <t>p1 r27</t>
        </is>
      </c>
      <c r="AO9" s="18" t="inlineStr">
        <is>
          <t>p1: R$ 131.836,89</t>
        </is>
      </c>
      <c r="AP9" s="18" t="inlineStr">
        <is>
          <t>UNKNOWN</t>
        </is>
      </c>
      <c r="AQ9" s="18" t="inlineStr"/>
      <c r="AR9" s="18" t="inlineStr">
        <is>
          <t>OK</t>
        </is>
      </c>
      <c r="AS9" s="18" t="inlineStr">
        <is>
          <t>ALT_VALUE:131.836,89 ROWS:p1r27 VALUE_COL:Valor_Atualizado</t>
        </is>
      </c>
      <c r="AT9" s="18" t="inlineStr">
        <is>
          <t>7c0ce2830d0d</t>
        </is>
      </c>
    </row>
    <row r="10">
      <c r="A10" s="9" t="n">
        <v>9</v>
      </c>
      <c r="B10" s="9" t="inlineStr">
        <is>
          <t>NEW</t>
        </is>
      </c>
      <c r="C10" s="9" t="inlineStr"/>
      <c r="D10" s="9" t="n">
        <v>0</v>
      </c>
      <c r="E10" s="9" t="inlineStr"/>
      <c r="F10" s="9" t="inlineStr"/>
      <c r="G10" s="9" t="inlineStr"/>
      <c r="H10" s="9" t="inlineStr"/>
      <c r="I10" t="inlineStr">
        <is>
          <t>MARTINS CONFECCAO E COMERCIO DE ARTIGOS DO VESTUARIO E ACESSORIOS LTDA</t>
        </is>
      </c>
      <c r="J10" t="inlineStr">
        <is>
          <t>MARTINS INDUSTRIA TEXTIL, CNPJ</t>
        </is>
      </c>
      <c r="K10" t="inlineStr">
        <is>
          <t>82165010</t>
        </is>
      </c>
      <c r="L10" t="inlineStr">
        <is>
          <t>82165010000141</t>
        </is>
      </c>
      <c r="M10" s="10" t="n">
        <v>127861.62</v>
      </c>
      <c r="N10" t="n">
        <v>1</v>
      </c>
      <c r="O10" s="11" t="inlineStr">
        <is>
          <t>UNKNOWN</t>
        </is>
      </c>
      <c r="P10" s="11" t="inlineStr"/>
      <c r="Q10" s="12" t="inlineStr"/>
      <c r="R10" s="11">
        <f>IF(Q10="","",ROUND((TODAY()-Q10)/365.25,1))</f>
        <v/>
      </c>
      <c r="S10" s="13">
        <f>VLOOKUP(O10,Assumptions!$A$7:$E$10,2,FALSE)</f>
        <v/>
      </c>
      <c r="T10" s="14">
        <f>MAX(0.5,VLOOKUP(O10,Assumptions!$A$7:$E$10,3,FALSE)+VLOOKUP(O10,Assumptions!$A$7:$E$10,4,FALSE)/2-IF(R10="",0,R10))</f>
        <v/>
      </c>
      <c r="U10" s="15">
        <f>M10*S10/(1+Assumptions!$B$3)^T10</f>
        <v/>
      </c>
      <c r="V10" s="11">
        <f>IF(M10=0,"",ROUND(U10/M10*100,1))</f>
        <v/>
      </c>
      <c r="W10" s="16">
        <f>U10*Assumptions!$B$4</f>
        <v/>
      </c>
      <c r="X10" s="11">
        <f>IF(M10=0,"",ROUND(W10/M10*100,1))</f>
        <v/>
      </c>
      <c r="Y10" t="inlineStr">
        <is>
          <t>DICARLO MOVEIS E ACESSORIOS PARA CASA E LOJAS LTDA</t>
        </is>
      </c>
      <c r="Z10" t="inlineStr">
        <is>
          <t>0301015-33.2016.8.24.0031</t>
        </is>
      </c>
      <c r="AA10" t="inlineStr"/>
      <c r="AB10" t="inlineStr">
        <is>
          <t>administradorajudicialgs.com.br</t>
        </is>
      </c>
      <c r="AC10" t="inlineStr">
        <is>
          <t>ILMA FEUSER MARTINS</t>
        </is>
      </c>
      <c r="AD10" t="inlineStr">
        <is>
          <t>Sócio-Administrador</t>
        </is>
      </c>
      <c r="AE10" t="inlineStr">
        <is>
          <t>(47) 2123-2500</t>
        </is>
      </c>
      <c r="AF10" t="inlineStr"/>
      <c r="AG10" t="inlineStr"/>
      <c r="AH10" t="inlineStr">
        <is>
          <t>SC</t>
        </is>
      </c>
      <c r="AI10" t="inlineStr">
        <is>
          <t>INDAIAL</t>
        </is>
      </c>
      <c r="AJ10" t="inlineStr">
        <is>
          <t>Tecelagem de fios de algodão</t>
        </is>
      </c>
      <c r="AK10" t="inlineStr">
        <is>
          <t>DEMAIS</t>
        </is>
      </c>
      <c r="AL10" t="inlineStr">
        <is>
          <t>ATIVA</t>
        </is>
      </c>
      <c r="AM10" s="17" t="inlineStr">
        <is>
          <t>https://administradorajudicialgs.com.br/wp-content/uploads/2023/08/edital-quadro-geral-de-credores.pdf</t>
        </is>
      </c>
      <c r="AN10" s="18" t="inlineStr">
        <is>
          <t>p3 r12</t>
        </is>
      </c>
      <c r="AO10" s="18" t="inlineStr">
        <is>
          <t>p3: R$ 127.861,62</t>
        </is>
      </c>
      <c r="AP10" s="18" t="inlineStr">
        <is>
          <t>QGC</t>
        </is>
      </c>
      <c r="AQ10" s="18" t="inlineStr">
        <is>
          <t>2024-07-05</t>
        </is>
      </c>
      <c r="AR10" s="18" t="inlineStr">
        <is>
          <t>OK_NO_TOTALS</t>
        </is>
      </c>
      <c r="AS10" s="18" t="inlineStr">
        <is>
          <t>ROWS:p3r12 UNRECONCILED_SOURCE</t>
        </is>
      </c>
      <c r="AT10" s="18" t="inlineStr">
        <is>
          <t>98f99945499b</t>
        </is>
      </c>
    </row>
    <row r="11">
      <c r="A11" s="9" t="n">
        <v>10</v>
      </c>
      <c r="B11" s="9" t="inlineStr">
        <is>
          <t>NEW</t>
        </is>
      </c>
      <c r="C11" s="9" t="inlineStr"/>
      <c r="D11" s="9" t="n">
        <v>0</v>
      </c>
      <c r="E11" s="9" t="inlineStr"/>
      <c r="F11" s="9" t="inlineStr"/>
      <c r="G11" s="9" t="inlineStr"/>
      <c r="H11" s="9" t="inlineStr"/>
      <c r="I11" t="inlineStr"/>
      <c r="J11" t="inlineStr">
        <is>
          <t>SOFISA RECEBÍVEIS FUNDO DE INVESTIMENTO EM DIREITOS CREDITÓRIOS PADRONIZADOS</t>
        </is>
      </c>
      <c r="K11" t="inlineStr">
        <is>
          <t>28075236</t>
        </is>
      </c>
      <c r="L11" t="inlineStr">
        <is>
          <t>28075236000106</t>
        </is>
      </c>
      <c r="M11" s="10" t="n">
        <v>126832.55</v>
      </c>
      <c r="N11" t="n">
        <v>1</v>
      </c>
      <c r="O11" s="11" t="inlineStr">
        <is>
          <t>UNKNOWN</t>
        </is>
      </c>
      <c r="P11" s="11" t="inlineStr"/>
      <c r="Q11" s="12" t="inlineStr"/>
      <c r="R11" s="11">
        <f>IF(Q11="","",ROUND((TODAY()-Q11)/365.25,1))</f>
        <v/>
      </c>
      <c r="S11" s="13">
        <f>VLOOKUP(O11,Assumptions!$A$7:$E$10,2,FALSE)</f>
        <v/>
      </c>
      <c r="T11" s="14">
        <f>MAX(0.5,VLOOKUP(O11,Assumptions!$A$7:$E$10,3,FALSE)+VLOOKUP(O11,Assumptions!$A$7:$E$10,4,FALSE)/2-IF(R11="",0,R11))</f>
        <v/>
      </c>
      <c r="U11" s="15">
        <f>M11*S11/(1+Assumptions!$B$3)^T11</f>
        <v/>
      </c>
      <c r="V11" s="11">
        <f>IF(M11=0,"",ROUND(U11/M11*100,1))</f>
        <v/>
      </c>
      <c r="W11" s="16">
        <f>U11*Assumptions!$B$4</f>
        <v/>
      </c>
      <c r="X11" s="11">
        <f>IF(M11=0,"",ROUND(W11/M11*100,1))</f>
        <v/>
      </c>
      <c r="Y11" t="inlineStr">
        <is>
          <t>Conduscabos Brasil Indústria Comércio de</t>
        </is>
      </c>
      <c r="Z11" t="inlineStr">
        <is>
          <t>8005129-09.2023.8.05.0039</t>
        </is>
      </c>
      <c r="AA11" t="inlineStr"/>
      <c r="AB11" t="inlineStr">
        <is>
          <t>assistjud.com.br</t>
        </is>
      </c>
      <c r="AC11" t="inlineStr"/>
      <c r="AD11" t="inlineStr"/>
      <c r="AE11" t="inlineStr"/>
      <c r="AF11" t="inlineStr"/>
      <c r="AG11" t="inlineStr"/>
      <c r="AH11" t="inlineStr"/>
      <c r="AI11" t="inlineStr"/>
      <c r="AJ11" t="inlineStr"/>
      <c r="AK11" t="inlineStr"/>
      <c r="AL11" t="inlineStr"/>
      <c r="AM11" s="17" t="inlineStr">
        <is>
          <t>https://assistjud.com.br/wp-content/uploads/elementor/forms/65098c80a5824.pdf</t>
        </is>
      </c>
      <c r="AN11" s="18" t="inlineStr">
        <is>
          <t>p10 r3</t>
        </is>
      </c>
      <c r="AO11" s="18" t="inlineStr">
        <is>
          <t>p10: R$ 126.832,55</t>
        </is>
      </c>
      <c r="AP11" s="18" t="inlineStr">
        <is>
          <t>AJ_LIST</t>
        </is>
      </c>
      <c r="AQ11" s="18" t="inlineStr">
        <is>
          <t>2023-09-18</t>
        </is>
      </c>
      <c r="AR11" s="18" t="inlineStr">
        <is>
          <t>OK_NO_TOTALS</t>
        </is>
      </c>
      <c r="AS11" s="18" t="inlineStr">
        <is>
          <t>ROWS:p10r3 UNRECONCILED_SOURCE</t>
        </is>
      </c>
      <c r="AT11" s="18" t="inlineStr">
        <is>
          <t>a0ae32a59c29</t>
        </is>
      </c>
    </row>
    <row r="12">
      <c r="A12" s="9" t="n">
        <v>11</v>
      </c>
      <c r="B12" s="9" t="inlineStr">
        <is>
          <t>NEW</t>
        </is>
      </c>
      <c r="C12" s="9" t="inlineStr"/>
      <c r="D12" s="9" t="n">
        <v>0</v>
      </c>
      <c r="E12" s="9" t="inlineStr"/>
      <c r="F12" s="9" t="inlineStr"/>
      <c r="G12" s="9" t="inlineStr"/>
      <c r="H12" s="9" t="inlineStr"/>
      <c r="I12" t="inlineStr">
        <is>
          <t>PETROSTAR COMBUSTIVEIS LTDA</t>
        </is>
      </c>
      <c r="J12" t="inlineStr">
        <is>
          <t>PETROSTAR COMBUSTIVEIS LTDA</t>
        </is>
      </c>
      <c r="K12" t="inlineStr">
        <is>
          <t>29736901</t>
        </is>
      </c>
      <c r="L12" t="inlineStr">
        <is>
          <t>29736901000128</t>
        </is>
      </c>
      <c r="M12" s="10" t="n">
        <v>120950</v>
      </c>
      <c r="N12" t="n">
        <v>1</v>
      </c>
      <c r="O12" s="11" t="inlineStr">
        <is>
          <t>UNKNOWN</t>
        </is>
      </c>
      <c r="P12" s="11" t="inlineStr"/>
      <c r="Q12" s="12" t="inlineStr"/>
      <c r="R12" s="11">
        <f>IF(Q12="","",ROUND((TODAY()-Q12)/365.25,1))</f>
        <v/>
      </c>
      <c r="S12" s="13">
        <f>VLOOKUP(O12,Assumptions!$A$7:$E$10,2,FALSE)</f>
        <v/>
      </c>
      <c r="T12" s="14">
        <f>MAX(0.5,VLOOKUP(O12,Assumptions!$A$7:$E$10,3,FALSE)+VLOOKUP(O12,Assumptions!$A$7:$E$10,4,FALSE)/2-IF(R12="",0,R12))</f>
        <v/>
      </c>
      <c r="U12" s="15">
        <f>M12*S12/(1+Assumptions!$B$3)^T12</f>
        <v/>
      </c>
      <c r="V12" s="11">
        <f>IF(M12=0,"",ROUND(U12/M12*100,1))</f>
        <v/>
      </c>
      <c r="W12" s="16">
        <f>U12*Assumptions!$B$4</f>
        <v/>
      </c>
      <c r="X12" s="11">
        <f>IF(M12=0,"",ROUND(W12/M12*100,1))</f>
        <v/>
      </c>
      <c r="Y12" t="inlineStr">
        <is>
          <t>DR. ALYSSON CORREIA MACIEL – OAB/PB 11.841, DRA. CAROL DE ALMEIDA LIMA</t>
        </is>
      </c>
      <c r="Z12" t="inlineStr">
        <is>
          <t>0804204-35.2022.8.15.0731</t>
        </is>
      </c>
      <c r="AA12" t="inlineStr"/>
      <c r="AB12" t="inlineStr">
        <is>
          <t>lrflideres.com.br</t>
        </is>
      </c>
      <c r="AC12" t="inlineStr">
        <is>
          <t>CRISTIANO LINS NOGUEIRA DE ARAUJO</t>
        </is>
      </c>
      <c r="AD12" t="inlineStr">
        <is>
          <t>Sócio-Administrador</t>
        </is>
      </c>
      <c r="AE12" t="inlineStr">
        <is>
          <t>(81) 9197-4902</t>
        </is>
      </c>
      <c r="AF12" t="inlineStr"/>
      <c r="AG12" t="inlineStr"/>
      <c r="AH12" t="inlineStr">
        <is>
          <t>PE</t>
        </is>
      </c>
      <c r="AI12" t="inlineStr">
        <is>
          <t>CABO DE SANTO AGOSTINHO</t>
        </is>
      </c>
      <c r="AJ12" t="inlineStr">
        <is>
          <t>Comércio atacadista de combustíveis realizado por transportador retalhista (T.R.R.)</t>
        </is>
      </c>
      <c r="AK12" t="inlineStr">
        <is>
          <t>DEMAIS</t>
        </is>
      </c>
      <c r="AL12" t="inlineStr">
        <is>
          <t>ATIVA</t>
        </is>
      </c>
      <c r="AM12" s="17" t="inlineStr">
        <is>
          <t>https://lrflideres.com.br/wp-content/uploads/2022/08/4.-EDITAL-2a-LISTA-DE-CREDORES.pdf</t>
        </is>
      </c>
      <c r="AN12" s="18" t="inlineStr">
        <is>
          <t>p1 r24</t>
        </is>
      </c>
      <c r="AO12" s="18" t="inlineStr">
        <is>
          <t>p1: R$ 120.950,00</t>
        </is>
      </c>
      <c r="AP12" s="18" t="inlineStr">
        <is>
          <t>AJ_LIST</t>
        </is>
      </c>
      <c r="AQ12" s="18" t="inlineStr">
        <is>
          <t>2023-12-04</t>
        </is>
      </c>
      <c r="AR12" s="18" t="inlineStr">
        <is>
          <t>OK</t>
        </is>
      </c>
      <c r="AS12" s="18" t="inlineStr">
        <is>
          <t>ROWS:p1r24</t>
        </is>
      </c>
      <c r="AT12" s="18" t="inlineStr">
        <is>
          <t>1355f93a13cd</t>
        </is>
      </c>
    </row>
    <row r="13">
      <c r="A13" s="9" t="n">
        <v>12</v>
      </c>
      <c r="B13" s="9" t="inlineStr">
        <is>
          <t>NEW</t>
        </is>
      </c>
      <c r="C13" s="9" t="inlineStr"/>
      <c r="D13" s="9" t="n">
        <v>0</v>
      </c>
      <c r="E13" s="9" t="inlineStr"/>
      <c r="F13" s="9" t="inlineStr"/>
      <c r="G13" s="9" t="inlineStr"/>
      <c r="H13" s="9" t="inlineStr"/>
      <c r="I13" t="inlineStr">
        <is>
          <t>MASTERSENSE INGREDIENTES ALIMENTICIOS LTDA</t>
        </is>
      </c>
      <c r="J13" t="inlineStr">
        <is>
          <t>MASTERSENSE INGREDIENTES ALIMENTICIOS LTDA</t>
        </is>
      </c>
      <c r="K13" t="inlineStr">
        <is>
          <t>03161388</t>
        </is>
      </c>
      <c r="L13" t="inlineStr">
        <is>
          <t>03161388000109</t>
        </is>
      </c>
      <c r="M13" s="10" t="n">
        <v>119306.11</v>
      </c>
      <c r="N13" t="n">
        <v>1</v>
      </c>
      <c r="O13" s="11" t="inlineStr">
        <is>
          <t>UNKNOWN</t>
        </is>
      </c>
      <c r="P13" s="11" t="inlineStr"/>
      <c r="Q13" s="12" t="inlineStr"/>
      <c r="R13" s="11">
        <f>IF(Q13="","",ROUND((TODAY()-Q13)/365.25,1))</f>
        <v/>
      </c>
      <c r="S13" s="13">
        <f>VLOOKUP(O13,Assumptions!$A$7:$E$10,2,FALSE)</f>
        <v/>
      </c>
      <c r="T13" s="14">
        <f>MAX(0.5,VLOOKUP(O13,Assumptions!$A$7:$E$10,3,FALSE)+VLOOKUP(O13,Assumptions!$A$7:$E$10,4,FALSE)/2-IF(R13="",0,R13))</f>
        <v/>
      </c>
      <c r="U13" s="15">
        <f>M13*S13/(1+Assumptions!$B$3)^T13</f>
        <v/>
      </c>
      <c r="V13" s="11">
        <f>IF(M13=0,"",ROUND(U13/M13*100,1))</f>
        <v/>
      </c>
      <c r="W13" s="16">
        <f>U13*Assumptions!$B$4</f>
        <v/>
      </c>
      <c r="X13" s="11">
        <f>IF(M13=0,"",ROUND(W13/M13*100,1))</f>
        <v/>
      </c>
      <c r="Y13" t="inlineStr"/>
      <c r="Z13" t="inlineStr">
        <is>
          <t>(not found in document)</t>
        </is>
      </c>
      <c r="AA13" t="inlineStr"/>
      <c r="AB13" t="inlineStr">
        <is>
          <t>bernardobicalho.com.br</t>
        </is>
      </c>
      <c r="AC13" t="inlineStr">
        <is>
          <t>GUSTAVO ASSIS RODRIGUES</t>
        </is>
      </c>
      <c r="AD13" t="inlineStr">
        <is>
          <t>Sócio-Administrador</t>
        </is>
      </c>
      <c r="AE13" t="inlineStr">
        <is>
          <t>(11) 3109-3108</t>
        </is>
      </c>
      <c r="AF13" t="inlineStr"/>
      <c r="AG13" t="inlineStr"/>
      <c r="AH13" t="inlineStr">
        <is>
          <t>SP</t>
        </is>
      </c>
      <c r="AI13" t="inlineStr">
        <is>
          <t>JUNDIAI</t>
        </is>
      </c>
      <c r="AJ13" t="inlineStr">
        <is>
          <t>Comércio atacadista de produtos alimentícios em geral</t>
        </is>
      </c>
      <c r="AK13" t="inlineStr">
        <is>
          <t>DEMAIS</t>
        </is>
      </c>
      <c r="AL13" t="inlineStr">
        <is>
          <t>ATIVA</t>
        </is>
      </c>
      <c r="AM13" s="17" t="inlineStr">
        <is>
          <t>http://bernardobicalho.com.br/login/app/documents/Rela%C3%A7%C3%A3o%20de%20Credores/6.%20RVC-%20Nutricium%20-%20simplificada.pdf</t>
        </is>
      </c>
      <c r="AN13" s="18" t="inlineStr">
        <is>
          <t>p3 r25</t>
        </is>
      </c>
      <c r="AO13" s="18" t="inlineStr">
        <is>
          <t>p3: R$ 119.306,11</t>
        </is>
      </c>
      <c r="AP13" s="18" t="inlineStr">
        <is>
          <t>AJ_LIST</t>
        </is>
      </c>
      <c r="AQ13" s="18" t="inlineStr"/>
      <c r="AR13" s="18" t="inlineStr">
        <is>
          <t>OK</t>
        </is>
      </c>
      <c r="AS13" s="18" t="inlineStr">
        <is>
          <t>CASE_NUMBER_MISSING ROWS:p3r25</t>
        </is>
      </c>
      <c r="AT13" s="18" t="inlineStr">
        <is>
          <t>6a92d74da333</t>
        </is>
      </c>
    </row>
    <row r="14">
      <c r="A14" s="9" t="n">
        <v>13</v>
      </c>
      <c r="B14" s="9" t="inlineStr">
        <is>
          <t>NEW</t>
        </is>
      </c>
      <c r="C14" s="9" t="inlineStr"/>
      <c r="D14" s="9" t="n">
        <v>0</v>
      </c>
      <c r="E14" s="9" t="inlineStr"/>
      <c r="F14" s="9" t="inlineStr"/>
      <c r="G14" s="9" t="inlineStr"/>
      <c r="H14" s="9" t="inlineStr"/>
      <c r="I14" t="inlineStr">
        <is>
          <t>CP COMERCIAL S/A</t>
        </is>
      </c>
      <c r="J14" t="inlineStr">
        <is>
          <t>CP COMERCIAL S.A</t>
        </is>
      </c>
      <c r="K14" t="inlineStr">
        <is>
          <t>08888040</t>
        </is>
      </c>
      <c r="L14" t="inlineStr">
        <is>
          <t>08888040000123</t>
        </is>
      </c>
      <c r="M14" s="10" t="n">
        <v>108000</v>
      </c>
      <c r="N14" t="n">
        <v>1</v>
      </c>
      <c r="O14" s="11" t="inlineStr">
        <is>
          <t>UNKNOWN</t>
        </is>
      </c>
      <c r="P14" s="11" t="inlineStr"/>
      <c r="Q14" s="12" t="inlineStr"/>
      <c r="R14" s="11">
        <f>IF(Q14="","",ROUND((TODAY()-Q14)/365.25,1))</f>
        <v/>
      </c>
      <c r="S14" s="13">
        <f>VLOOKUP(O14,Assumptions!$A$7:$E$10,2,FALSE)</f>
        <v/>
      </c>
      <c r="T14" s="14">
        <f>MAX(0.5,VLOOKUP(O14,Assumptions!$A$7:$E$10,3,FALSE)+VLOOKUP(O14,Assumptions!$A$7:$E$10,4,FALSE)/2-IF(R14="",0,R14))</f>
        <v/>
      </c>
      <c r="U14" s="15">
        <f>M14*S14/(1+Assumptions!$B$3)^T14</f>
        <v/>
      </c>
      <c r="V14" s="11">
        <f>IF(M14=0,"",ROUND(U14/M14*100,1))</f>
        <v/>
      </c>
      <c r="W14" s="16">
        <f>U14*Assumptions!$B$4</f>
        <v/>
      </c>
      <c r="X14" s="11">
        <f>IF(M14=0,"",ROUND(W14/M14*100,1))</f>
        <v/>
      </c>
      <c r="Y14" t="inlineStr">
        <is>
          <t>DR. ALYSSON CORREIA MACIEL – OAB/PB 11.841, DRA. CAROL DE ALMEIDA LIMA</t>
        </is>
      </c>
      <c r="Z14" t="inlineStr">
        <is>
          <t>0804204-35.2022.8.15.0731</t>
        </is>
      </c>
      <c r="AA14" t="inlineStr"/>
      <c r="AB14" t="inlineStr">
        <is>
          <t>lrflideres.com.br</t>
        </is>
      </c>
      <c r="AC14" t="inlineStr">
        <is>
          <t>HUMBERTO GABRIEL CANTU</t>
        </is>
      </c>
      <c r="AD14" t="inlineStr">
        <is>
          <t>Presidente</t>
        </is>
      </c>
      <c r="AE14" t="inlineStr">
        <is>
          <t>(47) 3046-2550</t>
        </is>
      </c>
      <c r="AF14" t="inlineStr"/>
      <c r="AG14" t="inlineStr"/>
      <c r="AH14" t="inlineStr">
        <is>
          <t>SC</t>
        </is>
      </c>
      <c r="AI14" t="inlineStr">
        <is>
          <t>ITAJAI</t>
        </is>
      </c>
      <c r="AJ14" t="inlineStr">
        <is>
          <t>Comércio por atacado de pneumáticos e câmaras-de-ar</t>
        </is>
      </c>
      <c r="AK14" t="inlineStr">
        <is>
          <t>DEMAIS</t>
        </is>
      </c>
      <c r="AL14" t="inlineStr">
        <is>
          <t>ATIVA</t>
        </is>
      </c>
      <c r="AM14" s="17" t="inlineStr">
        <is>
          <t>https://lrflideres.com.br/wp-content/uploads/2022/08/4.-EDITAL-2a-LISTA-DE-CREDORES.pdf</t>
        </is>
      </c>
      <c r="AN14" s="18" t="inlineStr">
        <is>
          <t>p1 r10</t>
        </is>
      </c>
      <c r="AO14" s="18" t="inlineStr">
        <is>
          <t>p1: R$ 108.000,00</t>
        </is>
      </c>
      <c r="AP14" s="18" t="inlineStr">
        <is>
          <t>AJ_LIST</t>
        </is>
      </c>
      <c r="AQ14" s="18" t="inlineStr">
        <is>
          <t>2023-12-04</t>
        </is>
      </c>
      <c r="AR14" s="18" t="inlineStr">
        <is>
          <t>OK</t>
        </is>
      </c>
      <c r="AS14" s="18" t="inlineStr">
        <is>
          <t>ROWS:p1r10</t>
        </is>
      </c>
      <c r="AT14" s="18" t="inlineStr">
        <is>
          <t>1355f93a13cd</t>
        </is>
      </c>
    </row>
    <row r="15">
      <c r="A15" s="9" t="n">
        <v>14</v>
      </c>
      <c r="B15" s="9" t="inlineStr">
        <is>
          <t>NEW</t>
        </is>
      </c>
      <c r="C15" s="9" t="inlineStr"/>
      <c r="D15" s="9" t="n">
        <v>0</v>
      </c>
      <c r="E15" s="9" t="inlineStr"/>
      <c r="F15" s="9" t="inlineStr"/>
      <c r="G15" s="9" t="inlineStr"/>
      <c r="H15" s="9" t="inlineStr"/>
      <c r="I15" t="inlineStr">
        <is>
          <t>CAVALO MARINHO COMBUSTIVEIS PERNAMBUCO LTDA</t>
        </is>
      </c>
      <c r="J15" t="inlineStr">
        <is>
          <t>CAVALO MARINHO COMBUSTIVEIS PERNAMBUCO</t>
        </is>
      </c>
      <c r="K15" t="inlineStr">
        <is>
          <t>06974793</t>
        </is>
      </c>
      <c r="L15" t="inlineStr">
        <is>
          <t>06974793000126</t>
        </is>
      </c>
      <c r="M15" s="10" t="n">
        <v>107850</v>
      </c>
      <c r="N15" t="n">
        <v>1</v>
      </c>
      <c r="O15" s="11" t="inlineStr">
        <is>
          <t>UNKNOWN</t>
        </is>
      </c>
      <c r="P15" s="11" t="inlineStr"/>
      <c r="Q15" s="12" t="inlineStr"/>
      <c r="R15" s="11">
        <f>IF(Q15="","",ROUND((TODAY()-Q15)/365.25,1))</f>
        <v/>
      </c>
      <c r="S15" s="13">
        <f>VLOOKUP(O15,Assumptions!$A$7:$E$10,2,FALSE)</f>
        <v/>
      </c>
      <c r="T15" s="14">
        <f>MAX(0.5,VLOOKUP(O15,Assumptions!$A$7:$E$10,3,FALSE)+VLOOKUP(O15,Assumptions!$A$7:$E$10,4,FALSE)/2-IF(R15="",0,R15))</f>
        <v/>
      </c>
      <c r="U15" s="15">
        <f>M15*S15/(1+Assumptions!$B$3)^T15</f>
        <v/>
      </c>
      <c r="V15" s="11">
        <f>IF(M15=0,"",ROUND(U15/M15*100,1))</f>
        <v/>
      </c>
      <c r="W15" s="16">
        <f>U15*Assumptions!$B$4</f>
        <v/>
      </c>
      <c r="X15" s="11">
        <f>IF(M15=0,"",ROUND(W15/M15*100,1))</f>
        <v/>
      </c>
      <c r="Y15" t="inlineStr">
        <is>
          <t>DR. ALYSSON CORREIA MACIEL – OAB/PB 11.841, DRA. CAROL DE ALMEIDA LIMA</t>
        </is>
      </c>
      <c r="Z15" t="inlineStr">
        <is>
          <t>0804204-35.2022.8.15.0731</t>
        </is>
      </c>
      <c r="AA15" t="inlineStr"/>
      <c r="AB15" t="inlineStr">
        <is>
          <t>lrflideres.com.br</t>
        </is>
      </c>
      <c r="AC15" t="inlineStr">
        <is>
          <t>ARMANDO MONTEIRO DA FONSECA FILHO</t>
        </is>
      </c>
      <c r="AD15" t="inlineStr">
        <is>
          <t>Sócio-Administrador</t>
        </is>
      </c>
      <c r="AE15" t="inlineStr">
        <is>
          <t>(81) 3106-5102</t>
        </is>
      </c>
      <c r="AF15" t="inlineStr"/>
      <c r="AG15" t="inlineStr"/>
      <c r="AH15" t="inlineStr">
        <is>
          <t>PE</t>
        </is>
      </c>
      <c r="AI15" t="inlineStr">
        <is>
          <t>JABOATAO DOS GUARARAPES</t>
        </is>
      </c>
      <c r="AJ15" t="inlineStr">
        <is>
          <t>Comércio atacadista de combustíveis realizado por transportador retalhista (T.R.R.)</t>
        </is>
      </c>
      <c r="AK15" t="inlineStr">
        <is>
          <t>DEMAIS</t>
        </is>
      </c>
      <c r="AL15" t="inlineStr">
        <is>
          <t>ATIVA</t>
        </is>
      </c>
      <c r="AM15" s="17" t="inlineStr">
        <is>
          <t>https://lrflideres.com.br/wp-content/uploads/2022/08/4.-EDITAL-2a-LISTA-DE-CREDORES.pdf</t>
        </is>
      </c>
      <c r="AN15" s="18" t="inlineStr">
        <is>
          <t>p1 r8</t>
        </is>
      </c>
      <c r="AO15" s="18" t="inlineStr">
        <is>
          <t>p1: R$ 107.850,00</t>
        </is>
      </c>
      <c r="AP15" s="18" t="inlineStr">
        <is>
          <t>AJ_LIST</t>
        </is>
      </c>
      <c r="AQ15" s="18" t="inlineStr">
        <is>
          <t>2023-12-04</t>
        </is>
      </c>
      <c r="AR15" s="18" t="inlineStr">
        <is>
          <t>OK</t>
        </is>
      </c>
      <c r="AS15" s="18" t="inlineStr">
        <is>
          <t>ROWS:p1r8</t>
        </is>
      </c>
      <c r="AT15" s="18" t="inlineStr">
        <is>
          <t>1355f93a13cd</t>
        </is>
      </c>
    </row>
    <row r="16">
      <c r="A16" s="9" t="n">
        <v>15</v>
      </c>
      <c r="B16" s="9" t="inlineStr">
        <is>
          <t>NEW</t>
        </is>
      </c>
      <c r="C16" s="9" t="inlineStr"/>
      <c r="D16" s="9" t="n">
        <v>0</v>
      </c>
      <c r="E16" s="9" t="inlineStr"/>
      <c r="F16" s="9" t="inlineStr"/>
      <c r="G16" s="9" t="inlineStr"/>
      <c r="H16" s="9" t="inlineStr"/>
      <c r="I16" t="inlineStr">
        <is>
          <t>M.C. ARRUDA ADMINISTRADORA DE BENS S.A.</t>
        </is>
      </c>
      <c r="J16" t="inlineStr">
        <is>
          <t>M.C. ARRUDA ADMINISTRADORA DE BENS S.A</t>
        </is>
      </c>
      <c r="K16" t="inlineStr">
        <is>
          <t>14724478</t>
        </is>
      </c>
      <c r="L16" t="inlineStr">
        <is>
          <t>14724478000179</t>
        </is>
      </c>
      <c r="M16" s="10" t="n">
        <v>107500</v>
      </c>
      <c r="N16" t="n">
        <v>1</v>
      </c>
      <c r="O16" s="11" t="inlineStr">
        <is>
          <t>UNKNOWN</t>
        </is>
      </c>
      <c r="P16" s="11" t="inlineStr"/>
      <c r="Q16" s="12" t="inlineStr"/>
      <c r="R16" s="11">
        <f>IF(Q16="","",ROUND((TODAY()-Q16)/365.25,1))</f>
        <v/>
      </c>
      <c r="S16" s="13">
        <f>VLOOKUP(O16,Assumptions!$A$7:$E$10,2,FALSE)</f>
        <v/>
      </c>
      <c r="T16" s="14">
        <f>MAX(0.5,VLOOKUP(O16,Assumptions!$A$7:$E$10,3,FALSE)+VLOOKUP(O16,Assumptions!$A$7:$E$10,4,FALSE)/2-IF(R16="",0,R16))</f>
        <v/>
      </c>
      <c r="U16" s="15">
        <f>M16*S16/(1+Assumptions!$B$3)^T16</f>
        <v/>
      </c>
      <c r="V16" s="11">
        <f>IF(M16=0,"",ROUND(U16/M16*100,1))</f>
        <v/>
      </c>
      <c r="W16" s="16">
        <f>U16*Assumptions!$B$4</f>
        <v/>
      </c>
      <c r="X16" s="11">
        <f>IF(M16=0,"",ROUND(W16/M16*100,1))</f>
        <v/>
      </c>
      <c r="Y16" t="inlineStr">
        <is>
          <t>ARRUDA &amp; MELO COMERCIO E DISTRIBUICAO DE ALIMENTOS E BEBIDAS LTDA</t>
        </is>
      </c>
      <c r="Z16" t="inlineStr">
        <is>
          <t>0008526-45.2025.8.17.2001</t>
        </is>
      </c>
      <c r="AA16" t="inlineStr"/>
      <c r="AB16" t="inlineStr">
        <is>
          <t>diligence.adm.br</t>
        </is>
      </c>
      <c r="AC16" t="inlineStr">
        <is>
          <t>AMANDA MARILIA SALDANHA ARRUDA</t>
        </is>
      </c>
      <c r="AD16" t="inlineStr">
        <is>
          <t>Diretor</t>
        </is>
      </c>
      <c r="AE16" t="inlineStr">
        <is>
          <t>(81) 3314-2110</t>
        </is>
      </c>
      <c r="AF16" t="inlineStr"/>
      <c r="AG16" t="inlineStr"/>
      <c r="AH16" t="inlineStr">
        <is>
          <t>PE</t>
        </is>
      </c>
      <c r="AI16" t="inlineStr">
        <is>
          <t>RECIFE</t>
        </is>
      </c>
      <c r="AJ16" t="inlineStr">
        <is>
          <t>Gestão e administração da propriedade imobiliária</t>
        </is>
      </c>
      <c r="AK16" t="inlineStr">
        <is>
          <t>DEMAIS</t>
        </is>
      </c>
      <c r="AL16" t="inlineStr">
        <is>
          <t>ATIVA</t>
        </is>
      </c>
      <c r="AM16" s="17" t="inlineStr">
        <is>
          <t>https://diligence.adm.br/wp-content/uploads/2025/06/Edital-1a-Lista-de-Credores.pdf</t>
        </is>
      </c>
      <c r="AN16" s="18" t="inlineStr">
        <is>
          <t>p5 r57</t>
        </is>
      </c>
      <c r="AO16" s="18" t="inlineStr">
        <is>
          <t>p5: R$ 107.500,00</t>
        </is>
      </c>
      <c r="AP16" s="18" t="inlineStr">
        <is>
          <t>DEBTOR_LIST</t>
        </is>
      </c>
      <c r="AQ16" s="18" t="inlineStr">
        <is>
          <t>2025-06-10</t>
        </is>
      </c>
      <c r="AR16" s="18" t="inlineStr">
        <is>
          <t>OK</t>
        </is>
      </c>
      <c r="AS16" s="18" t="inlineStr">
        <is>
          <t>ROWS:p5r57</t>
        </is>
      </c>
      <c r="AT16" s="18" t="inlineStr">
        <is>
          <t>1658892fa167</t>
        </is>
      </c>
    </row>
    <row r="17">
      <c r="A17" s="9" t="n">
        <v>16</v>
      </c>
      <c r="B17" s="9" t="inlineStr">
        <is>
          <t>NEW</t>
        </is>
      </c>
      <c r="C17" s="9" t="inlineStr"/>
      <c r="D17" s="9" t="n">
        <v>0</v>
      </c>
      <c r="E17" s="9" t="inlineStr"/>
      <c r="F17" s="9" t="inlineStr"/>
      <c r="G17" s="9" t="inlineStr"/>
      <c r="H17" s="9" t="inlineStr"/>
      <c r="I17" t="inlineStr"/>
      <c r="J17" t="inlineStr">
        <is>
          <t>BANCO JHON DEERE S.A</t>
        </is>
      </c>
      <c r="K17" t="inlineStr">
        <is>
          <t>91884981</t>
        </is>
      </c>
      <c r="L17" t="inlineStr">
        <is>
          <t>91884981000132</t>
        </is>
      </c>
      <c r="M17" s="10" t="n">
        <v>103498.23</v>
      </c>
      <c r="N17" t="n">
        <v>1</v>
      </c>
      <c r="O17" s="11" t="inlineStr">
        <is>
          <t>UNKNOWN</t>
        </is>
      </c>
      <c r="P17" s="11" t="inlineStr"/>
      <c r="Q17" s="12" t="inlineStr"/>
      <c r="R17" s="11">
        <f>IF(Q17="","",ROUND((TODAY()-Q17)/365.25,1))</f>
        <v/>
      </c>
      <c r="S17" s="13">
        <f>VLOOKUP(O17,Assumptions!$A$7:$E$10,2,FALSE)</f>
        <v/>
      </c>
      <c r="T17" s="14">
        <f>MAX(0.5,VLOOKUP(O17,Assumptions!$A$7:$E$10,3,FALSE)+VLOOKUP(O17,Assumptions!$A$7:$E$10,4,FALSE)/2-IF(R17="",0,R17))</f>
        <v/>
      </c>
      <c r="U17" s="15">
        <f>M17*S17/(1+Assumptions!$B$3)^T17</f>
        <v/>
      </c>
      <c r="V17" s="11">
        <f>IF(M17=0,"",ROUND(U17/M17*100,1))</f>
        <v/>
      </c>
      <c r="W17" s="16">
        <f>U17*Assumptions!$B$4</f>
        <v/>
      </c>
      <c r="X17" s="11">
        <f>IF(M17=0,"",ROUND(W17/M17*100,1))</f>
        <v/>
      </c>
      <c r="Y17" t="inlineStr">
        <is>
          <t>SOJAL COMERCIAL AGRICOLA</t>
        </is>
      </c>
      <c r="Z17" t="inlineStr">
        <is>
          <t>0804401-51.2025.8.14.0039</t>
        </is>
      </c>
      <c r="AA17" t="inlineStr"/>
      <c r="AB17" t="inlineStr">
        <is>
          <t>lrflideres.com.br</t>
        </is>
      </c>
      <c r="AC17" t="inlineStr"/>
      <c r="AD17" t="inlineStr"/>
      <c r="AE17" t="inlineStr"/>
      <c r="AF17" t="inlineStr"/>
      <c r="AG17" t="inlineStr"/>
      <c r="AH17" t="inlineStr"/>
      <c r="AI17" t="inlineStr"/>
      <c r="AJ17" t="inlineStr"/>
      <c r="AK17" t="inlineStr"/>
      <c r="AL17" t="inlineStr"/>
      <c r="AM17" s="17" t="inlineStr">
        <is>
          <t>https://lrflideres.com.br/wp-content/plugins/download-attachments/includes/download.php?id=6879</t>
        </is>
      </c>
      <c r="AN17" s="18" t="inlineStr">
        <is>
          <t>p1 r6</t>
        </is>
      </c>
      <c r="AO17" s="18" t="inlineStr">
        <is>
          <t>p1: R$ 103.498,23</t>
        </is>
      </c>
      <c r="AP17" s="18" t="inlineStr">
        <is>
          <t>AJ_LIST</t>
        </is>
      </c>
      <c r="AQ17" s="18" t="inlineStr">
        <is>
          <t>2026-01-15</t>
        </is>
      </c>
      <c r="AR17" s="18" t="inlineStr">
        <is>
          <t>OK</t>
        </is>
      </c>
      <c r="AS17" s="18" t="inlineStr">
        <is>
          <t>ROWS:p1r6</t>
        </is>
      </c>
      <c r="AT17" s="18" t="inlineStr">
        <is>
          <t>c56751547323</t>
        </is>
      </c>
    </row>
    <row r="18">
      <c r="A18" s="9" t="n">
        <v>17</v>
      </c>
      <c r="B18" s="9" t="inlineStr">
        <is>
          <t>NEW</t>
        </is>
      </c>
      <c r="C18" s="9" t="inlineStr"/>
      <c r="D18" s="9" t="n">
        <v>0</v>
      </c>
      <c r="E18" s="9" t="inlineStr"/>
      <c r="F18" s="9" t="inlineStr"/>
      <c r="G18" s="9" t="inlineStr"/>
      <c r="H18" s="9" t="inlineStr"/>
      <c r="I18" t="inlineStr">
        <is>
          <t>PLANALTO COMERCIO DE COMBUSTIVEIS E LUBRIFICANTES LTDA</t>
        </is>
      </c>
      <c r="J18" t="inlineStr">
        <is>
          <t>PLANALTO COMERCIO DE COMBUSTIVEIS E LUBRIFICANTES LTDA</t>
        </is>
      </c>
      <c r="K18" t="inlineStr">
        <is>
          <t>14547859</t>
        </is>
      </c>
      <c r="L18" t="inlineStr">
        <is>
          <t>14547859000120</t>
        </is>
      </c>
      <c r="M18" s="10" t="n">
        <v>100000</v>
      </c>
      <c r="N18" t="n">
        <v>1</v>
      </c>
      <c r="O18" s="11" t="inlineStr">
        <is>
          <t>UNKNOWN</t>
        </is>
      </c>
      <c r="P18" s="11" t="inlineStr"/>
      <c r="Q18" s="12" t="inlineStr"/>
      <c r="R18" s="11">
        <f>IF(Q18="","",ROUND((TODAY()-Q18)/365.25,1))</f>
        <v/>
      </c>
      <c r="S18" s="13">
        <f>VLOOKUP(O18,Assumptions!$A$7:$E$10,2,FALSE)</f>
        <v/>
      </c>
      <c r="T18" s="14">
        <f>MAX(0.5,VLOOKUP(O18,Assumptions!$A$7:$E$10,3,FALSE)+VLOOKUP(O18,Assumptions!$A$7:$E$10,4,FALSE)/2-IF(R18="",0,R18))</f>
        <v/>
      </c>
      <c r="U18" s="15">
        <f>M18*S18/(1+Assumptions!$B$3)^T18</f>
        <v/>
      </c>
      <c r="V18" s="11">
        <f>IF(M18=0,"",ROUND(U18/M18*100,1))</f>
        <v/>
      </c>
      <c r="W18" s="16">
        <f>U18*Assumptions!$B$4</f>
        <v/>
      </c>
      <c r="X18" s="11">
        <f>IF(M18=0,"",ROUND(W18/M18*100,1))</f>
        <v/>
      </c>
      <c r="Y18" t="inlineStr">
        <is>
          <t>DR. ALYSSON CORREIA MACIEL – OAB/PB 11.841, DRA. CAROL DE ALMEIDA LIMA</t>
        </is>
      </c>
      <c r="Z18" t="inlineStr">
        <is>
          <t>0804204-35.2022.8.15.0731</t>
        </is>
      </c>
      <c r="AA18" t="inlineStr"/>
      <c r="AB18" t="inlineStr">
        <is>
          <t>lrflideres.com.br</t>
        </is>
      </c>
      <c r="AC18" t="inlineStr">
        <is>
          <t>ELIZABETH DA SILVA PONTES ROZENDO</t>
        </is>
      </c>
      <c r="AD18" t="inlineStr">
        <is>
          <t>Administrador</t>
        </is>
      </c>
      <c r="AE18" t="inlineStr">
        <is>
          <t>(83) 9984-3530</t>
        </is>
      </c>
      <c r="AF18" t="inlineStr">
        <is>
          <t>(83) 8783-8545</t>
        </is>
      </c>
      <c r="AG18" t="inlineStr"/>
      <c r="AH18" t="inlineStr">
        <is>
          <t>PB</t>
        </is>
      </c>
      <c r="AI18" t="inlineStr">
        <is>
          <t>SANTA RITA</t>
        </is>
      </c>
      <c r="AJ18" t="inlineStr">
        <is>
          <t>Comércio varejista de combustíveis para veículos automotores</t>
        </is>
      </c>
      <c r="AK18" t="inlineStr">
        <is>
          <t>DEMAIS</t>
        </is>
      </c>
      <c r="AL18" t="inlineStr">
        <is>
          <t>ATIVA</t>
        </is>
      </c>
      <c r="AM18" s="17" t="inlineStr">
        <is>
          <t>https://lrflideres.com.br/wp-content/uploads/2022/08/4.-EDITAL-2a-LISTA-DE-CREDORES.pdf</t>
        </is>
      </c>
      <c r="AN18" s="18" t="inlineStr">
        <is>
          <t>p2 r2</t>
        </is>
      </c>
      <c r="AO18" s="18" t="inlineStr">
        <is>
          <t>p2: R$ 100.000,00</t>
        </is>
      </c>
      <c r="AP18" s="18" t="inlineStr">
        <is>
          <t>AJ_LIST</t>
        </is>
      </c>
      <c r="AQ18" s="18" t="inlineStr">
        <is>
          <t>2023-12-04</t>
        </is>
      </c>
      <c r="AR18" s="18" t="inlineStr">
        <is>
          <t>OK</t>
        </is>
      </c>
      <c r="AS18" s="18" t="inlineStr">
        <is>
          <t>ROWS:p2r2</t>
        </is>
      </c>
      <c r="AT18" s="18" t="inlineStr">
        <is>
          <t>1355f93a13cd</t>
        </is>
      </c>
    </row>
  </sheetData>
  <autoFilter ref="A1:AT18"/>
  <dataValidations count="1">
    <dataValidation sqref="B2 B3 B4 B5 B6 B7 B8 B9 B10 B11 B12 B13 B14 B15 B16 B17 B18" showDropDown="0" showInputMessage="0" showErrorMessage="0" allowBlank="1" type="list">
      <formula1>"NEW,QUEUED,EMAILED,CALLED,VOICEMAIL,CONNECTED,INTERESTED,NOT INTERESTED,DEAD,DEAL"</formula1>
    </dataValidation>
  </dataValidations>
  <hyperlinks>
    <hyperlink xmlns:r="http://schemas.openxmlformats.org/officeDocument/2006/relationships" ref="AM2" r:id="rId1"/>
    <hyperlink xmlns:r="http://schemas.openxmlformats.org/officeDocument/2006/relationships" ref="AM3" r:id="rId2"/>
    <hyperlink xmlns:r="http://schemas.openxmlformats.org/officeDocument/2006/relationships" ref="AM4" r:id="rId3"/>
    <hyperlink xmlns:r="http://schemas.openxmlformats.org/officeDocument/2006/relationships" ref="AM5" r:id="rId4"/>
    <hyperlink xmlns:r="http://schemas.openxmlformats.org/officeDocument/2006/relationships" ref="AM6" r:id="rId5"/>
    <hyperlink xmlns:r="http://schemas.openxmlformats.org/officeDocument/2006/relationships" ref="AM7" r:id="rId6"/>
    <hyperlink xmlns:r="http://schemas.openxmlformats.org/officeDocument/2006/relationships" ref="AM8" r:id="rId7"/>
    <hyperlink xmlns:r="http://schemas.openxmlformats.org/officeDocument/2006/relationships" ref="AM9" r:id="rId8"/>
    <hyperlink xmlns:r="http://schemas.openxmlformats.org/officeDocument/2006/relationships" ref="AM10" r:id="rId9"/>
    <hyperlink xmlns:r="http://schemas.openxmlformats.org/officeDocument/2006/relationships" ref="AM11" r:id="rId10"/>
    <hyperlink xmlns:r="http://schemas.openxmlformats.org/officeDocument/2006/relationships" ref="AM12" r:id="rId11"/>
    <hyperlink xmlns:r="http://schemas.openxmlformats.org/officeDocument/2006/relationships" ref="AM13" r:id="rId12"/>
    <hyperlink xmlns:r="http://schemas.openxmlformats.org/officeDocument/2006/relationships" ref="AM14" r:id="rId13"/>
    <hyperlink xmlns:r="http://schemas.openxmlformats.org/officeDocument/2006/relationships" ref="AM15" r:id="rId14"/>
    <hyperlink xmlns:r="http://schemas.openxmlformats.org/officeDocument/2006/relationships" ref="AM16" r:id="rId15"/>
    <hyperlink xmlns:r="http://schemas.openxmlformats.org/officeDocument/2006/relationships" ref="AM17" r:id="rId16"/>
    <hyperlink xmlns:r="http://schemas.openxmlformats.org/officeDocument/2006/relationships" ref="AM18"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40" customWidth="1" min="3" max="3"/>
    <col width="26" customWidth="1" min="4" max="4"/>
    <col width="12" customWidth="1" min="5" max="5"/>
    <col width="14" customWidth="1" min="6" max="6"/>
    <col width="60" customWidth="1" min="7" max="7"/>
    <col width="12" customWidth="1" min="8" max="8"/>
    <col width="40" customWidth="1" min="9" max="9"/>
  </cols>
  <sheetData>
    <row r="1">
      <c r="A1" s="5" t="inlineStr">
        <is>
          <t>Name as printed</t>
        </is>
      </c>
      <c r="B1" s="5" t="inlineStr">
        <is>
          <t>Class III value (R$)</t>
        </is>
      </c>
      <c r="C1" s="5" t="inlineStr">
        <is>
          <t>Debtor</t>
        </is>
      </c>
      <c r="D1" s="5" t="inlineStr">
        <is>
          <t>Case number</t>
        </is>
      </c>
      <c r="E1" s="5" t="inlineStr">
        <is>
          <t>Which list</t>
        </is>
      </c>
      <c r="F1" s="5" t="inlineStr">
        <is>
          <t>Reconciled</t>
        </is>
      </c>
      <c r="G1" s="5" t="inlineStr">
        <is>
          <t>PROOF: source document</t>
        </is>
      </c>
      <c r="H1" s="5" t="inlineStr">
        <is>
          <t>Page / row</t>
        </is>
      </c>
      <c r="I1" s="5" t="inlineStr">
        <is>
          <t>Flags</t>
        </is>
      </c>
    </row>
    <row r="2">
      <c r="A2" t="inlineStr">
        <is>
          <t>IMOBILIARIA ROCHA LTDA</t>
        </is>
      </c>
      <c r="B2" s="10" t="n">
        <v>2698172.09</v>
      </c>
      <c r="C2" t="inlineStr">
        <is>
          <t>ABF ENGENHARIA, SERVIÇOS E COMÉRCIO LTDA – LRF Líderes em Recuperação Judicial e Falência</t>
        </is>
      </c>
      <c r="D2" t="inlineStr">
        <is>
          <t>0000742-29.2017.8.17.3090</t>
        </is>
      </c>
      <c r="E2" t="inlineStr">
        <is>
          <t>UNKNOWN</t>
        </is>
      </c>
      <c r="F2" t="inlineStr">
        <is>
          <t>OK_NO_TOTALS</t>
        </is>
      </c>
      <c r="G2" s="19" t="inlineStr">
        <is>
          <t>https://lrflideres.com.br/wp-content/plugins/download-attachments/includes/download.php?id=3469</t>
        </is>
      </c>
      <c r="H2" t="inlineStr">
        <is>
          <t>p11 r32</t>
        </is>
      </c>
      <c r="I2" t="inlineStr">
        <is>
          <t>NO_DOCUMENT ALT_VALUE:2.698.172,09</t>
        </is>
      </c>
    </row>
    <row r="3">
      <c r="A3" t="inlineStr">
        <is>
          <t>IMOBILIARIA ROCHA LTDA</t>
        </is>
      </c>
      <c r="B3" s="10" t="n">
        <v>2698172.09</v>
      </c>
      <c r="C3" t="inlineStr">
        <is>
          <t>ABF ENGENHARIA, SERVIÇOS E COMÉRCIO LTDA – LRF Líderes em Recuperação Judicial e Falência</t>
        </is>
      </c>
      <c r="D3" t="inlineStr">
        <is>
          <t>0000742-29.2017.8.17.3090</t>
        </is>
      </c>
      <c r="E3" t="inlineStr">
        <is>
          <t>UNKNOWN</t>
        </is>
      </c>
      <c r="F3" t="inlineStr">
        <is>
          <t>OK_NO_TOTALS</t>
        </is>
      </c>
      <c r="G3" s="19" t="inlineStr">
        <is>
          <t>https://lrflideres.com.br/wp-content/plugins/download-attachments/includes/download.php?id=3469</t>
        </is>
      </c>
      <c r="H3" t="inlineStr">
        <is>
          <t>p19 r32</t>
        </is>
      </c>
      <c r="I3" t="inlineStr">
        <is>
          <t>NO_DOCUMENT ALT_VALUE:2.698.172,09</t>
        </is>
      </c>
    </row>
    <row r="4">
      <c r="A4" t="inlineStr">
        <is>
          <t>INTER LOCAÇÕES LTDA.</t>
        </is>
      </c>
      <c r="B4" s="10" t="n">
        <v>857288.8199999999</v>
      </c>
      <c r="C4" t="inlineStr">
        <is>
          <t>ABF ENGENHARIA, SERVIÇOS E COMÉRCIO LTDA – LRF Líderes em Recuperação Judicial e Falência</t>
        </is>
      </c>
      <c r="D4" t="inlineStr">
        <is>
          <t>0000742-29.2017.8.17.3090</t>
        </is>
      </c>
      <c r="E4" t="inlineStr">
        <is>
          <t>UNKNOWN</t>
        </is>
      </c>
      <c r="F4" t="inlineStr">
        <is>
          <t>OK_NO_TOTALS</t>
        </is>
      </c>
      <c r="G4" s="19" t="inlineStr">
        <is>
          <t>https://lrflideres.com.br/wp-content/plugins/download-attachments/includes/download.php?id=3469</t>
        </is>
      </c>
      <c r="H4" t="inlineStr">
        <is>
          <t>p11 r35</t>
        </is>
      </c>
      <c r="I4" t="inlineStr">
        <is>
          <t>NO_DOCUMENT ALT_VALUE:857.288,82</t>
        </is>
      </c>
    </row>
    <row r="5">
      <c r="A5" t="inlineStr">
        <is>
          <t>INTER LOCAÇÕES LTDA.</t>
        </is>
      </c>
      <c r="B5" s="10" t="n">
        <v>857288.8199999999</v>
      </c>
      <c r="C5" t="inlineStr">
        <is>
          <t>ABF ENGENHARIA, SERVIÇOS E COMÉRCIO LTDA – LRF Líderes em Recuperação Judicial e Falência</t>
        </is>
      </c>
      <c r="D5" t="inlineStr">
        <is>
          <t>0000742-29.2017.8.17.3090</t>
        </is>
      </c>
      <c r="E5" t="inlineStr">
        <is>
          <t>UNKNOWN</t>
        </is>
      </c>
      <c r="F5" t="inlineStr">
        <is>
          <t>OK_NO_TOTALS</t>
        </is>
      </c>
      <c r="G5" s="19" t="inlineStr">
        <is>
          <t>https://lrflideres.com.br/wp-content/plugins/download-attachments/includes/download.php?id=3469</t>
        </is>
      </c>
      <c r="H5" t="inlineStr">
        <is>
          <t>p19 r35</t>
        </is>
      </c>
      <c r="I5" t="inlineStr">
        <is>
          <t>NO_DOCUMENT ALT_VALUE:857.288,82</t>
        </is>
      </c>
    </row>
    <row r="6">
      <c r="A6" t="inlineStr">
        <is>
          <t>AMERICA LOCACAO E SERVICOS LTDA</t>
        </is>
      </c>
      <c r="B6" s="10" t="n">
        <v>486100.94</v>
      </c>
      <c r="C6" t="inlineStr">
        <is>
          <t>ABF ENGENHARIA, SERVIÇOS E COMÉRCIO LTDA – LRF Líderes em Recuperação Judicial e Falência</t>
        </is>
      </c>
      <c r="D6" t="inlineStr">
        <is>
          <t>0000742-29.2017.8.17.3090</t>
        </is>
      </c>
      <c r="E6" t="inlineStr">
        <is>
          <t>UNKNOWN</t>
        </is>
      </c>
      <c r="F6" t="inlineStr">
        <is>
          <t>OK_NO_TOTALS</t>
        </is>
      </c>
      <c r="G6" s="19" t="inlineStr">
        <is>
          <t>https://lrflideres.com.br/wp-content/plugins/download-attachments/includes/download.php?id=3469</t>
        </is>
      </c>
      <c r="H6" t="inlineStr">
        <is>
          <t>p10 r7</t>
        </is>
      </c>
      <c r="I6" t="inlineStr">
        <is>
          <t>NO_DOCUMENT ALT_VALUE:486.100,94</t>
        </is>
      </c>
    </row>
    <row r="7">
      <c r="A7" t="inlineStr">
        <is>
          <t>AMERICA LOCACAO E SERVICOS LTDA</t>
        </is>
      </c>
      <c r="B7" s="10" t="n">
        <v>486100.94</v>
      </c>
      <c r="C7" t="inlineStr">
        <is>
          <t>ABF ENGENHARIA, SERVIÇOS E COMÉRCIO LTDA – LRF Líderes em Recuperação Judicial e Falência</t>
        </is>
      </c>
      <c r="D7" t="inlineStr">
        <is>
          <t>0000742-29.2017.8.17.3090</t>
        </is>
      </c>
      <c r="E7" t="inlineStr">
        <is>
          <t>UNKNOWN</t>
        </is>
      </c>
      <c r="F7" t="inlineStr">
        <is>
          <t>OK_NO_TOTALS</t>
        </is>
      </c>
      <c r="G7" s="19" t="inlineStr">
        <is>
          <t>https://lrflideres.com.br/wp-content/plugins/download-attachments/includes/download.php?id=3469</t>
        </is>
      </c>
      <c r="H7" t="inlineStr">
        <is>
          <t>p18 r7</t>
        </is>
      </c>
      <c r="I7" t="inlineStr">
        <is>
          <t>NO_DOCUMENT ALT_VALUE:486.100,94</t>
        </is>
      </c>
    </row>
    <row r="8">
      <c r="A8" t="inlineStr">
        <is>
          <t>TICKET SERVICOS S/A</t>
        </is>
      </c>
      <c r="B8" s="10" t="n">
        <v>444535.38</v>
      </c>
      <c r="C8" t="inlineStr">
        <is>
          <t>ABF ENGENHARIA, SERVIÇOS E COMÉRCIO LTDA – LRF Líderes em Recuperação Judicial e Falência</t>
        </is>
      </c>
      <c r="D8" t="inlineStr">
        <is>
          <t>0000742-29.2017.8.17.3090</t>
        </is>
      </c>
      <c r="E8" t="inlineStr">
        <is>
          <t>UNKNOWN</t>
        </is>
      </c>
      <c r="F8" t="inlineStr">
        <is>
          <t>OK_NO_TOTALS</t>
        </is>
      </c>
      <c r="G8" s="19" t="inlineStr">
        <is>
          <t>https://lrflideres.com.br/wp-content/plugins/download-attachments/includes/download.php?id=3469</t>
        </is>
      </c>
      <c r="H8" t="inlineStr">
        <is>
          <t>p13 r10</t>
        </is>
      </c>
      <c r="I8" t="inlineStr">
        <is>
          <t>NO_DOCUMENT ALT_VALUE:444.535,38</t>
        </is>
      </c>
    </row>
    <row r="9">
      <c r="A9" t="inlineStr">
        <is>
          <t>TICKET SERVICOS S/A</t>
        </is>
      </c>
      <c r="B9" s="10" t="n">
        <v>444535.38</v>
      </c>
      <c r="C9" t="inlineStr">
        <is>
          <t>ABF ENGENHARIA, SERVIÇOS E COMÉRCIO LTDA – LRF Líderes em Recuperação Judicial e Falência</t>
        </is>
      </c>
      <c r="D9" t="inlineStr">
        <is>
          <t>0000742-29.2017.8.17.3090</t>
        </is>
      </c>
      <c r="E9" t="inlineStr">
        <is>
          <t>UNKNOWN</t>
        </is>
      </c>
      <c r="F9" t="inlineStr">
        <is>
          <t>OK_NO_TOTALS</t>
        </is>
      </c>
      <c r="G9" s="19" t="inlineStr">
        <is>
          <t>https://lrflideres.com.br/wp-content/plugins/download-attachments/includes/download.php?id=3469</t>
        </is>
      </c>
      <c r="H9" t="inlineStr">
        <is>
          <t>p21 r10</t>
        </is>
      </c>
      <c r="I9" t="inlineStr">
        <is>
          <t>NO_DOCUMENT ALT_VALUE:444.535,38</t>
        </is>
      </c>
    </row>
    <row r="10">
      <c r="A10" t="inlineStr">
        <is>
          <t>ACQUA PLAN ESTUDOS, PROJETOS E CONSULTORIA</t>
        </is>
      </c>
      <c r="B10" s="10" t="n">
        <v>341525</v>
      </c>
      <c r="C10" t="inlineStr">
        <is>
          <t>ABF ENGENHARIA, SERVIÇOS E COMÉRCIO LTDA – LRF Líderes em Recuperação Judicial e Falência</t>
        </is>
      </c>
      <c r="D10" t="inlineStr">
        <is>
          <t>0000742-29.2017.8.17.3090</t>
        </is>
      </c>
      <c r="E10" t="inlineStr">
        <is>
          <t>UNKNOWN</t>
        </is>
      </c>
      <c r="F10" t="inlineStr">
        <is>
          <t>OK_NO_TOTALS</t>
        </is>
      </c>
      <c r="G10" s="19" t="inlineStr">
        <is>
          <t>https://lrflideres.com.br/wp-content/plugins/download-attachments/includes/download.php?id=3469</t>
        </is>
      </c>
      <c r="H10" t="inlineStr">
        <is>
          <t>p10 r3</t>
        </is>
      </c>
      <c r="I10" t="inlineStr">
        <is>
          <t>NO_DOCUMENT ALT_VALUE:341.525,00</t>
        </is>
      </c>
    </row>
    <row r="11">
      <c r="A11" t="inlineStr">
        <is>
          <t>ACQUA PLAN ESTUDOS, PROJETOS E CONSULTORIA</t>
        </is>
      </c>
      <c r="B11" s="10" t="n">
        <v>341525</v>
      </c>
      <c r="C11" t="inlineStr">
        <is>
          <t>ABF ENGENHARIA, SERVIÇOS E COMÉRCIO LTDA – LRF Líderes em Recuperação Judicial e Falência</t>
        </is>
      </c>
      <c r="D11" t="inlineStr">
        <is>
          <t>0000742-29.2017.8.17.3090</t>
        </is>
      </c>
      <c r="E11" t="inlineStr">
        <is>
          <t>UNKNOWN</t>
        </is>
      </c>
      <c r="F11" t="inlineStr">
        <is>
          <t>OK_NO_TOTALS</t>
        </is>
      </c>
      <c r="G11" s="19" t="inlineStr">
        <is>
          <t>https://lrflideres.com.br/wp-content/plugins/download-attachments/includes/download.php?id=3469</t>
        </is>
      </c>
      <c r="H11" t="inlineStr">
        <is>
          <t>p18 r3</t>
        </is>
      </c>
      <c r="I11" t="inlineStr">
        <is>
          <t>NO_DOCUMENT ALT_VALUE:341.525,00</t>
        </is>
      </c>
    </row>
    <row r="12">
      <c r="A12" t="inlineStr">
        <is>
          <t>MARQUISE ENGENHARIA LTDA</t>
        </is>
      </c>
      <c r="B12" s="10" t="n">
        <v>339686.42</v>
      </c>
      <c r="C12" t="inlineStr">
        <is>
          <t>ABF ENGENHARIA, SERVIÇOS E COMÉRCIO LTDA – LRF Líderes em Recuperação Judicial e Falência</t>
        </is>
      </c>
      <c r="D12" t="inlineStr">
        <is>
          <t>0000742-29.2017.8.17.3090</t>
        </is>
      </c>
      <c r="E12" t="inlineStr">
        <is>
          <t>UNKNOWN</t>
        </is>
      </c>
      <c r="F12" t="inlineStr">
        <is>
          <t>OK_NO_TOTALS</t>
        </is>
      </c>
      <c r="G12" s="19" t="inlineStr">
        <is>
          <t>https://lrflideres.com.br/wp-content/plugins/download-attachments/includes/download.php?id=3469</t>
        </is>
      </c>
      <c r="H12" t="inlineStr">
        <is>
          <t>p12 r3</t>
        </is>
      </c>
      <c r="I12" t="inlineStr">
        <is>
          <t>NO_DOCUMENT ALT_VALUE:339.686,42</t>
        </is>
      </c>
    </row>
    <row r="13">
      <c r="A13" t="inlineStr">
        <is>
          <t>MARQUISE ENGENHARIA LTDA</t>
        </is>
      </c>
      <c r="B13" s="10" t="n">
        <v>339686.42</v>
      </c>
      <c r="C13" t="inlineStr">
        <is>
          <t>ABF ENGENHARIA, SERVIÇOS E COMÉRCIO LTDA – LRF Líderes em Recuperação Judicial e Falência</t>
        </is>
      </c>
      <c r="D13" t="inlineStr">
        <is>
          <t>0000742-29.2017.8.17.3090</t>
        </is>
      </c>
      <c r="E13" t="inlineStr">
        <is>
          <t>UNKNOWN</t>
        </is>
      </c>
      <c r="F13" t="inlineStr">
        <is>
          <t>OK_NO_TOTALS</t>
        </is>
      </c>
      <c r="G13" s="19" t="inlineStr">
        <is>
          <t>https://lrflideres.com.br/wp-content/plugins/download-attachments/includes/download.php?id=3469</t>
        </is>
      </c>
      <c r="H13" t="inlineStr">
        <is>
          <t>p20 r3</t>
        </is>
      </c>
      <c r="I13" t="inlineStr">
        <is>
          <t>NO_DOCUMENT ALT_VALUE:339.686,42</t>
        </is>
      </c>
    </row>
    <row r="14">
      <c r="A14" t="inlineStr">
        <is>
          <t>BANCO DO NORDESTE DO BRASIL S.A.</t>
        </is>
      </c>
      <c r="B14" s="10" t="n">
        <v>326904.46</v>
      </c>
      <c r="C14" t="inlineStr">
        <is>
          <t>ABF ENGENHARIA, SERVIÇOS E COMÉRCIO LTDA – LRF Líderes em Recuperação Judicial e Falência</t>
        </is>
      </c>
      <c r="D14" t="inlineStr">
        <is>
          <t>0000742-29.2017.8.17.3090</t>
        </is>
      </c>
      <c r="E14" t="inlineStr">
        <is>
          <t>UNKNOWN</t>
        </is>
      </c>
      <c r="F14" t="inlineStr">
        <is>
          <t>OK_NO_TOTALS</t>
        </is>
      </c>
      <c r="G14" s="19" t="inlineStr">
        <is>
          <t>https://lrflideres.com.br/wp-content/plugins/download-attachments/includes/download.php?id=3469</t>
        </is>
      </c>
      <c r="H14" t="inlineStr">
        <is>
          <t>p10 r24</t>
        </is>
      </c>
      <c r="I14" t="inlineStr">
        <is>
          <t>NO_DOCUMENT ALT_VALUE:260.527,86</t>
        </is>
      </c>
    </row>
    <row r="15">
      <c r="A15" t="inlineStr">
        <is>
          <t>BANCO DO NORDESTE DO BRASIL S.A.</t>
        </is>
      </c>
      <c r="B15" s="10" t="n">
        <v>326904.46</v>
      </c>
      <c r="C15" t="inlineStr">
        <is>
          <t>ABF ENGENHARIA, SERVIÇOS E COMÉRCIO LTDA – LRF Líderes em Recuperação Judicial e Falência</t>
        </is>
      </c>
      <c r="D15" t="inlineStr">
        <is>
          <t>0000742-29.2017.8.17.3090</t>
        </is>
      </c>
      <c r="E15" t="inlineStr">
        <is>
          <t>UNKNOWN</t>
        </is>
      </c>
      <c r="F15" t="inlineStr">
        <is>
          <t>OK_NO_TOTALS</t>
        </is>
      </c>
      <c r="G15" s="19" t="inlineStr">
        <is>
          <t>https://lrflideres.com.br/wp-content/plugins/download-attachments/includes/download.php?id=3469</t>
        </is>
      </c>
      <c r="H15" t="inlineStr">
        <is>
          <t>p18 r24</t>
        </is>
      </c>
      <c r="I15" t="inlineStr">
        <is>
          <t>NO_DOCUMENT ALT_VALUE:260.527,86</t>
        </is>
      </c>
    </row>
    <row r="16">
      <c r="A16" t="inlineStr">
        <is>
          <t>TECNOSENG - TECNOLOGIA SERVICOS E ENGENHARIA LTDA</t>
        </is>
      </c>
      <c r="B16" s="10" t="n">
        <v>269551.79</v>
      </c>
      <c r="C16" t="inlineStr">
        <is>
          <t>ABF ENGENHARIA, SERVIÇOS E COMÉRCIO LTDA – LRF Líderes em Recuperação Judicial e Falência</t>
        </is>
      </c>
      <c r="D16" t="inlineStr">
        <is>
          <t>0000742-29.2017.8.17.3090</t>
        </is>
      </c>
      <c r="E16" t="inlineStr">
        <is>
          <t>UNKNOWN</t>
        </is>
      </c>
      <c r="F16" t="inlineStr">
        <is>
          <t>OK_NO_TOTALS</t>
        </is>
      </c>
      <c r="G16" s="19" t="inlineStr">
        <is>
          <t>https://lrflideres.com.br/wp-content/plugins/download-attachments/includes/download.php?id=3469</t>
        </is>
      </c>
      <c r="H16" t="inlineStr">
        <is>
          <t>p13 r4</t>
        </is>
      </c>
      <c r="I16" t="inlineStr">
        <is>
          <t>NO_DOCUMENT ALT_VALUE:269.551,79</t>
        </is>
      </c>
    </row>
    <row r="17">
      <c r="A17" t="inlineStr">
        <is>
          <t>TECNOSENG - TECNOLOGIA SERVICOS E ENGENHARIA LTDA</t>
        </is>
      </c>
      <c r="B17" s="10" t="n">
        <v>269551.79</v>
      </c>
      <c r="C17" t="inlineStr">
        <is>
          <t>ABF ENGENHARIA, SERVIÇOS E COMÉRCIO LTDA – LRF Líderes em Recuperação Judicial e Falência</t>
        </is>
      </c>
      <c r="D17" t="inlineStr">
        <is>
          <t>0000742-29.2017.8.17.3090</t>
        </is>
      </c>
      <c r="E17" t="inlineStr">
        <is>
          <t>UNKNOWN</t>
        </is>
      </c>
      <c r="F17" t="inlineStr">
        <is>
          <t>OK_NO_TOTALS</t>
        </is>
      </c>
      <c r="G17" s="19" t="inlineStr">
        <is>
          <t>https://lrflideres.com.br/wp-content/plugins/download-attachments/includes/download.php?id=3469</t>
        </is>
      </c>
      <c r="H17" t="inlineStr">
        <is>
          <t>p21 r4</t>
        </is>
      </c>
      <c r="I17" t="inlineStr">
        <is>
          <t>NO_DOCUMENT ALT_VALUE:269.551,79</t>
        </is>
      </c>
    </row>
    <row r="18">
      <c r="A18" t="inlineStr">
        <is>
          <t>RANKING LOCACAO E SERVICOS LTDA</t>
        </is>
      </c>
      <c r="B18" s="10" t="n">
        <v>226470.39</v>
      </c>
      <c r="C18" t="inlineStr">
        <is>
          <t>ABF ENGENHARIA, SERVIÇOS E COMÉRCIO LTDA – LRF Líderes em Recuperação Judicial e Falência</t>
        </is>
      </c>
      <c r="D18" t="inlineStr">
        <is>
          <t>0000742-29.2017.8.17.3090</t>
        </is>
      </c>
      <c r="E18" t="inlineStr">
        <is>
          <t>UNKNOWN</t>
        </is>
      </c>
      <c r="F18" t="inlineStr">
        <is>
          <t>OK_NO_TOTALS</t>
        </is>
      </c>
      <c r="G18" s="19" t="inlineStr">
        <is>
          <t>https://lrflideres.com.br/wp-content/plugins/download-attachments/includes/download.php?id=3469</t>
        </is>
      </c>
      <c r="H18" t="inlineStr">
        <is>
          <t>p12 r25</t>
        </is>
      </c>
      <c r="I18" t="inlineStr">
        <is>
          <t>NO_DOCUMENT ALT_VALUE:226.470,39</t>
        </is>
      </c>
    </row>
    <row r="19">
      <c r="A19" t="inlineStr">
        <is>
          <t>RANKING LOCACAO E SERVICOS LTDA</t>
        </is>
      </c>
      <c r="B19" s="10" t="n">
        <v>226470.39</v>
      </c>
      <c r="C19" t="inlineStr">
        <is>
          <t>ABF ENGENHARIA, SERVIÇOS E COMÉRCIO LTDA – LRF Líderes em Recuperação Judicial e Falência</t>
        </is>
      </c>
      <c r="D19" t="inlineStr">
        <is>
          <t>0000742-29.2017.8.17.3090</t>
        </is>
      </c>
      <c r="E19" t="inlineStr">
        <is>
          <t>UNKNOWN</t>
        </is>
      </c>
      <c r="F19" t="inlineStr">
        <is>
          <t>OK_NO_TOTALS</t>
        </is>
      </c>
      <c r="G19" s="19" t="inlineStr">
        <is>
          <t>https://lrflideres.com.br/wp-content/plugins/download-attachments/includes/download.php?id=3469</t>
        </is>
      </c>
      <c r="H19" t="inlineStr">
        <is>
          <t>p20 r25</t>
        </is>
      </c>
      <c r="I19" t="inlineStr">
        <is>
          <t>NO_DOCUMENT ALT_VALUE:226.470,39</t>
        </is>
      </c>
    </row>
    <row r="20">
      <c r="A20" t="inlineStr">
        <is>
          <t>ARCAN ENGENHARIA LTDA</t>
        </is>
      </c>
      <c r="B20" s="10" t="n">
        <v>210536.58</v>
      </c>
      <c r="C20" t="inlineStr">
        <is>
          <t>ABF ENGENHARIA, SERVIÇOS E COMÉRCIO LTDA – LRF Líderes em Recuperação Judicial e Falência</t>
        </is>
      </c>
      <c r="D20" t="inlineStr">
        <is>
          <t>0000742-29.2017.8.17.3090</t>
        </is>
      </c>
      <c r="E20" t="inlineStr">
        <is>
          <t>UNKNOWN</t>
        </is>
      </c>
      <c r="F20" t="inlineStr">
        <is>
          <t>OK_NO_TOTALS</t>
        </is>
      </c>
      <c r="G20" s="19" t="inlineStr">
        <is>
          <t>https://lrflideres.com.br/wp-content/plugins/download-attachments/includes/download.php?id=3469</t>
        </is>
      </c>
      <c r="H20" t="inlineStr">
        <is>
          <t>p10 r11</t>
        </is>
      </c>
      <c r="I20" t="inlineStr">
        <is>
          <t>NO_DOCUMENT ALT_VALUE:210.536,58</t>
        </is>
      </c>
    </row>
    <row r="21">
      <c r="A21" t="inlineStr">
        <is>
          <t>ARCAN ENGENHARIA LTDA</t>
        </is>
      </c>
      <c r="B21" s="10" t="n">
        <v>210536.58</v>
      </c>
      <c r="C21" t="inlineStr">
        <is>
          <t>ABF ENGENHARIA, SERVIÇOS E COMÉRCIO LTDA – LRF Líderes em Recuperação Judicial e Falência</t>
        </is>
      </c>
      <c r="D21" t="inlineStr">
        <is>
          <t>0000742-29.2017.8.17.3090</t>
        </is>
      </c>
      <c r="E21" t="inlineStr">
        <is>
          <t>UNKNOWN</t>
        </is>
      </c>
      <c r="F21" t="inlineStr">
        <is>
          <t>OK_NO_TOTALS</t>
        </is>
      </c>
      <c r="G21" s="19" t="inlineStr">
        <is>
          <t>https://lrflideres.com.br/wp-content/plugins/download-attachments/includes/download.php?id=3469</t>
        </is>
      </c>
      <c r="H21" t="inlineStr">
        <is>
          <t>p18 r11</t>
        </is>
      </c>
      <c r="I21" t="inlineStr">
        <is>
          <t>NO_DOCUMENT ALT_VALUE:210.536,58</t>
        </is>
      </c>
    </row>
    <row r="22">
      <c r="A22" t="inlineStr">
        <is>
          <t>5003832-33.2020.8.13.0481, MM. Juiz Walney Alves Diniz</t>
        </is>
      </c>
      <c r="B22" s="10" t="n">
        <v>120756000</v>
      </c>
      <c r="C22" t="inlineStr">
        <is>
          <t>e na falência</t>
        </is>
      </c>
      <c r="D22" t="inlineStr">
        <is>
          <t>5315944-66.2023.8.13.0024</t>
        </is>
      </c>
      <c r="E22" t="inlineStr">
        <is>
          <t>QGC</t>
        </is>
      </c>
      <c r="F22" t="inlineStr">
        <is>
          <t>OK_NO_TOTALS</t>
        </is>
      </c>
      <c r="G22" s="19" t="inlineStr">
        <is>
          <t>https://3fmodas.madgav.com.br/wp-content/uploads/2025/05/Quadro-Geral-de-Credores.pdf</t>
        </is>
      </c>
      <c r="H22" t="inlineStr">
        <is>
          <t>p11 r1</t>
        </is>
      </c>
      <c r="I22" t="inlineStr">
        <is>
          <t>NO_DOCUMENT</t>
        </is>
      </c>
    </row>
    <row r="23">
      <c r="A23" t="inlineStr">
        <is>
          <t>63996-89.2011, Des. Ricardo Negrão</t>
        </is>
      </c>
      <c r="B23" s="10" t="n">
        <v>10679861</v>
      </c>
      <c r="C23" t="inlineStr">
        <is>
          <t>e na falência</t>
        </is>
      </c>
      <c r="D23" t="inlineStr">
        <is>
          <t>5315944-66.2023.8.13.0024</t>
        </is>
      </c>
      <c r="E23" t="inlineStr">
        <is>
          <t>QGC</t>
        </is>
      </c>
      <c r="F23" t="inlineStr">
        <is>
          <t>OK_NO_TOTALS</t>
        </is>
      </c>
      <c r="G23" s="19" t="inlineStr">
        <is>
          <t>https://3fmodas.madgav.com.br/wp-content/uploads/2025/05/Quadro-Geral-de-Credores.pdf</t>
        </is>
      </c>
      <c r="H23" t="inlineStr">
        <is>
          <t>p10 r2</t>
        </is>
      </c>
      <c r="I23" t="inlineStr">
        <is>
          <t>NO_DOCUMENT</t>
        </is>
      </c>
    </row>
    <row r="24">
      <c r="A24" t="inlineStr">
        <is>
          <t>2120425-37.2014, Des. Tasso Duarte de Melo 573241-04.2010, Des. Pereira Calças</t>
        </is>
      </c>
      <c r="B24" s="10" t="n">
        <v>9080756.85</v>
      </c>
      <c r="C24" t="inlineStr">
        <is>
          <t>e na falência</t>
        </is>
      </c>
      <c r="D24" t="inlineStr">
        <is>
          <t>5315944-66.2023.8.13.0024</t>
        </is>
      </c>
      <c r="E24" t="inlineStr">
        <is>
          <t>QGC</t>
        </is>
      </c>
      <c r="F24" t="inlineStr">
        <is>
          <t>OK_NO_TOTALS</t>
        </is>
      </c>
      <c r="G24" s="19" t="inlineStr">
        <is>
          <t>https://3fmodas.madgav.com.br/wp-content/uploads/2025/05/Quadro-Geral-de-Credores.pdf</t>
        </is>
      </c>
      <c r="H24" t="inlineStr">
        <is>
          <t>p10 r1</t>
        </is>
      </c>
      <c r="I24" t="inlineStr">
        <is>
          <t>NO_DOCUMENT</t>
        </is>
      </c>
    </row>
    <row r="25">
      <c r="A25" t="inlineStr">
        <is>
          <t>5003689-63.2020.8.13.0701, MM. Juíza Raquel Agreli Melo</t>
        </is>
      </c>
      <c r="B25" s="10" t="n">
        <v>4537554.16</v>
      </c>
      <c r="C25" t="inlineStr">
        <is>
          <t>e na falência</t>
        </is>
      </c>
      <c r="D25" t="inlineStr">
        <is>
          <t>5315944-66.2023.8.13.0024</t>
        </is>
      </c>
      <c r="E25" t="inlineStr">
        <is>
          <t>QGC</t>
        </is>
      </c>
      <c r="F25" t="inlineStr">
        <is>
          <t>OK_NO_TOTALS</t>
        </is>
      </c>
      <c r="G25" s="19" t="inlineStr">
        <is>
          <t>https://3fmodas.madgav.com.br/wp-content/uploads/2025/05/Quadro-Geral-de-Credores.pdf</t>
        </is>
      </c>
      <c r="H25" t="inlineStr">
        <is>
          <t>p11 r3</t>
        </is>
      </c>
      <c r="I25" t="inlineStr">
        <is>
          <t>NO_DOCUMENT</t>
        </is>
      </c>
    </row>
    <row r="26">
      <c r="A26" t="inlineStr">
        <is>
          <t>II. Assim, nas condições</t>
        </is>
      </c>
      <c r="B26" s="10" t="n">
        <v>1092397.07</v>
      </c>
      <c r="C26" t="inlineStr">
        <is>
          <t>e na falência</t>
        </is>
      </c>
      <c r="D26" t="inlineStr">
        <is>
          <t>5315944-66.2023.8.13.0024</t>
        </is>
      </c>
      <c r="E26" t="inlineStr">
        <is>
          <t>QGC</t>
        </is>
      </c>
      <c r="F26" t="inlineStr">
        <is>
          <t>OK_NO_TOTALS</t>
        </is>
      </c>
      <c r="G26" s="19" t="inlineStr">
        <is>
          <t>https://3fmodas.madgav.com.br/wp-content/uploads/2025/05/Quadro-Geral-de-Credores.pdf</t>
        </is>
      </c>
      <c r="H26" t="inlineStr">
        <is>
          <t>p9 r2</t>
        </is>
      </c>
      <c r="I26" t="inlineStr">
        <is>
          <t>NO_DOCUMENT</t>
        </is>
      </c>
    </row>
    <row r="27">
      <c r="A27" t="inlineStr">
        <is>
          <t>5001043-66.2015.8.13.0245, MM. Juiz Rogério Santos Araújo Abreu</t>
        </is>
      </c>
      <c r="B27" s="10" t="n">
        <v>1054440.22</v>
      </c>
      <c r="C27" t="inlineStr">
        <is>
          <t>e na falência</t>
        </is>
      </c>
      <c r="D27" t="inlineStr">
        <is>
          <t>5315944-66.2023.8.13.0024</t>
        </is>
      </c>
      <c r="E27" t="inlineStr">
        <is>
          <t>QGC</t>
        </is>
      </c>
      <c r="F27" t="inlineStr">
        <is>
          <t>OK_NO_TOTALS</t>
        </is>
      </c>
      <c r="G27" s="19" t="inlineStr">
        <is>
          <t>https://3fmodas.madgav.com.br/wp-content/uploads/2025/05/Quadro-Geral-de-Credores.pdf</t>
        </is>
      </c>
      <c r="H27" t="inlineStr">
        <is>
          <t>p11 r2</t>
        </is>
      </c>
      <c r="I27" t="inlineStr">
        <is>
          <t>NO_DOCUMENT</t>
        </is>
      </c>
    </row>
    <row r="28">
      <c r="A28" t="inlineStr">
        <is>
          <t>ALUTECH ALUMINIO TECNOLOGIA LTDA</t>
        </is>
      </c>
      <c r="B28" s="10" t="n">
        <v>13956683.87</v>
      </c>
      <c r="C28" t="inlineStr">
        <is>
          <t>SOCIEDADE RECICLYN COMERCIO E INDÚSTRIA DE METAIS LTDA</t>
        </is>
      </c>
      <c r="D28" t="inlineStr">
        <is>
          <t>0022066-39.2018.8.19.0001</t>
        </is>
      </c>
      <c r="E28" t="inlineStr">
        <is>
          <t>QGC</t>
        </is>
      </c>
      <c r="F28" t="inlineStr">
        <is>
          <t>OK</t>
        </is>
      </c>
      <c r="G28" s="19" t="inlineStr">
        <is>
          <t>https://inova-aj.com.br/wp-content/uploads/2021/08/Reciclyn-Quadro-Geral-de-Credores.xlsx.pdf</t>
        </is>
      </c>
      <c r="H28" t="inlineStr">
        <is>
          <t>p1 r5</t>
        </is>
      </c>
      <c r="I28" t="inlineStr">
        <is>
          <t>NO_DOCUMENT</t>
        </is>
      </c>
    </row>
    <row r="29">
      <c r="A29" t="inlineStr">
        <is>
          <t>DEPÓSITO DE METAIS SANJOENENSE LTDA</t>
        </is>
      </c>
      <c r="B29" s="10" t="n">
        <v>8115768.34</v>
      </c>
      <c r="C29" t="inlineStr">
        <is>
          <t>SOCIEDADE RECICLYN COMERCIO E INDÚSTRIA DE METAIS LTDA</t>
        </is>
      </c>
      <c r="D29" t="inlineStr">
        <is>
          <t>0022066-39.2018.8.19.0001</t>
        </is>
      </c>
      <c r="E29" t="inlineStr">
        <is>
          <t>QGC</t>
        </is>
      </c>
      <c r="F29" t="inlineStr">
        <is>
          <t>OK</t>
        </is>
      </c>
      <c r="G29" s="19" t="inlineStr">
        <is>
          <t>https://inova-aj.com.br/wp-content/uploads/2021/08/Reciclyn-Quadro-Geral-de-Credores.xlsx.pdf</t>
        </is>
      </c>
      <c r="H29" t="inlineStr">
        <is>
          <t>p1 r16</t>
        </is>
      </c>
      <c r="I29" t="inlineStr">
        <is>
          <t>NO_DOCUMENT</t>
        </is>
      </c>
    </row>
    <row r="30">
      <c r="A30" t="inlineStr">
        <is>
          <t>CMES COMERCIO DE METÁIS E LOGÍSTICA DO ESTADO DO ESPÍRITO SANTO LTDA</t>
        </is>
      </c>
      <c r="B30" s="10" t="n">
        <v>6174959</v>
      </c>
      <c r="C30" t="inlineStr">
        <is>
          <t>SOCIEDADE RECICLYN COMERCIO E INDÚSTRIA DE METAIS LTDA</t>
        </is>
      </c>
      <c r="D30" t="inlineStr">
        <is>
          <t>0022066-39.2018.8.19.0001</t>
        </is>
      </c>
      <c r="E30" t="inlineStr">
        <is>
          <t>QGC</t>
        </is>
      </c>
      <c r="F30" t="inlineStr">
        <is>
          <t>OK</t>
        </is>
      </c>
      <c r="G30" s="19" t="inlineStr">
        <is>
          <t>https://inova-aj.com.br/wp-content/uploads/2021/08/Reciclyn-Quadro-Geral-de-Credores.xlsx.pdf</t>
        </is>
      </c>
      <c r="H30" t="inlineStr">
        <is>
          <t>p1 r7</t>
        </is>
      </c>
      <c r="I30" t="inlineStr">
        <is>
          <t>NO_DOCUMENT</t>
        </is>
      </c>
    </row>
    <row r="31">
      <c r="A31" t="inlineStr">
        <is>
          <t>CMMG COMÉRCIO DE METAIS LTDA</t>
        </is>
      </c>
      <c r="B31" s="10" t="n">
        <v>4838400</v>
      </c>
      <c r="C31" t="inlineStr">
        <is>
          <t>SOCIEDADE RECICLYN COMERCIO E INDÚSTRIA DE METAIS LTDA</t>
        </is>
      </c>
      <c r="D31" t="inlineStr">
        <is>
          <t>0022066-39.2018.8.19.0001</t>
        </is>
      </c>
      <c r="E31" t="inlineStr">
        <is>
          <t>QGC</t>
        </is>
      </c>
      <c r="F31" t="inlineStr">
        <is>
          <t>OK</t>
        </is>
      </c>
      <c r="G31" s="19" t="inlineStr">
        <is>
          <t>https://inova-aj.com.br/wp-content/uploads/2021/08/Reciclyn-Quadro-Geral-de-Credores.xlsx.pdf</t>
        </is>
      </c>
      <c r="H31" t="inlineStr">
        <is>
          <t>p1 r8</t>
        </is>
      </c>
      <c r="I31" t="inlineStr">
        <is>
          <t>NO_DOCUMENT</t>
        </is>
      </c>
    </row>
    <row r="32">
      <c r="A32" t="inlineStr">
        <is>
          <t>RIO RECIBRÁS COMÉRCIO DE METÁIS RECICLÁVEIS LTDA</t>
        </is>
      </c>
      <c r="B32" s="10" t="n">
        <v>4134624.06</v>
      </c>
      <c r="C32" t="inlineStr">
        <is>
          <t>SOCIEDADE RECICLYN COMERCIO E INDÚSTRIA DE METAIS LTDA</t>
        </is>
      </c>
      <c r="D32" t="inlineStr">
        <is>
          <t>0022066-39.2018.8.19.0001</t>
        </is>
      </c>
      <c r="E32" t="inlineStr">
        <is>
          <t>QGC</t>
        </is>
      </c>
      <c r="F32" t="inlineStr">
        <is>
          <t>OK</t>
        </is>
      </c>
      <c r="G32" s="19" t="inlineStr">
        <is>
          <t>https://inova-aj.com.br/wp-content/uploads/2021/08/Reciclyn-Quadro-Geral-de-Credores.xlsx.pdf</t>
        </is>
      </c>
      <c r="H32" t="inlineStr">
        <is>
          <t>p1 r15</t>
        </is>
      </c>
      <c r="I32" t="inlineStr">
        <is>
          <t>NO_DOCUMENT</t>
        </is>
      </c>
    </row>
    <row r="33">
      <c r="A33" t="inlineStr">
        <is>
          <t>PPX INDÚSTRIA E COMÉRCIO DE ALUMÍNIO LTDA</t>
        </is>
      </c>
      <c r="B33" s="10" t="n">
        <v>3343839.98</v>
      </c>
      <c r="C33" t="inlineStr">
        <is>
          <t>SOCIEDADE RECICLYN COMERCIO E INDÚSTRIA DE METAIS LTDA</t>
        </is>
      </c>
      <c r="D33" t="inlineStr">
        <is>
          <t>0022066-39.2018.8.19.0001</t>
        </is>
      </c>
      <c r="E33" t="inlineStr">
        <is>
          <t>QGC</t>
        </is>
      </c>
      <c r="F33" t="inlineStr">
        <is>
          <t>OK</t>
        </is>
      </c>
      <c r="G33" s="19" t="inlineStr">
        <is>
          <t>https://inova-aj.com.br/wp-content/uploads/2021/08/Reciclyn-Quadro-Geral-de-Credores.xlsx.pdf</t>
        </is>
      </c>
      <c r="H33" t="inlineStr">
        <is>
          <t>p1 r14</t>
        </is>
      </c>
      <c r="I33" t="inlineStr">
        <is>
          <t>NO_DOCUMENT</t>
        </is>
      </c>
    </row>
    <row r="34">
      <c r="A34" t="inlineStr">
        <is>
          <t>CMSP COMÉRCIO DE METAIS LTDA</t>
        </is>
      </c>
      <c r="B34" s="10" t="n">
        <v>3066675.09</v>
      </c>
      <c r="C34" t="inlineStr">
        <is>
          <t>SOCIEDADE RECICLYN COMERCIO E INDÚSTRIA DE METAIS LTDA</t>
        </is>
      </c>
      <c r="D34" t="inlineStr">
        <is>
          <t>0022066-39.2018.8.19.0001</t>
        </is>
      </c>
      <c r="E34" t="inlineStr">
        <is>
          <t>QGC</t>
        </is>
      </c>
      <c r="F34" t="inlineStr">
        <is>
          <t>OK</t>
        </is>
      </c>
      <c r="G34" s="19" t="inlineStr">
        <is>
          <t>https://inova-aj.com.br/wp-content/uploads/2021/08/Reciclyn-Quadro-Geral-de-Credores.xlsx.pdf</t>
        </is>
      </c>
      <c r="H34" t="inlineStr">
        <is>
          <t>p1 r9</t>
        </is>
      </c>
      <c r="I34" t="inlineStr">
        <is>
          <t>NO_DOCUMENT</t>
        </is>
      </c>
    </row>
    <row r="35">
      <c r="A35" t="inlineStr">
        <is>
          <t>GUARANTÃ COMÉRCIO DE METAIS NÃO FERROSOS LTDA</t>
        </is>
      </c>
      <c r="B35" s="10" t="n">
        <v>2696882.5</v>
      </c>
      <c r="C35" t="inlineStr">
        <is>
          <t>SOCIEDADE RECICLYN COMERCIO E INDÚSTRIA DE METAIS LTDA</t>
        </is>
      </c>
      <c r="D35" t="inlineStr">
        <is>
          <t>0022066-39.2018.8.19.0001</t>
        </is>
      </c>
      <c r="E35" t="inlineStr">
        <is>
          <t>QGC</t>
        </is>
      </c>
      <c r="F35" t="inlineStr">
        <is>
          <t>OK</t>
        </is>
      </c>
      <c r="G35" s="19" t="inlineStr">
        <is>
          <t>https://inova-aj.com.br/wp-content/uploads/2021/08/Reciclyn-Quadro-Geral-de-Credores.xlsx.pdf</t>
        </is>
      </c>
      <c r="H35" t="inlineStr">
        <is>
          <t>p1 r11</t>
        </is>
      </c>
      <c r="I35" t="inlineStr">
        <is>
          <t>NO_DOCUMENT</t>
        </is>
      </c>
    </row>
    <row r="36">
      <c r="A36" t="inlineStr">
        <is>
          <t>MEXTRA ENGENHARIA EXTRATIVISTA DE METAIS EIRELI</t>
        </is>
      </c>
      <c r="B36" s="10" t="n">
        <v>1545779.6</v>
      </c>
      <c r="C36" t="inlineStr">
        <is>
          <t>SOCIEDADE RECICLYN COMERCIO E INDÚSTRIA DE METAIS LTDA</t>
        </is>
      </c>
      <c r="D36" t="inlineStr">
        <is>
          <t>0022066-39.2018.8.19.0001</t>
        </is>
      </c>
      <c r="E36" t="inlineStr">
        <is>
          <t>QGC</t>
        </is>
      </c>
      <c r="F36" t="inlineStr">
        <is>
          <t>OK</t>
        </is>
      </c>
      <c r="G36" s="19" t="inlineStr">
        <is>
          <t>https://inova-aj.com.br/wp-content/uploads/2021/08/Reciclyn-Quadro-Geral-de-Credores.xlsx.pdf</t>
        </is>
      </c>
      <c r="H36" t="inlineStr">
        <is>
          <t>p1 r12</t>
        </is>
      </c>
      <c r="I36" t="inlineStr">
        <is>
          <t>NO_DOCUMENT</t>
        </is>
      </c>
    </row>
    <row r="37">
      <c r="A37" t="inlineStr">
        <is>
          <t>CAPIUBA IMPORTADORA, EXPORTADORA E COMÉRCIO LTDA</t>
        </is>
      </c>
      <c r="B37" s="10" t="n">
        <v>980500</v>
      </c>
      <c r="C37" t="inlineStr">
        <is>
          <t>SOCIEDADE RECICLYN COMERCIO E INDÚSTRIA DE METAIS LTDA</t>
        </is>
      </c>
      <c r="D37" t="inlineStr">
        <is>
          <t>0022066-39.2018.8.19.0001</t>
        </is>
      </c>
      <c r="E37" t="inlineStr">
        <is>
          <t>QGC</t>
        </is>
      </c>
      <c r="F37" t="inlineStr">
        <is>
          <t>OK</t>
        </is>
      </c>
      <c r="G37" s="19" t="inlineStr">
        <is>
          <t>https://inova-aj.com.br/wp-content/uploads/2021/08/Reciclyn-Quadro-Geral-de-Credores.xlsx.pdf</t>
        </is>
      </c>
      <c r="H37" t="inlineStr">
        <is>
          <t>p1 r6</t>
        </is>
      </c>
      <c r="I37" t="inlineStr">
        <is>
          <t>NO_DOCUMENT</t>
        </is>
      </c>
    </row>
    <row r="38">
      <c r="A38" t="inlineStr">
        <is>
          <t>COMPANHIA FEDERAL DE FUNDIÇÃO</t>
        </is>
      </c>
      <c r="B38" s="10" t="n">
        <v>956190</v>
      </c>
      <c r="C38" t="inlineStr">
        <is>
          <t>SOCIEDADE RECICLYN COMERCIO E INDÚSTRIA DE METAIS LTDA</t>
        </is>
      </c>
      <c r="D38" t="inlineStr">
        <is>
          <t>0022066-39.2018.8.19.0001</t>
        </is>
      </c>
      <c r="E38" t="inlineStr">
        <is>
          <t>QGC</t>
        </is>
      </c>
      <c r="F38" t="inlineStr">
        <is>
          <t>OK</t>
        </is>
      </c>
      <c r="G38" s="19" t="inlineStr">
        <is>
          <t>https://inova-aj.com.br/wp-content/uploads/2021/08/Reciclyn-Quadro-Geral-de-Credores.xlsx.pdf</t>
        </is>
      </c>
      <c r="H38" t="inlineStr">
        <is>
          <t>p1 r10</t>
        </is>
      </c>
      <c r="I38" t="inlineStr">
        <is>
          <t>NO_DOCUMENT</t>
        </is>
      </c>
    </row>
    <row r="39">
      <c r="A39" t="inlineStr">
        <is>
          <t>NEWPET INDÚSTRIA E COMERCIO DE PLÁSTICOS</t>
        </is>
      </c>
      <c r="B39" s="10" t="n">
        <v>845021.51</v>
      </c>
      <c r="C39" t="inlineStr">
        <is>
          <t>SOCIEDADE RECICLYN COMERCIO E INDÚSTRIA DE METAIS LTDA</t>
        </is>
      </c>
      <c r="D39" t="inlineStr">
        <is>
          <t>0022066-39.2018.8.19.0001</t>
        </is>
      </c>
      <c r="E39" t="inlineStr">
        <is>
          <t>QGC</t>
        </is>
      </c>
      <c r="F39" t="inlineStr">
        <is>
          <t>OK</t>
        </is>
      </c>
      <c r="G39" s="19" t="inlineStr">
        <is>
          <t>https://inova-aj.com.br/wp-content/uploads/2021/08/Reciclyn-Quadro-Geral-de-Credores.xlsx.pdf</t>
        </is>
      </c>
      <c r="H39" t="inlineStr">
        <is>
          <t>p1 r13</t>
        </is>
      </c>
      <c r="I39" t="inlineStr">
        <is>
          <t>NO_DOCUMENT</t>
        </is>
      </c>
    </row>
    <row r="40">
      <c r="A40" t="inlineStr">
        <is>
          <t>Banco do Brasil</t>
        </is>
      </c>
      <c r="B40" s="10" t="n">
        <v>2406789.63</v>
      </c>
      <c r="C40" t="inlineStr">
        <is>
          <t>e Falência</t>
        </is>
      </c>
      <c r="D40" t="inlineStr">
        <is>
          <t>0003283-70.2015.8.17.2810</t>
        </is>
      </c>
      <c r="E40" t="inlineStr">
        <is>
          <t>UNKNOWN</t>
        </is>
      </c>
      <c r="F40" t="inlineStr">
        <is>
          <t>OK_NO_TOTALS</t>
        </is>
      </c>
      <c r="G40" s="19" t="inlineStr">
        <is>
          <t>https://lrflideres.com.br/wp-content/uploads/2021/09/LISTA-DE-CREDORES-FALENCIA.pdf</t>
        </is>
      </c>
      <c r="H40" t="inlineStr">
        <is>
          <t>p9 r6</t>
        </is>
      </c>
      <c r="I40" t="inlineStr">
        <is>
          <t>NO_DOCUMENT</t>
        </is>
      </c>
    </row>
    <row r="41">
      <c r="A41" t="inlineStr">
        <is>
          <t>Caixa Economica Federal</t>
        </is>
      </c>
      <c r="B41" s="10" t="n">
        <v>1931764.67</v>
      </c>
      <c r="C41" t="inlineStr">
        <is>
          <t>e Falência</t>
        </is>
      </c>
      <c r="D41" t="inlineStr">
        <is>
          <t>0003283-70.2015.8.17.2810</t>
        </is>
      </c>
      <c r="E41" t="inlineStr">
        <is>
          <t>UNKNOWN</t>
        </is>
      </c>
      <c r="F41" t="inlineStr">
        <is>
          <t>OK_NO_TOTALS</t>
        </is>
      </c>
      <c r="G41" s="19" t="inlineStr">
        <is>
          <t>https://lrflideres.com.br/wp-content/uploads/2021/09/LISTA-DE-CREDORES-FALENCIA.pdf</t>
        </is>
      </c>
      <c r="H41" t="inlineStr">
        <is>
          <t>p9 r7</t>
        </is>
      </c>
      <c r="I41" t="inlineStr">
        <is>
          <t>NO_DOCUMENT</t>
        </is>
      </c>
    </row>
    <row r="42">
      <c r="A42" t="inlineStr">
        <is>
          <t>Itau Unibanco S.a</t>
        </is>
      </c>
      <c r="B42" s="10" t="n">
        <v>1351841.79</v>
      </c>
      <c r="C42" t="inlineStr">
        <is>
          <t>e Falência</t>
        </is>
      </c>
      <c r="D42" t="inlineStr">
        <is>
          <t>0003283-70.2015.8.17.2810</t>
        </is>
      </c>
      <c r="E42" t="inlineStr">
        <is>
          <t>UNKNOWN</t>
        </is>
      </c>
      <c r="F42" t="inlineStr">
        <is>
          <t>OK_NO_TOTALS</t>
        </is>
      </c>
      <c r="G42" s="19" t="inlineStr">
        <is>
          <t>https://lrflideres.com.br/wp-content/uploads/2021/09/LISTA-DE-CREDORES-FALENCIA.pdf</t>
        </is>
      </c>
      <c r="H42" t="inlineStr">
        <is>
          <t>p9 r23</t>
        </is>
      </c>
      <c r="I42" t="inlineStr">
        <is>
          <t>NO_DOCUMENT</t>
        </is>
      </c>
    </row>
    <row r="43">
      <c r="A43" t="inlineStr">
        <is>
          <t>Hsbc Bank Brasil S/A</t>
        </is>
      </c>
      <c r="B43" s="10" t="n">
        <v>663042.34</v>
      </c>
      <c r="C43" t="inlineStr">
        <is>
          <t>e Falência</t>
        </is>
      </c>
      <c r="D43" t="inlineStr">
        <is>
          <t>0003283-70.2015.8.17.2810</t>
        </is>
      </c>
      <c r="E43" t="inlineStr">
        <is>
          <t>UNKNOWN</t>
        </is>
      </c>
      <c r="F43" t="inlineStr">
        <is>
          <t>OK_NO_TOTALS</t>
        </is>
      </c>
      <c r="G43" s="19" t="inlineStr">
        <is>
          <t>https://lrflideres.com.br/wp-content/uploads/2021/09/LISTA-DE-CREDORES-FALENCIA.pdf</t>
        </is>
      </c>
      <c r="H43" t="inlineStr">
        <is>
          <t>p9 r20</t>
        </is>
      </c>
      <c r="I43" t="inlineStr">
        <is>
          <t>NO_DOCUMENT</t>
        </is>
      </c>
    </row>
    <row r="44">
      <c r="A44" t="inlineStr">
        <is>
          <t>Imobiliaria CM Ltda</t>
        </is>
      </c>
      <c r="B44" s="10" t="n">
        <v>379898.08</v>
      </c>
      <c r="C44" t="inlineStr">
        <is>
          <t>e Falência</t>
        </is>
      </c>
      <c r="D44" t="inlineStr">
        <is>
          <t>0003283-70.2015.8.17.2810</t>
        </is>
      </c>
      <c r="E44" t="inlineStr">
        <is>
          <t>UNKNOWN</t>
        </is>
      </c>
      <c r="F44" t="inlineStr">
        <is>
          <t>OK_NO_TOTALS</t>
        </is>
      </c>
      <c r="G44" s="19" t="inlineStr">
        <is>
          <t>https://lrflideres.com.br/wp-content/uploads/2021/09/LISTA-DE-CREDORES-FALENCIA.pdf</t>
        </is>
      </c>
      <c r="H44" t="inlineStr">
        <is>
          <t>p9 r21</t>
        </is>
      </c>
      <c r="I44" t="inlineStr">
        <is>
          <t>NO_DOCUMENT</t>
        </is>
      </c>
    </row>
    <row r="45">
      <c r="A45" t="inlineStr">
        <is>
          <t>Emami Participacoes S.a</t>
        </is>
      </c>
      <c r="B45" s="10" t="n">
        <v>264190.34</v>
      </c>
      <c r="C45" t="inlineStr">
        <is>
          <t>e Falência</t>
        </is>
      </c>
      <c r="D45" t="inlineStr">
        <is>
          <t>0003283-70.2015.8.17.2810</t>
        </is>
      </c>
      <c r="E45" t="inlineStr">
        <is>
          <t>UNKNOWN</t>
        </is>
      </c>
      <c r="F45" t="inlineStr">
        <is>
          <t>OK_NO_TOTALS</t>
        </is>
      </c>
      <c r="G45" s="19" t="inlineStr">
        <is>
          <t>https://lrflideres.com.br/wp-content/uploads/2021/09/LISTA-DE-CREDORES-FALENCIA.pdf</t>
        </is>
      </c>
      <c r="H45" t="inlineStr">
        <is>
          <t>p9 r14</t>
        </is>
      </c>
      <c r="I45" t="inlineStr">
        <is>
          <t>NO_DOCUMENT</t>
        </is>
      </c>
    </row>
    <row r="46">
      <c r="A46" t="inlineStr">
        <is>
          <t>Tacaruna Participacoes e Empreendimentos Ltda</t>
        </is>
      </c>
      <c r="B46" s="10" t="n">
        <v>220519.5</v>
      </c>
      <c r="C46" t="inlineStr">
        <is>
          <t>e Falência</t>
        </is>
      </c>
      <c r="D46" t="inlineStr">
        <is>
          <t>0003283-70.2015.8.17.2810</t>
        </is>
      </c>
      <c r="E46" t="inlineStr">
        <is>
          <t>UNKNOWN</t>
        </is>
      </c>
      <c r="F46" t="inlineStr">
        <is>
          <t>OK_NO_TOTALS</t>
        </is>
      </c>
      <c r="G46" s="19" t="inlineStr">
        <is>
          <t>https://lrflideres.com.br/wp-content/uploads/2021/09/LISTA-DE-CREDORES-FALENCIA.pdf</t>
        </is>
      </c>
      <c r="H46" t="inlineStr">
        <is>
          <t>p10 r5</t>
        </is>
      </c>
      <c r="I46" t="inlineStr">
        <is>
          <t>NO_DOCUMENT</t>
        </is>
      </c>
    </row>
  </sheetData>
  <autoFilter ref="A1:I4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2" customWidth="1" min="3" max="3"/>
    <col width="14" customWidth="1" min="4" max="4"/>
    <col width="7" customWidth="1" min="5" max="5"/>
    <col width="10" customWidth="1" min="6" max="6"/>
    <col width="14" customWidth="1" min="7" max="7"/>
    <col width="60" customWidth="1" min="8" max="8"/>
    <col width="12" customWidth="1" min="9" max="9"/>
    <col width="40" customWidth="1" min="10" max="10"/>
    <col width="26" customWidth="1" min="11" max="11"/>
    <col width="70" customWidth="1" min="12" max="12"/>
  </cols>
  <sheetData>
    <row r="1">
      <c r="A1" s="5" t="inlineStr">
        <is>
          <t>Doc id</t>
        </is>
      </c>
      <c r="B1" s="5" t="inlineStr">
        <is>
          <t>Case number</t>
        </is>
      </c>
      <c r="C1" s="5" t="inlineStr">
        <is>
          <t>Type</t>
        </is>
      </c>
      <c r="D1" s="5" t="inlineStr">
        <is>
          <t>Status</t>
        </is>
      </c>
      <c r="E1" s="5" t="inlineStr">
        <is>
          <t>Pages</t>
        </is>
      </c>
      <c r="F1" s="5" t="inlineStr">
        <is>
          <t>Strategy</t>
        </is>
      </c>
      <c r="G1" s="5" t="inlineStr">
        <is>
          <t>Layout</t>
        </is>
      </c>
      <c r="H1" s="5" t="inlineStr">
        <is>
          <t>Reconcile checks</t>
        </is>
      </c>
      <c r="I1" s="5" t="inlineStr">
        <is>
          <t>Published</t>
        </is>
      </c>
      <c r="J1" s="5" t="inlineStr">
        <is>
          <t>Debtor (hint)</t>
        </is>
      </c>
      <c r="K1" s="5" t="inlineStr">
        <is>
          <t>Administrator</t>
        </is>
      </c>
      <c r="L1" s="5" t="inlineStr">
        <is>
          <t>URL</t>
        </is>
      </c>
    </row>
    <row r="2">
      <c r="A2" t="inlineStr">
        <is>
          <t>9e27c1a81224</t>
        </is>
      </c>
      <c r="B2" t="inlineStr">
        <is>
          <t>0001217-89.2020.8.16.0185</t>
        </is>
      </c>
      <c r="C2" t="inlineStr">
        <is>
          <t>AJ_LIST</t>
        </is>
      </c>
      <c r="D2" t="inlineStr">
        <is>
          <t>NO_ROWS</t>
        </is>
      </c>
      <c r="E2" t="n">
        <v>3</v>
      </c>
      <c r="F2" t="inlineStr">
        <is>
          <t>TABLE</t>
        </is>
      </c>
      <c r="G2" t="inlineStr">
        <is>
          <t>TABLE_BANDS</t>
        </is>
      </c>
      <c r="H2" t="inlineStr"/>
      <c r="I2" t="inlineStr">
        <is>
          <t>2017-08-25</t>
        </is>
      </c>
      <c r="J2" t="inlineStr">
        <is>
          <t>que lhe possibilitará replanejar o perfil de seus compromissos e sa</t>
        </is>
      </c>
      <c r="K2" t="inlineStr">
        <is>
          <t>credibilita.com.br</t>
        </is>
      </c>
      <c r="L2" s="19" t="inlineStr">
        <is>
          <t>https://credibilita.com.br/wp-content/uploads/2023/08/0046Sentencarecup.judicial.pdf</t>
        </is>
      </c>
    </row>
    <row r="3">
      <c r="A3" t="inlineStr">
        <is>
          <t>958a9351a970</t>
        </is>
      </c>
      <c r="B3" t="inlineStr">
        <is>
          <t>0818837-44.2021.8.15.0001</t>
        </is>
      </c>
      <c r="C3" t="inlineStr">
        <is>
          <t>AJ_LIST</t>
        </is>
      </c>
      <c r="D3" t="inlineStr">
        <is>
          <t>NO_ROWS</t>
        </is>
      </c>
      <c r="E3" t="n">
        <v>2</v>
      </c>
      <c r="F3" t="inlineStr">
        <is>
          <t>PROSE</t>
        </is>
      </c>
      <c r="G3" t="inlineStr">
        <is>
          <t>PROSE</t>
        </is>
      </c>
      <c r="H3" t="inlineStr"/>
      <c r="I3" t="inlineStr">
        <is>
          <t>2024-08-05</t>
        </is>
      </c>
      <c r="J3" t="inlineStr">
        <is>
          <t>convolada em Falência</t>
        </is>
      </c>
      <c r="K3" t="inlineStr">
        <is>
          <t>lrflideres.com.br</t>
        </is>
      </c>
      <c r="L3" s="19" t="inlineStr">
        <is>
          <t>https://lrflideres.com.br/wp-content/uploads/2021/12/10.-EDITAL-PUBLICACAO-2a-RELACAO-DE-CREDORES-MASSA-FALIDA-.pdf</t>
        </is>
      </c>
    </row>
    <row r="4">
      <c r="A4" t="inlineStr">
        <is>
          <t>0a24cd833119</t>
        </is>
      </c>
      <c r="B4" t="inlineStr">
        <is>
          <t>0808677-83.2017.8.18.0140</t>
        </is>
      </c>
      <c r="C4" t="inlineStr">
        <is>
          <t>AJ_LIST</t>
        </is>
      </c>
      <c r="D4" t="inlineStr">
        <is>
          <t>NO_ROWS</t>
        </is>
      </c>
      <c r="E4" t="n">
        <v>2</v>
      </c>
      <c r="F4" t="inlineStr">
        <is>
          <t>TABLE</t>
        </is>
      </c>
      <c r="G4" t="inlineStr">
        <is>
          <t>TABLE_BANDS</t>
        </is>
      </c>
      <c r="H4" t="inlineStr"/>
      <c r="I4" t="inlineStr">
        <is>
          <t>2019-11-08</t>
        </is>
      </c>
      <c r="J4" t="inlineStr">
        <is>
          <t>empresa</t>
        </is>
      </c>
      <c r="K4" t="inlineStr">
        <is>
          <t>recuperacaojudicial.servi-san.com.br</t>
        </is>
      </c>
      <c r="L4" s="19" t="inlineStr">
        <is>
          <t>https://recuperacaojudicial.servi-san.com.br/assets/Documentos/Processuais/PROC-10.pdf</t>
        </is>
      </c>
    </row>
    <row r="5">
      <c r="A5" t="inlineStr">
        <is>
          <t>8420efd56f55</t>
        </is>
      </c>
      <c r="B5" t="inlineStr">
        <is>
          <t>1102669-23.2014.8.26.0100</t>
        </is>
      </c>
      <c r="C5" t="inlineStr">
        <is>
          <t>QGC</t>
        </is>
      </c>
      <c r="D5" t="inlineStr">
        <is>
          <t>NO_ROWS</t>
        </is>
      </c>
      <c r="E5" t="n">
        <v>2</v>
      </c>
      <c r="F5" t="inlineStr">
        <is>
          <t>TABLE</t>
        </is>
      </c>
      <c r="G5" t="inlineStr">
        <is>
          <t>TABLE_BANDS</t>
        </is>
      </c>
      <c r="H5" t="inlineStr"/>
      <c r="I5" t="inlineStr">
        <is>
          <t>2020-09-24</t>
        </is>
      </c>
      <c r="J5" t="inlineStr">
        <is>
          <t>e Falência</t>
        </is>
      </c>
      <c r="K5" t="inlineStr">
        <is>
          <t>brasiltrustee.com.br</t>
        </is>
      </c>
      <c r="L5" s="19" t="inlineStr">
        <is>
          <t>https://brasiltrustee.com.br/wp-content/uploads/falencias/gran/Gran-Industria-Certidao-de-publicacao-do-edital-de-encerramento-da-falencia.pdf</t>
        </is>
      </c>
    </row>
    <row r="6">
      <c r="A6" t="inlineStr">
        <is>
          <t>561af3a175ea</t>
        </is>
      </c>
      <c r="B6" t="inlineStr">
        <is>
          <t>0074372-48.1999.8.26.0100</t>
        </is>
      </c>
      <c r="C6" t="inlineStr">
        <is>
          <t>QGC</t>
        </is>
      </c>
      <c r="D6" t="inlineStr">
        <is>
          <t>NO_ROWS</t>
        </is>
      </c>
      <c r="E6" t="n">
        <v>2</v>
      </c>
      <c r="F6" t="inlineStr">
        <is>
          <t>TABLE</t>
        </is>
      </c>
      <c r="G6" t="inlineStr">
        <is>
          <t>TABLE_BANDS</t>
        </is>
      </c>
      <c r="H6" t="inlineStr"/>
      <c r="I6" t="inlineStr">
        <is>
          <t>2024-11-19</t>
        </is>
      </c>
      <c r="J6" t="inlineStr">
        <is>
          <t>de Massa</t>
        </is>
      </c>
      <c r="K6" t="inlineStr">
        <is>
          <t>gatekeeperaj.com.br</t>
        </is>
      </c>
      <c r="L6" s="19" t="inlineStr">
        <is>
          <t>https://gatekeeperaj.com.br/wp-content/uploads/2025/03/BULLGUER-EDITAL-DE-CONVOCACAO-DE-CREDORES-PARA-APRESENTACAO-DE-DADOSBANCARIOS-DIRETAMENTE-AS-RECUPERANDAS.pdf</t>
        </is>
      </c>
    </row>
    <row r="7">
      <c r="A7" t="inlineStr">
        <is>
          <t>e0941a59d43d</t>
        </is>
      </c>
      <c r="C7" t="inlineStr">
        <is>
          <t>UNKNOWN</t>
        </is>
      </c>
      <c r="D7" t="inlineStr">
        <is>
          <t>NO_TEXT_LAYER</t>
        </is>
      </c>
      <c r="E7" t="n">
        <v>10</v>
      </c>
      <c r="F7" t="inlineStr">
        <is>
          <t>NONE</t>
        </is>
      </c>
      <c r="G7" t="inlineStr"/>
      <c r="H7" t="inlineStr"/>
      <c r="K7" t="inlineStr">
        <is>
          <t>diligence.adm.br</t>
        </is>
      </c>
      <c r="L7" s="19" t="inlineStr">
        <is>
          <t>https://diligence.adm.br/wp-content/plugins/download-attachments/includes/download.php?id=4294</t>
        </is>
      </c>
    </row>
    <row r="8">
      <c r="A8" t="inlineStr">
        <is>
          <t>6a92d74da333</t>
        </is>
      </c>
      <c r="C8" t="inlineStr">
        <is>
          <t>AJ_LIST</t>
        </is>
      </c>
      <c r="D8" t="inlineStr">
        <is>
          <t>OK</t>
        </is>
      </c>
      <c r="E8" t="n">
        <v>4</v>
      </c>
      <c r="F8" t="inlineStr">
        <is>
          <t>TABLE</t>
        </is>
      </c>
      <c r="G8" t="inlineStr">
        <is>
          <t>TABLE_RULED</t>
        </is>
      </c>
      <c r="H8" t="inlineStr">
        <is>
          <t>I/BRL#s0: PASS Δ0.00 · III/BRL#s1: PASS Δ0.00 · IV/BRL#s2: PASS Δ0.00</t>
        </is>
      </c>
      <c r="K8" t="inlineStr">
        <is>
          <t>bernardobicalho.com.br</t>
        </is>
      </c>
      <c r="L8" s="19" t="inlineStr">
        <is>
          <t>http://bernardobicalho.com.br/login/app/documents/Rela%C3%A7%C3%A3o%20de%20Credores/6.%20RVC-%20Nutricium%20-%20simplificada.pdf</t>
        </is>
      </c>
    </row>
    <row r="9">
      <c r="A9" t="inlineStr">
        <is>
          <t>47e92e4db6f8</t>
        </is>
      </c>
      <c r="B9" t="inlineStr">
        <is>
          <t>0829315-43.2023.8.15.0001</t>
        </is>
      </c>
      <c r="C9" t="inlineStr">
        <is>
          <t>AJ_LIST</t>
        </is>
      </c>
      <c r="D9" t="inlineStr">
        <is>
          <t>OK</t>
        </is>
      </c>
      <c r="E9" t="n">
        <v>3</v>
      </c>
      <c r="F9" t="inlineStr">
        <is>
          <t>PROSE</t>
        </is>
      </c>
      <c r="G9" t="inlineStr">
        <is>
          <t>PROSE</t>
        </is>
      </c>
      <c r="H9" t="inlineStr">
        <is>
          <t>I/BRL#s1: PASS Δ0.00 · III/BRL#s2: PASS Δ0.00</t>
        </is>
      </c>
      <c r="I9" t="inlineStr">
        <is>
          <t>2024-04-18</t>
        </is>
      </c>
      <c r="K9" t="inlineStr">
        <is>
          <t>lrflideres.com.br</t>
        </is>
      </c>
      <c r="L9" s="19" t="inlineStr">
        <is>
          <t>https://lrflideres.com.br/wp-content/plugins/download-attachments/includes/download.php?id=5828</t>
        </is>
      </c>
    </row>
    <row r="10">
      <c r="A10" t="inlineStr">
        <is>
          <t>c56751547323</t>
        </is>
      </c>
      <c r="B10" t="inlineStr">
        <is>
          <t>0804401-51.2025.8.14.0039</t>
        </is>
      </c>
      <c r="C10" t="inlineStr">
        <is>
          <t>AJ_LIST</t>
        </is>
      </c>
      <c r="D10" t="inlineStr">
        <is>
          <t>OK</t>
        </is>
      </c>
      <c r="E10" t="n">
        <v>2</v>
      </c>
      <c r="F10" t="inlineStr">
        <is>
          <t>PROSE</t>
        </is>
      </c>
      <c r="G10" t="inlineStr">
        <is>
          <t>PROSE</t>
        </is>
      </c>
      <c r="H10" t="inlineStr">
        <is>
          <t>II/BRL#s1: PASS Δ0.00 · III/BRL#s2: PASS Δ0.00 · IV/BRL#s3: PASS Δ0.00</t>
        </is>
      </c>
      <c r="I10" t="inlineStr">
        <is>
          <t>2026-01-15</t>
        </is>
      </c>
      <c r="J10" t="inlineStr">
        <is>
          <t>SOJAL COMERCIA</t>
        </is>
      </c>
      <c r="K10" t="inlineStr">
        <is>
          <t>lrflideres.com.br</t>
        </is>
      </c>
      <c r="L10" s="19" t="inlineStr">
        <is>
          <t>https://lrflideres.com.br/wp-content/plugins/download-attachments/includes/download.php?id=6879</t>
        </is>
      </c>
    </row>
    <row r="11">
      <c r="A11" t="inlineStr">
        <is>
          <t>1355f93a13cd</t>
        </is>
      </c>
      <c r="B11" t="inlineStr">
        <is>
          <t>0804204-35.2022.8.15.0731</t>
        </is>
      </c>
      <c r="C11" t="inlineStr">
        <is>
          <t>AJ_LIST</t>
        </is>
      </c>
      <c r="D11" t="inlineStr">
        <is>
          <t>OK</t>
        </is>
      </c>
      <c r="E11" t="n">
        <v>2</v>
      </c>
      <c r="F11" t="inlineStr">
        <is>
          <t>PROSE</t>
        </is>
      </c>
      <c r="G11" t="inlineStr">
        <is>
          <t>PROSE</t>
        </is>
      </c>
      <c r="H11" t="inlineStr">
        <is>
          <t>III/BRL#s3: PASS Δ0.00 · IV/BRL#s4: PASS Δ0.00</t>
        </is>
      </c>
      <c r="I11" t="inlineStr">
        <is>
          <t>2023-12-04</t>
        </is>
      </c>
      <c r="J11" t="inlineStr">
        <is>
          <t>SECULAR COMERCIO CONSTRUÇÃO E REPRESENTAÇÃO LTDA</t>
        </is>
      </c>
      <c r="K11" t="inlineStr">
        <is>
          <t>lrflideres.com.br</t>
        </is>
      </c>
      <c r="L11" s="19" t="inlineStr">
        <is>
          <t>https://lrflideres.com.br/wp-content/uploads/2022/08/4.-EDITAL-2a-LISTA-DE-CREDORES.pdf</t>
        </is>
      </c>
    </row>
    <row r="12">
      <c r="A12" t="inlineStr">
        <is>
          <t>49e767732638</t>
        </is>
      </c>
      <c r="B12" t="inlineStr">
        <is>
          <t>0824037-95.2022.8.15.0001</t>
        </is>
      </c>
      <c r="C12" t="inlineStr">
        <is>
          <t>AJ_LIST</t>
        </is>
      </c>
      <c r="D12" t="inlineStr">
        <is>
          <t>OK</t>
        </is>
      </c>
      <c r="E12" t="n">
        <v>3</v>
      </c>
      <c r="F12" t="inlineStr">
        <is>
          <t>PROSE</t>
        </is>
      </c>
      <c r="G12" t="inlineStr">
        <is>
          <t>PROSE</t>
        </is>
      </c>
      <c r="H12" t="inlineStr">
        <is>
          <t>I/BRL#s1: PASS Δ0.04 · III/BRL#s2: PASS Δ0.00</t>
        </is>
      </c>
      <c r="I12" t="inlineStr">
        <is>
          <t>2023-11-24</t>
        </is>
      </c>
      <c r="J12" t="inlineStr">
        <is>
          <t>em questão. FAZ SA</t>
        </is>
      </c>
      <c r="K12" t="inlineStr">
        <is>
          <t>lrflideres.com.br</t>
        </is>
      </c>
      <c r="L12" s="19" t="inlineStr">
        <is>
          <t>https://lrflideres.com.br/wp-content/uploads/2023/01/4.-EDITAL-2a-LISTA-DE-CREDORES-1.pdf</t>
        </is>
      </c>
    </row>
    <row r="13">
      <c r="A13" t="inlineStr">
        <is>
          <t>e7a1e923dae2</t>
        </is>
      </c>
      <c r="B13" t="inlineStr">
        <is>
          <t>0829315-43.2023.8.15.0001</t>
        </is>
      </c>
      <c r="C13" t="inlineStr">
        <is>
          <t>AJ_LIST</t>
        </is>
      </c>
      <c r="D13" t="inlineStr">
        <is>
          <t>OK</t>
        </is>
      </c>
      <c r="E13" t="n">
        <v>22</v>
      </c>
      <c r="F13" t="inlineStr">
        <is>
          <t>PROSE</t>
        </is>
      </c>
      <c r="G13" t="inlineStr">
        <is>
          <t>PROSE</t>
        </is>
      </c>
      <c r="H13" t="inlineStr">
        <is>
          <t>I/BRL#s166: PASS Δ0.00 · III/BRL#s167: PASS Δ0.00</t>
        </is>
      </c>
      <c r="I13" t="inlineStr">
        <is>
          <t>2024-03-21</t>
        </is>
      </c>
      <c r="J13" t="inlineStr">
        <is>
          <t>consta no Doc 04 aqui acostado, servindo a Rua Padre Carapuceiro, 706, Empresa</t>
        </is>
      </c>
      <c r="K13" t="inlineStr">
        <is>
          <t>lrflideres.com.br</t>
        </is>
      </c>
      <c r="L13" s="19" t="inlineStr">
        <is>
          <t>https://lrflideres.com.br/wp-content/uploads/2023/12/3.1-PROTOCOLO-DA-2a-LISTA-DE-CREDORES.pdf</t>
        </is>
      </c>
    </row>
    <row r="14">
      <c r="A14" t="inlineStr">
        <is>
          <t>1658892fa167</t>
        </is>
      </c>
      <c r="B14" t="inlineStr">
        <is>
          <t>0008526-45.2025.8.17.2001</t>
        </is>
      </c>
      <c r="C14" t="inlineStr">
        <is>
          <t>DEBTOR_LIST</t>
        </is>
      </c>
      <c r="D14" t="inlineStr">
        <is>
          <t>OK</t>
        </is>
      </c>
      <c r="E14" t="n">
        <v>7</v>
      </c>
      <c r="F14" t="inlineStr">
        <is>
          <t>PROSE</t>
        </is>
      </c>
      <c r="G14" t="inlineStr">
        <is>
          <t>PROSE</t>
        </is>
      </c>
      <c r="H14" t="inlineStr">
        <is>
          <t>I/BRL#s1: PASS Δ-0.02 · III/BRL#s2: PASS Δ0.01 · III/USD#s3: PASS Δ0.00 · IV/BRL#s4: PASS Δ0.00</t>
        </is>
      </c>
      <c r="I14" t="inlineStr">
        <is>
          <t>2025-06-10</t>
        </is>
      </c>
      <c r="J14" t="inlineStr">
        <is>
          <t>E FALENCIA</t>
        </is>
      </c>
      <c r="K14" t="inlineStr">
        <is>
          <t>diligence.adm.br</t>
        </is>
      </c>
      <c r="L14" s="19" t="inlineStr">
        <is>
          <t>https://diligence.adm.br/wp-content/uploads/2025/06/Edital-1a-Lista-de-Credores.pdf</t>
        </is>
      </c>
    </row>
    <row r="15">
      <c r="A15" t="inlineStr">
        <is>
          <t>2f90c773d04b</t>
        </is>
      </c>
      <c r="B15" t="inlineStr">
        <is>
          <t>0022066-39.2018.8.19.0001</t>
        </is>
      </c>
      <c r="C15" t="inlineStr">
        <is>
          <t>QGC</t>
        </is>
      </c>
      <c r="D15" t="inlineStr">
        <is>
          <t>OK</t>
        </is>
      </c>
      <c r="E15" t="n">
        <v>1</v>
      </c>
      <c r="F15" t="inlineStr">
        <is>
          <t>TABLE</t>
        </is>
      </c>
      <c r="G15" t="inlineStr">
        <is>
          <t>TABLE_RULED</t>
        </is>
      </c>
      <c r="H15" t="inlineStr">
        <is>
          <t>I/BRL#s1: PASS Δ0.00 · III/BRL#s3: PASS Δ0.00</t>
        </is>
      </c>
      <c r="J15" t="inlineStr">
        <is>
          <t>SOCIEDADE RECICLYN COMERCIO E INDÚSTRIA DE METAIS LTDA</t>
        </is>
      </c>
      <c r="K15" t="inlineStr">
        <is>
          <t>inova-aj.com.br</t>
        </is>
      </c>
      <c r="L15" s="19" t="inlineStr">
        <is>
          <t>https://inova-aj.com.br/wp-content/uploads/2021/08/Reciclyn-Quadro-Geral-de-Credores.xlsx.pdf</t>
        </is>
      </c>
    </row>
    <row r="16">
      <c r="A16" t="inlineStr">
        <is>
          <t>5ab9c6b6d223</t>
        </is>
      </c>
      <c r="B16" t="inlineStr">
        <is>
          <t>0000206-69.2013.8.17.1340</t>
        </is>
      </c>
      <c r="C16" t="inlineStr">
        <is>
          <t>UNKNOWN</t>
        </is>
      </c>
      <c r="D16" t="inlineStr">
        <is>
          <t>OK</t>
        </is>
      </c>
      <c r="E16" t="n">
        <v>3</v>
      </c>
      <c r="F16" t="inlineStr">
        <is>
          <t>TABLE</t>
        </is>
      </c>
      <c r="G16" t="inlineStr">
        <is>
          <t>TABLE_RULED</t>
        </is>
      </c>
      <c r="H16" t="inlineStr">
        <is>
          <t>I/BRL#s1: PASS Δ0.00</t>
        </is>
      </c>
      <c r="J16" t="inlineStr">
        <is>
          <t>AGROPECUÁRIA SERROTE REDONDO – LRF Líderes em Recuperação Judicial e Falência</t>
        </is>
      </c>
      <c r="K16" t="inlineStr">
        <is>
          <t>lrflideres.com.br</t>
        </is>
      </c>
      <c r="L16" s="19" t="inlineStr">
        <is>
          <t>https://lrflideres.com.br/wp-content/plugins/download-attachments/includes/download.php?id=4999</t>
        </is>
      </c>
    </row>
    <row r="17">
      <c r="A17" t="inlineStr">
        <is>
          <t>ab7097a8638d</t>
        </is>
      </c>
      <c r="B17" t="inlineStr">
        <is>
          <t>0000206-69.2013.8.17.1340</t>
        </is>
      </c>
      <c r="C17" t="inlineStr">
        <is>
          <t>UNKNOWN</t>
        </is>
      </c>
      <c r="D17" t="inlineStr">
        <is>
          <t>OK</t>
        </is>
      </c>
      <c r="E17" t="n">
        <v>1</v>
      </c>
      <c r="F17" t="inlineStr">
        <is>
          <t>TABLE</t>
        </is>
      </c>
      <c r="G17" t="inlineStr">
        <is>
          <t>TABLE_RULED</t>
        </is>
      </c>
      <c r="H17" t="inlineStr">
        <is>
          <t>II/BRL#s1: PASS Δ0.00</t>
        </is>
      </c>
      <c r="J17" t="inlineStr">
        <is>
          <t>AGROPECUÁRIA SERROTE REDONDO – LRF Líderes em Recuperação Judicial e Falência</t>
        </is>
      </c>
      <c r="K17" t="inlineStr">
        <is>
          <t>lrflideres.com.br</t>
        </is>
      </c>
      <c r="L17" s="19" t="inlineStr">
        <is>
          <t>https://lrflideres.com.br/wp-content/plugins/download-attachments/includes/download.php?id=5000</t>
        </is>
      </c>
    </row>
    <row r="18">
      <c r="A18" t="inlineStr">
        <is>
          <t>7c0ce2830d0d</t>
        </is>
      </c>
      <c r="B18" t="inlineStr">
        <is>
          <t>0000206-69.2013.8.17.1340</t>
        </is>
      </c>
      <c r="C18" t="inlineStr">
        <is>
          <t>UNKNOWN</t>
        </is>
      </c>
      <c r="D18" t="inlineStr">
        <is>
          <t>OK</t>
        </is>
      </c>
      <c r="E18" t="n">
        <v>4</v>
      </c>
      <c r="F18" t="inlineStr">
        <is>
          <t>TABLE</t>
        </is>
      </c>
      <c r="G18" t="inlineStr">
        <is>
          <t>TABLE_RULED</t>
        </is>
      </c>
      <c r="H18" t="inlineStr">
        <is>
          <t>III/BRL#s1: PASS Δ0.01</t>
        </is>
      </c>
      <c r="J18" t="inlineStr">
        <is>
          <t>AGROPECUÁRIA SERROTE REDONDO – LRF Líderes em Recuperação Judicial e Falência</t>
        </is>
      </c>
      <c r="K18" t="inlineStr">
        <is>
          <t>lrflideres.com.br</t>
        </is>
      </c>
      <c r="L18" s="19" t="inlineStr">
        <is>
          <t>https://lrflideres.com.br/wp-content/plugins/download-attachments/includes/download.php?id=5001</t>
        </is>
      </c>
    </row>
    <row r="19">
      <c r="A19" t="inlineStr">
        <is>
          <t>572e76f00aa7</t>
        </is>
      </c>
      <c r="B19" t="inlineStr">
        <is>
          <t>0652260-87.2018.8.04.0001</t>
        </is>
      </c>
      <c r="C19" t="inlineStr">
        <is>
          <t>AJ_LIST</t>
        </is>
      </c>
      <c r="D19" t="inlineStr">
        <is>
          <t>OK_NO_TOTALS</t>
        </is>
      </c>
      <c r="E19" t="n">
        <v>7</v>
      </c>
      <c r="F19" t="inlineStr">
        <is>
          <t>TABLE</t>
        </is>
      </c>
      <c r="G19" t="inlineStr">
        <is>
          <t>TABLE_BANDS</t>
        </is>
      </c>
      <c r="H19" t="inlineStr"/>
      <c r="J19" t="inlineStr">
        <is>
          <t>empresa</t>
        </is>
      </c>
      <c r="K19" t="inlineStr">
        <is>
          <t>ajbrajalveiga.com.br</t>
        </is>
      </c>
      <c r="L19" s="19" t="inlineStr">
        <is>
          <t>https://ajbrajalveiga.com.br/processos/download/grupo-galo/4%20-%20Edital.pdf</t>
        </is>
      </c>
    </row>
    <row r="20">
      <c r="A20" t="inlineStr">
        <is>
          <t>a0ae32a59c29</t>
        </is>
      </c>
      <c r="B20" t="inlineStr">
        <is>
          <t>8005129-09.2023.8.05.0039</t>
        </is>
      </c>
      <c r="C20" t="inlineStr">
        <is>
          <t>AJ_LIST</t>
        </is>
      </c>
      <c r="D20" t="inlineStr">
        <is>
          <t>OK_NO_TOTALS</t>
        </is>
      </c>
      <c r="E20" t="n">
        <v>23</v>
      </c>
      <c r="F20" t="inlineStr">
        <is>
          <t>TABLE</t>
        </is>
      </c>
      <c r="G20" t="inlineStr">
        <is>
          <t>TABLE_RULED</t>
        </is>
      </c>
      <c r="H20" t="inlineStr"/>
      <c r="I20" t="inlineStr">
        <is>
          <t>2023-09-18</t>
        </is>
      </c>
      <c r="J20" t="inlineStr">
        <is>
          <t>e na falência</t>
        </is>
      </c>
      <c r="K20" t="inlineStr">
        <is>
          <t>assistjud.com.br</t>
        </is>
      </c>
      <c r="L20" s="19" t="inlineStr">
        <is>
          <t>https://assistjud.com.br/wp-content/uploads/elementor/forms/65098c80a5824.pdf</t>
        </is>
      </c>
    </row>
    <row r="21">
      <c r="A21" t="inlineStr">
        <is>
          <t>6dff863c25a0</t>
        </is>
      </c>
      <c r="B21" t="inlineStr">
        <is>
          <t>5028800-87.2023.8.24.0038</t>
        </is>
      </c>
      <c r="C21" t="inlineStr">
        <is>
          <t>DEBTOR_LIST</t>
        </is>
      </c>
      <c r="D21" t="inlineStr">
        <is>
          <t>OK_NO_TOTALS</t>
        </is>
      </c>
      <c r="E21" t="n">
        <v>2</v>
      </c>
      <c r="F21" t="inlineStr">
        <is>
          <t>PROSE</t>
        </is>
      </c>
      <c r="G21" t="inlineStr">
        <is>
          <t>PROSE</t>
        </is>
      </c>
      <c r="H21" t="inlineStr"/>
      <c r="I21" t="inlineStr">
        <is>
          <t>2024-11-21</t>
        </is>
      </c>
      <c r="J21" t="inlineStr">
        <is>
          <t>e Extrajudicia</t>
        </is>
      </c>
      <c r="K21" t="inlineStr">
        <is>
          <t>bbsadvogados.com.br</t>
        </is>
      </c>
      <c r="L21" s="19" t="inlineStr">
        <is>
          <t>https://bbsadvogados.com.br/wp-content/uploads/2024/11/Delicatesse-Relacao-de-credores-da-recuperanda-Delicatesse-e-Mr.-Struderia.pdf</t>
        </is>
      </c>
    </row>
    <row r="22">
      <c r="A22" t="inlineStr">
        <is>
          <t>30f82df3abf4</t>
        </is>
      </c>
      <c r="B22" t="inlineStr">
        <is>
          <t>0019289-97.2025.8.06.0001</t>
        </is>
      </c>
      <c r="C22" t="inlineStr">
        <is>
          <t>DEBTOR_LIST</t>
        </is>
      </c>
      <c r="D22" t="inlineStr">
        <is>
          <t>OK_NO_TOTALS</t>
        </is>
      </c>
      <c r="E22" t="n">
        <v>8</v>
      </c>
      <c r="F22" t="inlineStr">
        <is>
          <t>TABLE</t>
        </is>
      </c>
      <c r="G22" t="inlineStr">
        <is>
          <t>TABLE_BANDS</t>
        </is>
      </c>
      <c r="H22" t="inlineStr"/>
      <c r="J22" t="inlineStr">
        <is>
          <t>SIGNUS CONSTRUÇÕES E ASSESSORIA TÉCNICA LTDA</t>
        </is>
      </c>
      <c r="K22" t="inlineStr">
        <is>
          <t>lrflideres.com.br</t>
        </is>
      </c>
      <c r="L22" s="19" t="inlineStr">
        <is>
          <t>https://lrflideres.com.br/wp-content/plugins/download-attachments/includes/download.php?id=6471</t>
        </is>
      </c>
    </row>
    <row r="23">
      <c r="A23" t="inlineStr">
        <is>
          <t>a12d198cfa3d</t>
        </is>
      </c>
      <c r="B23" t="inlineStr">
        <is>
          <t>0037082-72.2016.8.17.2001</t>
        </is>
      </c>
      <c r="C23" t="inlineStr">
        <is>
          <t>DEBTOR_LIST</t>
        </is>
      </c>
      <c r="D23" t="inlineStr">
        <is>
          <t>OK_NO_TOTALS</t>
        </is>
      </c>
      <c r="E23" t="n">
        <v>6</v>
      </c>
      <c r="F23" t="inlineStr">
        <is>
          <t>TABLE</t>
        </is>
      </c>
      <c r="G23" t="inlineStr">
        <is>
          <t>TABLE_BANDS</t>
        </is>
      </c>
      <c r="H23" t="inlineStr"/>
      <c r="I23" t="inlineStr">
        <is>
          <t>2021-09-23</t>
        </is>
      </c>
      <c r="J23" t="inlineStr">
        <is>
          <t>SERVOP COMÉRCIO LTDA</t>
        </is>
      </c>
      <c r="K23" t="inlineStr">
        <is>
          <t>lrflideres.com.br</t>
        </is>
      </c>
      <c r="L23" s="19" t="inlineStr">
        <is>
          <t>https://lrflideres.com.br/wp-content/uploads/2021/09/2.1-PUBLICAC%CC%A7A%CC%83O-DO-DEFERIMENTO-5.pdf</t>
        </is>
      </c>
    </row>
    <row r="24">
      <c r="A24" t="inlineStr">
        <is>
          <t>85a47dd934b1</t>
        </is>
      </c>
      <c r="B24" t="inlineStr">
        <is>
          <t>0000869-62.2019.8.17.2001</t>
        </is>
      </c>
      <c r="C24" t="inlineStr">
        <is>
          <t>DEBTOR_LIST</t>
        </is>
      </c>
      <c r="D24" t="inlineStr">
        <is>
          <t>OK_NO_TOTALS</t>
        </is>
      </c>
      <c r="E24" t="n">
        <v>6</v>
      </c>
      <c r="F24" t="inlineStr">
        <is>
          <t>TABLE</t>
        </is>
      </c>
      <c r="G24" t="inlineStr">
        <is>
          <t>TABLE_BANDS</t>
        </is>
      </c>
      <c r="H24" t="inlineStr"/>
      <c r="I24" t="inlineStr">
        <is>
          <t>2021-09-24</t>
        </is>
      </c>
      <c r="J24" t="inlineStr">
        <is>
          <t>processo tombado sob o no 0000869-62.2019.8.17.2001, requerida pelas empresa</t>
        </is>
      </c>
      <c r="K24" t="inlineStr">
        <is>
          <t>lrflideres.com.br</t>
        </is>
      </c>
      <c r="L24" s="19" t="inlineStr">
        <is>
          <t>https://lrflideres.com.br/wp-content/uploads/2022/03/3.-EDITAL-1a-LISTA-DE-CREDORES.pdf</t>
        </is>
      </c>
    </row>
    <row r="25">
      <c r="A25" t="inlineStr">
        <is>
          <t>5586da5070a3</t>
        </is>
      </c>
      <c r="B25" t="inlineStr">
        <is>
          <t>0212099-02.2025.8.06.0001</t>
        </is>
      </c>
      <c r="C25" t="inlineStr">
        <is>
          <t>DEBTOR_LIST</t>
        </is>
      </c>
      <c r="D25" t="inlineStr">
        <is>
          <t>OK_NO_TOTALS</t>
        </is>
      </c>
      <c r="E25" t="n">
        <v>5</v>
      </c>
      <c r="F25" t="inlineStr">
        <is>
          <t>TABLE</t>
        </is>
      </c>
      <c r="G25" t="inlineStr">
        <is>
          <t>TABLE_BANDS</t>
        </is>
      </c>
      <c r="H25" t="inlineStr"/>
      <c r="I25" t="inlineStr">
        <is>
          <t>2025-06-25</t>
        </is>
      </c>
      <c r="J25" t="inlineStr">
        <is>
          <t>ARENA COMBUSTÍVEIS LTDA</t>
        </is>
      </c>
      <c r="K25" t="inlineStr">
        <is>
          <t>lrflideres.com.br</t>
        </is>
      </c>
      <c r="L25" s="19" t="inlineStr">
        <is>
          <t>https://lrflideres.com.br/wp-content/uploads/2025/08/2.-DEFERIMENTO-1.pdf</t>
        </is>
      </c>
    </row>
    <row r="26">
      <c r="A26" t="inlineStr">
        <is>
          <t>83c5c4ade09b</t>
        </is>
      </c>
      <c r="B26" t="inlineStr">
        <is>
          <t>5315944-66.2023.8.13.0024</t>
        </is>
      </c>
      <c r="C26" t="inlineStr">
        <is>
          <t>QGC</t>
        </is>
      </c>
      <c r="D26" t="inlineStr">
        <is>
          <t>OK_NO_TOTALS</t>
        </is>
      </c>
      <c r="E26" t="n">
        <v>12</v>
      </c>
      <c r="F26" t="inlineStr">
        <is>
          <t>TABLE</t>
        </is>
      </c>
      <c r="G26" t="inlineStr">
        <is>
          <t>TABLE_RULED</t>
        </is>
      </c>
      <c r="H26" t="inlineStr"/>
      <c r="J26" t="inlineStr">
        <is>
          <t>e na falência</t>
        </is>
      </c>
      <c r="K26" t="inlineStr">
        <is>
          <t>3fmodas.madgav.com.br</t>
        </is>
      </c>
      <c r="L26" s="19" t="inlineStr">
        <is>
          <t>https://3fmodas.madgav.com.br/wp-content/uploads/2025/05/Quadro-Geral-de-Credores.pdf</t>
        </is>
      </c>
    </row>
    <row r="27">
      <c r="A27" t="inlineStr">
        <is>
          <t>98f99945499b</t>
        </is>
      </c>
      <c r="B27" t="inlineStr">
        <is>
          <t>0301015-33.2016.8.24.0031</t>
        </is>
      </c>
      <c r="C27" t="inlineStr">
        <is>
          <t>QGC</t>
        </is>
      </c>
      <c r="D27" t="inlineStr">
        <is>
          <t>OK_NO_TOTALS</t>
        </is>
      </c>
      <c r="E27" t="n">
        <v>4</v>
      </c>
      <c r="F27" t="inlineStr">
        <is>
          <t>PROSE</t>
        </is>
      </c>
      <c r="G27" t="inlineStr">
        <is>
          <t>PROSE</t>
        </is>
      </c>
      <c r="H27" t="inlineStr"/>
      <c r="I27" t="inlineStr">
        <is>
          <t>2024-07-05</t>
        </is>
      </c>
      <c r="J27" t="inlineStr">
        <is>
          <t>e Extrajudicia</t>
        </is>
      </c>
      <c r="K27" t="inlineStr">
        <is>
          <t>administradorajudicialgs.com.br</t>
        </is>
      </c>
      <c r="L27" s="19" t="inlineStr">
        <is>
          <t>https://administradorajudicialgs.com.br/wp-content/uploads/2023/08/edital-quadro-geral-de-credores.pdf</t>
        </is>
      </c>
    </row>
    <row r="28">
      <c r="A28" t="inlineStr">
        <is>
          <t>260709460920</t>
        </is>
      </c>
      <c r="B28" t="inlineStr">
        <is>
          <t>0010173-64.2023.8.17.2480</t>
        </is>
      </c>
      <c r="C28" t="inlineStr">
        <is>
          <t>QGC</t>
        </is>
      </c>
      <c r="D28" t="inlineStr">
        <is>
          <t>OK_NO_TOTALS</t>
        </is>
      </c>
      <c r="E28" t="n">
        <v>4</v>
      </c>
      <c r="F28" t="inlineStr">
        <is>
          <t>PROSE</t>
        </is>
      </c>
      <c r="G28" t="inlineStr">
        <is>
          <t>PROSE</t>
        </is>
      </c>
      <c r="H28" t="inlineStr"/>
      <c r="I28" t="inlineStr">
        <is>
          <t>2025-06-26</t>
        </is>
      </c>
      <c r="J28" t="inlineStr">
        <is>
          <t>E FALENCIA</t>
        </is>
      </c>
      <c r="K28" t="inlineStr">
        <is>
          <t>diligence.adm.br</t>
        </is>
      </c>
      <c r="L28" s="19" t="inlineStr">
        <is>
          <t>https://diligence.adm.br/wp-content/uploads/2024/05/Apresentacao-do-edital-QGC.pdf</t>
        </is>
      </c>
    </row>
    <row r="29">
      <c r="A29" t="inlineStr">
        <is>
          <t>7d03c9d4861a</t>
        </is>
      </c>
      <c r="B29" t="inlineStr">
        <is>
          <t>0000742-29.2017.8.17.3090</t>
        </is>
      </c>
      <c r="C29" t="inlineStr">
        <is>
          <t>UNKNOWN</t>
        </is>
      </c>
      <c r="D29" t="inlineStr">
        <is>
          <t>OK_NO_TOTALS</t>
        </is>
      </c>
      <c r="E29" t="n">
        <v>23</v>
      </c>
      <c r="F29" t="inlineStr">
        <is>
          <t>TABLE</t>
        </is>
      </c>
      <c r="G29" t="inlineStr">
        <is>
          <t>TABLE_RULED</t>
        </is>
      </c>
      <c r="H29" t="inlineStr"/>
      <c r="I29" t="inlineStr">
        <is>
          <t>2021-09-10</t>
        </is>
      </c>
      <c r="J29" t="inlineStr">
        <is>
          <t>ABF ENGENHARIA, SERVIÇOS E COMÉRCIO LTDA – LRF Líderes em Recuperação Judicial e Falência</t>
        </is>
      </c>
      <c r="K29" t="inlineStr">
        <is>
          <t>lrflideres.com.br</t>
        </is>
      </c>
      <c r="L29" s="19" t="inlineStr">
        <is>
          <t>https://lrflideres.com.br/wp-content/plugins/download-attachments/includes/download.php?id=3469</t>
        </is>
      </c>
    </row>
    <row r="30">
      <c r="A30" t="inlineStr">
        <is>
          <t>306dd46ee538</t>
        </is>
      </c>
      <c r="B30" t="inlineStr">
        <is>
          <t>3289322-33.2013.8.13.0024</t>
        </is>
      </c>
      <c r="C30" t="inlineStr">
        <is>
          <t>UNKNOWN</t>
        </is>
      </c>
      <c r="D30" t="inlineStr">
        <is>
          <t>OK_NO_TOTALS</t>
        </is>
      </c>
      <c r="E30" t="n">
        <v>8</v>
      </c>
      <c r="F30" t="inlineStr">
        <is>
          <t>TABLE</t>
        </is>
      </c>
      <c r="G30" t="inlineStr">
        <is>
          <t>TABLE_BANDS</t>
        </is>
      </c>
      <c r="H30" t="inlineStr"/>
      <c r="I30" t="inlineStr">
        <is>
          <t>2023-03-01</t>
        </is>
      </c>
      <c r="J30" t="inlineStr">
        <is>
          <t>e Falência</t>
        </is>
      </c>
      <c r="K30" t="inlineStr">
        <is>
          <t>bernardobicalho.com.br</t>
        </is>
      </c>
      <c r="L30" s="19" t="inlineStr">
        <is>
          <t>http://bernardobicalho.com.br/login/app/documents/Editais/Edital%20do%20Art.%2099%20%C2%A7%201%20da%20Lei%2011.101-05%20-%20Locplan.pdf</t>
        </is>
      </c>
    </row>
    <row r="31">
      <c r="A31" t="inlineStr">
        <is>
          <t>a03dea18f259</t>
        </is>
      </c>
      <c r="C31" t="inlineStr">
        <is>
          <t>UNKNOWN</t>
        </is>
      </c>
      <c r="D31" t="inlineStr">
        <is>
          <t>OK_NO_TOTALS</t>
        </is>
      </c>
      <c r="E31" t="n">
        <v>81</v>
      </c>
      <c r="F31" t="inlineStr">
        <is>
          <t>TABLE</t>
        </is>
      </c>
      <c r="G31" t="inlineStr">
        <is>
          <t>TABLE_BANDS</t>
        </is>
      </c>
      <c r="H31" t="inlineStr"/>
      <c r="I31" t="inlineStr">
        <is>
          <t>2009-11-04</t>
        </is>
      </c>
      <c r="K31" t="inlineStr">
        <is>
          <t>diario.tjrr.jus.br</t>
        </is>
      </c>
      <c r="L31" s="19" t="inlineStr">
        <is>
          <t>https://diario.tjrr.jus.br/dpj/dpj-20091105.pdf</t>
        </is>
      </c>
    </row>
    <row r="32">
      <c r="A32" t="inlineStr">
        <is>
          <t>bff0950df595</t>
        </is>
      </c>
      <c r="C32" t="inlineStr">
        <is>
          <t>UNKNOWN</t>
        </is>
      </c>
      <c r="D32" t="inlineStr">
        <is>
          <t>OK_NO_TOTALS</t>
        </is>
      </c>
      <c r="E32" t="n">
        <v>120</v>
      </c>
      <c r="F32" t="inlineStr">
        <is>
          <t>TABLE</t>
        </is>
      </c>
      <c r="G32" t="inlineStr">
        <is>
          <t>TABLE_RULED</t>
        </is>
      </c>
      <c r="H32" t="inlineStr"/>
      <c r="I32" t="inlineStr">
        <is>
          <t>2009-12-15</t>
        </is>
      </c>
      <c r="K32" t="inlineStr">
        <is>
          <t>diario.tjrr.jus.br</t>
        </is>
      </c>
      <c r="L32" s="19" t="inlineStr">
        <is>
          <t>https://diario.tjrr.jus.br/dpj/dpj-20091216.pdf</t>
        </is>
      </c>
    </row>
    <row r="33">
      <c r="A33" t="inlineStr">
        <is>
          <t>85feaf9ec486</t>
        </is>
      </c>
      <c r="B33" t="inlineStr">
        <is>
          <t>0003283-70.2015.8.17.2810</t>
        </is>
      </c>
      <c r="C33" t="inlineStr">
        <is>
          <t>UNKNOWN</t>
        </is>
      </c>
      <c r="D33" t="inlineStr">
        <is>
          <t>OK_NO_TOTALS</t>
        </is>
      </c>
      <c r="E33" t="n">
        <v>11</v>
      </c>
      <c r="F33" t="inlineStr">
        <is>
          <t>TABLE</t>
        </is>
      </c>
      <c r="G33" t="inlineStr">
        <is>
          <t>TABLE_RULED</t>
        </is>
      </c>
      <c r="H33" t="inlineStr"/>
      <c r="I33" t="inlineStr">
        <is>
          <t>2021-09-30</t>
        </is>
      </c>
      <c r="J33" t="inlineStr">
        <is>
          <t>e Falência</t>
        </is>
      </c>
      <c r="K33" t="inlineStr">
        <is>
          <t>lrflideres.com.br</t>
        </is>
      </c>
      <c r="L33" s="19" t="inlineStr">
        <is>
          <t>https://lrflideres.com.br/wp-content/uploads/2021/09/LISTA-DE-CREDORES-FALENCIA.pdf</t>
        </is>
      </c>
    </row>
    <row r="34">
      <c r="A34" t="inlineStr">
        <is>
          <t>fcd4aec0367b</t>
        </is>
      </c>
      <c r="B34" t="inlineStr">
        <is>
          <t>0802656-15.2026.8.18.0031</t>
        </is>
      </c>
      <c r="C34" t="inlineStr">
        <is>
          <t>UNKNOWN</t>
        </is>
      </c>
      <c r="D34" t="inlineStr">
        <is>
          <t>OK_NO_TOTALS</t>
        </is>
      </c>
      <c r="E34" t="n">
        <v>33</v>
      </c>
      <c r="F34" t="inlineStr">
        <is>
          <t>TABLE</t>
        </is>
      </c>
      <c r="G34" t="inlineStr">
        <is>
          <t>TABLE_BANDS</t>
        </is>
      </c>
      <c r="H34" t="inlineStr"/>
      <c r="I34" t="inlineStr">
        <is>
          <t>2026-07-07</t>
        </is>
      </c>
      <c r="K34" t="inlineStr">
        <is>
          <t>lrflideres.com.br</t>
        </is>
      </c>
      <c r="L34" s="19" t="inlineStr">
        <is>
          <t>https://lrflideres.com.br/wp-content/uploads/2026/03/6.-PLANO-DE-RECUPERACAO-JUDICIAL.pdf</t>
        </is>
      </c>
    </row>
    <row r="35">
      <c r="A35" t="inlineStr">
        <is>
          <t>7501ec99fc8e</t>
        </is>
      </c>
      <c r="B35" t="inlineStr">
        <is>
          <t>0800778-16.2023.8.20.5104</t>
        </is>
      </c>
      <c r="C35" t="inlineStr">
        <is>
          <t>AJ_LIST</t>
        </is>
      </c>
      <c r="D35" t="inlineStr">
        <is>
          <t>QUARANTINED</t>
        </is>
      </c>
      <c r="E35" t="n">
        <v>8</v>
      </c>
      <c r="F35" t="inlineStr">
        <is>
          <t>TABLE</t>
        </is>
      </c>
      <c r="G35" t="inlineStr">
        <is>
          <t>TABLE_RULED</t>
        </is>
      </c>
      <c r="H35" t="inlineStr">
        <is>
          <t>III/BRL#s6: FAIL Δ9388945.97 · I/BRL: PASS Δ0.00</t>
        </is>
      </c>
      <c r="I35" t="inlineStr">
        <is>
          <t>2024-10-04</t>
        </is>
      </c>
      <c r="J35" t="inlineStr">
        <is>
          <t>e Falência</t>
        </is>
      </c>
      <c r="K35" t="inlineStr">
        <is>
          <t>recuperacaojudicial.squarespace.com</t>
        </is>
      </c>
      <c r="L35" s="19" t="inlineStr">
        <is>
          <t>http://recuperacaojudicial.squarespace.com/s/LISTA-DE-CREDORES-CONSOLIDADA-ATE-04102024.pdf</t>
        </is>
      </c>
    </row>
    <row r="36">
      <c r="A36" t="inlineStr">
        <is>
          <t>38d930ab1caa</t>
        </is>
      </c>
      <c r="B36" t="inlineStr">
        <is>
          <t>0820780-23.2026.8.14.0301</t>
        </is>
      </c>
      <c r="C36" t="inlineStr">
        <is>
          <t>AJ_LIST</t>
        </is>
      </c>
      <c r="D36" t="inlineStr">
        <is>
          <t>QUARANTINED</t>
        </is>
      </c>
      <c r="E36" t="n">
        <v>4</v>
      </c>
      <c r="F36" t="inlineStr">
        <is>
          <t>PROSE</t>
        </is>
      </c>
      <c r="G36" t="inlineStr">
        <is>
          <t>PROSE</t>
        </is>
      </c>
      <c r="H36" t="inlineStr">
        <is>
          <t>I/BRL#s1: FAIL Δ-381984.70 · III/BRL#s3: PASS Δ0.00 · IV/BRL#s4: PASS Δ0.00</t>
        </is>
      </c>
      <c r="I36" t="inlineStr">
        <is>
          <t>2026-07-07</t>
        </is>
      </c>
      <c r="J36" t="inlineStr">
        <is>
          <t>e mpresa</t>
        </is>
      </c>
      <c r="K36" t="inlineStr">
        <is>
          <t>cdn.dol.com.br</t>
        </is>
      </c>
      <c r="L36" s="19" t="inlineStr">
        <is>
          <t>https://cdn.dol.com.br/img/attachmentinline/940000/6publicacao-2-edital-art-7-parag-2-da-lei-11101-20009467060.pdf?xid=3272528</t>
        </is>
      </c>
    </row>
    <row r="37">
      <c r="A37" t="inlineStr">
        <is>
          <t>fe8c5f1b0eca</t>
        </is>
      </c>
      <c r="B37" t="inlineStr">
        <is>
          <t>0871065-72.2024.8.12.0001</t>
        </is>
      </c>
      <c r="C37" t="inlineStr">
        <is>
          <t>DEBTOR_LIST</t>
        </is>
      </c>
      <c r="D37" t="inlineStr">
        <is>
          <t>QUARANTINED</t>
        </is>
      </c>
      <c r="E37" t="n">
        <v>4</v>
      </c>
      <c r="F37" t="inlineStr">
        <is>
          <t>TABLE</t>
        </is>
      </c>
      <c r="G37" t="inlineStr">
        <is>
          <t>TABLE_BANDS</t>
        </is>
      </c>
      <c r="H37" t="inlineStr">
        <is>
          <t>II/BRL: FAIL Δ-269952.28</t>
        </is>
      </c>
      <c r="J37" t="inlineStr">
        <is>
          <t>interessa</t>
        </is>
      </c>
      <c r="K37" t="inlineStr">
        <is>
          <t>csh.adv.br</t>
        </is>
      </c>
      <c r="L37" s="19" t="inlineStr">
        <is>
          <t>https://csh.adv.br/wp-content/uploads/2025/03/Edital-Art.-52-1.pdf</t>
        </is>
      </c>
    </row>
    <row r="38">
      <c r="A38" t="inlineStr">
        <is>
          <t>e10381e6ac9c</t>
        </is>
      </c>
      <c r="B38" t="inlineStr">
        <is>
          <t>0214287-36.2023.8.06.0001</t>
        </is>
      </c>
      <c r="C38" t="inlineStr">
        <is>
          <t>QGC</t>
        </is>
      </c>
      <c r="D38" t="inlineStr">
        <is>
          <t>QUARANTINED</t>
        </is>
      </c>
      <c r="E38" t="n">
        <v>3</v>
      </c>
      <c r="F38" t="inlineStr">
        <is>
          <t>TABLE</t>
        </is>
      </c>
      <c r="G38" t="inlineStr">
        <is>
          <t>TABLE_BANDS</t>
        </is>
      </c>
      <c r="H38" t="inlineStr">
        <is>
          <t>IV/BRL#s6: FAIL Δ13820.70 · IV/BRL#s10: PASS Δ0.00</t>
        </is>
      </c>
      <c r="J38" t="inlineStr">
        <is>
          <t>Assunto Concurso de Credores Requerente Pminas Brasil Construção Civil e Serviços Ltda</t>
        </is>
      </c>
      <c r="K38" t="inlineStr">
        <is>
          <t>bugarimecoelho.com.br</t>
        </is>
      </c>
      <c r="L38" s="19" t="inlineStr">
        <is>
          <t>https://bugarimecoelho.com.br/ws/media-library/5637e4df77a44cee9a27c6fa2c0a9d96/15.2--edital-01o-aditivo-qgc.pdf</t>
        </is>
      </c>
    </row>
    <row r="39">
      <c r="A39" t="inlineStr">
        <is>
          <t>1aeb10c3e145</t>
        </is>
      </c>
      <c r="B39" t="inlineStr">
        <is>
          <t>0016474-19.2022.8.03.0001</t>
        </is>
      </c>
      <c r="C39" t="inlineStr">
        <is>
          <t>QGC</t>
        </is>
      </c>
      <c r="D39" t="inlineStr">
        <is>
          <t>QUARANTINED</t>
        </is>
      </c>
      <c r="E39" t="n">
        <v>24</v>
      </c>
      <c r="F39" t="inlineStr">
        <is>
          <t>TABLE</t>
        </is>
      </c>
      <c r="G39" t="inlineStr">
        <is>
          <t>TABLE_BANDS</t>
        </is>
      </c>
      <c r="H39" t="inlineStr">
        <is>
          <t>III/BRL#s14: FAIL Δ-224860.05</t>
        </is>
      </c>
      <c r="I39" t="inlineStr">
        <is>
          <t>2024-09-05</t>
        </is>
      </c>
      <c r="J39" t="inlineStr">
        <is>
          <t>Empresa</t>
        </is>
      </c>
      <c r="K39" t="inlineStr">
        <is>
          <t>realbrasil.com.br</t>
        </is>
      </c>
      <c r="L39" s="19" t="inlineStr">
        <is>
          <t>https://realbrasil.com.br/wp-content/uploads/2024/10/2.QUADRO-DE-CREDORES-DO-AJ.pdf</t>
        </is>
      </c>
    </row>
    <row r="40">
      <c r="A40" t="inlineStr">
        <is>
          <t>c9ded76ba27f</t>
        </is>
      </c>
      <c r="B40" t="inlineStr">
        <is>
          <t>0000742-29.2017.8.17.3090</t>
        </is>
      </c>
      <c r="C40" t="inlineStr">
        <is>
          <t>UNKNOWN</t>
        </is>
      </c>
      <c r="D40" t="inlineStr">
        <is>
          <t>QUARANTINED</t>
        </is>
      </c>
      <c r="E40" t="n">
        <v>31</v>
      </c>
      <c r="F40" t="inlineStr">
        <is>
          <t>TABLE</t>
        </is>
      </c>
      <c r="G40" t="inlineStr">
        <is>
          <t>TABLE_BANDS</t>
        </is>
      </c>
      <c r="H40" t="inlineStr">
        <is>
          <t>I/BRL: FAIL Δ-49576.56 · III/BRL: FAIL Δ-5802914.47 · IV/BRL: FAIL Δ-842955.22</t>
        </is>
      </c>
      <c r="I40" t="inlineStr">
        <is>
          <t>2021-09-10</t>
        </is>
      </c>
      <c r="J40" t="inlineStr">
        <is>
          <t>ABF ENGENHARIA, SERVIÇOS E COMÉRCIO LTDA – LRF Líderes em Recuperação Judicial e Falência</t>
        </is>
      </c>
      <c r="K40" t="inlineStr">
        <is>
          <t>lrflideres.com.br</t>
        </is>
      </c>
      <c r="L40" s="19" t="inlineStr">
        <is>
          <t>https://lrflideres.com.br/wp-content/plugins/download-attachments/includes/download.php?id=3468</t>
        </is>
      </c>
    </row>
    <row r="41">
      <c r="A41" t="inlineStr">
        <is>
          <t>12e6f4e0aae9</t>
        </is>
      </c>
      <c r="B41" t="inlineStr">
        <is>
          <t>5281407-42.2021.8.09.0051</t>
        </is>
      </c>
      <c r="C41" t="inlineStr">
        <is>
          <t>UNKNOWN</t>
        </is>
      </c>
      <c r="D41" t="inlineStr">
        <is>
          <t>QUARANTINED</t>
        </is>
      </c>
      <c r="E41" t="n">
        <v>6</v>
      </c>
      <c r="F41" t="inlineStr">
        <is>
          <t>TABLE</t>
        </is>
      </c>
      <c r="G41" t="inlineStr">
        <is>
          <t>TABLE_BANDS</t>
        </is>
      </c>
      <c r="H41" t="inlineStr">
        <is>
          <t>I/BRL#s6: PASS Δ0.00 · II/BRL#s8: PASS Δ0.00 · IV/BRL#s14: FAIL Δ-2137482.09 · III/BRL: FAIL Δ-741097.28</t>
        </is>
      </c>
      <c r="I41" t="inlineStr">
        <is>
          <t>2024-12-16</t>
        </is>
      </c>
      <c r="K41" t="inlineStr">
        <is>
          <t>arquivos.integrawebsites.com.br</t>
        </is>
      </c>
      <c r="L41" s="19" t="inlineStr">
        <is>
          <t>https://arquivos.integrawebsites.com.br/66886/9170dba63d72405b67b006af1763ed17.pdf</t>
        </is>
      </c>
    </row>
  </sheetData>
  <autoFilter ref="A1:L4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26" customWidth="1" min="3" max="3"/>
    <col width="18" customWidth="1" min="4" max="4"/>
    <col width="22" customWidth="1" min="5" max="5"/>
    <col width="18" customWidth="1" min="6" max="6"/>
    <col width="16" customWidth="1" min="7" max="7"/>
    <col width="12" customWidth="1" min="8" max="8"/>
    <col width="60" customWidth="1" min="9" max="9"/>
  </cols>
  <sheetData>
    <row r="1">
      <c r="A1" s="5" t="inlineStr">
        <is>
          <t>Creditor (old sheet)</t>
        </is>
      </c>
      <c r="B1" s="5" t="inlineStr">
        <is>
          <t>CNPJ (old)</t>
        </is>
      </c>
      <c r="C1" s="5" t="inlineStr">
        <is>
          <t>Case</t>
        </is>
      </c>
      <c r="D1" s="5" t="inlineStr">
        <is>
          <t>OLD amount (R$)</t>
        </is>
      </c>
      <c r="E1" s="5" t="inlineStr">
        <is>
          <t>NEW class III face, root sum (R$)</t>
        </is>
      </c>
      <c r="F1" s="5" t="inlineStr">
        <is>
          <t>Delta (R$)</t>
        </is>
      </c>
      <c r="G1" s="5" t="inlineStr">
        <is>
          <t>Verdict</t>
        </is>
      </c>
      <c r="H1" s="5" t="inlineStr">
        <is>
          <t>Old status</t>
        </is>
      </c>
      <c r="I1" s="5" t="inlineStr">
        <is>
          <t>Why</t>
        </is>
      </c>
    </row>
    <row r="2">
      <c r="A2" s="20" t="inlineStr">
        <is>
          <t>VINICOLA CAMPESTRE LTDA</t>
        </is>
      </c>
      <c r="B2" s="20" t="inlineStr">
        <is>
          <t>98521909000270</t>
        </is>
      </c>
      <c r="C2" s="20" t="inlineStr">
        <is>
          <t>0008526-45.2025.8.17.2001</t>
        </is>
      </c>
      <c r="D2" s="21" t="n">
        <v>9558482.85</v>
      </c>
      <c r="E2" s="21" t="n">
        <v>13980345.5</v>
      </c>
      <c r="F2" s="21" t="n">
        <v>4421862.65</v>
      </c>
      <c r="G2" s="20" t="inlineStr">
        <is>
          <t>CHANGED</t>
        </is>
      </c>
      <c r="H2" s="20" t="inlineStr"/>
      <c r="I2" s="20" t="inlineStr">
        <is>
          <t>2 claims summed on the 8-digit root (2 establishments)</t>
        </is>
      </c>
    </row>
    <row r="3">
      <c r="A3" t="inlineStr">
        <is>
          <t>ADDIANTE S.A</t>
        </is>
      </c>
      <c r="B3" t="inlineStr">
        <is>
          <t>48430290000130</t>
        </is>
      </c>
      <c r="C3" t="inlineStr">
        <is>
          <t>0804401-51.2025.8.14.0039</t>
        </is>
      </c>
      <c r="D3" s="10" t="n">
        <v>7135516.97</v>
      </c>
      <c r="E3" s="10" t="n">
        <v>7135516.97</v>
      </c>
      <c r="F3" s="10" t="n">
        <v>0</v>
      </c>
      <c r="G3" t="inlineStr">
        <is>
          <t>SAME</t>
        </is>
      </c>
      <c r="H3" t="inlineStr"/>
      <c r="I3" t="inlineStr"/>
    </row>
    <row r="4">
      <c r="A4" t="inlineStr">
        <is>
          <t>SEMPRE AGTECH LTDA</t>
        </is>
      </c>
      <c r="B4" t="inlineStr">
        <is>
          <t>09536120000263</t>
        </is>
      </c>
      <c r="C4" t="inlineStr">
        <is>
          <t>0804401-51.2025.8.14.0039</t>
        </is>
      </c>
      <c r="D4" s="10" t="n">
        <v>2037616.99</v>
      </c>
      <c r="E4" s="10" t="n">
        <v>2037616.99</v>
      </c>
      <c r="F4" s="10" t="n">
        <v>0</v>
      </c>
      <c r="G4" t="inlineStr">
        <is>
          <t>SAME</t>
        </is>
      </c>
      <c r="H4" t="inlineStr">
        <is>
          <t>E-mailed</t>
        </is>
      </c>
      <c r="I4" t="inlineStr"/>
    </row>
    <row r="5">
      <c r="A5" t="inlineStr">
        <is>
          <t>FERTILIZANTES TOCANTINS S.A</t>
        </is>
      </c>
      <c r="B5" t="inlineStr">
        <is>
          <t>05571228000155</t>
        </is>
      </c>
      <c r="C5" t="inlineStr">
        <is>
          <t>0804401-51.2025.8.14.0039</t>
        </is>
      </c>
      <c r="D5" s="10" t="n">
        <v>2016948.56</v>
      </c>
      <c r="E5" s="10" t="n">
        <v>2016948.56</v>
      </c>
      <c r="F5" s="10" t="n">
        <v>0</v>
      </c>
      <c r="G5" t="inlineStr">
        <is>
          <t>SAME</t>
        </is>
      </c>
      <c r="H5" t="inlineStr">
        <is>
          <t>E-mailed</t>
        </is>
      </c>
      <c r="I5" t="inlineStr"/>
    </row>
    <row r="6">
      <c r="A6" s="20" t="inlineStr">
        <is>
          <t>TAG INDUSTRIA E LAMINACAO LTDA</t>
        </is>
      </c>
      <c r="B6" s="20" t="inlineStr">
        <is>
          <t>33233778000108</t>
        </is>
      </c>
      <c r="C6" s="20" t="inlineStr">
        <is>
          <t>8005129-09.2023.8.05.0039</t>
        </is>
      </c>
      <c r="D6" s="21" t="n">
        <v>1981695.98</v>
      </c>
      <c r="E6" s="21" t="n">
        <v>64713515.06</v>
      </c>
      <c r="F6" s="21" t="n">
        <v>62731819.08</v>
      </c>
      <c r="G6" s="20" t="inlineStr">
        <is>
          <t>CHANGED</t>
        </is>
      </c>
      <c r="H6" s="20" t="inlineStr">
        <is>
          <t>CALLED</t>
        </is>
      </c>
      <c r="I6" s="20" t="inlineStr">
        <is>
          <t>2 claims summed on the 8-digit root (1 establishments); likely dropped leading digit in old parse</t>
        </is>
      </c>
    </row>
    <row r="7">
      <c r="A7" s="20" t="inlineStr">
        <is>
          <t>IBRAME INDUSTRIA BRASILEIRA DE METAIS S/A</t>
        </is>
      </c>
      <c r="B7" s="20" t="inlineStr">
        <is>
          <t>60846599000534</t>
        </is>
      </c>
      <c r="C7" s="20" t="inlineStr">
        <is>
          <t>8005129-09.2023.8.05.0039</t>
        </is>
      </c>
      <c r="D7" s="21" t="n">
        <v>815928.78</v>
      </c>
      <c r="E7" s="21" t="n">
        <v>1359881.3</v>
      </c>
      <c r="F7" s="21" t="n">
        <v>543952.52</v>
      </c>
      <c r="G7" s="20" t="inlineStr">
        <is>
          <t>CHANGED</t>
        </is>
      </c>
      <c r="H7" s="20" t="inlineStr">
        <is>
          <t>E-mailed</t>
        </is>
      </c>
      <c r="I7" s="20" t="inlineStr">
        <is>
          <t>2 claims summed on the 8-digit root (1 establishments)</t>
        </is>
      </c>
    </row>
    <row r="8">
      <c r="A8" t="inlineStr">
        <is>
          <t>COMARY INDUSTRIA DE BEBIDAS LTDA</t>
        </is>
      </c>
      <c r="B8" t="inlineStr">
        <is>
          <t>29588019001316</t>
        </is>
      </c>
      <c r="C8" t="inlineStr">
        <is>
          <t>0008526-45.2025.8.17.2001</t>
        </is>
      </c>
      <c r="D8" s="10" t="n">
        <v>407241.98</v>
      </c>
      <c r="E8" s="10" t="n">
        <v>407241.98</v>
      </c>
      <c r="F8" s="10" t="n">
        <v>0</v>
      </c>
      <c r="G8" t="inlineStr">
        <is>
          <t>SAME</t>
        </is>
      </c>
      <c r="H8" t="inlineStr">
        <is>
          <t>E-mailed</t>
        </is>
      </c>
      <c r="I8" t="inlineStr"/>
    </row>
    <row r="9">
      <c r="A9" t="inlineStr">
        <is>
          <t>REDE FAMILIA DE COMUNICACAO LTDA</t>
        </is>
      </c>
      <c r="B9" t="inlineStr">
        <is>
          <t>48393755000120</t>
        </is>
      </c>
      <c r="C9" t="inlineStr"/>
      <c r="D9" s="10" t="n">
        <v>325723.67</v>
      </c>
      <c r="E9" t="inlineStr"/>
      <c r="F9" t="inlineStr"/>
      <c r="G9" t="inlineStr">
        <is>
          <t>NOT_IN_NEW_RUN</t>
        </is>
      </c>
      <c r="H9" t="inlineStr"/>
      <c r="I9" t="inlineStr">
        <is>
          <t>case/document not harvested or below floor in this run</t>
        </is>
      </c>
    </row>
    <row r="10">
      <c r="A10" t="inlineStr">
        <is>
          <t>MTC INCORPORACOES IMOBILIARIAS LTDA</t>
        </is>
      </c>
      <c r="B10" t="inlineStr">
        <is>
          <t>12749549000162</t>
        </is>
      </c>
      <c r="C10" t="inlineStr"/>
      <c r="D10" s="10" t="n">
        <v>309000</v>
      </c>
      <c r="E10" t="inlineStr"/>
      <c r="F10" t="inlineStr"/>
      <c r="G10" t="inlineStr">
        <is>
          <t>NOT_IN_NEW_RUN</t>
        </is>
      </c>
      <c r="H10" t="inlineStr"/>
      <c r="I10" t="inlineStr">
        <is>
          <t>case/document not harvested or below floor in this run</t>
        </is>
      </c>
    </row>
    <row r="11">
      <c r="A11" t="inlineStr">
        <is>
          <t>OPTIMUM CONSULTORIA EM GESTAO PUBLICA E EMPRESARIAL LTDA</t>
        </is>
      </c>
      <c r="B11" t="inlineStr">
        <is>
          <t>10925045000120</t>
        </is>
      </c>
      <c r="C11" t="inlineStr">
        <is>
          <t>0829315-43.2023.8.15.0001</t>
        </is>
      </c>
      <c r="D11" s="10" t="n">
        <v>267635.55</v>
      </c>
      <c r="E11" s="10" t="n">
        <v>267635.55</v>
      </c>
      <c r="F11" s="10" t="n">
        <v>0</v>
      </c>
      <c r="G11" t="inlineStr">
        <is>
          <t>SAME</t>
        </is>
      </c>
      <c r="H11" t="inlineStr"/>
      <c r="I11" t="inlineStr"/>
    </row>
    <row r="12">
      <c r="A12" t="inlineStr">
        <is>
          <t>SAFEGOLD GERENCIAMENTO DE CAPITAL LTDA</t>
        </is>
      </c>
      <c r="B12" t="inlineStr">
        <is>
          <t>13177802000113</t>
        </is>
      </c>
      <c r="C12" t="inlineStr"/>
      <c r="D12" s="10" t="n">
        <v>203501.15</v>
      </c>
      <c r="E12" t="inlineStr"/>
      <c r="F12" t="inlineStr"/>
      <c r="G12" t="inlineStr">
        <is>
          <t>NOT_IN_NEW_RUN</t>
        </is>
      </c>
      <c r="H12" t="inlineStr"/>
      <c r="I12" t="inlineStr">
        <is>
          <t>case/document not harvested or below floor in this run</t>
        </is>
      </c>
    </row>
    <row r="13">
      <c r="A13" s="20" t="inlineStr">
        <is>
          <t>IRON COMEX LTDA</t>
        </is>
      </c>
      <c r="B13" s="20" t="inlineStr">
        <is>
          <t>43464332000130</t>
        </is>
      </c>
      <c r="C13" s="20" t="inlineStr">
        <is>
          <t>0008526-45.2025.8.17.2001</t>
        </is>
      </c>
      <c r="D13" s="21" t="n">
        <v>184223.97</v>
      </c>
      <c r="E13" s="21" t="n">
        <v>334279.01</v>
      </c>
      <c r="F13" s="21" t="n">
        <v>150055.04</v>
      </c>
      <c r="G13" s="20" t="inlineStr">
        <is>
          <t>CHANGED</t>
        </is>
      </c>
      <c r="H13" s="20" t="inlineStr"/>
      <c r="I13" s="20" t="inlineStr">
        <is>
          <t>2 claims summed on the 8-digit root (2 establishments)</t>
        </is>
      </c>
    </row>
    <row r="14">
      <c r="A14" t="inlineStr">
        <is>
          <t>GEDOZ COMERCIO DE FERROS LTDA</t>
        </is>
      </c>
      <c r="B14" t="inlineStr">
        <is>
          <t>87821278000299</t>
        </is>
      </c>
      <c r="C14" t="inlineStr"/>
      <c r="D14" s="10" t="n">
        <v>178822.7</v>
      </c>
      <c r="E14" t="inlineStr"/>
      <c r="F14" t="inlineStr"/>
      <c r="G14" t="inlineStr">
        <is>
          <t>NOT_IN_NEW_RUN</t>
        </is>
      </c>
      <c r="H14" t="inlineStr"/>
      <c r="I14" t="inlineStr">
        <is>
          <t>case/document not harvested or below floor in this run</t>
        </is>
      </c>
    </row>
    <row r="15">
      <c r="A15" t="inlineStr">
        <is>
          <t>BELMAN COMERCIO DE ACOS LTDA</t>
        </is>
      </c>
      <c r="B15" t="inlineStr">
        <is>
          <t>02925166000144</t>
        </is>
      </c>
      <c r="C15" t="inlineStr"/>
      <c r="D15" s="10" t="n">
        <v>152754.49</v>
      </c>
      <c r="E15" t="inlineStr"/>
      <c r="F15" t="inlineStr"/>
      <c r="G15" t="inlineStr">
        <is>
          <t>NOT_IN_NEW_RUN</t>
        </is>
      </c>
      <c r="H15" t="inlineStr"/>
      <c r="I15" t="inlineStr">
        <is>
          <t>case/document not harvested or below floor in this run</t>
        </is>
      </c>
    </row>
    <row r="16">
      <c r="A16" t="inlineStr">
        <is>
          <t>M.C. ARRUDA ADMINISTRADORA DE BENS S.A.</t>
        </is>
      </c>
      <c r="B16" t="inlineStr">
        <is>
          <t>14724478000179</t>
        </is>
      </c>
      <c r="C16" t="inlineStr">
        <is>
          <t>0008526-45.2025.8.17.2001</t>
        </is>
      </c>
      <c r="D16" s="10" t="n">
        <v>107500</v>
      </c>
      <c r="E16" s="10" t="n">
        <v>107500</v>
      </c>
      <c r="F16" s="10" t="n">
        <v>0</v>
      </c>
      <c r="G16" t="inlineStr">
        <is>
          <t>SAME</t>
        </is>
      </c>
      <c r="H16" t="inlineStr"/>
      <c r="I16" t="inlineStr"/>
    </row>
    <row r="17">
      <c r="A17" t="inlineStr">
        <is>
          <t>ATEM'S DISTRIBUIDORA DE PETROLEO S.A.</t>
        </is>
      </c>
      <c r="B17" t="inlineStr">
        <is>
          <t>03987364000103</t>
        </is>
      </c>
      <c r="C17" t="inlineStr">
        <is>
          <t>0652260-87.2018.8.04.0001</t>
        </is>
      </c>
      <c r="D17" s="10" t="n">
        <v>103343.93</v>
      </c>
      <c r="E17" t="inlineStr"/>
      <c r="F17" t="inlineStr"/>
      <c r="G17" t="inlineStr">
        <is>
          <t>NOT_IN_NEW_RUN</t>
        </is>
      </c>
      <c r="H17" t="inlineStr"/>
      <c r="I17" t="inlineStr">
        <is>
          <t>case/document not harvested or below floor in this run</t>
        </is>
      </c>
    </row>
    <row r="18">
      <c r="A18" t="inlineStr">
        <is>
          <t>ACO CEARENSE INDUSTRIAL LTDA</t>
        </is>
      </c>
      <c r="B18" t="inlineStr">
        <is>
          <t>00990842000308</t>
        </is>
      </c>
      <c r="C18" t="inlineStr">
        <is>
          <t>0800778-16.2023.8.20.5104</t>
        </is>
      </c>
      <c r="D18" s="10" t="n">
        <v>99326.74000000001</v>
      </c>
      <c r="E18" t="inlineStr"/>
      <c r="F18" t="inlineStr"/>
      <c r="G18" t="inlineStr">
        <is>
          <t>NOT_IN_NEW_RUN</t>
        </is>
      </c>
      <c r="H18" t="inlineStr"/>
      <c r="I18" t="inlineStr">
        <is>
          <t>case/document not harvested or below floor in this run</t>
        </is>
      </c>
    </row>
    <row r="19">
      <c r="A19" t="inlineStr">
        <is>
          <t>EMPRESA DE TERMOPLASTICOS DO NORDESTE ETENO LTDA</t>
        </is>
      </c>
      <c r="B19" t="inlineStr">
        <is>
          <t>08516950000185</t>
        </is>
      </c>
      <c r="C19" t="inlineStr">
        <is>
          <t>0800778-16.2023.8.20.5104</t>
        </is>
      </c>
      <c r="D19" s="10" t="n">
        <v>96123.94</v>
      </c>
      <c r="E19" t="inlineStr"/>
      <c r="F19" t="inlineStr"/>
      <c r="G19" t="inlineStr">
        <is>
          <t>NOT_IN_NEW_RUN</t>
        </is>
      </c>
      <c r="H19" t="inlineStr"/>
      <c r="I19" t="inlineStr">
        <is>
          <t>case/document not harvested or below floor in this run</t>
        </is>
      </c>
    </row>
    <row r="20">
      <c r="A20" t="inlineStr">
        <is>
          <t>VEX PAINEIS LTDA</t>
        </is>
      </c>
      <c r="B20" t="inlineStr">
        <is>
          <t>08142786000193</t>
        </is>
      </c>
      <c r="C20" t="inlineStr">
        <is>
          <t>8005129-09.2023.8.05.0039</t>
        </is>
      </c>
      <c r="D20" s="10" t="n">
        <v>90775</v>
      </c>
      <c r="E20" t="inlineStr"/>
      <c r="F20" t="inlineStr"/>
      <c r="G20" t="inlineStr">
        <is>
          <t>NOT_IN_NEW_RUN</t>
        </is>
      </c>
      <c r="H20" t="inlineStr"/>
      <c r="I20" t="inlineStr">
        <is>
          <t>case/document not harvested or below floor in this run</t>
        </is>
      </c>
    </row>
    <row r="21">
      <c r="A21" t="inlineStr">
        <is>
          <t>HABILIS SERVICOS E TREINAMENTOS EM TECNOLOGIA LTDA</t>
        </is>
      </c>
      <c r="B21" t="inlineStr">
        <is>
          <t>34720351000199</t>
        </is>
      </c>
      <c r="C21" t="inlineStr">
        <is>
          <t>0008526-45.2025.8.17.2001</t>
        </is>
      </c>
      <c r="D21" s="10" t="n">
        <v>88848.14</v>
      </c>
      <c r="E21" t="inlineStr"/>
      <c r="F21" t="inlineStr"/>
      <c r="G21" t="inlineStr">
        <is>
          <t>NOT_IN_NEW_RUN</t>
        </is>
      </c>
      <c r="H21" t="inlineStr"/>
      <c r="I21" t="inlineStr">
        <is>
          <t>case/document not harvested or below floor in this run</t>
        </is>
      </c>
    </row>
    <row r="22">
      <c r="A22" t="inlineStr">
        <is>
          <t>MEGA PACK PLASTICOS S.A</t>
        </is>
      </c>
      <c r="B22" t="inlineStr">
        <is>
          <t>19631376000203</t>
        </is>
      </c>
      <c r="C22" t="inlineStr">
        <is>
          <t>0800778-16.2023.8.20.5104</t>
        </is>
      </c>
      <c r="D22" s="10" t="n">
        <v>84000</v>
      </c>
      <c r="E22" t="inlineStr"/>
      <c r="F22" t="inlineStr"/>
      <c r="G22" t="inlineStr">
        <is>
          <t>NOT_IN_NEW_RUN</t>
        </is>
      </c>
      <c r="H22" t="inlineStr"/>
      <c r="I22" t="inlineStr">
        <is>
          <t>case/document not harvested or below floor in this run</t>
        </is>
      </c>
    </row>
    <row r="23">
      <c r="A23" t="inlineStr">
        <is>
          <t>AVANTE ADMINISTRACAO E COBRANCA LTDA</t>
        </is>
      </c>
      <c r="B23" t="inlineStr">
        <is>
          <t>07918102000130</t>
        </is>
      </c>
      <c r="C23" t="inlineStr">
        <is>
          <t>8005129-09.2023.8.05.0039</t>
        </is>
      </c>
      <c r="D23" s="10" t="n">
        <v>82500</v>
      </c>
      <c r="E23" t="inlineStr"/>
      <c r="F23" t="inlineStr"/>
      <c r="G23" t="inlineStr">
        <is>
          <t>NOT_IN_NEW_RUN</t>
        </is>
      </c>
      <c r="H23" t="inlineStr"/>
      <c r="I23" t="inlineStr">
        <is>
          <t>case/document not harvested or below floor in this run</t>
        </is>
      </c>
    </row>
    <row r="24">
      <c r="A24" t="inlineStr">
        <is>
          <t>SIND DOS TRABS NAS INDS MET MEC E DE MAT ELETRIC DE CXS</t>
        </is>
      </c>
      <c r="B24" t="inlineStr">
        <is>
          <t>88662267000195</t>
        </is>
      </c>
      <c r="C24" t="inlineStr"/>
      <c r="D24" s="10" t="n">
        <v>72683.87</v>
      </c>
      <c r="E24" t="inlineStr"/>
      <c r="F24" t="inlineStr"/>
      <c r="G24" t="inlineStr">
        <is>
          <t>NOT_IN_NEW_RUN</t>
        </is>
      </c>
      <c r="H24" t="inlineStr"/>
      <c r="I24" t="inlineStr">
        <is>
          <t>case/document not harvested or below floor in this run</t>
        </is>
      </c>
    </row>
    <row r="25">
      <c r="A25" t="inlineStr">
        <is>
          <t>ATENA OPERADORA TURISTICA LTDA.</t>
        </is>
      </c>
      <c r="B25" t="inlineStr">
        <is>
          <t>21575389000173</t>
        </is>
      </c>
      <c r="C25" t="inlineStr">
        <is>
          <t>0820780-23.2026.8.14.0301</t>
        </is>
      </c>
      <c r="D25" s="10" t="n">
        <v>59285.71</v>
      </c>
      <c r="E25" t="inlineStr"/>
      <c r="F25" t="inlineStr"/>
      <c r="G25" t="inlineStr">
        <is>
          <t>NOT_IN_NEW_RUN</t>
        </is>
      </c>
      <c r="H25" t="inlineStr"/>
      <c r="I25" t="inlineStr">
        <is>
          <t>case/document not harvested or below floor in this run</t>
        </is>
      </c>
    </row>
    <row r="26">
      <c r="A26" t="inlineStr">
        <is>
          <t>DOMINIK COMERCIO E INDUSTRIA DE METAIS E EQUIPAMENTOS LTDA</t>
        </is>
      </c>
      <c r="B26" t="inlineStr">
        <is>
          <t>72332794000363</t>
        </is>
      </c>
      <c r="C26" t="inlineStr">
        <is>
          <t>8005129-09.2023.8.05.0039</t>
        </is>
      </c>
      <c r="D26" s="10" t="n">
        <v>56421.22</v>
      </c>
      <c r="E26" t="inlineStr"/>
      <c r="F26" t="inlineStr"/>
      <c r="G26" t="inlineStr">
        <is>
          <t>NOT_IN_NEW_RUN</t>
        </is>
      </c>
      <c r="H26" t="inlineStr"/>
      <c r="I26" t="inlineStr">
        <is>
          <t>case/document not harvested or below floor in this run</t>
        </is>
      </c>
    </row>
    <row r="27">
      <c r="A27" t="inlineStr">
        <is>
          <t>FUSOPAR PARAFUSOS LTDA</t>
        </is>
      </c>
      <c r="B27" t="inlineStr">
        <is>
          <t>89135073000102</t>
        </is>
      </c>
      <c r="C27" t="inlineStr"/>
      <c r="D27" s="10" t="n">
        <v>55215.92</v>
      </c>
      <c r="E27" t="inlineStr"/>
      <c r="F27" t="inlineStr"/>
      <c r="G27" t="inlineStr">
        <is>
          <t>NOT_IN_NEW_RUN</t>
        </is>
      </c>
      <c r="H27" t="inlineStr"/>
      <c r="I27" t="inlineStr">
        <is>
          <t>case/document not harvested or below floor in this run</t>
        </is>
      </c>
    </row>
    <row r="28">
      <c r="A28" t="inlineStr">
        <is>
          <t>BRASKEM S.A</t>
        </is>
      </c>
      <c r="B28" t="inlineStr">
        <is>
          <t>42150391003005</t>
        </is>
      </c>
      <c r="C28" t="inlineStr">
        <is>
          <t>0800778-16.2023.8.20.5104</t>
        </is>
      </c>
      <c r="D28" s="10" t="n">
        <v>46729.62</v>
      </c>
      <c r="E28" t="inlineStr"/>
      <c r="F28" t="inlineStr"/>
      <c r="G28" t="inlineStr">
        <is>
          <t>NOT_IN_NEW_RUN</t>
        </is>
      </c>
      <c r="H28" t="inlineStr"/>
      <c r="I28" t="inlineStr">
        <is>
          <t>case/document not harvested or below floor in this run</t>
        </is>
      </c>
    </row>
    <row r="29">
      <c r="A29" t="inlineStr">
        <is>
          <t>TRICHES FERRO E ACO LTDA</t>
        </is>
      </c>
      <c r="B29" t="inlineStr">
        <is>
          <t>88610605000145</t>
        </is>
      </c>
      <c r="C29" t="inlineStr"/>
      <c r="D29" s="10" t="n">
        <v>41683.03</v>
      </c>
      <c r="E29" t="inlineStr"/>
      <c r="F29" t="inlineStr"/>
      <c r="G29" t="inlineStr">
        <is>
          <t>NOT_IN_NEW_RUN</t>
        </is>
      </c>
      <c r="H29" t="inlineStr"/>
      <c r="I29" t="inlineStr">
        <is>
          <t>case/document not harvested or below floor in this run</t>
        </is>
      </c>
    </row>
    <row r="30">
      <c r="A30" t="inlineStr">
        <is>
          <t>SIDERURGICA NORTE BRASIL S/A</t>
        </is>
      </c>
      <c r="B30" t="inlineStr">
        <is>
          <t>07933914000154</t>
        </is>
      </c>
      <c r="C30" t="inlineStr">
        <is>
          <t>0800778-16.2023.8.20.5104</t>
        </is>
      </c>
      <c r="D30" s="10" t="n">
        <v>40552.92</v>
      </c>
      <c r="E30" t="inlineStr"/>
      <c r="F30" t="inlineStr"/>
      <c r="G30" t="inlineStr">
        <is>
          <t>NOT_IN_NEW_RUN</t>
        </is>
      </c>
      <c r="H30" t="inlineStr"/>
      <c r="I30" t="inlineStr">
        <is>
          <t>case/document not harvested or below floor in this run</t>
        </is>
      </c>
    </row>
    <row r="31">
      <c r="A31" t="inlineStr">
        <is>
          <t>MULTIPLAX INDUSTRIA E COMERCIO DE PLASTICOS LTDA</t>
        </is>
      </c>
      <c r="B31" t="inlineStr">
        <is>
          <t>09665178000550</t>
        </is>
      </c>
      <c r="C31" t="inlineStr">
        <is>
          <t>0800778-16.2023.8.20.5104</t>
        </is>
      </c>
      <c r="D31" s="10" t="n">
        <v>38625</v>
      </c>
      <c r="E31" t="inlineStr"/>
      <c r="F31" t="inlineStr"/>
      <c r="G31" t="inlineStr">
        <is>
          <t>NOT_IN_NEW_RUN</t>
        </is>
      </c>
      <c r="H31" t="inlineStr"/>
      <c r="I31" t="inlineStr">
        <is>
          <t>case/document not harvested or below floor in this run</t>
        </is>
      </c>
    </row>
    <row r="32">
      <c r="A32" t="inlineStr">
        <is>
          <t>INDUSTRIA DE TRANSFORMADORES AMAZONAS LTDA</t>
        </is>
      </c>
      <c r="B32" t="inlineStr">
        <is>
          <t>15815491000104</t>
        </is>
      </c>
      <c r="C32" t="inlineStr">
        <is>
          <t>0532018-89.2024.8.04.0001</t>
        </is>
      </c>
      <c r="D32" s="10" t="n">
        <v>37576.45</v>
      </c>
      <c r="E32" t="inlineStr"/>
      <c r="F32" t="inlineStr"/>
      <c r="G32" t="inlineStr">
        <is>
          <t>NOT_IN_NEW_RUN</t>
        </is>
      </c>
      <c r="H32" t="inlineStr"/>
      <c r="I32" t="inlineStr">
        <is>
          <t>case/document not harvested or below floor in this run</t>
        </is>
      </c>
    </row>
    <row r="33">
      <c r="A33" t="inlineStr">
        <is>
          <t>GRAFICA E EDITORA 3 DE MAIO LTDA</t>
        </is>
      </c>
      <c r="B33" t="inlineStr">
        <is>
          <t>76817808000128</t>
        </is>
      </c>
      <c r="C33" t="inlineStr"/>
      <c r="D33" s="10" t="n">
        <v>33089.33</v>
      </c>
      <c r="E33" t="inlineStr"/>
      <c r="F33" t="inlineStr"/>
      <c r="G33" t="inlineStr">
        <is>
          <t>NOT_IN_NEW_RUN</t>
        </is>
      </c>
      <c r="H33" t="inlineStr"/>
      <c r="I33" t="inlineStr">
        <is>
          <t>case/document not harvested or below floor in this run</t>
        </is>
      </c>
    </row>
    <row r="34">
      <c r="A34" t="inlineStr">
        <is>
          <t>POLIMAQUINAS INDUSTRIA E COMERCIO LIMITADA</t>
        </is>
      </c>
      <c r="B34" t="inlineStr">
        <is>
          <t>46142725000115</t>
        </is>
      </c>
      <c r="C34" t="inlineStr">
        <is>
          <t>0800778-16.2023.8.20.5104</t>
        </is>
      </c>
      <c r="D34" s="10" t="n">
        <v>32399.97</v>
      </c>
      <c r="E34" t="inlineStr"/>
      <c r="F34" t="inlineStr"/>
      <c r="G34" t="inlineStr">
        <is>
          <t>NOT_IN_NEW_RUN</t>
        </is>
      </c>
      <c r="H34" t="inlineStr"/>
      <c r="I34" t="inlineStr">
        <is>
          <t>case/document not harvested or below floor in this run</t>
        </is>
      </c>
    </row>
    <row r="35">
      <c r="A35" t="inlineStr">
        <is>
          <t>ROTA SUL TRANSPORTE DE CARGAS LTDA</t>
        </is>
      </c>
      <c r="B35" t="inlineStr">
        <is>
          <t>02442313000125</t>
        </is>
      </c>
      <c r="C35" t="inlineStr"/>
      <c r="D35" s="10" t="n">
        <v>31955.15</v>
      </c>
      <c r="E35" t="inlineStr"/>
      <c r="F35" t="inlineStr"/>
      <c r="G35" t="inlineStr">
        <is>
          <t>NOT_IN_NEW_RUN</t>
        </is>
      </c>
      <c r="H35" t="inlineStr"/>
      <c r="I35" t="inlineStr">
        <is>
          <t>case/document not harvested or below floor in this run</t>
        </is>
      </c>
    </row>
    <row r="36">
      <c r="A36" t="inlineStr">
        <is>
          <t>GEOFUSION SISTEMAS E SERVICOS DE INFORMATICA LTDA</t>
        </is>
      </c>
      <c r="B36" t="inlineStr">
        <is>
          <t>10502273000198</t>
        </is>
      </c>
      <c r="C36" t="inlineStr">
        <is>
          <t>0008526-45.2025.8.17.2001</t>
        </is>
      </c>
      <c r="D36" s="10" t="n">
        <v>30854.72</v>
      </c>
      <c r="E36" t="inlineStr"/>
      <c r="F36" t="inlineStr"/>
      <c r="G36" t="inlineStr">
        <is>
          <t>NOT_IN_NEW_RUN</t>
        </is>
      </c>
      <c r="H36" t="inlineStr"/>
      <c r="I36" t="inlineStr">
        <is>
          <t>case/document not harvested or below floor in this run</t>
        </is>
      </c>
    </row>
    <row r="37">
      <c r="A37" t="inlineStr">
        <is>
          <t>ELENKO SPORTS LTDA</t>
        </is>
      </c>
      <c r="B37" t="inlineStr">
        <is>
          <t>21317529000103</t>
        </is>
      </c>
      <c r="C37" t="inlineStr">
        <is>
          <t>0820780-23.2026.8.14.0301</t>
        </is>
      </c>
      <c r="D37" s="10" t="n">
        <v>27613.14</v>
      </c>
      <c r="E37" t="inlineStr"/>
      <c r="F37" t="inlineStr"/>
      <c r="G37" t="inlineStr">
        <is>
          <t>NOT_IN_NEW_RUN</t>
        </is>
      </c>
      <c r="H37" t="inlineStr"/>
      <c r="I37" t="inlineStr">
        <is>
          <t>case/document not harvested or below floor in this run</t>
        </is>
      </c>
    </row>
    <row r="38">
      <c r="A38" t="inlineStr">
        <is>
          <t>VALGROUP AM INDUSTRIA DE MASTERBATCH LTDA.</t>
        </is>
      </c>
      <c r="B38" t="inlineStr">
        <is>
          <t>03071894000360</t>
        </is>
      </c>
      <c r="C38" t="inlineStr">
        <is>
          <t>0800778-16.2023.8.20.5104</t>
        </is>
      </c>
      <c r="D38" s="10" t="n">
        <v>26655</v>
      </c>
      <c r="E38" t="inlineStr"/>
      <c r="F38" t="inlineStr"/>
      <c r="G38" t="inlineStr">
        <is>
          <t>NOT_IN_NEW_RUN</t>
        </is>
      </c>
      <c r="H38" t="inlineStr"/>
      <c r="I38" t="inlineStr">
        <is>
          <t>case/document not harvested or below floor in this run</t>
        </is>
      </c>
    </row>
    <row r="39">
      <c r="A39" t="inlineStr">
        <is>
          <t>FEDERAL EXPRESS CORPORATION</t>
        </is>
      </c>
      <c r="B39" t="inlineStr">
        <is>
          <t>00676486000182</t>
        </is>
      </c>
      <c r="C39" t="inlineStr"/>
      <c r="D39" s="10" t="n">
        <v>26451.14</v>
      </c>
      <c r="E39" t="inlineStr"/>
      <c r="F39" t="inlineStr"/>
      <c r="G39" t="inlineStr">
        <is>
          <t>NOT_IN_NEW_RUN</t>
        </is>
      </c>
      <c r="H39" t="inlineStr"/>
      <c r="I39" t="inlineStr">
        <is>
          <t>case/document not harvested or below floor in this run</t>
        </is>
      </c>
    </row>
    <row r="40">
      <c r="A40" t="inlineStr">
        <is>
          <t>UNIONLOG TRANSPORTES LTDA</t>
        </is>
      </c>
      <c r="B40" t="inlineStr">
        <is>
          <t>20919807000130</t>
        </is>
      </c>
      <c r="C40" t="inlineStr"/>
      <c r="D40" s="10" t="n">
        <v>26280.65</v>
      </c>
      <c r="E40" t="inlineStr"/>
      <c r="F40" t="inlineStr"/>
      <c r="G40" t="inlineStr">
        <is>
          <t>NOT_IN_NEW_RUN</t>
        </is>
      </c>
      <c r="H40" t="inlineStr"/>
      <c r="I40" t="inlineStr">
        <is>
          <t>case/document not harvested or below floor in this run</t>
        </is>
      </c>
    </row>
    <row r="41">
      <c r="A41" t="inlineStr">
        <is>
          <t>D'MARI - LOCACAO, TRANSPORTES E LOGISTICA LTDA</t>
        </is>
      </c>
      <c r="B41" t="inlineStr">
        <is>
          <t>11970436000120</t>
        </is>
      </c>
      <c r="C41" t="inlineStr">
        <is>
          <t>0008526-45.2025.8.17.2001</t>
        </is>
      </c>
      <c r="D41" s="10" t="n">
        <v>25714.19</v>
      </c>
      <c r="E41" t="inlineStr"/>
      <c r="F41" t="inlineStr"/>
      <c r="G41" t="inlineStr">
        <is>
          <t>NOT_IN_NEW_RUN</t>
        </is>
      </c>
      <c r="H41" t="inlineStr"/>
      <c r="I41" t="inlineStr">
        <is>
          <t>case/document not harvested or below floor in this run</t>
        </is>
      </c>
    </row>
    <row r="42">
      <c r="A42" t="inlineStr">
        <is>
          <t>ALUVID - INDUSTRIA E COMERCIO DE ALUMINIO E VIDROS LTDA</t>
        </is>
      </c>
      <c r="B42" t="inlineStr">
        <is>
          <t>13158783000188</t>
        </is>
      </c>
      <c r="C42" t="inlineStr">
        <is>
          <t>0800778-16.2023.8.20.5104</t>
        </is>
      </c>
      <c r="D42" s="10" t="n">
        <v>25178.72</v>
      </c>
      <c r="E42" t="inlineStr"/>
      <c r="F42" t="inlineStr"/>
      <c r="G42" t="inlineStr">
        <is>
          <t>NOT_IN_NEW_RUN</t>
        </is>
      </c>
      <c r="H42" t="inlineStr"/>
      <c r="I42" t="inlineStr">
        <is>
          <t>case/document not harvested or below floor in this run</t>
        </is>
      </c>
    </row>
    <row r="43">
      <c r="A43" t="inlineStr">
        <is>
          <t>TRANSPORTES CRISTOFOLI LTDA</t>
        </is>
      </c>
      <c r="B43" t="inlineStr">
        <is>
          <t>88670104000154</t>
        </is>
      </c>
      <c r="C43" t="inlineStr"/>
      <c r="D43" s="10" t="n">
        <v>22603.62</v>
      </c>
      <c r="E43" t="inlineStr"/>
      <c r="F43" t="inlineStr"/>
      <c r="G43" t="inlineStr">
        <is>
          <t>NOT_IN_NEW_RUN</t>
        </is>
      </c>
      <c r="H43" t="inlineStr"/>
      <c r="I43" t="inlineStr">
        <is>
          <t>case/document not harvested or below floor in this run</t>
        </is>
      </c>
    </row>
    <row r="44">
      <c r="A44" t="inlineStr">
        <is>
          <t>IBOPE REPUCOM PESQUISAS ESPORTIVAS LTDA.</t>
        </is>
      </c>
      <c r="B44" t="inlineStr">
        <is>
          <t>04618228000109</t>
        </is>
      </c>
      <c r="C44" t="inlineStr">
        <is>
          <t>0820780-23.2026.8.14.0301</t>
        </is>
      </c>
      <c r="D44" s="10" t="n">
        <v>22145.1</v>
      </c>
      <c r="E44" t="inlineStr"/>
      <c r="F44" t="inlineStr"/>
      <c r="G44" t="inlineStr">
        <is>
          <t>NOT_IN_NEW_RUN</t>
        </is>
      </c>
      <c r="H44" t="inlineStr"/>
      <c r="I44" t="inlineStr">
        <is>
          <t>case/document not harvested or below floor in this run</t>
        </is>
      </c>
    </row>
    <row r="45">
      <c r="A45" t="inlineStr">
        <is>
          <t>SERVICO SOCIAL DA INDUSTRIA DA CONSTRUCAO C DE MANAUS</t>
        </is>
      </c>
      <c r="B45" t="inlineStr">
        <is>
          <t>63692321000114</t>
        </is>
      </c>
      <c r="C45" t="inlineStr">
        <is>
          <t>0532018-89.2024.8.04.0001</t>
        </is>
      </c>
      <c r="D45" s="10" t="n">
        <v>20755.62</v>
      </c>
      <c r="E45" t="inlineStr"/>
      <c r="F45" t="inlineStr"/>
      <c r="G45" t="inlineStr">
        <is>
          <t>NOT_IN_NEW_RUN</t>
        </is>
      </c>
      <c r="H45" t="inlineStr"/>
      <c r="I45" t="inlineStr">
        <is>
          <t>case/document not harvested or below floor in this run</t>
        </is>
      </c>
    </row>
    <row r="46">
      <c r="A46" t="inlineStr">
        <is>
          <t>SERASA S.A.</t>
        </is>
      </c>
      <c r="B46" t="inlineStr">
        <is>
          <t>62173620009306</t>
        </is>
      </c>
      <c r="C46" t="inlineStr"/>
      <c r="D46" s="10" t="n">
        <v>20283.11</v>
      </c>
      <c r="E46" t="inlineStr"/>
      <c r="F46" t="inlineStr"/>
      <c r="G46" t="inlineStr">
        <is>
          <t>NOT_IN_NEW_RUN</t>
        </is>
      </c>
      <c r="H46" t="inlineStr"/>
      <c r="I46" t="inlineStr">
        <is>
          <t>case/document not harvested or below floor in this run</t>
        </is>
      </c>
    </row>
    <row r="47">
      <c r="A47" t="inlineStr">
        <is>
          <t>GRECCHI ADVOGADOS ASSOCIADOS</t>
        </is>
      </c>
      <c r="B47" t="inlineStr">
        <is>
          <t>06119227000137</t>
        </is>
      </c>
      <c r="C47" t="inlineStr"/>
      <c r="D47" s="10" t="n">
        <v>20000</v>
      </c>
      <c r="E47" t="inlineStr"/>
      <c r="F47" t="inlineStr"/>
      <c r="G47" t="inlineStr">
        <is>
          <t>NOT_IN_NEW_RUN</t>
        </is>
      </c>
      <c r="H47" t="inlineStr"/>
      <c r="I47" t="inlineStr">
        <is>
          <t>case/document not harvested or below floor in this run</t>
        </is>
      </c>
    </row>
    <row r="48">
      <c r="A48" t="inlineStr">
        <is>
          <t>DANIEL ARRUDA ARQUITETOS SS LTDA</t>
        </is>
      </c>
      <c r="B48" t="inlineStr">
        <is>
          <t>13384111000190</t>
        </is>
      </c>
      <c r="C48" t="inlineStr">
        <is>
          <t>0532018-89.2024.8.04.0001</t>
        </is>
      </c>
      <c r="D48" s="10" t="n">
        <v>18750</v>
      </c>
      <c r="E48" t="inlineStr"/>
      <c r="F48" t="inlineStr"/>
      <c r="G48" t="inlineStr">
        <is>
          <t>NOT_IN_NEW_RUN</t>
        </is>
      </c>
      <c r="H48" t="inlineStr"/>
      <c r="I48" t="inlineStr">
        <is>
          <t>case/document not harvested or below floor in this run</t>
        </is>
      </c>
    </row>
    <row r="49">
      <c r="A49" t="inlineStr">
        <is>
          <t>SKA AUTOMACAO DE ENGENHARIAS LTDA</t>
        </is>
      </c>
      <c r="B49" t="inlineStr">
        <is>
          <t>81329823000167</t>
        </is>
      </c>
      <c r="C49" t="inlineStr"/>
      <c r="D49" s="10" t="n">
        <v>17678.32</v>
      </c>
      <c r="E49" t="inlineStr"/>
      <c r="F49" t="inlineStr"/>
      <c r="G49" t="inlineStr">
        <is>
          <t>NOT_IN_NEW_RUN</t>
        </is>
      </c>
      <c r="H49" t="inlineStr"/>
      <c r="I49" t="inlineStr">
        <is>
          <t>case/document not harvested or below floor in this run</t>
        </is>
      </c>
    </row>
    <row r="50">
      <c r="A50" t="inlineStr">
        <is>
          <t>POLYBRAS - POLIMEROS BRASILEIROS LTDA</t>
        </is>
      </c>
      <c r="B50" t="inlineStr">
        <is>
          <t>17799898000102</t>
        </is>
      </c>
      <c r="C50" t="inlineStr">
        <is>
          <t>0800778-16.2023.8.20.5104</t>
        </is>
      </c>
      <c r="D50" s="10" t="n">
        <v>17457.66</v>
      </c>
      <c r="E50" t="inlineStr"/>
      <c r="F50" t="inlineStr"/>
      <c r="G50" t="inlineStr">
        <is>
          <t>NOT_IN_NEW_RUN</t>
        </is>
      </c>
      <c r="H50" t="inlineStr"/>
      <c r="I50" t="inlineStr">
        <is>
          <t>case/document not harvested or below floor in this run</t>
        </is>
      </c>
    </row>
    <row r="51">
      <c r="A51" t="inlineStr">
        <is>
          <t>DELL COMPUTADORES DO BRASIL LTDA</t>
        </is>
      </c>
      <c r="B51" t="inlineStr">
        <is>
          <t>72381189001001</t>
        </is>
      </c>
      <c r="C51" t="inlineStr">
        <is>
          <t>0532018-89.2024.8.04.0001</t>
        </is>
      </c>
      <c r="D51" s="10" t="n">
        <v>17118.62</v>
      </c>
      <c r="E51" t="inlineStr"/>
      <c r="F51" t="inlineStr"/>
      <c r="G51" t="inlineStr">
        <is>
          <t>NOT_IN_NEW_RUN</t>
        </is>
      </c>
      <c r="H51" t="inlineStr"/>
      <c r="I51" t="inlineStr">
        <is>
          <t>case/document not harvested or below floor in this run</t>
        </is>
      </c>
    </row>
    <row r="52">
      <c r="A52" t="inlineStr">
        <is>
          <t>WIRECARD BRAZIL TECNOLOGIA LTDA</t>
        </is>
      </c>
      <c r="B52" t="inlineStr">
        <is>
          <t>08718431000108</t>
        </is>
      </c>
      <c r="C52" t="inlineStr"/>
      <c r="D52" s="10" t="n">
        <v>16692.2</v>
      </c>
      <c r="E52" t="inlineStr"/>
      <c r="F52" t="inlineStr"/>
      <c r="G52" t="inlineStr">
        <is>
          <t>NOT_IN_NEW_RUN</t>
        </is>
      </c>
      <c r="H52" t="inlineStr"/>
      <c r="I52" t="inlineStr">
        <is>
          <t>case/document not harvested or below floor in this run</t>
        </is>
      </c>
    </row>
    <row r="53">
      <c r="A53" t="inlineStr">
        <is>
          <t>AVALARA BRASIL - ASSESSORIA E CONSULTORIA TRIBUTARIA E TECNOLOGICA LTDA</t>
        </is>
      </c>
      <c r="B53" t="inlineStr">
        <is>
          <t>24918171000162</t>
        </is>
      </c>
      <c r="C53" t="inlineStr">
        <is>
          <t>0008526-45.2025.8.17.2001</t>
        </is>
      </c>
      <c r="D53" s="10" t="n">
        <v>16537.5</v>
      </c>
      <c r="E53" t="inlineStr"/>
      <c r="F53" t="inlineStr"/>
      <c r="G53" t="inlineStr">
        <is>
          <t>NOT_IN_NEW_RUN</t>
        </is>
      </c>
      <c r="H53" t="inlineStr"/>
      <c r="I53" t="inlineStr">
        <is>
          <t>case/document not harvested or below floor in this run</t>
        </is>
      </c>
    </row>
    <row r="54">
      <c r="A54" t="inlineStr">
        <is>
          <t>TINTAS IQUINE LTDA.</t>
        </is>
      </c>
      <c r="B54" t="inlineStr">
        <is>
          <t>09722463000131</t>
        </is>
      </c>
      <c r="C54" t="inlineStr">
        <is>
          <t>0800778-16.2023.8.20.5104</t>
        </is>
      </c>
      <c r="D54" s="10" t="n">
        <v>16320.88</v>
      </c>
      <c r="E54" t="inlineStr"/>
      <c r="F54" t="inlineStr"/>
      <c r="G54" t="inlineStr">
        <is>
          <t>NOT_IN_NEW_RUN</t>
        </is>
      </c>
      <c r="H54" t="inlineStr"/>
      <c r="I54" t="inlineStr">
        <is>
          <t>case/document not harvested or below floor in this run</t>
        </is>
      </c>
    </row>
    <row r="55">
      <c r="A55" t="inlineStr">
        <is>
          <t>NOVA TRIGO RESINAS TERMOPLASTICAS LTDA.</t>
        </is>
      </c>
      <c r="B55" t="inlineStr">
        <is>
          <t>07094272000147</t>
        </is>
      </c>
      <c r="C55" t="inlineStr"/>
      <c r="D55" s="10" t="n">
        <v>16275</v>
      </c>
      <c r="E55" t="inlineStr"/>
      <c r="F55" t="inlineStr"/>
      <c r="G55" t="inlineStr">
        <is>
          <t>NOT_IN_NEW_RUN</t>
        </is>
      </c>
      <c r="H55" t="inlineStr"/>
      <c r="I55" t="inlineStr">
        <is>
          <t>case/document not harvested or below floor in this run</t>
        </is>
      </c>
    </row>
    <row r="56">
      <c r="A56" t="inlineStr">
        <is>
          <t>BRASIL QUIMICA E MINERACAO INDUSTRIAL LTDA</t>
        </is>
      </c>
      <c r="B56" t="inlineStr">
        <is>
          <t>24373276000183</t>
        </is>
      </c>
      <c r="C56" t="inlineStr">
        <is>
          <t>0800778-16.2023.8.20.5104</t>
        </is>
      </c>
      <c r="D56" s="10" t="n">
        <v>13973.5</v>
      </c>
      <c r="E56" t="inlineStr"/>
      <c r="F56" t="inlineStr"/>
      <c r="G56" t="inlineStr">
        <is>
          <t>NOT_IN_NEW_RUN</t>
        </is>
      </c>
      <c r="H56" t="inlineStr"/>
      <c r="I56" t="inlineStr">
        <is>
          <t>case/document not harvested or below floor in this run</t>
        </is>
      </c>
    </row>
    <row r="57">
      <c r="A57" t="inlineStr">
        <is>
          <t>MARTINELLI ADVOCACIA EMPRESARIAL</t>
        </is>
      </c>
      <c r="B57" t="inlineStr">
        <is>
          <t>01650515000108</t>
        </is>
      </c>
      <c r="C57" t="inlineStr"/>
      <c r="D57" s="10" t="n">
        <v>12843.96</v>
      </c>
      <c r="E57" t="inlineStr"/>
      <c r="F57" t="inlineStr"/>
      <c r="G57" t="inlineStr">
        <is>
          <t>NOT_IN_NEW_RUN</t>
        </is>
      </c>
      <c r="H57" t="inlineStr"/>
      <c r="I57" t="inlineStr">
        <is>
          <t>case/document not harvested or below floor in this run</t>
        </is>
      </c>
    </row>
    <row r="58">
      <c r="A58" t="inlineStr">
        <is>
          <t>CERAMICA SERRA AZUL LTDA</t>
        </is>
      </c>
      <c r="B58" t="inlineStr">
        <is>
          <t>07378783000190</t>
        </is>
      </c>
      <c r="C58" t="inlineStr">
        <is>
          <t>0800778-16.2023.8.20.5104</t>
        </is>
      </c>
      <c r="D58" s="10" t="n">
        <v>12517.38</v>
      </c>
      <c r="E58" t="inlineStr"/>
      <c r="F58" t="inlineStr"/>
      <c r="G58" t="inlineStr">
        <is>
          <t>NOT_IN_NEW_RUN</t>
        </is>
      </c>
      <c r="H58" t="inlineStr"/>
      <c r="I58" t="inlineStr">
        <is>
          <t>case/document not harvested or below floor in this run</t>
        </is>
      </c>
    </row>
    <row r="59">
      <c r="A59" t="inlineStr">
        <is>
          <t>CONDOMINIO INDUSTRIAL DO RIBEIRAO</t>
        </is>
      </c>
      <c r="B59" t="inlineStr">
        <is>
          <t>05646097000128</t>
        </is>
      </c>
      <c r="C59" t="inlineStr">
        <is>
          <t>8005129-09.2023.8.05.0039</t>
        </is>
      </c>
      <c r="D59" s="10" t="n">
        <v>12317.46</v>
      </c>
      <c r="E59" t="inlineStr"/>
      <c r="F59" t="inlineStr"/>
      <c r="G59" t="inlineStr">
        <is>
          <t>NOT_IN_NEW_RUN</t>
        </is>
      </c>
      <c r="H59" t="inlineStr"/>
      <c r="I59" t="inlineStr">
        <is>
          <t>case/document not harvested or below floor in this run</t>
        </is>
      </c>
    </row>
    <row r="60">
      <c r="A60" t="inlineStr">
        <is>
          <t>CLARO S.A.</t>
        </is>
      </c>
      <c r="B60" t="inlineStr">
        <is>
          <t>40432544000147</t>
        </is>
      </c>
      <c r="C60" t="inlineStr">
        <is>
          <t>0652260-87.2018.8.04.0001</t>
        </is>
      </c>
      <c r="D60" s="10" t="n">
        <v>12152.61</v>
      </c>
      <c r="E60" t="inlineStr"/>
      <c r="F60" t="inlineStr"/>
      <c r="G60" t="inlineStr">
        <is>
          <t>NOT_IN_NEW_RUN</t>
        </is>
      </c>
      <c r="H60" t="inlineStr"/>
      <c r="I60" t="inlineStr">
        <is>
          <t>case/document not harvested or below floor in this run</t>
        </is>
      </c>
    </row>
    <row r="61">
      <c r="A61" t="inlineStr">
        <is>
          <t>CASA DO ELETRICISTA LTDA</t>
        </is>
      </c>
      <c r="B61" t="inlineStr">
        <is>
          <t>04415154000103</t>
        </is>
      </c>
      <c r="C61" t="inlineStr">
        <is>
          <t>0652260-87.2018.8.04.0001</t>
        </is>
      </c>
      <c r="D61" s="10" t="n">
        <v>12152.61</v>
      </c>
      <c r="E61" t="inlineStr"/>
      <c r="F61" t="inlineStr"/>
      <c r="G61" t="inlineStr">
        <is>
          <t>NOT_IN_NEW_RUN</t>
        </is>
      </c>
      <c r="H61" t="inlineStr"/>
      <c r="I61" t="inlineStr">
        <is>
          <t>case/document not harvested or below floor in this run</t>
        </is>
      </c>
    </row>
    <row r="62">
      <c r="A62" t="inlineStr">
        <is>
          <t>MACROPECAS COMERCIAL LTDA</t>
        </is>
      </c>
      <c r="B62" t="inlineStr">
        <is>
          <t>10179869000107</t>
        </is>
      </c>
      <c r="C62" t="inlineStr">
        <is>
          <t>0652260-87.2018.8.04.0001</t>
        </is>
      </c>
      <c r="D62" s="10" t="n">
        <v>11986.75</v>
      </c>
      <c r="E62" t="inlineStr"/>
      <c r="F62" t="inlineStr"/>
      <c r="G62" t="inlineStr">
        <is>
          <t>NOT_IN_NEW_RUN</t>
        </is>
      </c>
      <c r="H62" t="inlineStr"/>
      <c r="I62" t="inlineStr">
        <is>
          <t>case/document not harvested or below floor in this run</t>
        </is>
      </c>
    </row>
    <row r="63">
      <c r="A63" t="inlineStr">
        <is>
          <t>GEOFUSION SISTEMAS E SERVICOS DE INFORMATICA LTDA</t>
        </is>
      </c>
      <c r="B63" t="inlineStr">
        <is>
          <t>10502273000198</t>
        </is>
      </c>
      <c r="C63" t="inlineStr">
        <is>
          <t>0532018-89.2024.8.04.0001</t>
        </is>
      </c>
      <c r="D63" s="10" t="n">
        <v>10785.17</v>
      </c>
      <c r="E63" t="inlineStr"/>
      <c r="F63" t="inlineStr"/>
      <c r="G63" t="inlineStr">
        <is>
          <t>NOT_IN_NEW_RUN</t>
        </is>
      </c>
      <c r="H63" t="inlineStr"/>
      <c r="I63" t="inlineStr">
        <is>
          <t>case/document not harvested or below floor in this run</t>
        </is>
      </c>
    </row>
    <row r="64">
      <c r="A64" t="inlineStr">
        <is>
          <t>CONDOMINIO LEVE-CASTANHEIRA RESIDENCIAL PARK</t>
        </is>
      </c>
      <c r="B64" t="inlineStr">
        <is>
          <t>30686394000144</t>
        </is>
      </c>
      <c r="C64" t="inlineStr">
        <is>
          <t>0532018-89.2024.8.04.0001</t>
        </is>
      </c>
      <c r="D64" s="10" t="n">
        <v>10707.09</v>
      </c>
      <c r="E64" t="inlineStr"/>
      <c r="F64" t="inlineStr"/>
      <c r="G64" t="inlineStr">
        <is>
          <t>NOT_IN_NEW_RUN</t>
        </is>
      </c>
      <c r="H64" t="inlineStr"/>
      <c r="I64" t="inlineStr">
        <is>
          <t>case/document not harvested or below floor in this run</t>
        </is>
      </c>
    </row>
    <row r="65">
      <c r="A65" t="inlineStr">
        <is>
          <t>RESIDENCIAL PREDILETTO PARQUE DEZ</t>
        </is>
      </c>
      <c r="B65" t="inlineStr">
        <is>
          <t>43916601000151</t>
        </is>
      </c>
      <c r="C65" t="inlineStr">
        <is>
          <t>0532018-89.2024.8.04.0001</t>
        </is>
      </c>
      <c r="D65" s="10" t="n">
        <v>10222.25</v>
      </c>
      <c r="E65" t="inlineStr"/>
      <c r="F65" t="inlineStr"/>
      <c r="G65" t="inlineStr">
        <is>
          <t>NOT_IN_NEW_RUN</t>
        </is>
      </c>
      <c r="H65" t="inlineStr"/>
      <c r="I65" t="inlineStr">
        <is>
          <t>case/document not harvested or below floor in this run</t>
        </is>
      </c>
    </row>
    <row r="66">
      <c r="A66" t="inlineStr">
        <is>
          <t>MUDANCAS SAMUCA LTDA</t>
        </is>
      </c>
      <c r="B66" t="inlineStr">
        <is>
          <t>04559137000131</t>
        </is>
      </c>
      <c r="C66" t="inlineStr"/>
      <c r="D66" s="10" t="n">
        <v>9900</v>
      </c>
      <c r="E66" t="inlineStr"/>
      <c r="F66" t="inlineStr"/>
      <c r="G66" t="inlineStr">
        <is>
          <t>NOT_IN_NEW_RUN</t>
        </is>
      </c>
      <c r="H66" t="inlineStr"/>
      <c r="I66" t="inlineStr">
        <is>
          <t>case/document not harvested or below floor in this run</t>
        </is>
      </c>
    </row>
    <row r="67">
      <c r="A67" t="inlineStr">
        <is>
          <t>RECOM ETIQUETAS E EMBALAGENS LTDA</t>
        </is>
      </c>
      <c r="B67" t="inlineStr">
        <is>
          <t>53797932000173</t>
        </is>
      </c>
      <c r="C67" t="inlineStr">
        <is>
          <t>8005129-09.2023.8.05.0039</t>
        </is>
      </c>
      <c r="D67" s="10" t="n">
        <v>9764.48</v>
      </c>
      <c r="E67" t="inlineStr"/>
      <c r="F67" t="inlineStr"/>
      <c r="G67" t="inlineStr">
        <is>
          <t>NOT_IN_NEW_RUN</t>
        </is>
      </c>
      <c r="H67" t="inlineStr"/>
      <c r="I67" t="inlineStr">
        <is>
          <t>case/document not harvested or below floor in this run</t>
        </is>
      </c>
    </row>
    <row r="68">
      <c r="A68" t="inlineStr">
        <is>
          <t>TRANSPORTES MOBILINE LTDA</t>
        </is>
      </c>
      <c r="B68" t="inlineStr">
        <is>
          <t>03341775000119</t>
        </is>
      </c>
      <c r="C68" t="inlineStr"/>
      <c r="D68" s="10" t="n">
        <v>9698.610000000001</v>
      </c>
      <c r="E68" t="inlineStr"/>
      <c r="F68" t="inlineStr"/>
      <c r="G68" t="inlineStr">
        <is>
          <t>NOT_IN_NEW_RUN</t>
        </is>
      </c>
      <c r="H68" t="inlineStr"/>
      <c r="I68" t="inlineStr">
        <is>
          <t>case/document not harvested or below floor in this run</t>
        </is>
      </c>
    </row>
    <row r="69">
      <c r="A69" t="inlineStr">
        <is>
          <t>LOCALIZA FLEET S.A.</t>
        </is>
      </c>
      <c r="B69" t="inlineStr">
        <is>
          <t>02286479000108</t>
        </is>
      </c>
      <c r="C69" t="inlineStr">
        <is>
          <t>8005129-09.2023.8.05.0039</t>
        </is>
      </c>
      <c r="D69" s="10" t="n">
        <v>9529.6</v>
      </c>
      <c r="E69" t="inlineStr"/>
      <c r="F69" t="inlineStr"/>
      <c r="G69" t="inlineStr">
        <is>
          <t>NOT_IN_NEW_RUN</t>
        </is>
      </c>
      <c r="H69" t="inlineStr"/>
      <c r="I69" t="inlineStr">
        <is>
          <t>case/document not harvested or below floor in this run</t>
        </is>
      </c>
    </row>
    <row r="70">
      <c r="A70" t="inlineStr">
        <is>
          <t>AIR LIQUIDE BRASIL LTDA</t>
        </is>
      </c>
      <c r="B70" t="inlineStr">
        <is>
          <t>00331788005420</t>
        </is>
      </c>
      <c r="C70" t="inlineStr"/>
      <c r="D70" s="10" t="n">
        <v>9171.65</v>
      </c>
      <c r="E70" t="inlineStr"/>
      <c r="F70" t="inlineStr"/>
      <c r="G70" t="inlineStr">
        <is>
          <t>NOT_IN_NEW_RUN</t>
        </is>
      </c>
      <c r="H70" t="inlineStr"/>
      <c r="I70" t="inlineStr">
        <is>
          <t>case/document not harvested or below floor in this run</t>
        </is>
      </c>
    </row>
    <row r="71">
      <c r="A71" t="inlineStr">
        <is>
          <t>ATUAL CARGAS TRANSPORTES LTDA</t>
        </is>
      </c>
      <c r="B71" t="inlineStr">
        <is>
          <t>08848231001133</t>
        </is>
      </c>
      <c r="C71" t="inlineStr"/>
      <c r="D71" s="10" t="n">
        <v>8912.48</v>
      </c>
      <c r="E71" t="inlineStr"/>
      <c r="F71" t="inlineStr"/>
      <c r="G71" t="inlineStr">
        <is>
          <t>NOT_IN_NEW_RUN</t>
        </is>
      </c>
      <c r="H71" t="inlineStr"/>
      <c r="I71" t="inlineStr">
        <is>
          <t>case/document not harvested or below floor in this run</t>
        </is>
      </c>
    </row>
    <row r="72">
      <c r="A72" t="inlineStr">
        <is>
          <t>FRANCIMAR REPRESENTACOES LTDA</t>
        </is>
      </c>
      <c r="B72" t="inlineStr">
        <is>
          <t>76823467000284</t>
        </is>
      </c>
      <c r="C72" t="inlineStr"/>
      <c r="D72" s="10" t="n">
        <v>8471.35</v>
      </c>
      <c r="E72" t="inlineStr"/>
      <c r="F72" t="inlineStr"/>
      <c r="G72" t="inlineStr">
        <is>
          <t>NOT_IN_NEW_RUN</t>
        </is>
      </c>
      <c r="H72" t="inlineStr"/>
      <c r="I72" t="inlineStr">
        <is>
          <t>case/document not harvested or below floor in this run</t>
        </is>
      </c>
    </row>
    <row r="73">
      <c r="A73" t="inlineStr">
        <is>
          <t>SERRA BRASIL TRANSPORTES LTDA</t>
        </is>
      </c>
      <c r="B73" t="inlineStr">
        <is>
          <t>15334893000189</t>
        </is>
      </c>
      <c r="C73" t="inlineStr"/>
      <c r="D73" s="10" t="n">
        <v>8329.34</v>
      </c>
      <c r="E73" t="inlineStr"/>
      <c r="F73" t="inlineStr"/>
      <c r="G73" t="inlineStr">
        <is>
          <t>NOT_IN_NEW_RUN</t>
        </is>
      </c>
      <c r="H73" t="inlineStr"/>
      <c r="I73" t="inlineStr">
        <is>
          <t>case/document not harvested or below floor in this run</t>
        </is>
      </c>
    </row>
    <row r="74">
      <c r="A74" t="inlineStr">
        <is>
          <t>GOUVEA &amp; CAMPANA LTDA</t>
        </is>
      </c>
      <c r="B74" t="inlineStr">
        <is>
          <t>11949543000176</t>
        </is>
      </c>
      <c r="C74" t="inlineStr"/>
      <c r="D74" s="10" t="n">
        <v>7772</v>
      </c>
      <c r="E74" t="inlineStr"/>
      <c r="F74" t="inlineStr"/>
      <c r="G74" t="inlineStr">
        <is>
          <t>NOT_IN_NEW_RUN</t>
        </is>
      </c>
      <c r="H74" t="inlineStr"/>
      <c r="I74" t="inlineStr">
        <is>
          <t>case/document not harvested or below floor in this run</t>
        </is>
      </c>
    </row>
    <row r="75">
      <c r="A75" t="inlineStr">
        <is>
          <t>TELEFONICA CLOUD E TECNOLOGIA DO BRASIL S.A.</t>
        </is>
      </c>
      <c r="B75" t="inlineStr">
        <is>
          <t>35473014000107</t>
        </is>
      </c>
      <c r="C75" t="inlineStr">
        <is>
          <t>0804401-51.2025.8.14.0039</t>
        </is>
      </c>
      <c r="D75" s="10" t="n">
        <v>7694.61</v>
      </c>
      <c r="E75" t="inlineStr"/>
      <c r="F75" t="inlineStr"/>
      <c r="G75" t="inlineStr">
        <is>
          <t>NOT_IN_NEW_RUN</t>
        </is>
      </c>
      <c r="H75" t="inlineStr"/>
      <c r="I75" t="inlineStr">
        <is>
          <t>case/document not harvested or below floor in this run</t>
        </is>
      </c>
    </row>
    <row r="76">
      <c r="A76" t="inlineStr">
        <is>
          <t>ACO CEARENSE COMERCIAL LTDA</t>
        </is>
      </c>
      <c r="B76" t="inlineStr">
        <is>
          <t>07557333001056</t>
        </is>
      </c>
      <c r="C76" t="inlineStr">
        <is>
          <t>0800778-16.2023.8.20.5104</t>
        </is>
      </c>
      <c r="D76" s="10" t="n">
        <v>7605.9</v>
      </c>
      <c r="E76" t="inlineStr"/>
      <c r="F76" t="inlineStr"/>
      <c r="G76" t="inlineStr">
        <is>
          <t>NOT_IN_NEW_RUN</t>
        </is>
      </c>
      <c r="H76" t="inlineStr"/>
      <c r="I76" t="inlineStr">
        <is>
          <t>case/document not harvested or below floor in this run</t>
        </is>
      </c>
    </row>
    <row r="77">
      <c r="A77" t="inlineStr">
        <is>
          <t>GPBR PARTICIPACOES LTDA.</t>
        </is>
      </c>
      <c r="B77" t="inlineStr">
        <is>
          <t>15664649000184</t>
        </is>
      </c>
      <c r="C77" t="inlineStr">
        <is>
          <t>0008526-45.2025.8.17.2001</t>
        </is>
      </c>
      <c r="D77" s="10" t="n">
        <v>7338.93</v>
      </c>
      <c r="E77" t="inlineStr"/>
      <c r="F77" t="inlineStr"/>
      <c r="G77" t="inlineStr">
        <is>
          <t>NOT_IN_NEW_RUN</t>
        </is>
      </c>
      <c r="H77" t="inlineStr"/>
      <c r="I77" t="inlineStr">
        <is>
          <t>case/document not harvested or below floor in this run</t>
        </is>
      </c>
    </row>
    <row r="78">
      <c r="A78" t="inlineStr">
        <is>
          <t>TRANSPORTES RODOVIA SUL LTDA</t>
        </is>
      </c>
      <c r="B78" t="inlineStr">
        <is>
          <t>90863325000190</t>
        </is>
      </c>
      <c r="C78" t="inlineStr"/>
      <c r="D78" s="10" t="n">
        <v>6981.59</v>
      </c>
      <c r="E78" t="inlineStr"/>
      <c r="F78" t="inlineStr"/>
      <c r="G78" t="inlineStr">
        <is>
          <t>NOT_IN_NEW_RUN</t>
        </is>
      </c>
      <c r="H78" t="inlineStr"/>
      <c r="I78" t="inlineStr">
        <is>
          <t>case/document not harvested or below floor in this run</t>
        </is>
      </c>
    </row>
    <row r="79">
      <c r="A79" t="inlineStr">
        <is>
          <t>PLANAC I. T. - COMERCIO DIGITAL LTDA</t>
        </is>
      </c>
      <c r="B79" t="inlineStr">
        <is>
          <t>05592445000121</t>
        </is>
      </c>
      <c r="C79" t="inlineStr">
        <is>
          <t>0532018-89.2024.8.04.0001</t>
        </is>
      </c>
      <c r="D79" s="10" t="n">
        <v>6971.81</v>
      </c>
      <c r="E79" t="inlineStr"/>
      <c r="F79" t="inlineStr"/>
      <c r="G79" t="inlineStr">
        <is>
          <t>NOT_IN_NEW_RUN</t>
        </is>
      </c>
      <c r="H79" t="inlineStr"/>
      <c r="I79" t="inlineStr">
        <is>
          <t>case/document not harvested or below floor in this run</t>
        </is>
      </c>
    </row>
    <row r="80">
      <c r="A80" t="inlineStr">
        <is>
          <t>BAKOF PLASTICOS LTDA EM RECUPERACAO JUDICIAL</t>
        </is>
      </c>
      <c r="B80" t="inlineStr">
        <is>
          <t>91967067000317</t>
        </is>
      </c>
      <c r="C80" t="inlineStr">
        <is>
          <t>0800778-16.2023.8.20.5104</t>
        </is>
      </c>
      <c r="D80" s="10" t="n">
        <v>6483</v>
      </c>
      <c r="E80" t="inlineStr"/>
      <c r="F80" t="inlineStr"/>
      <c r="G80" t="inlineStr">
        <is>
          <t>NOT_IN_NEW_RUN</t>
        </is>
      </c>
      <c r="H80" t="inlineStr"/>
      <c r="I80" t="inlineStr">
        <is>
          <t>case/document not harvested or below floor in this run</t>
        </is>
      </c>
    </row>
    <row r="81">
      <c r="A81" t="inlineStr">
        <is>
          <t>NANO EMBALAGENS LTDA</t>
        </is>
      </c>
      <c r="B81" t="inlineStr">
        <is>
          <t>04577829000102</t>
        </is>
      </c>
      <c r="C81" t="inlineStr"/>
      <c r="D81" s="10" t="n">
        <v>5589.04</v>
      </c>
      <c r="E81" t="inlineStr"/>
      <c r="F81" t="inlineStr"/>
      <c r="G81" t="inlineStr">
        <is>
          <t>NOT_IN_NEW_RUN</t>
        </is>
      </c>
      <c r="H81" t="inlineStr"/>
      <c r="I81" t="inlineStr">
        <is>
          <t>case/document not harvested or below floor in this run</t>
        </is>
      </c>
    </row>
    <row r="82">
      <c r="A82" t="inlineStr">
        <is>
          <t>DECORACAO CASA 4 COMERCIO DE MOVEIS LTDA.</t>
        </is>
      </c>
      <c r="B82" t="inlineStr">
        <is>
          <t>16604239000100</t>
        </is>
      </c>
      <c r="C82" t="inlineStr"/>
      <c r="D82" s="10" t="n">
        <v>5038.28</v>
      </c>
      <c r="E82" t="inlineStr"/>
      <c r="F82" t="inlineStr"/>
      <c r="G82" t="inlineStr">
        <is>
          <t>NOT_IN_NEW_RUN</t>
        </is>
      </c>
      <c r="H82" t="inlineStr"/>
      <c r="I82" t="inlineStr">
        <is>
          <t>case/document not harvested or below floor in this run</t>
        </is>
      </c>
    </row>
    <row r="83">
      <c r="A83" t="inlineStr">
        <is>
          <t>ALUSUPRA ALUMINIO LTDA</t>
        </is>
      </c>
      <c r="B83" t="inlineStr">
        <is>
          <t>08329905000111</t>
        </is>
      </c>
      <c r="C83" t="inlineStr"/>
      <c r="D83" s="10" t="n">
        <v>5024.32</v>
      </c>
      <c r="E83" t="inlineStr"/>
      <c r="F83" t="inlineStr"/>
      <c r="G83" t="inlineStr">
        <is>
          <t>NOT_IN_NEW_RUN</t>
        </is>
      </c>
      <c r="H83" t="inlineStr"/>
      <c r="I83" t="inlineStr">
        <is>
          <t>case/document not harvested or below floor in this run</t>
        </is>
      </c>
    </row>
    <row r="84">
      <c r="A84" t="inlineStr">
        <is>
          <t>CL SUL TRANSPORTES LTDA</t>
        </is>
      </c>
      <c r="B84" t="inlineStr">
        <is>
          <t>08025373000390</t>
        </is>
      </c>
      <c r="C84" t="inlineStr">
        <is>
          <t>8005129-09.2023.8.05.0039</t>
        </is>
      </c>
      <c r="D84" s="10" t="n">
        <v>4900</v>
      </c>
      <c r="E84" t="inlineStr"/>
      <c r="F84" t="inlineStr"/>
      <c r="G84" t="inlineStr">
        <is>
          <t>NOT_IN_NEW_RUN</t>
        </is>
      </c>
      <c r="H84" t="inlineStr"/>
      <c r="I84" t="inlineStr">
        <is>
          <t>case/document not harvested or below floor in this run</t>
        </is>
      </c>
    </row>
    <row r="85">
      <c r="A85" t="inlineStr">
        <is>
          <t>DISMAFER DISTRIBUIDORA DE MAQUINAS E FERRAMENTAS LTDA</t>
        </is>
      </c>
      <c r="B85" t="inlineStr">
        <is>
          <t>04112126000109</t>
        </is>
      </c>
      <c r="C85" t="inlineStr"/>
      <c r="D85" s="10" t="n">
        <v>4783.1</v>
      </c>
      <c r="E85" t="inlineStr"/>
      <c r="F85" t="inlineStr"/>
      <c r="G85" t="inlineStr">
        <is>
          <t>NOT_IN_NEW_RUN</t>
        </is>
      </c>
      <c r="H85" t="inlineStr"/>
      <c r="I85" t="inlineStr">
        <is>
          <t>case/document not harvested or below floor in this run</t>
        </is>
      </c>
    </row>
    <row r="86">
      <c r="A86" t="inlineStr">
        <is>
          <t>BUSARELLO COMERCIO ATACADISTA DE EMBALAGENS LTDA</t>
        </is>
      </c>
      <c r="B86" t="inlineStr">
        <is>
          <t>09037969000101</t>
        </is>
      </c>
      <c r="C86" t="inlineStr"/>
      <c r="D86" s="10" t="n">
        <v>4717.5</v>
      </c>
      <c r="E86" t="inlineStr"/>
      <c r="F86" t="inlineStr"/>
      <c r="G86" t="inlineStr">
        <is>
          <t>NOT_IN_NEW_RUN</t>
        </is>
      </c>
      <c r="H86" t="inlineStr"/>
      <c r="I86" t="inlineStr">
        <is>
          <t>case/document not harvested or below floor in this run</t>
        </is>
      </c>
    </row>
    <row r="87">
      <c r="A87" t="inlineStr">
        <is>
          <t>NEOGRID INFORMATICA LTDA</t>
        </is>
      </c>
      <c r="B87" t="inlineStr">
        <is>
          <t>05794609000101</t>
        </is>
      </c>
      <c r="C87" t="inlineStr">
        <is>
          <t>0008526-45.2025.8.17.2001</t>
        </is>
      </c>
      <c r="D87" s="10" t="n">
        <v>4699.29</v>
      </c>
      <c r="E87" t="inlineStr"/>
      <c r="F87" t="inlineStr"/>
      <c r="G87" t="inlineStr">
        <is>
          <t>NOT_IN_NEW_RUN</t>
        </is>
      </c>
      <c r="H87" t="inlineStr"/>
      <c r="I87" t="inlineStr">
        <is>
          <t>case/document not harvested or below floor in this run</t>
        </is>
      </c>
    </row>
    <row r="88">
      <c r="A88" t="inlineStr">
        <is>
          <t>CROPFERT INDUSTRIA DE FERTILIZANTES E AGROQUIMICOS LTDA</t>
        </is>
      </c>
      <c r="B88" t="inlineStr">
        <is>
          <t>18373437000136</t>
        </is>
      </c>
      <c r="C88" t="inlineStr">
        <is>
          <t>0804401-51.2025.8.14.0039</t>
        </is>
      </c>
      <c r="D88" s="10" t="n">
        <v>467392</v>
      </c>
      <c r="E88" s="10" t="n">
        <v>467392</v>
      </c>
      <c r="F88" s="10" t="n">
        <v>0</v>
      </c>
      <c r="G88" t="inlineStr">
        <is>
          <t>SAME</t>
        </is>
      </c>
      <c r="H88" t="inlineStr">
        <is>
          <t>18373437000136</t>
        </is>
      </c>
      <c r="I88" t="inlineStr"/>
    </row>
    <row r="89">
      <c r="A89" t="inlineStr">
        <is>
          <t>FRETEFY TECNOLOGIA S.A.</t>
        </is>
      </c>
      <c r="B89" t="inlineStr">
        <is>
          <t>32998118000147</t>
        </is>
      </c>
      <c r="C89" t="inlineStr">
        <is>
          <t>0008526-45.2025.8.17.2001</t>
        </is>
      </c>
      <c r="D89" s="10" t="n">
        <v>4317.08</v>
      </c>
      <c r="E89" t="inlineStr"/>
      <c r="F89" t="inlineStr"/>
      <c r="G89" t="inlineStr">
        <is>
          <t>NOT_IN_NEW_RUN</t>
        </is>
      </c>
      <c r="H89" t="inlineStr">
        <is>
          <t>32998118000147</t>
        </is>
      </c>
      <c r="I89" t="inlineStr">
        <is>
          <t>case/document not harvested or below floor in this run</t>
        </is>
      </c>
    </row>
    <row r="90">
      <c r="A90" t="inlineStr">
        <is>
          <t>COLLEONY PRODUTOS E SISTEMAS PARA HIGIENIZACAO LTDA</t>
        </is>
      </c>
      <c r="B90" t="inlineStr">
        <is>
          <t>02200306000117</t>
        </is>
      </c>
      <c r="C90" t="inlineStr"/>
      <c r="D90" s="10" t="n">
        <v>4085</v>
      </c>
      <c r="E90" t="inlineStr"/>
      <c r="F90" t="inlineStr"/>
      <c r="G90" t="inlineStr">
        <is>
          <t>NOT_IN_NEW_RUN</t>
        </is>
      </c>
      <c r="H90" t="inlineStr">
        <is>
          <t>02200306000117</t>
        </is>
      </c>
      <c r="I90" t="inlineStr">
        <is>
          <t>case/document not harvested or below floor in this run</t>
        </is>
      </c>
    </row>
    <row r="91">
      <c r="A91" t="inlineStr">
        <is>
          <t>COMERCIAL DE BORRACHAS FASISA LTDA</t>
        </is>
      </c>
      <c r="B91" t="inlineStr">
        <is>
          <t>88827555000152</t>
        </is>
      </c>
      <c r="C91" t="inlineStr"/>
      <c r="D91" s="10" t="n">
        <v>3764.8</v>
      </c>
      <c r="E91" t="inlineStr"/>
      <c r="F91" t="inlineStr"/>
      <c r="G91" t="inlineStr">
        <is>
          <t>NOT_IN_NEW_RUN</t>
        </is>
      </c>
      <c r="H91" t="inlineStr">
        <is>
          <t>88827555000152</t>
        </is>
      </c>
      <c r="I91" t="inlineStr">
        <is>
          <t>case/document not harvested or below floor in this run</t>
        </is>
      </c>
    </row>
    <row r="92">
      <c r="A92" t="inlineStr">
        <is>
          <t>METALURGICA SCHIOPPA LTDA</t>
        </is>
      </c>
      <c r="B92" t="inlineStr">
        <is>
          <t>61174652000137</t>
        </is>
      </c>
      <c r="C92" t="inlineStr"/>
      <c r="D92" s="10" t="n">
        <v>3297.2</v>
      </c>
      <c r="E92" t="inlineStr"/>
      <c r="F92" t="inlineStr"/>
      <c r="G92" t="inlineStr">
        <is>
          <t>NOT_IN_NEW_RUN</t>
        </is>
      </c>
      <c r="H92" t="inlineStr">
        <is>
          <t>61174652000137</t>
        </is>
      </c>
      <c r="I92" t="inlineStr">
        <is>
          <t>case/document not harvested or below floor in this run</t>
        </is>
      </c>
    </row>
    <row r="93">
      <c r="A93" t="inlineStr">
        <is>
          <t>LEITZ FERRAMENTAS PARA MADEIRA LTDA</t>
        </is>
      </c>
      <c r="B93" t="inlineStr">
        <is>
          <t>90815150000146</t>
        </is>
      </c>
      <c r="C93" t="inlineStr"/>
      <c r="D93" s="10" t="n">
        <v>3005.66</v>
      </c>
      <c r="E93" t="inlineStr"/>
      <c r="F93" t="inlineStr"/>
      <c r="G93" t="inlineStr">
        <is>
          <t>NOT_IN_NEW_RUN</t>
        </is>
      </c>
      <c r="H93" t="inlineStr">
        <is>
          <t>90815150000146</t>
        </is>
      </c>
      <c r="I93" t="inlineStr">
        <is>
          <t>case/document not harvested or below floor in this run</t>
        </is>
      </c>
    </row>
    <row r="94">
      <c r="A94" t="inlineStr">
        <is>
          <t>ID CARGO BRASIL LTDA</t>
        </is>
      </c>
      <c r="B94" t="inlineStr">
        <is>
          <t>20306967000103</t>
        </is>
      </c>
      <c r="C94" t="inlineStr"/>
      <c r="D94" s="10" t="n">
        <v>2991.7</v>
      </c>
      <c r="E94" t="inlineStr"/>
      <c r="F94" t="inlineStr"/>
      <c r="G94" t="inlineStr">
        <is>
          <t>NOT_IN_NEW_RUN</t>
        </is>
      </c>
      <c r="H94" t="inlineStr">
        <is>
          <t>20306967000103</t>
        </is>
      </c>
      <c r="I94" t="inlineStr">
        <is>
          <t>case/document not harvested or below floor in this run</t>
        </is>
      </c>
    </row>
    <row r="95">
      <c r="A95" t="inlineStr">
        <is>
          <t>INDUSTRIAS ESPLANADA LTDA</t>
        </is>
      </c>
      <c r="B95" t="inlineStr">
        <is>
          <t>04534459000126</t>
        </is>
      </c>
      <c r="C95" t="inlineStr">
        <is>
          <t>0652260-87.2018.8.04.0001</t>
        </is>
      </c>
      <c r="D95" s="10" t="n">
        <v>2945</v>
      </c>
      <c r="E95" t="inlineStr"/>
      <c r="F95" t="inlineStr"/>
      <c r="G95" t="inlineStr">
        <is>
          <t>NOT_IN_NEW_RUN</t>
        </is>
      </c>
      <c r="H95" t="inlineStr">
        <is>
          <t>04534459000126</t>
        </is>
      </c>
      <c r="I95" t="inlineStr">
        <is>
          <t>case/document not harvested or below floor in this run</t>
        </is>
      </c>
    </row>
    <row r="96">
      <c r="A96" t="inlineStr">
        <is>
          <t>DOMINALOG EXPRESS LOGISTICA INTEGRADA LTDA</t>
        </is>
      </c>
      <c r="B96" t="inlineStr">
        <is>
          <t>18247063000102</t>
        </is>
      </c>
      <c r="C96" t="inlineStr"/>
      <c r="D96" s="10" t="n">
        <v>2892.1</v>
      </c>
      <c r="E96" t="inlineStr"/>
      <c r="F96" t="inlineStr"/>
      <c r="G96" t="inlineStr">
        <is>
          <t>NOT_IN_NEW_RUN</t>
        </is>
      </c>
      <c r="H96" t="inlineStr">
        <is>
          <t>18247063000102</t>
        </is>
      </c>
      <c r="I96" t="inlineStr">
        <is>
          <t>case/document not harvested or below floor in this run</t>
        </is>
      </c>
    </row>
    <row r="97">
      <c r="A97" t="inlineStr">
        <is>
          <t>SOLIDES TECNOLOGIA S/A</t>
        </is>
      </c>
      <c r="B97" t="inlineStr">
        <is>
          <t>10461302000110</t>
        </is>
      </c>
      <c r="C97" t="inlineStr">
        <is>
          <t>0008526-45.2025.8.17.2001</t>
        </is>
      </c>
      <c r="D97" s="10" t="n">
        <v>2857.35</v>
      </c>
      <c r="E97" t="inlineStr"/>
      <c r="F97" t="inlineStr"/>
      <c r="G97" t="inlineStr">
        <is>
          <t>NOT_IN_NEW_RUN</t>
        </is>
      </c>
      <c r="H97" t="inlineStr">
        <is>
          <t>10461302000110</t>
        </is>
      </c>
      <c r="I97" t="inlineStr">
        <is>
          <t>case/document not harvested or below floor in this run</t>
        </is>
      </c>
    </row>
    <row r="98">
      <c r="A98" t="inlineStr">
        <is>
          <t>MOVIDA LOCACAO DE VEICULOS S.A.</t>
        </is>
      </c>
      <c r="B98" t="inlineStr">
        <is>
          <t>07976147000160</t>
        </is>
      </c>
      <c r="C98" t="inlineStr"/>
      <c r="D98" s="10" t="n">
        <v>2807.36</v>
      </c>
      <c r="E98" t="inlineStr"/>
      <c r="F98" t="inlineStr"/>
      <c r="G98" t="inlineStr">
        <is>
          <t>NOT_IN_NEW_RUN</t>
        </is>
      </c>
      <c r="H98" t="inlineStr">
        <is>
          <t>07976147000160</t>
        </is>
      </c>
      <c r="I98" t="inlineStr">
        <is>
          <t>case/document not harvested or below floor in this run</t>
        </is>
      </c>
    </row>
    <row r="99">
      <c r="A99" t="inlineStr">
        <is>
          <t>TELEFONICA BRASIL S.A.</t>
        </is>
      </c>
      <c r="B99" t="inlineStr">
        <is>
          <t>02558157001720</t>
        </is>
      </c>
      <c r="C99" t="inlineStr"/>
      <c r="D99" s="10" t="n">
        <v>2784.27</v>
      </c>
      <c r="E99" t="inlineStr"/>
      <c r="F99" t="inlineStr"/>
      <c r="G99" t="inlineStr">
        <is>
          <t>NOT_IN_NEW_RUN</t>
        </is>
      </c>
      <c r="H99" t="inlineStr">
        <is>
          <t>02558157001720</t>
        </is>
      </c>
      <c r="I99" t="inlineStr">
        <is>
          <t>case/document not harvested or below floor in this run</t>
        </is>
      </c>
    </row>
    <row r="100">
      <c r="A100" t="inlineStr">
        <is>
          <t>ARQUIVEI SERVICOS ON LINE LTDA</t>
        </is>
      </c>
      <c r="B100" t="inlineStr">
        <is>
          <t>19427033000140</t>
        </is>
      </c>
      <c r="C100" t="inlineStr">
        <is>
          <t>0008526-45.2025.8.17.2001</t>
        </is>
      </c>
      <c r="D100" s="10" t="n">
        <v>2671.65</v>
      </c>
      <c r="E100" t="inlineStr"/>
      <c r="F100" t="inlineStr"/>
      <c r="G100" t="inlineStr">
        <is>
          <t>NOT_IN_NEW_RUN</t>
        </is>
      </c>
      <c r="H100" t="inlineStr">
        <is>
          <t>19427033000140</t>
        </is>
      </c>
      <c r="I100" t="inlineStr">
        <is>
          <t>case/document not harvested or below floor in this run</t>
        </is>
      </c>
    </row>
    <row r="101">
      <c r="A101" t="inlineStr">
        <is>
          <t>ASIA SHIPPING TRANSPORTES INTERNACIONAIS LTDA</t>
        </is>
      </c>
      <c r="B101" t="inlineStr">
        <is>
          <t>01137526000180</t>
        </is>
      </c>
      <c r="C101" t="inlineStr"/>
      <c r="D101" s="10" t="n">
        <v>2596.27</v>
      </c>
      <c r="E101" t="inlineStr"/>
      <c r="F101" t="inlineStr"/>
      <c r="G101" t="inlineStr">
        <is>
          <t>NOT_IN_NEW_RUN</t>
        </is>
      </c>
      <c r="H101" t="inlineStr">
        <is>
          <t>01137526000180</t>
        </is>
      </c>
      <c r="I101" t="inlineStr">
        <is>
          <t>case/document not harvested or below floor in this run</t>
        </is>
      </c>
    </row>
    <row r="102">
      <c r="A102" t="inlineStr">
        <is>
          <t>ADAM DISTRIBUIDORA LTDA</t>
        </is>
      </c>
      <c r="B102" t="inlineStr">
        <is>
          <t>03433636000115</t>
        </is>
      </c>
      <c r="C102" t="inlineStr"/>
      <c r="D102" s="10" t="n">
        <v>2576.15</v>
      </c>
      <c r="E102" t="inlineStr"/>
      <c r="F102" t="inlineStr"/>
      <c r="G102" t="inlineStr">
        <is>
          <t>NOT_IN_NEW_RUN</t>
        </is>
      </c>
      <c r="H102" t="inlineStr">
        <is>
          <t>03433636000115</t>
        </is>
      </c>
      <c r="I102" t="inlineStr">
        <is>
          <t>case/document not harvested or below floor in this run</t>
        </is>
      </c>
    </row>
    <row r="103">
      <c r="A103" t="inlineStr">
        <is>
          <t>PETRYMAR TRANSPORTES LTDA</t>
        </is>
      </c>
      <c r="B103" t="inlineStr">
        <is>
          <t>90605759000190</t>
        </is>
      </c>
      <c r="C103" t="inlineStr"/>
      <c r="D103" s="10" t="n">
        <v>2548.37</v>
      </c>
      <c r="E103" t="inlineStr"/>
      <c r="F103" t="inlineStr"/>
      <c r="G103" t="inlineStr">
        <is>
          <t>NOT_IN_NEW_RUN</t>
        </is>
      </c>
      <c r="H103" t="inlineStr">
        <is>
          <t>90605759000190</t>
        </is>
      </c>
      <c r="I103" t="inlineStr">
        <is>
          <t>case/document not harvested or below floor in this run</t>
        </is>
      </c>
    </row>
    <row r="104">
      <c r="A104" t="inlineStr">
        <is>
          <t>COPIMAGEM GRAFICA DIGITAL LTDA</t>
        </is>
      </c>
      <c r="B104" t="inlineStr">
        <is>
          <t>05898365000107</t>
        </is>
      </c>
      <c r="C104" t="inlineStr"/>
      <c r="D104" s="10" t="n">
        <v>2506</v>
      </c>
      <c r="E104" t="inlineStr"/>
      <c r="F104" t="inlineStr"/>
      <c r="G104" t="inlineStr">
        <is>
          <t>NOT_IN_NEW_RUN</t>
        </is>
      </c>
      <c r="H104" t="inlineStr">
        <is>
          <t>05898365000107</t>
        </is>
      </c>
      <c r="I104" t="inlineStr">
        <is>
          <t>case/document not harvested or below floor in this run</t>
        </is>
      </c>
    </row>
    <row r="105">
      <c r="A105" t="inlineStr">
        <is>
          <t>ASSOCIACAO PROATIVA DO PARA - APPA</t>
        </is>
      </c>
      <c r="B105" t="inlineStr">
        <is>
          <t>07611485000107</t>
        </is>
      </c>
      <c r="C105" t="inlineStr">
        <is>
          <t>0820780-23.2026.8.14.0301</t>
        </is>
      </c>
      <c r="D105" s="10" t="n">
        <v>2479.03</v>
      </c>
      <c r="E105" t="inlineStr"/>
      <c r="F105" t="inlineStr"/>
      <c r="G105" t="inlineStr">
        <is>
          <t>NOT_IN_NEW_RUN</t>
        </is>
      </c>
      <c r="H105" t="inlineStr">
        <is>
          <t>07611485000107</t>
        </is>
      </c>
      <c r="I105" t="inlineStr">
        <is>
          <t>case/document not harvested or below floor in this run</t>
        </is>
      </c>
    </row>
    <row r="106">
      <c r="A106" t="inlineStr">
        <is>
          <t>JOCLAMAR LTDA.</t>
        </is>
      </c>
      <c r="B106" t="inlineStr">
        <is>
          <t>75795625000196</t>
        </is>
      </c>
      <c r="C106" t="inlineStr"/>
      <c r="D106" s="10" t="n">
        <v>2300.45</v>
      </c>
      <c r="E106" t="inlineStr"/>
      <c r="F106" t="inlineStr"/>
      <c r="G106" t="inlineStr">
        <is>
          <t>NOT_IN_NEW_RUN</t>
        </is>
      </c>
      <c r="H106" t="inlineStr">
        <is>
          <t>75795625000196</t>
        </is>
      </c>
      <c r="I106" t="inlineStr">
        <is>
          <t>case/document not harvested or below floor in this run</t>
        </is>
      </c>
    </row>
    <row r="107">
      <c r="A107" t="inlineStr">
        <is>
          <t>TAYU QUIMICA LTDA</t>
        </is>
      </c>
      <c r="B107" t="inlineStr">
        <is>
          <t>97493407000130</t>
        </is>
      </c>
      <c r="C107" t="inlineStr"/>
      <c r="D107" s="10" t="n">
        <v>2065.99</v>
      </c>
      <c r="E107" t="inlineStr"/>
      <c r="F107" t="inlineStr"/>
      <c r="G107" t="inlineStr">
        <is>
          <t>NOT_IN_NEW_RUN</t>
        </is>
      </c>
      <c r="H107" t="inlineStr">
        <is>
          <t>97493407000130</t>
        </is>
      </c>
      <c r="I107" t="inlineStr">
        <is>
          <t>case/document not harvested or below floor in this run</t>
        </is>
      </c>
    </row>
    <row r="108">
      <c r="A108" t="inlineStr">
        <is>
          <t>CONNECT INFORMACOES E TECNOLOGIA SA</t>
        </is>
      </c>
      <c r="B108" t="inlineStr">
        <is>
          <t>00850820000253</t>
        </is>
      </c>
      <c r="C108" t="inlineStr"/>
      <c r="D108" s="10" t="n">
        <v>2045.57</v>
      </c>
      <c r="E108" t="inlineStr"/>
      <c r="F108" t="inlineStr"/>
      <c r="G108" t="inlineStr">
        <is>
          <t>NOT_IN_NEW_RUN</t>
        </is>
      </c>
      <c r="H108" t="inlineStr">
        <is>
          <t>00850820000253</t>
        </is>
      </c>
      <c r="I108" t="inlineStr">
        <is>
          <t>case/document not harvested or below floor in this run</t>
        </is>
      </c>
    </row>
    <row r="109">
      <c r="A109" t="inlineStr">
        <is>
          <t>AMERICAN CHAMBER OF COMMERCE FOR BRAZIL SAO PAULO</t>
        </is>
      </c>
      <c r="B109" t="inlineStr">
        <is>
          <t>62044151000107</t>
        </is>
      </c>
      <c r="C109" t="inlineStr">
        <is>
          <t>0008526-45.2025.8.17.2001</t>
        </is>
      </c>
      <c r="D109" s="10" t="n">
        <v>1988.68</v>
      </c>
      <c r="E109" t="inlineStr"/>
      <c r="F109" t="inlineStr"/>
      <c r="G109" t="inlineStr">
        <is>
          <t>NOT_IN_NEW_RUN</t>
        </is>
      </c>
      <c r="H109" t="inlineStr">
        <is>
          <t>62044151000107</t>
        </is>
      </c>
      <c r="I109" t="inlineStr">
        <is>
          <t>case/document not harvested or below floor in this run</t>
        </is>
      </c>
    </row>
    <row r="110">
      <c r="A110" t="inlineStr">
        <is>
          <t>PERFIL INFORMATICA LTDA</t>
        </is>
      </c>
      <c r="B110" t="inlineStr">
        <is>
          <t>83202192000146</t>
        </is>
      </c>
      <c r="C110" t="inlineStr"/>
      <c r="D110" s="10" t="n">
        <v>1900</v>
      </c>
      <c r="E110" t="inlineStr"/>
      <c r="F110" t="inlineStr"/>
      <c r="G110" t="inlineStr">
        <is>
          <t>NOT_IN_NEW_RUN</t>
        </is>
      </c>
      <c r="H110" t="inlineStr">
        <is>
          <t>83202192000146</t>
        </is>
      </c>
      <c r="I110" t="inlineStr">
        <is>
          <t>case/document not harvested or below floor in this run</t>
        </is>
      </c>
    </row>
    <row r="111">
      <c r="A111" t="inlineStr">
        <is>
          <t>J.MARCANTE &amp; CIA LTDA</t>
        </is>
      </c>
      <c r="B111" t="inlineStr">
        <is>
          <t>91448977000202</t>
        </is>
      </c>
      <c r="C111" t="inlineStr"/>
      <c r="D111" s="10" t="n">
        <v>1816.68</v>
      </c>
      <c r="E111" t="inlineStr"/>
      <c r="F111" t="inlineStr"/>
      <c r="G111" t="inlineStr">
        <is>
          <t>NOT_IN_NEW_RUN</t>
        </is>
      </c>
      <c r="H111" t="inlineStr">
        <is>
          <t>91448977000202</t>
        </is>
      </c>
      <c r="I111" t="inlineStr">
        <is>
          <t>case/document not harvested or below floor in this run</t>
        </is>
      </c>
    </row>
    <row r="112">
      <c r="A112" t="inlineStr">
        <is>
          <t>CJ METAIS E CONSTRUCOES LTDA - EM RECUPERACAO JUDICIAL</t>
        </is>
      </c>
      <c r="B112" t="inlineStr">
        <is>
          <t>18282214000163</t>
        </is>
      </c>
      <c r="C112" t="inlineStr">
        <is>
          <t>0800778-16.2023.8.20.5104</t>
        </is>
      </c>
      <c r="D112" s="10" t="n">
        <v>1636.33</v>
      </c>
      <c r="E112" t="inlineStr"/>
      <c r="F112" t="inlineStr"/>
      <c r="G112" t="inlineStr">
        <is>
          <t>NOT_IN_NEW_RUN</t>
        </is>
      </c>
      <c r="H112" t="inlineStr">
        <is>
          <t>18282214000163</t>
        </is>
      </c>
      <c r="I112" t="inlineStr">
        <is>
          <t>case/document not harvested or below floor in this run</t>
        </is>
      </c>
    </row>
    <row r="113">
      <c r="A113" t="inlineStr">
        <is>
          <t>ESPANTALHO PNEUS LTDA</t>
        </is>
      </c>
      <c r="B113" t="inlineStr">
        <is>
          <t>02314882000195</t>
        </is>
      </c>
      <c r="C113" t="inlineStr">
        <is>
          <t>0652260-87.2018.8.04.0001</t>
        </is>
      </c>
      <c r="D113" s="10" t="n">
        <v>1510.92</v>
      </c>
      <c r="E113" t="inlineStr"/>
      <c r="F113" t="inlineStr"/>
      <c r="G113" t="inlineStr">
        <is>
          <t>NOT_IN_NEW_RUN</t>
        </is>
      </c>
      <c r="H113" t="inlineStr">
        <is>
          <t>02314882000195</t>
        </is>
      </c>
      <c r="I113" t="inlineStr">
        <is>
          <t>case/document not harvested or below floor in this run</t>
        </is>
      </c>
    </row>
    <row r="114">
      <c r="A114" t="inlineStr">
        <is>
          <t>SOL A SOL TRANSPORTES LTDA</t>
        </is>
      </c>
      <c r="B114" t="inlineStr">
        <is>
          <t>08152463000342</t>
        </is>
      </c>
      <c r="C114" t="inlineStr"/>
      <c r="D114" s="10" t="n">
        <v>1454.87</v>
      </c>
      <c r="E114" t="inlineStr"/>
      <c r="F114" t="inlineStr"/>
      <c r="G114" t="inlineStr">
        <is>
          <t>NOT_IN_NEW_RUN</t>
        </is>
      </c>
      <c r="H114" t="inlineStr">
        <is>
          <t>08152463000342</t>
        </is>
      </c>
      <c r="I114" t="inlineStr">
        <is>
          <t>case/document not harvested or below floor in this run</t>
        </is>
      </c>
    </row>
    <row r="115">
      <c r="A115" t="inlineStr">
        <is>
          <t>MAQUIPEL-COMERCIO DE MAQUINAS E PECAS LTDA</t>
        </is>
      </c>
      <c r="B115" t="inlineStr">
        <is>
          <t>02106579000288</t>
        </is>
      </c>
      <c r="C115" t="inlineStr">
        <is>
          <t>0652260-87.2018.8.04.0001</t>
        </is>
      </c>
      <c r="D115" s="10" t="n">
        <v>1315</v>
      </c>
      <c r="E115" t="inlineStr"/>
      <c r="F115" t="inlineStr"/>
      <c r="G115" t="inlineStr">
        <is>
          <t>NOT_IN_NEW_RUN</t>
        </is>
      </c>
      <c r="H115" t="inlineStr">
        <is>
          <t>02106579000288</t>
        </is>
      </c>
      <c r="I115" t="inlineStr">
        <is>
          <t>case/document not harvested or below floor in this run</t>
        </is>
      </c>
    </row>
    <row r="116">
      <c r="A116" t="inlineStr">
        <is>
          <t>JAMEF TRANSPORTES LTDA</t>
        </is>
      </c>
      <c r="B116" t="inlineStr">
        <is>
          <t>20147617005887</t>
        </is>
      </c>
      <c r="C116" t="inlineStr">
        <is>
          <t>0008526-45.2025.8.17.2001</t>
        </is>
      </c>
      <c r="D116" s="10" t="n">
        <v>1300.03</v>
      </c>
      <c r="E116" t="inlineStr"/>
      <c r="F116" t="inlineStr"/>
      <c r="G116" t="inlineStr">
        <is>
          <t>NOT_IN_NEW_RUN</t>
        </is>
      </c>
      <c r="H116" t="inlineStr">
        <is>
          <t>20147617005887</t>
        </is>
      </c>
      <c r="I116" t="inlineStr">
        <is>
          <t>case/document not harvested or below floor in this run</t>
        </is>
      </c>
    </row>
    <row r="117">
      <c r="A117" t="inlineStr">
        <is>
          <t>FORMATO TRANSPORTES LTDA</t>
        </is>
      </c>
      <c r="B117" t="inlineStr">
        <is>
          <t>13727240000215</t>
        </is>
      </c>
      <c r="C117" t="inlineStr">
        <is>
          <t>8005129-09.2023.8.05.0039</t>
        </is>
      </c>
      <c r="D117" s="10" t="n">
        <v>1226.73</v>
      </c>
      <c r="E117" t="inlineStr"/>
      <c r="F117" t="inlineStr"/>
      <c r="G117" t="inlineStr">
        <is>
          <t>NOT_IN_NEW_RUN</t>
        </is>
      </c>
      <c r="H117" t="inlineStr">
        <is>
          <t>13727240000215</t>
        </is>
      </c>
      <c r="I117" t="inlineStr">
        <is>
          <t>case/document not harvested or below floor in this run</t>
        </is>
      </c>
    </row>
    <row r="118">
      <c r="A118" t="inlineStr">
        <is>
          <t>MFREITAS ARQUITETURA E CONSULTORIA LTDA</t>
        </is>
      </c>
      <c r="B118" t="inlineStr">
        <is>
          <t>12453103000196</t>
        </is>
      </c>
      <c r="C118" t="inlineStr">
        <is>
          <t>0532018-89.2024.8.04.0001</t>
        </is>
      </c>
      <c r="D118" s="10" t="n">
        <v>1220.83</v>
      </c>
      <c r="E118" t="inlineStr"/>
      <c r="F118" t="inlineStr"/>
      <c r="G118" t="inlineStr">
        <is>
          <t>NOT_IN_NEW_RUN</t>
        </is>
      </c>
      <c r="H118" t="inlineStr">
        <is>
          <t>12453103000196</t>
        </is>
      </c>
      <c r="I118" t="inlineStr">
        <is>
          <t>case/document not harvested or below floor in this run</t>
        </is>
      </c>
    </row>
    <row r="119">
      <c r="A119" t="inlineStr">
        <is>
          <t>DISTRIBUIDORA DE ACOS E METAIS TUBOMETAL LTDA</t>
        </is>
      </c>
      <c r="B119" t="inlineStr">
        <is>
          <t>74519018000130</t>
        </is>
      </c>
      <c r="C119" t="inlineStr"/>
      <c r="D119" s="10" t="n">
        <v>1119.56</v>
      </c>
      <c r="E119" t="inlineStr"/>
      <c r="F119" t="inlineStr"/>
      <c r="G119" t="inlineStr">
        <is>
          <t>NOT_IN_NEW_RUN</t>
        </is>
      </c>
      <c r="H119" t="inlineStr">
        <is>
          <t>74519018000130</t>
        </is>
      </c>
      <c r="I119" t="inlineStr">
        <is>
          <t>case/document not harvested or below floor in this run</t>
        </is>
      </c>
    </row>
    <row r="120">
      <c r="A120" t="inlineStr">
        <is>
          <t>FM IMPRESSOS PERSONALIZADOS LTDA.</t>
        </is>
      </c>
      <c r="B120" t="inlineStr">
        <is>
          <t>13555994000154</t>
        </is>
      </c>
      <c r="C120" t="inlineStr">
        <is>
          <t>8005129-09.2023.8.05.0039</t>
        </is>
      </c>
      <c r="D120" s="10" t="n">
        <v>1110.32</v>
      </c>
      <c r="E120" t="inlineStr"/>
      <c r="F120" t="inlineStr"/>
      <c r="G120" t="inlineStr">
        <is>
          <t>NOT_IN_NEW_RUN</t>
        </is>
      </c>
      <c r="H120" t="inlineStr">
        <is>
          <t>13555994000154</t>
        </is>
      </c>
      <c r="I120" t="inlineStr">
        <is>
          <t>case/document not harvested or below floor in this run</t>
        </is>
      </c>
    </row>
    <row r="121">
      <c r="A121" t="inlineStr">
        <is>
          <t>BLUE TINTAS LTDA</t>
        </is>
      </c>
      <c r="B121" t="inlineStr">
        <is>
          <t>01050029001112</t>
        </is>
      </c>
      <c r="C121" t="inlineStr">
        <is>
          <t>8005129-09.2023.8.05.0039</t>
        </is>
      </c>
      <c r="D121" s="10" t="n">
        <v>1092.94</v>
      </c>
      <c r="E121" t="inlineStr"/>
      <c r="F121" t="inlineStr"/>
      <c r="G121" t="inlineStr">
        <is>
          <t>NOT_IN_NEW_RUN</t>
        </is>
      </c>
      <c r="H121" t="inlineStr">
        <is>
          <t>01050029001112</t>
        </is>
      </c>
      <c r="I121" t="inlineStr">
        <is>
          <t>case/document not harvested or below floor in this run</t>
        </is>
      </c>
    </row>
    <row r="122">
      <c r="A122" t="inlineStr">
        <is>
          <t>TRANSPOTECH PECAS E SERVICOS LTDA</t>
        </is>
      </c>
      <c r="B122" t="inlineStr">
        <is>
          <t>01964690000161</t>
        </is>
      </c>
      <c r="C122" t="inlineStr"/>
      <c r="D122" s="10" t="n">
        <v>1075.75</v>
      </c>
      <c r="E122" t="inlineStr"/>
      <c r="F122" t="inlineStr"/>
      <c r="G122" t="inlineStr">
        <is>
          <t>NOT_IN_NEW_RUN</t>
        </is>
      </c>
      <c r="H122" t="inlineStr">
        <is>
          <t>01964690000161</t>
        </is>
      </c>
      <c r="I122" t="inlineStr">
        <is>
          <t>case/document not harvested or below floor in this run</t>
        </is>
      </c>
    </row>
    <row r="123">
      <c r="A123" t="inlineStr">
        <is>
          <t>STANDARD COMERCIO E SERVICOS ELETRICOS LTDA</t>
        </is>
      </c>
      <c r="B123" t="inlineStr">
        <is>
          <t>82636820000139</t>
        </is>
      </c>
      <c r="C123" t="inlineStr"/>
      <c r="D123" s="10" t="n">
        <v>1002.75</v>
      </c>
      <c r="E123" t="inlineStr"/>
      <c r="F123" t="inlineStr"/>
      <c r="G123" t="inlineStr">
        <is>
          <t>NOT_IN_NEW_RUN</t>
        </is>
      </c>
      <c r="H123" t="inlineStr">
        <is>
          <t>82636820000139</t>
        </is>
      </c>
      <c r="I123" t="inlineStr">
        <is>
          <t>case/document not harvested or below floor in this run</t>
        </is>
      </c>
    </row>
    <row r="124">
      <c r="A124" t="inlineStr">
        <is>
          <t>ASA BRANCA REPRESENTACOES LTDA</t>
        </is>
      </c>
      <c r="B124" t="inlineStr">
        <is>
          <t>63461982000139</t>
        </is>
      </c>
      <c r="C124" t="inlineStr"/>
      <c r="D124" s="10" t="n">
        <v>927.04</v>
      </c>
      <c r="E124" t="inlineStr"/>
      <c r="F124" t="inlineStr"/>
      <c r="G124" t="inlineStr">
        <is>
          <t>NOT_IN_NEW_RUN</t>
        </is>
      </c>
      <c r="H124" t="inlineStr">
        <is>
          <t>63461982000139</t>
        </is>
      </c>
      <c r="I124" t="inlineStr">
        <is>
          <t>case/document not harvested or below floor in this run</t>
        </is>
      </c>
    </row>
    <row r="125">
      <c r="A125" t="inlineStr">
        <is>
          <t>Acre (TJAC)</t>
        </is>
      </c>
      <c r="B125" t="inlineStr">
        <is>
          <t>08258183000151</t>
        </is>
      </c>
      <c r="C125" t="inlineStr">
        <is>
          <t>0701986-79.2026.8.01.0002</t>
        </is>
      </c>
      <c r="D125" t="inlineStr"/>
      <c r="E125" t="inlineStr"/>
      <c r="F125" t="inlineStr"/>
      <c r="G125" t="inlineStr">
        <is>
          <t>NOT_IN_NEW_RUN</t>
        </is>
      </c>
      <c r="H125" t="inlineStr">
        <is>
          <t>Livia S. Cordeiro LTDA \</t>
        </is>
      </c>
      <c r="I125" t="inlineStr">
        <is>
          <t>case/document not harvested or below floor in this run</t>
        </is>
      </c>
    </row>
  </sheetData>
  <autoFilter ref="A1:I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2026-09-03T23:54:57Z</dcterms:created>
  <dcterms:modified xsi:type="dcterms:W3CDTF">2026-09-03T23:55:00Z</dcterms:modified>
</cp:coreProperties>
</file>